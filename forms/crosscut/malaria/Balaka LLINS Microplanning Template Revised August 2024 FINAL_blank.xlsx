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filterPrivacy="1" defaultThemeVersion="202300"/>
  <xr:revisionPtr revIDLastSave="0" documentId="13_ncr:1_{4DFB3ACC-1285-45D2-AEC9-9FE42FDD49EC}" xr6:coauthVersionLast="47" xr6:coauthVersionMax="47" xr10:uidLastSave="{00000000-0000-0000-0000-000000000000}"/>
  <bookViews>
    <workbookView xWindow="-120" yWindow="-120" windowWidth="29040" windowHeight="15720" xr2:uid="{00000000-000D-0000-FFFF-FFFF00000000}"/>
  </bookViews>
  <sheets>
    <sheet name="Guidelines" sheetId="1" r:id="rId1"/>
    <sheet name="Unit Cost" sheetId="3" r:id="rId2"/>
    <sheet name="Stafflist" sheetId="15" r:id="rId3"/>
    <sheet name="Transport plan" sheetId="14" r:id="rId4"/>
    <sheet name="MP (To Be Filled) Rural" sheetId="4" r:id="rId5"/>
    <sheet name="Quantification" sheetId="5" r:id="rId6"/>
    <sheet name="Log Costs" sheetId="6" r:id="rId7"/>
    <sheet name="Training HH registration team" sheetId="7" r:id="rId8"/>
    <sheet name="Implementation of HH Registrati" sheetId="8" r:id="rId9"/>
    <sheet name="Training Distribution Teams" sheetId="9" r:id="rId10"/>
    <sheet name="LLIN Distribution" sheetId="10" r:id="rId11"/>
    <sheet name="Data Management" sheetId="11" r:id="rId12"/>
    <sheet name="Summary Budget" sheetId="12" r:id="rId13"/>
    <sheet name="Comments" sheetId="13" r:id="rId14"/>
  </sheets>
  <definedNames>
    <definedName name="_xlnm._FilterDatabase" localSheetId="2" hidden="1">Stafflist!$A$1:$Y$897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4" l="1"/>
  <c r="E2" i="14" s="1"/>
  <c r="D3" i="14"/>
  <c r="E3" i="14" s="1"/>
  <c r="D4" i="14"/>
  <c r="E4" i="14" s="1"/>
  <c r="D5" i="14"/>
  <c r="E5" i="14" s="1"/>
  <c r="D6" i="14"/>
  <c r="E6" i="14" s="1"/>
  <c r="D7" i="14"/>
  <c r="E7" i="14" s="1"/>
  <c r="D8" i="14"/>
  <c r="E8" i="14" s="1"/>
  <c r="D9" i="14"/>
  <c r="E9" i="14" s="1"/>
  <c r="D10" i="14"/>
  <c r="E10" i="14" s="1"/>
  <c r="D11" i="14"/>
  <c r="E11" i="14" s="1"/>
  <c r="D12" i="14"/>
  <c r="E12" i="14" s="1"/>
  <c r="D13" i="14"/>
  <c r="E13" i="14" s="1"/>
  <c r="A32" i="14"/>
  <c r="A181" i="14" s="1"/>
  <c r="B32" i="14"/>
  <c r="A43" i="14"/>
  <c r="B43" i="14"/>
  <c r="A56" i="14"/>
  <c r="B56" i="14"/>
  <c r="A66" i="14"/>
  <c r="B66" i="14"/>
  <c r="A72" i="14"/>
  <c r="B72" i="14"/>
  <c r="A84" i="14"/>
  <c r="B84" i="14"/>
  <c r="B95" i="14" s="1"/>
  <c r="A95" i="14"/>
  <c r="A111" i="14"/>
  <c r="B111" i="14"/>
  <c r="A117" i="14"/>
  <c r="B117" i="14"/>
  <c r="B129" i="14" s="1"/>
  <c r="A129" i="14"/>
  <c r="A140" i="14"/>
  <c r="B140" i="14"/>
  <c r="A147" i="14"/>
  <c r="B147" i="14"/>
  <c r="A155" i="14"/>
  <c r="B155" i="14"/>
  <c r="A173" i="14"/>
  <c r="B173" i="14"/>
  <c r="A180" i="14"/>
  <c r="B180" i="14"/>
  <c r="B181" i="14" l="1"/>
  <c r="R408" i="4"/>
  <c r="S408" i="4"/>
  <c r="R410" i="4"/>
  <c r="S410" i="4" s="1"/>
  <c r="R411" i="4"/>
  <c r="S411" i="4" s="1"/>
  <c r="R412" i="4"/>
  <c r="S412" i="4" s="1"/>
  <c r="R1044" i="4" l="1"/>
  <c r="S1044" i="4" s="1"/>
  <c r="R1045" i="4"/>
  <c r="S1045" i="4" s="1"/>
  <c r="R1046" i="4"/>
  <c r="S1046" i="4" s="1"/>
  <c r="R1047" i="4"/>
  <c r="S1047" i="4" s="1"/>
  <c r="R1049" i="4"/>
  <c r="S1049" i="4" s="1"/>
  <c r="R1050" i="4"/>
  <c r="S1050" i="4" s="1"/>
  <c r="R1051" i="4"/>
  <c r="S1051" i="4" s="1"/>
  <c r="R328" i="4" l="1"/>
  <c r="S328" i="4" s="1"/>
  <c r="R329" i="4"/>
  <c r="S329" i="4" s="1"/>
  <c r="R330" i="4"/>
  <c r="S330" i="4" s="1"/>
  <c r="R332" i="4"/>
  <c r="S332" i="4" s="1"/>
  <c r="R333" i="4"/>
  <c r="S333" i="4" s="1"/>
  <c r="R334" i="4"/>
  <c r="S334" i="4" s="1"/>
  <c r="R335" i="4"/>
  <c r="S335" i="4" s="1"/>
  <c r="R336" i="4"/>
  <c r="S336" i="4" s="1"/>
  <c r="R337" i="4"/>
  <c r="S337" i="4" s="1"/>
  <c r="R338" i="4"/>
  <c r="S338" i="4" s="1"/>
  <c r="R339" i="4"/>
  <c r="S339" i="4" s="1"/>
  <c r="R341" i="4"/>
  <c r="S341" i="4" s="1"/>
  <c r="R342" i="4"/>
  <c r="S342" i="4" s="1"/>
  <c r="R343" i="4"/>
  <c r="S343" i="4" s="1"/>
  <c r="R344" i="4"/>
  <c r="S344" i="4" s="1"/>
  <c r="R345" i="4"/>
  <c r="S345" i="4" s="1"/>
  <c r="R346" i="4"/>
  <c r="S346" i="4" s="1"/>
  <c r="R348" i="4"/>
  <c r="S348" i="4" s="1"/>
  <c r="R350" i="4"/>
  <c r="S350" i="4" s="1"/>
  <c r="R351" i="4"/>
  <c r="S351" i="4" s="1"/>
  <c r="R352" i="4"/>
  <c r="S352" i="4" s="1"/>
  <c r="R353" i="4"/>
  <c r="S353" i="4" s="1"/>
  <c r="R354" i="4"/>
  <c r="S354" i="4" s="1"/>
  <c r="R355" i="4"/>
  <c r="S355" i="4" s="1"/>
  <c r="R356" i="4"/>
  <c r="S356" i="4" s="1"/>
  <c r="R357" i="4"/>
  <c r="S357" i="4" s="1"/>
  <c r="R358" i="4"/>
  <c r="S358" i="4" s="1"/>
  <c r="R359" i="4"/>
  <c r="S359" i="4" s="1"/>
  <c r="R360" i="4"/>
  <c r="S360" i="4" s="1"/>
  <c r="R361" i="4"/>
  <c r="S361" i="4" s="1"/>
  <c r="R362" i="4"/>
  <c r="S362" i="4" s="1"/>
  <c r="R363" i="4"/>
  <c r="S363" i="4" s="1"/>
  <c r="R365" i="4"/>
  <c r="S365" i="4" s="1"/>
  <c r="R366" i="4"/>
  <c r="S366" i="4" s="1"/>
  <c r="R367" i="4"/>
  <c r="S367" i="4" s="1"/>
  <c r="R369" i="4"/>
  <c r="S369" i="4" s="1"/>
  <c r="R370" i="4"/>
  <c r="S370" i="4" s="1"/>
  <c r="R371" i="4"/>
  <c r="S371" i="4" s="1"/>
  <c r="R372" i="4"/>
  <c r="S372" i="4" s="1"/>
  <c r="R373" i="4"/>
  <c r="S373" i="4" s="1"/>
  <c r="R375" i="4"/>
  <c r="S375" i="4" s="1"/>
  <c r="R376" i="4"/>
  <c r="S376" i="4" s="1"/>
  <c r="R377" i="4"/>
  <c r="S377" i="4" s="1"/>
  <c r="R378" i="4"/>
  <c r="S378" i="4" s="1"/>
  <c r="R379" i="4"/>
  <c r="S379" i="4" s="1"/>
  <c r="R380" i="4"/>
  <c r="S380" i="4" s="1"/>
  <c r="R381" i="4"/>
  <c r="S381" i="4" s="1"/>
  <c r="O328" i="4"/>
  <c r="P328" i="4" s="1"/>
  <c r="O329" i="4"/>
  <c r="P329" i="4" s="1"/>
  <c r="O330" i="4"/>
  <c r="P330" i="4" s="1"/>
  <c r="O332" i="4"/>
  <c r="P332" i="4" s="1"/>
  <c r="O333" i="4"/>
  <c r="P333" i="4" s="1"/>
  <c r="O334" i="4"/>
  <c r="P334" i="4" s="1"/>
  <c r="O335" i="4"/>
  <c r="P335" i="4" s="1"/>
  <c r="O336" i="4"/>
  <c r="P336" i="4" s="1"/>
  <c r="O337" i="4"/>
  <c r="P337" i="4" s="1"/>
  <c r="O338" i="4"/>
  <c r="P338" i="4" s="1"/>
  <c r="O339" i="4"/>
  <c r="P339" i="4" s="1"/>
  <c r="O341" i="4"/>
  <c r="P341" i="4" s="1"/>
  <c r="O342" i="4"/>
  <c r="P342" i="4" s="1"/>
  <c r="O343" i="4"/>
  <c r="P343" i="4" s="1"/>
  <c r="O344" i="4"/>
  <c r="P344" i="4" s="1"/>
  <c r="O345" i="4"/>
  <c r="P345" i="4" s="1"/>
  <c r="O346" i="4"/>
  <c r="P346" i="4" s="1"/>
  <c r="O348" i="4"/>
  <c r="P348" i="4" s="1"/>
  <c r="O350" i="4"/>
  <c r="P350" i="4" s="1"/>
  <c r="O351" i="4"/>
  <c r="P351" i="4" s="1"/>
  <c r="O352" i="4"/>
  <c r="P352" i="4" s="1"/>
  <c r="O353" i="4"/>
  <c r="P353" i="4" s="1"/>
  <c r="O354" i="4"/>
  <c r="P354" i="4" s="1"/>
  <c r="R397" i="4"/>
  <c r="S397" i="4" s="1"/>
  <c r="R398" i="4"/>
  <c r="S398" i="4" s="1"/>
  <c r="R400" i="4"/>
  <c r="S400" i="4" s="1"/>
  <c r="R401" i="4"/>
  <c r="S401" i="4" s="1"/>
  <c r="R402" i="4"/>
  <c r="S402" i="4" s="1"/>
  <c r="R403" i="4"/>
  <c r="S403" i="4" s="1"/>
  <c r="R404" i="4"/>
  <c r="S404" i="4" s="1"/>
  <c r="R405" i="4"/>
  <c r="S405" i="4" s="1"/>
  <c r="R406" i="4"/>
  <c r="S406" i="4" s="1"/>
  <c r="R560" i="4"/>
  <c r="S560" i="4" s="1"/>
  <c r="R561" i="4"/>
  <c r="S561" i="4" s="1"/>
  <c r="R562" i="4"/>
  <c r="S562" i="4" s="1"/>
  <c r="R563" i="4"/>
  <c r="S563" i="4" s="1"/>
  <c r="R564" i="4"/>
  <c r="S564" i="4" s="1"/>
  <c r="R568" i="4"/>
  <c r="S568" i="4" s="1"/>
  <c r="R569" i="4"/>
  <c r="S569" i="4" s="1"/>
  <c r="R570" i="4"/>
  <c r="S570" i="4" s="1"/>
  <c r="R572" i="4"/>
  <c r="S572" i="4" s="1"/>
  <c r="R573" i="4"/>
  <c r="S573" i="4" s="1"/>
  <c r="R574" i="4"/>
  <c r="S574" i="4" s="1"/>
  <c r="R575" i="4"/>
  <c r="S575" i="4" s="1"/>
  <c r="R576" i="4"/>
  <c r="S576" i="4" s="1"/>
  <c r="R578" i="4"/>
  <c r="S578" i="4" s="1"/>
  <c r="R580" i="4"/>
  <c r="S580" i="4" s="1"/>
  <c r="R581" i="4"/>
  <c r="S581" i="4" s="1"/>
  <c r="R582" i="4"/>
  <c r="S582" i="4" s="1"/>
  <c r="R583" i="4"/>
  <c r="S583" i="4" s="1"/>
  <c r="R584" i="4"/>
  <c r="S584" i="4" s="1"/>
  <c r="R585" i="4"/>
  <c r="S585" i="4" s="1"/>
  <c r="R586" i="4"/>
  <c r="S586" i="4" s="1"/>
  <c r="R588" i="4"/>
  <c r="S588" i="4" s="1"/>
  <c r="R589" i="4"/>
  <c r="S589" i="4" s="1"/>
  <c r="R590" i="4"/>
  <c r="S590" i="4" s="1"/>
  <c r="R591" i="4"/>
  <c r="S591" i="4" s="1"/>
  <c r="R592" i="4"/>
  <c r="S592" i="4" s="1"/>
  <c r="R1298" i="4"/>
  <c r="S1298" i="4"/>
  <c r="R1299" i="4"/>
  <c r="S1299" i="4" s="1"/>
  <c r="R1300" i="4"/>
  <c r="S1300" i="4" s="1"/>
  <c r="R1301" i="4"/>
  <c r="S1301" i="4" s="1"/>
  <c r="R1303" i="4"/>
  <c r="S1303" i="4" s="1"/>
  <c r="R1304" i="4"/>
  <c r="S1304" i="4" s="1"/>
  <c r="R1305" i="4"/>
  <c r="S1305" i="4" s="1"/>
  <c r="R1306" i="4"/>
  <c r="S1306" i="4"/>
  <c r="R1307" i="4"/>
  <c r="S1307" i="4" s="1"/>
  <c r="R1308" i="4"/>
  <c r="S1308" i="4" s="1"/>
  <c r="R1310" i="4"/>
  <c r="S1310" i="4" s="1"/>
  <c r="R1311" i="4"/>
  <c r="S1311" i="4" s="1"/>
  <c r="R1312" i="4"/>
  <c r="S1312" i="4" s="1"/>
  <c r="R1313" i="4"/>
  <c r="S1313" i="4" s="1"/>
  <c r="R1314" i="4"/>
  <c r="S1314" i="4" s="1"/>
  <c r="R1315" i="4"/>
  <c r="S1315" i="4" s="1"/>
  <c r="R1316" i="4"/>
  <c r="S1316" i="4" s="1"/>
  <c r="R1317" i="4"/>
  <c r="S1317" i="4" s="1"/>
  <c r="R1318" i="4"/>
  <c r="S1318" i="4" s="1"/>
  <c r="R1319" i="4"/>
  <c r="S1319" i="4" s="1"/>
  <c r="R1320" i="4"/>
  <c r="S1320" i="4" s="1"/>
  <c r="R1321" i="4"/>
  <c r="S1321" i="4" s="1"/>
  <c r="R1322" i="4"/>
  <c r="S1322" i="4" s="1"/>
  <c r="R1324" i="4"/>
  <c r="S1324" i="4" s="1"/>
  <c r="R1325" i="4"/>
  <c r="S1325" i="4" s="1"/>
  <c r="R1326" i="4"/>
  <c r="S1326" i="4" s="1"/>
  <c r="R1327" i="4"/>
  <c r="S1327" i="4" s="1"/>
  <c r="R1328" i="4"/>
  <c r="S1328" i="4" s="1"/>
  <c r="R1329" i="4"/>
  <c r="S1329" i="4" s="1"/>
  <c r="R1330" i="4"/>
  <c r="S1330" i="4" s="1"/>
  <c r="R1331" i="4"/>
  <c r="S1331" i="4" s="1"/>
  <c r="R1332" i="4"/>
  <c r="S1332" i="4" s="1"/>
  <c r="R1333" i="4"/>
  <c r="S1333" i="4" s="1"/>
  <c r="R1334" i="4"/>
  <c r="S1334" i="4" s="1"/>
  <c r="R1335" i="4"/>
  <c r="S1335" i="4" s="1"/>
  <c r="R1336" i="4"/>
  <c r="S1336" i="4" s="1"/>
  <c r="R1337" i="4"/>
  <c r="S1337" i="4" s="1"/>
  <c r="R1338" i="4"/>
  <c r="S1338" i="4"/>
  <c r="R1339" i="4"/>
  <c r="S1339" i="4" s="1"/>
  <c r="R1340" i="4"/>
  <c r="S1340" i="4" s="1"/>
  <c r="R1341" i="4"/>
  <c r="S1341" i="4" s="1"/>
  <c r="R1342" i="4"/>
  <c r="S1342" i="4" s="1"/>
  <c r="R1344" i="4"/>
  <c r="S1344" i="4" s="1"/>
  <c r="R1345" i="4"/>
  <c r="S1345" i="4" s="1"/>
  <c r="R1346" i="4"/>
  <c r="S1346" i="4" s="1"/>
  <c r="R1347" i="4"/>
  <c r="S1347" i="4" s="1"/>
  <c r="R1348" i="4"/>
  <c r="S1348" i="4" s="1"/>
  <c r="R1349" i="4"/>
  <c r="S1349" i="4" s="1"/>
  <c r="R1350" i="4"/>
  <c r="S1350" i="4" s="1"/>
  <c r="R1351" i="4"/>
  <c r="S1351" i="4" s="1"/>
  <c r="R1352" i="4"/>
  <c r="S1352" i="4" s="1"/>
  <c r="R1353" i="4"/>
  <c r="S1353" i="4" s="1"/>
  <c r="R1354" i="4"/>
  <c r="S1354" i="4" s="1"/>
  <c r="R1356" i="4"/>
  <c r="S1356" i="4" s="1"/>
  <c r="R1357" i="4"/>
  <c r="S1357" i="4" s="1"/>
  <c r="R1358" i="4"/>
  <c r="S1358" i="4" s="1"/>
  <c r="R1359" i="4"/>
  <c r="S1359" i="4" s="1"/>
  <c r="R1360" i="4"/>
  <c r="S1360" i="4" s="1"/>
  <c r="R1361" i="4"/>
  <c r="S1361" i="4" s="1"/>
  <c r="R1163" i="4"/>
  <c r="S1163" i="4" s="1"/>
  <c r="R1164" i="4"/>
  <c r="S1164" i="4" s="1"/>
  <c r="R1165" i="4"/>
  <c r="S1165" i="4" s="1"/>
  <c r="R1166" i="4"/>
  <c r="S1166" i="4" s="1"/>
  <c r="R1167" i="4"/>
  <c r="S1167" i="4" s="1"/>
  <c r="R1168" i="4"/>
  <c r="S1168" i="4" s="1"/>
  <c r="R1169" i="4"/>
  <c r="S1169" i="4" s="1"/>
  <c r="R1170" i="4"/>
  <c r="S1170" i="4" s="1"/>
  <c r="R1171" i="4"/>
  <c r="S1171" i="4" s="1"/>
  <c r="R1172" i="4"/>
  <c r="S1172" i="4" s="1"/>
  <c r="R1173" i="4"/>
  <c r="S1173" i="4" s="1"/>
  <c r="R1175" i="4"/>
  <c r="S1175" i="4" s="1"/>
  <c r="R1176" i="4"/>
  <c r="S1176" i="4" s="1"/>
  <c r="R1177" i="4"/>
  <c r="S1177" i="4" s="1"/>
  <c r="R1178" i="4"/>
  <c r="S1178" i="4" s="1"/>
  <c r="R1179" i="4"/>
  <c r="S1179" i="4" s="1"/>
  <c r="R1180" i="4"/>
  <c r="S1180" i="4" s="1"/>
  <c r="R1181" i="4"/>
  <c r="S1181" i="4" s="1"/>
  <c r="R1183" i="4"/>
  <c r="S1183" i="4" s="1"/>
  <c r="R1184" i="4"/>
  <c r="S1184" i="4" s="1"/>
  <c r="R1185" i="4"/>
  <c r="S1185" i="4" s="1"/>
  <c r="R1186" i="4"/>
  <c r="S1186" i="4" s="1"/>
  <c r="R1187" i="4"/>
  <c r="S1187" i="4" s="1"/>
  <c r="R1188" i="4"/>
  <c r="S1188" i="4" s="1"/>
  <c r="R1190" i="4"/>
  <c r="S1190" i="4" s="1"/>
  <c r="R1191" i="4"/>
  <c r="S1191" i="4" s="1"/>
  <c r="R1192" i="4"/>
  <c r="S1192" i="4" s="1"/>
  <c r="R1193" i="4"/>
  <c r="S1193" i="4" s="1"/>
  <c r="R1194" i="4"/>
  <c r="S1194" i="4" s="1"/>
  <c r="R1195" i="4"/>
  <c r="S1195" i="4" s="1"/>
  <c r="R1196" i="4"/>
  <c r="S1196" i="4" s="1"/>
  <c r="R1197" i="4"/>
  <c r="S1197" i="4" s="1"/>
  <c r="R1198" i="4"/>
  <c r="S1198" i="4" s="1"/>
  <c r="R1199" i="4"/>
  <c r="S1199" i="4" s="1"/>
  <c r="R1200" i="4"/>
  <c r="S1200" i="4" s="1"/>
  <c r="R1201" i="4"/>
  <c r="S1201" i="4" s="1"/>
  <c r="R1202" i="4"/>
  <c r="S1202" i="4" s="1"/>
  <c r="R1203" i="4"/>
  <c r="S1203" i="4" s="1"/>
  <c r="R1204" i="4"/>
  <c r="S1204" i="4" s="1"/>
  <c r="R1205" i="4"/>
  <c r="S1205" i="4" s="1"/>
  <c r="R1206" i="4"/>
  <c r="S1206" i="4" s="1"/>
  <c r="R1208" i="4"/>
  <c r="S1208" i="4" s="1"/>
  <c r="R1209" i="4"/>
  <c r="S1209" i="4" s="1"/>
  <c r="R1210" i="4"/>
  <c r="S1210" i="4" s="1"/>
  <c r="R1211" i="4"/>
  <c r="S1211" i="4" s="1"/>
  <c r="R1212" i="4"/>
  <c r="S1212" i="4" s="1"/>
  <c r="R1213" i="4"/>
  <c r="S1213" i="4" s="1"/>
  <c r="R1216" i="4"/>
  <c r="S1216" i="4" s="1"/>
  <c r="R1217" i="4"/>
  <c r="S1217" i="4" s="1"/>
  <c r="R1218" i="4"/>
  <c r="S1218" i="4" s="1"/>
  <c r="R1219" i="4"/>
  <c r="S1219" i="4" s="1"/>
  <c r="R1220" i="4"/>
  <c r="S1220" i="4" s="1"/>
  <c r="R1221" i="4"/>
  <c r="S1221" i="4" s="1"/>
  <c r="R1222" i="4"/>
  <c r="S1222" i="4" s="1"/>
  <c r="R1223" i="4"/>
  <c r="S1223" i="4" s="1"/>
  <c r="R1224" i="4"/>
  <c r="S1224" i="4" s="1"/>
  <c r="R1226" i="4"/>
  <c r="S1226" i="4" s="1"/>
  <c r="R1227" i="4"/>
  <c r="S1227" i="4" s="1"/>
  <c r="R1228" i="4"/>
  <c r="S1228" i="4" s="1"/>
  <c r="R1229" i="4"/>
  <c r="S1229" i="4" s="1"/>
  <c r="R1230" i="4"/>
  <c r="S1230" i="4" s="1"/>
  <c r="R1231" i="4"/>
  <c r="S1231" i="4" s="1"/>
  <c r="R1232" i="4"/>
  <c r="S1232" i="4" s="1"/>
  <c r="R1233" i="4"/>
  <c r="S1233" i="4" s="1"/>
  <c r="R1235" i="4"/>
  <c r="S1235" i="4"/>
  <c r="R1236" i="4"/>
  <c r="S1236" i="4" s="1"/>
  <c r="R1237" i="4"/>
  <c r="S1237" i="4" s="1"/>
  <c r="R1238" i="4"/>
  <c r="S1238" i="4" s="1"/>
  <c r="R1239" i="4"/>
  <c r="S1239" i="4" s="1"/>
  <c r="R1240" i="4"/>
  <c r="S1240" i="4" s="1"/>
  <c r="R1241" i="4"/>
  <c r="S1241" i="4" s="1"/>
  <c r="R1242" i="4"/>
  <c r="S1242" i="4" s="1"/>
  <c r="R1243" i="4"/>
  <c r="S1243" i="4" s="1"/>
  <c r="R1244" i="4"/>
  <c r="S1244" i="4" s="1"/>
  <c r="R1245" i="4"/>
  <c r="S1245" i="4" s="1"/>
  <c r="R1247" i="4"/>
  <c r="S1247" i="4" s="1"/>
  <c r="R1248" i="4"/>
  <c r="S1248" i="4" s="1"/>
  <c r="R1249" i="4"/>
  <c r="S1249" i="4" s="1"/>
  <c r="R1250" i="4"/>
  <c r="S1250" i="4" s="1"/>
  <c r="R1251" i="4"/>
  <c r="S1251" i="4" s="1"/>
  <c r="R1252" i="4"/>
  <c r="S1252" i="4" s="1"/>
  <c r="R1253" i="4"/>
  <c r="S1253" i="4" s="1"/>
  <c r="R1254" i="4"/>
  <c r="S1254" i="4" s="1"/>
  <c r="R1255" i="4"/>
  <c r="S1255" i="4" s="1"/>
  <c r="R1256" i="4"/>
  <c r="S1256" i="4" s="1"/>
  <c r="R1257" i="4"/>
  <c r="S1257" i="4" s="1"/>
  <c r="R1258" i="4"/>
  <c r="S1258" i="4" s="1"/>
  <c r="R1259" i="4"/>
  <c r="S1259" i="4" s="1"/>
  <c r="R1260" i="4"/>
  <c r="S1260" i="4" s="1"/>
  <c r="R1261" i="4"/>
  <c r="S1261" i="4" s="1"/>
  <c r="R1262" i="4"/>
  <c r="S1262" i="4" s="1"/>
  <c r="R1263" i="4"/>
  <c r="S1263" i="4" s="1"/>
  <c r="R1264" i="4"/>
  <c r="S1264" i="4" s="1"/>
  <c r="R1266" i="4"/>
  <c r="S1266" i="4" s="1"/>
  <c r="R1267" i="4"/>
  <c r="S1267" i="4"/>
  <c r="R1268" i="4"/>
  <c r="S1268" i="4" s="1"/>
  <c r="R1269" i="4"/>
  <c r="S1269" i="4" s="1"/>
  <c r="R1270" i="4"/>
  <c r="S1270" i="4" s="1"/>
  <c r="R1271" i="4"/>
  <c r="S1271" i="4" s="1"/>
  <c r="R1272" i="4"/>
  <c r="S1272" i="4" s="1"/>
  <c r="R1273" i="4"/>
  <c r="S1273" i="4" s="1"/>
  <c r="R1275" i="4"/>
  <c r="S1275" i="4" s="1"/>
  <c r="R1276" i="4"/>
  <c r="S1276" i="4" s="1"/>
  <c r="R1277" i="4"/>
  <c r="S1277" i="4" s="1"/>
  <c r="R1279" i="4"/>
  <c r="S1279" i="4"/>
  <c r="R1280" i="4"/>
  <c r="S1280" i="4" s="1"/>
  <c r="R1281" i="4"/>
  <c r="S1281" i="4" s="1"/>
  <c r="R1283" i="4"/>
  <c r="S1283" i="4" s="1"/>
  <c r="R1284" i="4"/>
  <c r="S1284" i="4" s="1"/>
  <c r="R1285" i="4"/>
  <c r="S1285" i="4" s="1"/>
  <c r="R1286" i="4"/>
  <c r="S1286" i="4" s="1"/>
  <c r="R1287" i="4"/>
  <c r="S1287" i="4"/>
  <c r="R1288" i="4"/>
  <c r="S1288" i="4" s="1"/>
  <c r="R1290" i="4"/>
  <c r="S1290" i="4" s="1"/>
  <c r="R1292" i="4"/>
  <c r="S1292" i="4" s="1"/>
  <c r="O1040" i="4"/>
  <c r="P1040" i="4" s="1"/>
  <c r="O1042" i="4"/>
  <c r="P1042" i="4" s="1"/>
  <c r="O1044" i="4"/>
  <c r="P1044" i="4" s="1"/>
  <c r="O1046" i="4"/>
  <c r="P1046" i="4" s="1"/>
  <c r="O1047" i="4"/>
  <c r="P1047" i="4" s="1"/>
  <c r="O1049" i="4"/>
  <c r="P1049" i="4" s="1"/>
  <c r="O1052" i="4"/>
  <c r="P1052" i="4" s="1"/>
  <c r="O1054" i="4"/>
  <c r="P1054" i="4" s="1"/>
  <c r="O1055" i="4"/>
  <c r="P1055" i="4" s="1"/>
  <c r="O1056" i="4"/>
  <c r="P1056" i="4" s="1"/>
  <c r="O1058" i="4"/>
  <c r="P1058" i="4" s="1"/>
  <c r="O1059" i="4"/>
  <c r="P1059" i="4" s="1"/>
  <c r="O1061" i="4"/>
  <c r="P1061" i="4" s="1"/>
  <c r="O1062" i="4"/>
  <c r="P1062" i="4" s="1"/>
  <c r="O1064" i="4"/>
  <c r="P1064" i="4" s="1"/>
  <c r="O1065" i="4"/>
  <c r="P1065" i="4" s="1"/>
  <c r="O1067" i="4"/>
  <c r="P1067" i="4" s="1"/>
  <c r="O1069" i="4"/>
  <c r="P1069" i="4" s="1"/>
  <c r="O1070" i="4"/>
  <c r="P1070" i="4" s="1"/>
  <c r="O1071" i="4"/>
  <c r="P1071" i="4" s="1"/>
  <c r="R909" i="4"/>
  <c r="S909" i="4" s="1"/>
  <c r="R910" i="4"/>
  <c r="S910" i="4" s="1"/>
  <c r="R911" i="4"/>
  <c r="S911" i="4" s="1"/>
  <c r="R912" i="4"/>
  <c r="S912" i="4" s="1"/>
  <c r="R913" i="4"/>
  <c r="S913" i="4" s="1"/>
  <c r="R914" i="4"/>
  <c r="S914" i="4" s="1"/>
  <c r="R915" i="4"/>
  <c r="S915" i="4" s="1"/>
  <c r="R916" i="4"/>
  <c r="S916" i="4" s="1"/>
  <c r="R917" i="4"/>
  <c r="S917" i="4" s="1"/>
  <c r="R918" i="4"/>
  <c r="S918" i="4" s="1"/>
  <c r="R919" i="4"/>
  <c r="S919" i="4" s="1"/>
  <c r="R920" i="4"/>
  <c r="S920" i="4" s="1"/>
  <c r="R921" i="4"/>
  <c r="S921" i="4" s="1"/>
  <c r="R922" i="4"/>
  <c r="S922" i="4" s="1"/>
  <c r="R923" i="4"/>
  <c r="S923" i="4" s="1"/>
  <c r="R924" i="4"/>
  <c r="S924" i="4" s="1"/>
  <c r="R925" i="4"/>
  <c r="S925" i="4" s="1"/>
  <c r="R926" i="4"/>
  <c r="S926" i="4" s="1"/>
  <c r="R927" i="4"/>
  <c r="S927" i="4" s="1"/>
  <c r="R928" i="4"/>
  <c r="S928" i="4" s="1"/>
  <c r="R930" i="4"/>
  <c r="S930" i="4" s="1"/>
  <c r="R931" i="4"/>
  <c r="S931" i="4" s="1"/>
  <c r="R932" i="4"/>
  <c r="S932" i="4" s="1"/>
  <c r="R933" i="4"/>
  <c r="S933" i="4" s="1"/>
  <c r="R934" i="4"/>
  <c r="S934" i="4" s="1"/>
  <c r="R935" i="4"/>
  <c r="S935" i="4" s="1"/>
  <c r="R936" i="4"/>
  <c r="S936" i="4" s="1"/>
  <c r="R937" i="4"/>
  <c r="S937" i="4" s="1"/>
  <c r="R938" i="4"/>
  <c r="S938" i="4" s="1"/>
  <c r="R939" i="4"/>
  <c r="S939" i="4" s="1"/>
  <c r="R940" i="4"/>
  <c r="S940" i="4" s="1"/>
  <c r="R941" i="4"/>
  <c r="S941" i="4" s="1"/>
  <c r="R942" i="4"/>
  <c r="S942" i="4" s="1"/>
  <c r="R943" i="4"/>
  <c r="S943" i="4" s="1"/>
  <c r="R944" i="4"/>
  <c r="S944" i="4" s="1"/>
  <c r="R945" i="4"/>
  <c r="S945" i="4" s="1"/>
  <c r="R946" i="4"/>
  <c r="S946" i="4" s="1"/>
  <c r="R947" i="4"/>
  <c r="S947" i="4" s="1"/>
  <c r="R948" i="4"/>
  <c r="S948" i="4" s="1"/>
  <c r="R949" i="4"/>
  <c r="S949" i="4" s="1"/>
  <c r="R950" i="4"/>
  <c r="S950" i="4" s="1"/>
  <c r="R802" i="4"/>
  <c r="S802" i="4" s="1"/>
  <c r="R803" i="4"/>
  <c r="S803" i="4" s="1"/>
  <c r="R804" i="4"/>
  <c r="S804" i="4" s="1"/>
  <c r="R805" i="4"/>
  <c r="S805" i="4" s="1"/>
  <c r="R806" i="4"/>
  <c r="S806" i="4" s="1"/>
  <c r="R807" i="4"/>
  <c r="S807" i="4" s="1"/>
  <c r="R808" i="4"/>
  <c r="S808" i="4" s="1"/>
  <c r="R809" i="4"/>
  <c r="S809" i="4" s="1"/>
  <c r="R810" i="4"/>
  <c r="S810" i="4" s="1"/>
  <c r="R811" i="4"/>
  <c r="S811" i="4" s="1"/>
  <c r="R812" i="4"/>
  <c r="S812" i="4" s="1"/>
  <c r="R813" i="4"/>
  <c r="S813" i="4" s="1"/>
  <c r="R814" i="4"/>
  <c r="S814" i="4" s="1"/>
  <c r="R815" i="4"/>
  <c r="S815" i="4" s="1"/>
  <c r="R816" i="4"/>
  <c r="S816" i="4" s="1"/>
  <c r="R817" i="4"/>
  <c r="S817" i="4" s="1"/>
  <c r="R819" i="4"/>
  <c r="S819" i="4" s="1"/>
  <c r="R820" i="4"/>
  <c r="S820" i="4" s="1"/>
  <c r="R821" i="4"/>
  <c r="S821" i="4" s="1"/>
  <c r="R822" i="4"/>
  <c r="S822" i="4" s="1"/>
  <c r="R823" i="4"/>
  <c r="S823" i="4" s="1"/>
  <c r="R824" i="4"/>
  <c r="S824" i="4" s="1"/>
  <c r="R825" i="4"/>
  <c r="S825" i="4" s="1"/>
  <c r="R826" i="4"/>
  <c r="S826" i="4" s="1"/>
  <c r="R827" i="4"/>
  <c r="S827" i="4" s="1"/>
  <c r="R828" i="4"/>
  <c r="S828" i="4" s="1"/>
  <c r="R829" i="4"/>
  <c r="S829" i="4" s="1"/>
  <c r="R830" i="4"/>
  <c r="S830" i="4" s="1"/>
  <c r="R831" i="4"/>
  <c r="S831" i="4" s="1"/>
  <c r="R832" i="4"/>
  <c r="S832" i="4" s="1"/>
  <c r="R833" i="4"/>
  <c r="S833" i="4" s="1"/>
  <c r="R835" i="4"/>
  <c r="S835" i="4" s="1"/>
  <c r="R836" i="4"/>
  <c r="S836" i="4" s="1"/>
  <c r="R837" i="4"/>
  <c r="S837" i="4" s="1"/>
  <c r="R838" i="4"/>
  <c r="S838" i="4" s="1"/>
  <c r="R839" i="4"/>
  <c r="S839" i="4" s="1"/>
  <c r="R840" i="4"/>
  <c r="S840" i="4" s="1"/>
  <c r="R841" i="4"/>
  <c r="S841" i="4" s="1"/>
  <c r="R842" i="4"/>
  <c r="S842" i="4" s="1"/>
  <c r="R843" i="4"/>
  <c r="S843" i="4" s="1"/>
  <c r="R844" i="4"/>
  <c r="S844" i="4" s="1"/>
  <c r="R845" i="4"/>
  <c r="S845" i="4" s="1"/>
  <c r="R847" i="4"/>
  <c r="S847" i="4" s="1"/>
  <c r="R848" i="4"/>
  <c r="S848" i="4" s="1"/>
  <c r="R849" i="4"/>
  <c r="S849" i="4" s="1"/>
  <c r="R850" i="4"/>
  <c r="S850" i="4" s="1"/>
  <c r="R851" i="4"/>
  <c r="S851" i="4" s="1"/>
  <c r="R852" i="4"/>
  <c r="S852" i="4" s="1"/>
  <c r="R853" i="4"/>
  <c r="S853" i="4" s="1"/>
  <c r="R854" i="4"/>
  <c r="S854" i="4" s="1"/>
  <c r="R855" i="4"/>
  <c r="S855" i="4" s="1"/>
  <c r="R856" i="4"/>
  <c r="S856" i="4" s="1"/>
  <c r="R857" i="4"/>
  <c r="S857" i="4" s="1"/>
  <c r="R858" i="4"/>
  <c r="S858" i="4" s="1"/>
  <c r="R860" i="4"/>
  <c r="S860" i="4" s="1"/>
  <c r="R861" i="4"/>
  <c r="S861" i="4" s="1"/>
  <c r="R862" i="4"/>
  <c r="S862" i="4" s="1"/>
  <c r="R863" i="4"/>
  <c r="S863" i="4" s="1"/>
  <c r="R864" i="4"/>
  <c r="S864" i="4" s="1"/>
  <c r="R865" i="4"/>
  <c r="S865" i="4" s="1"/>
  <c r="R866" i="4"/>
  <c r="S866" i="4" s="1"/>
  <c r="R867" i="4"/>
  <c r="S867" i="4" s="1"/>
  <c r="R868" i="4"/>
  <c r="S868" i="4" s="1"/>
  <c r="R869" i="4"/>
  <c r="S869" i="4" s="1"/>
  <c r="R871" i="4"/>
  <c r="S871" i="4" s="1"/>
  <c r="R872" i="4"/>
  <c r="S872" i="4" s="1"/>
  <c r="R873" i="4"/>
  <c r="S873" i="4" s="1"/>
  <c r="R874" i="4"/>
  <c r="S874" i="4" s="1"/>
  <c r="R876" i="4"/>
  <c r="S876" i="4"/>
  <c r="R877" i="4"/>
  <c r="S877" i="4" s="1"/>
  <c r="R878" i="4"/>
  <c r="S878" i="4" s="1"/>
  <c r="R879" i="4"/>
  <c r="S879" i="4" s="1"/>
  <c r="R880" i="4"/>
  <c r="S880" i="4" s="1"/>
  <c r="R881" i="4"/>
  <c r="S881" i="4" s="1"/>
  <c r="R882" i="4"/>
  <c r="S882" i="4" s="1"/>
  <c r="R883" i="4"/>
  <c r="S883" i="4" s="1"/>
  <c r="R884" i="4"/>
  <c r="S884" i="4" s="1"/>
  <c r="R885" i="4"/>
  <c r="S885" i="4" s="1"/>
  <c r="R886" i="4"/>
  <c r="S886" i="4" s="1"/>
  <c r="R887" i="4"/>
  <c r="S887" i="4" s="1"/>
  <c r="R889" i="4"/>
  <c r="S889" i="4" s="1"/>
  <c r="R890" i="4"/>
  <c r="S890" i="4" s="1"/>
  <c r="R891" i="4"/>
  <c r="S891" i="4" s="1"/>
  <c r="R892" i="4"/>
  <c r="S892" i="4"/>
  <c r="R893" i="4"/>
  <c r="S893" i="4" s="1"/>
  <c r="R894" i="4"/>
  <c r="S894" i="4" s="1"/>
  <c r="R895" i="4"/>
  <c r="S895" i="4" s="1"/>
  <c r="R896" i="4"/>
  <c r="S896" i="4" s="1"/>
  <c r="R897" i="4"/>
  <c r="S897" i="4" s="1"/>
  <c r="R899" i="4"/>
  <c r="S899" i="4" s="1"/>
  <c r="R900" i="4"/>
  <c r="S900" i="4" s="1"/>
  <c r="R901" i="4"/>
  <c r="S901" i="4" s="1"/>
  <c r="R902" i="4"/>
  <c r="S902" i="4" s="1"/>
  <c r="R903" i="4"/>
  <c r="S903" i="4" s="1"/>
  <c r="R904" i="4"/>
  <c r="S904" i="4" s="1"/>
  <c r="R905" i="4"/>
  <c r="S905" i="4" s="1"/>
  <c r="R907" i="4"/>
  <c r="S907" i="4" s="1"/>
  <c r="R908" i="4"/>
  <c r="S908" i="4" s="1"/>
  <c r="R768" i="4"/>
  <c r="S768" i="4" s="1"/>
  <c r="R769" i="4"/>
  <c r="S769" i="4" s="1"/>
  <c r="R770" i="4"/>
  <c r="S770" i="4" s="1"/>
  <c r="R771" i="4"/>
  <c r="S771" i="4" s="1"/>
  <c r="R772" i="4"/>
  <c r="S772" i="4" s="1"/>
  <c r="R773" i="4"/>
  <c r="S773" i="4" s="1"/>
  <c r="R774" i="4"/>
  <c r="S774" i="4" s="1"/>
  <c r="R775" i="4"/>
  <c r="S775" i="4" s="1"/>
  <c r="R777" i="4"/>
  <c r="S777" i="4" s="1"/>
  <c r="R778" i="4"/>
  <c r="S778" i="4" s="1"/>
  <c r="R779" i="4"/>
  <c r="S779" i="4" s="1"/>
  <c r="R780" i="4"/>
  <c r="S780" i="4" s="1"/>
  <c r="R781" i="4"/>
  <c r="S781" i="4" s="1"/>
  <c r="R782" i="4"/>
  <c r="S782" i="4" s="1"/>
  <c r="R783" i="4"/>
  <c r="S783" i="4" s="1"/>
  <c r="R784" i="4"/>
  <c r="S784" i="4" s="1"/>
  <c r="R785" i="4"/>
  <c r="S785" i="4" s="1"/>
  <c r="R786" i="4"/>
  <c r="S786" i="4" s="1"/>
  <c r="R787" i="4"/>
  <c r="S787" i="4" s="1"/>
  <c r="R788" i="4"/>
  <c r="S788" i="4" s="1"/>
  <c r="R789" i="4"/>
  <c r="S789" i="4" s="1"/>
  <c r="R790" i="4"/>
  <c r="S790" i="4" s="1"/>
  <c r="R791" i="4"/>
  <c r="S791" i="4" s="1"/>
  <c r="R792" i="4"/>
  <c r="S792" i="4" s="1"/>
  <c r="R793" i="4"/>
  <c r="S793" i="4" s="1"/>
  <c r="R795" i="4"/>
  <c r="S795" i="4" s="1"/>
  <c r="R796" i="4"/>
  <c r="S796" i="4" s="1"/>
  <c r="R797" i="4"/>
  <c r="S797" i="4" s="1"/>
  <c r="R799" i="4"/>
  <c r="S799" i="4" s="1"/>
  <c r="J698" i="4" l="1"/>
  <c r="I698" i="4"/>
  <c r="G698" i="4"/>
  <c r="F698" i="4"/>
  <c r="X595" i="4" s="1"/>
  <c r="X698" i="4" s="1"/>
  <c r="L696" i="4"/>
  <c r="M696" i="4" s="1"/>
  <c r="K696" i="4"/>
  <c r="L695" i="4"/>
  <c r="M695" i="4" s="1"/>
  <c r="K695" i="4"/>
  <c r="R694" i="4"/>
  <c r="S694" i="4" s="1"/>
  <c r="L694" i="4"/>
  <c r="K694" i="4"/>
  <c r="R693" i="4"/>
  <c r="S693" i="4" s="1"/>
  <c r="L693" i="4"/>
  <c r="K693" i="4"/>
  <c r="R692" i="4"/>
  <c r="S692" i="4" s="1"/>
  <c r="O692" i="4"/>
  <c r="P692" i="4" s="1"/>
  <c r="L692" i="4"/>
  <c r="M692" i="4" s="1"/>
  <c r="K692" i="4"/>
  <c r="L691" i="4"/>
  <c r="N691" i="4" s="1"/>
  <c r="K691" i="4"/>
  <c r="R690" i="4"/>
  <c r="S690" i="4" s="1"/>
  <c r="L690" i="4"/>
  <c r="M690" i="4" s="1"/>
  <c r="K690" i="4"/>
  <c r="R689" i="4"/>
  <c r="S689" i="4" s="1"/>
  <c r="L689" i="4"/>
  <c r="K689" i="4"/>
  <c r="R688" i="4"/>
  <c r="S688" i="4" s="1"/>
  <c r="O688" i="4"/>
  <c r="P688" i="4" s="1"/>
  <c r="L688" i="4"/>
  <c r="M688" i="4" s="1"/>
  <c r="K688" i="4"/>
  <c r="L687" i="4"/>
  <c r="N687" i="4" s="1"/>
  <c r="K687" i="4"/>
  <c r="R686" i="4"/>
  <c r="S686" i="4" s="1"/>
  <c r="L686" i="4"/>
  <c r="K686" i="4"/>
  <c r="R685" i="4"/>
  <c r="S685" i="4" s="1"/>
  <c r="O685" i="4"/>
  <c r="P685" i="4" s="1"/>
  <c r="L685" i="4"/>
  <c r="M685" i="4" s="1"/>
  <c r="K685" i="4"/>
  <c r="R684" i="4"/>
  <c r="S684" i="4" s="1"/>
  <c r="O684" i="4"/>
  <c r="P684" i="4" s="1"/>
  <c r="L684" i="4"/>
  <c r="M684" i="4" s="1"/>
  <c r="K684" i="4"/>
  <c r="L683" i="4"/>
  <c r="M683" i="4" s="1"/>
  <c r="K683" i="4"/>
  <c r="R682" i="4"/>
  <c r="S682" i="4" s="1"/>
  <c r="O682" i="4"/>
  <c r="P682" i="4" s="1"/>
  <c r="L682" i="4"/>
  <c r="M682" i="4" s="1"/>
  <c r="K682" i="4"/>
  <c r="R681" i="4"/>
  <c r="S681" i="4" s="1"/>
  <c r="O681" i="4"/>
  <c r="P681" i="4" s="1"/>
  <c r="L681" i="4"/>
  <c r="K681" i="4"/>
  <c r="R680" i="4"/>
  <c r="S680" i="4" s="1"/>
  <c r="L680" i="4"/>
  <c r="M680" i="4" s="1"/>
  <c r="K680" i="4"/>
  <c r="R679" i="4"/>
  <c r="S679" i="4" s="1"/>
  <c r="O679" i="4"/>
  <c r="P679" i="4" s="1"/>
  <c r="L679" i="4"/>
  <c r="K679" i="4"/>
  <c r="R678" i="4"/>
  <c r="S678" i="4" s="1"/>
  <c r="L678" i="4"/>
  <c r="K678" i="4"/>
  <c r="R677" i="4"/>
  <c r="S677" i="4" s="1"/>
  <c r="L677" i="4"/>
  <c r="K677" i="4"/>
  <c r="R676" i="4"/>
  <c r="S676" i="4" s="1"/>
  <c r="O676" i="4"/>
  <c r="P676" i="4" s="1"/>
  <c r="L676" i="4"/>
  <c r="M676" i="4" s="1"/>
  <c r="K676" i="4"/>
  <c r="L675" i="4"/>
  <c r="K675" i="4"/>
  <c r="R674" i="4"/>
  <c r="S674" i="4" s="1"/>
  <c r="L674" i="4"/>
  <c r="K674" i="4"/>
  <c r="R673" i="4"/>
  <c r="S673" i="4" s="1"/>
  <c r="L673" i="4"/>
  <c r="K673" i="4"/>
  <c r="R672" i="4"/>
  <c r="S672" i="4" s="1"/>
  <c r="L672" i="4"/>
  <c r="K672" i="4"/>
  <c r="R671" i="4"/>
  <c r="S671" i="4" s="1"/>
  <c r="L671" i="4"/>
  <c r="K671" i="4"/>
  <c r="R670" i="4"/>
  <c r="S670" i="4" s="1"/>
  <c r="O670" i="4"/>
  <c r="P670" i="4" s="1"/>
  <c r="L670" i="4"/>
  <c r="M670" i="4" s="1"/>
  <c r="K670" i="4"/>
  <c r="L669" i="4"/>
  <c r="K669" i="4"/>
  <c r="R668" i="4"/>
  <c r="S668" i="4" s="1"/>
  <c r="O668" i="4"/>
  <c r="P668" i="4" s="1"/>
  <c r="L668" i="4"/>
  <c r="M668" i="4" s="1"/>
  <c r="K668" i="4"/>
  <c r="R667" i="4"/>
  <c r="S667" i="4" s="1"/>
  <c r="L667" i="4"/>
  <c r="M667" i="4" s="1"/>
  <c r="K667" i="4"/>
  <c r="R666" i="4"/>
  <c r="S666" i="4" s="1"/>
  <c r="O666" i="4"/>
  <c r="P666" i="4" s="1"/>
  <c r="L666" i="4"/>
  <c r="M666" i="4" s="1"/>
  <c r="K666" i="4"/>
  <c r="R665" i="4"/>
  <c r="S665" i="4" s="1"/>
  <c r="L665" i="4"/>
  <c r="M665" i="4" s="1"/>
  <c r="K665" i="4"/>
  <c r="R664" i="4"/>
  <c r="S664" i="4" s="1"/>
  <c r="O664" i="4"/>
  <c r="P664" i="4" s="1"/>
  <c r="L664" i="4"/>
  <c r="K664" i="4"/>
  <c r="R663" i="4"/>
  <c r="S663" i="4" s="1"/>
  <c r="L663" i="4"/>
  <c r="M663" i="4" s="1"/>
  <c r="K663" i="4"/>
  <c r="R662" i="4"/>
  <c r="S662" i="4" s="1"/>
  <c r="O662" i="4"/>
  <c r="P662" i="4" s="1"/>
  <c r="L662" i="4"/>
  <c r="K662" i="4"/>
  <c r="R661" i="4"/>
  <c r="S661" i="4" s="1"/>
  <c r="O661" i="4"/>
  <c r="P661" i="4" s="1"/>
  <c r="L661" i="4"/>
  <c r="M661" i="4" s="1"/>
  <c r="K661" i="4"/>
  <c r="L660" i="4"/>
  <c r="M660" i="4" s="1"/>
  <c r="K660" i="4"/>
  <c r="R659" i="4"/>
  <c r="S659" i="4" s="1"/>
  <c r="L659" i="4"/>
  <c r="M659" i="4" s="1"/>
  <c r="K659" i="4"/>
  <c r="R658" i="4"/>
  <c r="S658" i="4" s="1"/>
  <c r="O658" i="4"/>
  <c r="P658" i="4" s="1"/>
  <c r="L658" i="4"/>
  <c r="M658" i="4" s="1"/>
  <c r="K658" i="4"/>
  <c r="R657" i="4"/>
  <c r="S657" i="4" s="1"/>
  <c r="O657" i="4"/>
  <c r="P657" i="4" s="1"/>
  <c r="L657" i="4"/>
  <c r="K657" i="4"/>
  <c r="R656" i="4"/>
  <c r="S656" i="4" s="1"/>
  <c r="O656" i="4"/>
  <c r="P656" i="4" s="1"/>
  <c r="L656" i="4"/>
  <c r="M656" i="4" s="1"/>
  <c r="K656" i="4"/>
  <c r="R655" i="4"/>
  <c r="S655" i="4" s="1"/>
  <c r="L655" i="4"/>
  <c r="N655" i="4" s="1"/>
  <c r="O655" i="4" s="1"/>
  <c r="P655" i="4" s="1"/>
  <c r="K655" i="4"/>
  <c r="R654" i="4"/>
  <c r="S654" i="4" s="1"/>
  <c r="L654" i="4"/>
  <c r="M654" i="4" s="1"/>
  <c r="K654" i="4"/>
  <c r="R653" i="4"/>
  <c r="S653" i="4" s="1"/>
  <c r="O653" i="4"/>
  <c r="P653" i="4" s="1"/>
  <c r="L653" i="4"/>
  <c r="M653" i="4" s="1"/>
  <c r="K653" i="4"/>
  <c r="R652" i="4"/>
  <c r="S652" i="4" s="1"/>
  <c r="O652" i="4"/>
  <c r="P652" i="4" s="1"/>
  <c r="L652" i="4"/>
  <c r="M652" i="4" s="1"/>
  <c r="K652" i="4"/>
  <c r="R651" i="4"/>
  <c r="S651" i="4" s="1"/>
  <c r="O651" i="4"/>
  <c r="P651" i="4" s="1"/>
  <c r="L651" i="4"/>
  <c r="M651" i="4" s="1"/>
  <c r="K651" i="4"/>
  <c r="R650" i="4"/>
  <c r="S650" i="4" s="1"/>
  <c r="L650" i="4"/>
  <c r="M650" i="4" s="1"/>
  <c r="K650" i="4"/>
  <c r="R649" i="4"/>
  <c r="S649" i="4" s="1"/>
  <c r="O649" i="4"/>
  <c r="P649" i="4" s="1"/>
  <c r="L649" i="4"/>
  <c r="M649" i="4" s="1"/>
  <c r="K649" i="4"/>
  <c r="R648" i="4"/>
  <c r="S648" i="4" s="1"/>
  <c r="O648" i="4"/>
  <c r="P648" i="4" s="1"/>
  <c r="L648" i="4"/>
  <c r="M648" i="4" s="1"/>
  <c r="K648" i="4"/>
  <c r="R647" i="4"/>
  <c r="S647" i="4" s="1"/>
  <c r="O647" i="4"/>
  <c r="P647" i="4" s="1"/>
  <c r="M647" i="4"/>
  <c r="L647" i="4"/>
  <c r="K647" i="4"/>
  <c r="R646" i="4"/>
  <c r="S646" i="4" s="1"/>
  <c r="O646" i="4"/>
  <c r="P646" i="4" s="1"/>
  <c r="L646" i="4"/>
  <c r="K646" i="4"/>
  <c r="R645" i="4"/>
  <c r="S645" i="4" s="1"/>
  <c r="L645" i="4"/>
  <c r="N645" i="4" s="1"/>
  <c r="O645" i="4" s="1"/>
  <c r="K645" i="4"/>
  <c r="L644" i="4"/>
  <c r="M644" i="4" s="1"/>
  <c r="K644" i="4"/>
  <c r="R643" i="4"/>
  <c r="S643" i="4" s="1"/>
  <c r="O643" i="4"/>
  <c r="P643" i="4" s="1"/>
  <c r="L643" i="4"/>
  <c r="K643" i="4"/>
  <c r="R642" i="4"/>
  <c r="S642" i="4" s="1"/>
  <c r="L642" i="4"/>
  <c r="M642" i="4" s="1"/>
  <c r="K642" i="4"/>
  <c r="R641" i="4"/>
  <c r="S641" i="4" s="1"/>
  <c r="L641" i="4"/>
  <c r="M641" i="4" s="1"/>
  <c r="K641" i="4"/>
  <c r="R640" i="4"/>
  <c r="S640" i="4" s="1"/>
  <c r="O640" i="4"/>
  <c r="P640" i="4" s="1"/>
  <c r="L640" i="4"/>
  <c r="M640" i="4" s="1"/>
  <c r="K640" i="4"/>
  <c r="R639" i="4"/>
  <c r="S639" i="4" s="1"/>
  <c r="O639" i="4"/>
  <c r="P639" i="4" s="1"/>
  <c r="L638" i="4"/>
  <c r="M638" i="4" s="1"/>
  <c r="K638" i="4"/>
  <c r="R637" i="4"/>
  <c r="S637" i="4" s="1"/>
  <c r="O637" i="4"/>
  <c r="P637" i="4" s="1"/>
  <c r="L637" i="4"/>
  <c r="K637" i="4"/>
  <c r="R636" i="4"/>
  <c r="S636" i="4" s="1"/>
  <c r="L636" i="4"/>
  <c r="N636" i="4" s="1"/>
  <c r="O636" i="4" s="1"/>
  <c r="P636" i="4" s="1"/>
  <c r="K636" i="4"/>
  <c r="R635" i="4"/>
  <c r="S635" i="4" s="1"/>
  <c r="L635" i="4"/>
  <c r="M635" i="4" s="1"/>
  <c r="K635" i="4"/>
  <c r="R634" i="4"/>
  <c r="S634" i="4" s="1"/>
  <c r="O634" i="4"/>
  <c r="P634" i="4" s="1"/>
  <c r="L634" i="4"/>
  <c r="M634" i="4" s="1"/>
  <c r="K634" i="4"/>
  <c r="R633" i="4"/>
  <c r="S633" i="4" s="1"/>
  <c r="O633" i="4"/>
  <c r="P633" i="4" s="1"/>
  <c r="L633" i="4"/>
  <c r="K633" i="4"/>
  <c r="R632" i="4"/>
  <c r="S632" i="4" s="1"/>
  <c r="L632" i="4"/>
  <c r="M632" i="4" s="1"/>
  <c r="K632" i="4"/>
  <c r="R631" i="4"/>
  <c r="S631" i="4" s="1"/>
  <c r="O631" i="4"/>
  <c r="P631" i="4" s="1"/>
  <c r="L631" i="4"/>
  <c r="K631" i="4"/>
  <c r="R630" i="4"/>
  <c r="S630" i="4" s="1"/>
  <c r="O630" i="4"/>
  <c r="P630" i="4" s="1"/>
  <c r="L629" i="4"/>
  <c r="K629" i="4"/>
  <c r="R628" i="4"/>
  <c r="S628" i="4" s="1"/>
  <c r="L628" i="4"/>
  <c r="M628" i="4" s="1"/>
  <c r="K628" i="4"/>
  <c r="R627" i="4"/>
  <c r="S627" i="4" s="1"/>
  <c r="O627" i="4"/>
  <c r="P627" i="4" s="1"/>
  <c r="L627" i="4"/>
  <c r="K627" i="4"/>
  <c r="R626" i="4"/>
  <c r="S626" i="4" s="1"/>
  <c r="L626" i="4"/>
  <c r="M626" i="4" s="1"/>
  <c r="K626" i="4"/>
  <c r="R625" i="4"/>
  <c r="S625" i="4" s="1"/>
  <c r="O625" i="4"/>
  <c r="P625" i="4" s="1"/>
  <c r="L625" i="4"/>
  <c r="M625" i="4" s="1"/>
  <c r="K625" i="4"/>
  <c r="R624" i="4"/>
  <c r="S624" i="4" s="1"/>
  <c r="O624" i="4"/>
  <c r="P624" i="4" s="1"/>
  <c r="L623" i="4"/>
  <c r="M623" i="4" s="1"/>
  <c r="K623" i="4"/>
  <c r="R622" i="4"/>
  <c r="S622" i="4" s="1"/>
  <c r="O622" i="4"/>
  <c r="P622" i="4" s="1"/>
  <c r="L622" i="4"/>
  <c r="M622" i="4" s="1"/>
  <c r="K622" i="4"/>
  <c r="R621" i="4"/>
  <c r="S621" i="4" s="1"/>
  <c r="O621" i="4"/>
  <c r="P621" i="4" s="1"/>
  <c r="L621" i="4"/>
  <c r="M621" i="4" s="1"/>
  <c r="K621" i="4"/>
  <c r="R620" i="4"/>
  <c r="S620" i="4" s="1"/>
  <c r="L620" i="4"/>
  <c r="M620" i="4" s="1"/>
  <c r="K620" i="4"/>
  <c r="R619" i="4"/>
  <c r="S619" i="4" s="1"/>
  <c r="O619" i="4"/>
  <c r="P619" i="4" s="1"/>
  <c r="L619" i="4"/>
  <c r="K619" i="4"/>
  <c r="R618" i="4"/>
  <c r="S618" i="4" s="1"/>
  <c r="L617" i="4"/>
  <c r="M617" i="4" s="1"/>
  <c r="K617" i="4"/>
  <c r="R616" i="4"/>
  <c r="S616" i="4" s="1"/>
  <c r="L616" i="4"/>
  <c r="M616" i="4" s="1"/>
  <c r="K616" i="4"/>
  <c r="R615" i="4"/>
  <c r="S615" i="4" s="1"/>
  <c r="L615" i="4"/>
  <c r="M615" i="4" s="1"/>
  <c r="K615" i="4"/>
  <c r="R614" i="4"/>
  <c r="S614" i="4" s="1"/>
  <c r="O614" i="4"/>
  <c r="P614" i="4" s="1"/>
  <c r="L614" i="4"/>
  <c r="M614" i="4" s="1"/>
  <c r="K614" i="4"/>
  <c r="R613" i="4"/>
  <c r="S613" i="4" s="1"/>
  <c r="L613" i="4"/>
  <c r="M613" i="4" s="1"/>
  <c r="K613" i="4"/>
  <c r="R612" i="4"/>
  <c r="S612" i="4" s="1"/>
  <c r="L612" i="4"/>
  <c r="N612" i="4" s="1"/>
  <c r="K612" i="4"/>
  <c r="R611" i="4"/>
  <c r="S611" i="4" s="1"/>
  <c r="O611" i="4"/>
  <c r="P611" i="4" s="1"/>
  <c r="L611" i="4"/>
  <c r="M611" i="4" s="1"/>
  <c r="K611" i="4"/>
  <c r="L610" i="4"/>
  <c r="M610" i="4" s="1"/>
  <c r="K610" i="4"/>
  <c r="R609" i="4"/>
  <c r="S609" i="4" s="1"/>
  <c r="L609" i="4"/>
  <c r="N609" i="4" s="1"/>
  <c r="K609" i="4"/>
  <c r="R608" i="4"/>
  <c r="S608" i="4" s="1"/>
  <c r="L608" i="4"/>
  <c r="N608" i="4" s="1"/>
  <c r="K608" i="4"/>
  <c r="R607" i="4"/>
  <c r="S607" i="4" s="1"/>
  <c r="O607" i="4"/>
  <c r="P607" i="4" s="1"/>
  <c r="L607" i="4"/>
  <c r="M607" i="4" s="1"/>
  <c r="K607" i="4"/>
  <c r="R606" i="4"/>
  <c r="S606" i="4" s="1"/>
  <c r="O606" i="4"/>
  <c r="P606" i="4" s="1"/>
  <c r="L606" i="4"/>
  <c r="M606" i="4" s="1"/>
  <c r="K606" i="4"/>
  <c r="L605" i="4"/>
  <c r="M605" i="4" s="1"/>
  <c r="K605" i="4"/>
  <c r="R604" i="4"/>
  <c r="S604" i="4" s="1"/>
  <c r="O604" i="4"/>
  <c r="P604" i="4" s="1"/>
  <c r="L604" i="4"/>
  <c r="K604" i="4"/>
  <c r="R603" i="4"/>
  <c r="S603" i="4" s="1"/>
  <c r="L603" i="4"/>
  <c r="K603" i="4"/>
  <c r="R602" i="4"/>
  <c r="S602" i="4" s="1"/>
  <c r="L602" i="4"/>
  <c r="K602" i="4"/>
  <c r="R601" i="4"/>
  <c r="S601" i="4" s="1"/>
  <c r="O601" i="4"/>
  <c r="P601" i="4" s="1"/>
  <c r="L601" i="4"/>
  <c r="M601" i="4" s="1"/>
  <c r="K601" i="4"/>
  <c r="L600" i="4"/>
  <c r="M600" i="4" s="1"/>
  <c r="K600" i="4"/>
  <c r="R599" i="4"/>
  <c r="S599" i="4" s="1"/>
  <c r="O599" i="4"/>
  <c r="P599" i="4" s="1"/>
  <c r="L599" i="4"/>
  <c r="K599" i="4"/>
  <c r="R598" i="4"/>
  <c r="S598" i="4" s="1"/>
  <c r="L598" i="4"/>
  <c r="M598" i="4" s="1"/>
  <c r="K598" i="4"/>
  <c r="R597" i="4"/>
  <c r="S597" i="4" s="1"/>
  <c r="O597" i="4"/>
  <c r="P597" i="4" s="1"/>
  <c r="L597" i="4"/>
  <c r="M597" i="4" s="1"/>
  <c r="K597" i="4"/>
  <c r="R596" i="4"/>
  <c r="S596" i="4" s="1"/>
  <c r="L596" i="4"/>
  <c r="M596" i="4" s="1"/>
  <c r="K596" i="4"/>
  <c r="R595" i="4"/>
  <c r="S595" i="4" s="1"/>
  <c r="O595" i="4"/>
  <c r="P595" i="4" s="1"/>
  <c r="L595" i="4"/>
  <c r="M595" i="4" s="1"/>
  <c r="K595" i="4"/>
  <c r="N635" i="4" l="1"/>
  <c r="N638" i="4"/>
  <c r="N610" i="4"/>
  <c r="O610" i="4" s="1"/>
  <c r="P610" i="4" s="1"/>
  <c r="N600" i="4"/>
  <c r="O600" i="4" s="1"/>
  <c r="P600" i="4" s="1"/>
  <c r="N642" i="4"/>
  <c r="O642" i="4" s="1"/>
  <c r="N663" i="4"/>
  <c r="O663" i="4" s="1"/>
  <c r="P663" i="4" s="1"/>
  <c r="N690" i="4"/>
  <c r="O690" i="4" s="1"/>
  <c r="P690" i="4" s="1"/>
  <c r="N613" i="4"/>
  <c r="O613" i="4" s="1"/>
  <c r="P613" i="4" s="1"/>
  <c r="N626" i="4"/>
  <c r="O626" i="4" s="1"/>
  <c r="P626" i="4" s="1"/>
  <c r="N644" i="4"/>
  <c r="O644" i="4" s="1"/>
  <c r="P644" i="4" s="1"/>
  <c r="N659" i="4"/>
  <c r="N695" i="4"/>
  <c r="Q610" i="4"/>
  <c r="R610" i="4" s="1"/>
  <c r="S610" i="4" s="1"/>
  <c r="M608" i="4"/>
  <c r="M609" i="4"/>
  <c r="M636" i="4"/>
  <c r="M643" i="4"/>
  <c r="M645" i="4"/>
  <c r="M612" i="4"/>
  <c r="M633" i="4"/>
  <c r="N596" i="4"/>
  <c r="O596" i="4" s="1"/>
  <c r="P596" i="4" s="1"/>
  <c r="N598" i="4"/>
  <c r="N617" i="4"/>
  <c r="O617" i="4" s="1"/>
  <c r="N641" i="4"/>
  <c r="O641" i="4" s="1"/>
  <c r="N615" i="4"/>
  <c r="O615" i="4" s="1"/>
  <c r="N683" i="4"/>
  <c r="O683" i="4" s="1"/>
  <c r="P683" i="4" s="1"/>
  <c r="N694" i="4"/>
  <c r="N667" i="4"/>
  <c r="N628" i="4"/>
  <c r="O628" i="4" s="1"/>
  <c r="P628" i="4" s="1"/>
  <c r="M655" i="4"/>
  <c r="M681" i="4"/>
  <c r="N696" i="4"/>
  <c r="O696" i="4" s="1"/>
  <c r="P696" i="4" s="1"/>
  <c r="N650" i="4"/>
  <c r="N686" i="4"/>
  <c r="Q687" i="4" s="1"/>
  <c r="O659" i="4"/>
  <c r="P659" i="4" s="1"/>
  <c r="M646" i="4"/>
  <c r="O691" i="4"/>
  <c r="P691" i="4" s="1"/>
  <c r="O695" i="4"/>
  <c r="P695" i="4" s="1"/>
  <c r="N602" i="4"/>
  <c r="M602" i="4"/>
  <c r="N620" i="4"/>
  <c r="M619" i="4"/>
  <c r="N623" i="4"/>
  <c r="N629" i="4"/>
  <c r="M629" i="4"/>
  <c r="P642" i="4"/>
  <c r="M657" i="4"/>
  <c r="N665" i="4"/>
  <c r="M664" i="4"/>
  <c r="N669" i="4"/>
  <c r="M669" i="4"/>
  <c r="N671" i="4"/>
  <c r="M671" i="4"/>
  <c r="N673" i="4"/>
  <c r="M673" i="4"/>
  <c r="N605" i="4"/>
  <c r="M604" i="4"/>
  <c r="O609" i="4"/>
  <c r="P609" i="4" s="1"/>
  <c r="N632" i="4"/>
  <c r="M631" i="4"/>
  <c r="N675" i="4"/>
  <c r="M675" i="4"/>
  <c r="O687" i="4"/>
  <c r="P687" i="4" s="1"/>
  <c r="N678" i="4"/>
  <c r="M678" i="4"/>
  <c r="N677" i="4"/>
  <c r="M677" i="4"/>
  <c r="O608" i="4"/>
  <c r="P608" i="4" s="1"/>
  <c r="N616" i="4"/>
  <c r="O635" i="4"/>
  <c r="P635" i="4" s="1"/>
  <c r="P645" i="4"/>
  <c r="N660" i="4"/>
  <c r="N680" i="4"/>
  <c r="M679" i="4"/>
  <c r="N603" i="4"/>
  <c r="M603" i="4"/>
  <c r="O612" i="4"/>
  <c r="P612" i="4" s="1"/>
  <c r="O638" i="4"/>
  <c r="P638" i="4" s="1"/>
  <c r="N654" i="4"/>
  <c r="N672" i="4"/>
  <c r="M672" i="4"/>
  <c r="N674" i="4"/>
  <c r="M674" i="4"/>
  <c r="M693" i="4"/>
  <c r="M694" i="4"/>
  <c r="M686" i="4"/>
  <c r="M687" i="4"/>
  <c r="M689" i="4"/>
  <c r="M691" i="4"/>
  <c r="N693" i="4"/>
  <c r="M599" i="4"/>
  <c r="M627" i="4"/>
  <c r="M637" i="4"/>
  <c r="M662" i="4"/>
  <c r="N689" i="4"/>
  <c r="O650" i="4" l="1"/>
  <c r="P650" i="4" s="1"/>
  <c r="Q660" i="4"/>
  <c r="P615" i="4"/>
  <c r="Q600" i="4"/>
  <c r="R600" i="4" s="1"/>
  <c r="S600" i="4" s="1"/>
  <c r="Q669" i="4"/>
  <c r="R669" i="4" s="1"/>
  <c r="S669" i="4" s="1"/>
  <c r="O686" i="4"/>
  <c r="P686" i="4" s="1"/>
  <c r="Q629" i="4"/>
  <c r="R629" i="4" s="1"/>
  <c r="S629" i="4" s="1"/>
  <c r="P617" i="4"/>
  <c r="O694" i="4"/>
  <c r="P694" i="4" s="1"/>
  <c r="P641" i="4"/>
  <c r="Q617" i="4"/>
  <c r="R617" i="4" s="1"/>
  <c r="S617" i="4" s="1"/>
  <c r="O667" i="4"/>
  <c r="P667" i="4" s="1"/>
  <c r="Q644" i="4"/>
  <c r="R644" i="4" s="1"/>
  <c r="S644" i="4" s="1"/>
  <c r="O598" i="4"/>
  <c r="P598" i="4" s="1"/>
  <c r="Q638" i="4"/>
  <c r="O632" i="4"/>
  <c r="P632" i="4" s="1"/>
  <c r="Q675" i="4"/>
  <c r="O671" i="4"/>
  <c r="P671" i="4" s="1"/>
  <c r="O602" i="4"/>
  <c r="P602" i="4" s="1"/>
  <c r="Q696" i="4"/>
  <c r="O693" i="4"/>
  <c r="P693" i="4" s="1"/>
  <c r="O674" i="4"/>
  <c r="P674" i="4" s="1"/>
  <c r="O672" i="4"/>
  <c r="P672" i="4" s="1"/>
  <c r="O629" i="4"/>
  <c r="P629" i="4" s="1"/>
  <c r="O660" i="4"/>
  <c r="P660" i="4" s="1"/>
  <c r="O689" i="4"/>
  <c r="P689" i="4" s="1"/>
  <c r="Q691" i="4"/>
  <c r="O603" i="4"/>
  <c r="P603" i="4" s="1"/>
  <c r="Q605" i="4"/>
  <c r="O616" i="4"/>
  <c r="P616" i="4" s="1"/>
  <c r="R687" i="4"/>
  <c r="S687" i="4" s="1"/>
  <c r="O669" i="4"/>
  <c r="P669" i="4" s="1"/>
  <c r="O623" i="4"/>
  <c r="P623" i="4" s="1"/>
  <c r="O654" i="4"/>
  <c r="P654" i="4" s="1"/>
  <c r="O605" i="4"/>
  <c r="P605" i="4" s="1"/>
  <c r="Q623" i="4"/>
  <c r="O620" i="4"/>
  <c r="P620" i="4" s="1"/>
  <c r="O675" i="4"/>
  <c r="P675" i="4" s="1"/>
  <c r="O665" i="4"/>
  <c r="P665" i="4" s="1"/>
  <c r="O680" i="4"/>
  <c r="P680" i="4" s="1"/>
  <c r="Q683" i="4"/>
  <c r="O677" i="4"/>
  <c r="P677" i="4" s="1"/>
  <c r="O678" i="4"/>
  <c r="P678" i="4" s="1"/>
  <c r="O673" i="4"/>
  <c r="P673" i="4" s="1"/>
  <c r="R675" i="4" l="1"/>
  <c r="S675" i="4" s="1"/>
  <c r="R696" i="4"/>
  <c r="S696" i="4" s="1"/>
  <c r="R623" i="4"/>
  <c r="S623" i="4" s="1"/>
  <c r="R683" i="4"/>
  <c r="S683" i="4" s="1"/>
  <c r="R605" i="4"/>
  <c r="S605" i="4" s="1"/>
  <c r="R638" i="4"/>
  <c r="S638" i="4" s="1"/>
  <c r="R660" i="4"/>
  <c r="S660" i="4" s="1"/>
  <c r="R691" i="4"/>
  <c r="S691" i="4" s="1"/>
  <c r="R969" i="4" l="1"/>
  <c r="S969" i="4" s="1"/>
  <c r="R970" i="4"/>
  <c r="S970" i="4" s="1"/>
  <c r="R971" i="4"/>
  <c r="S971" i="4" s="1"/>
  <c r="R972" i="4"/>
  <c r="S972" i="4" s="1"/>
  <c r="R973" i="4"/>
  <c r="S973" i="4" s="1"/>
  <c r="R974" i="4"/>
  <c r="S974" i="4" s="1"/>
  <c r="R975" i="4"/>
  <c r="S975" i="4" s="1"/>
  <c r="R976" i="4"/>
  <c r="S976" i="4" s="1"/>
  <c r="R977" i="4"/>
  <c r="S977" i="4" s="1"/>
  <c r="R978" i="4"/>
  <c r="S978" i="4" s="1"/>
  <c r="R979" i="4"/>
  <c r="S979" i="4" s="1"/>
  <c r="R980" i="4"/>
  <c r="S980" i="4" s="1"/>
  <c r="R981" i="4"/>
  <c r="S981" i="4" s="1"/>
  <c r="R983" i="4"/>
  <c r="S983" i="4" s="1"/>
  <c r="R984" i="4"/>
  <c r="S984" i="4" s="1"/>
  <c r="R985" i="4"/>
  <c r="S985" i="4" s="1"/>
  <c r="R986" i="4"/>
  <c r="S986" i="4" s="1"/>
  <c r="R987" i="4"/>
  <c r="S987" i="4" s="1"/>
  <c r="R988" i="4"/>
  <c r="S988" i="4" s="1"/>
  <c r="R989" i="4"/>
  <c r="S989" i="4" s="1"/>
  <c r="R990" i="4"/>
  <c r="S990" i="4" s="1"/>
  <c r="R991" i="4"/>
  <c r="S991" i="4" s="1"/>
  <c r="R993" i="4"/>
  <c r="S993" i="4" s="1"/>
  <c r="R994" i="4"/>
  <c r="S994" i="4" s="1"/>
  <c r="R995" i="4"/>
  <c r="S995" i="4" s="1"/>
  <c r="R997" i="4"/>
  <c r="S997" i="4" s="1"/>
  <c r="R998" i="4"/>
  <c r="S998" i="4" s="1"/>
  <c r="R999" i="4"/>
  <c r="S999" i="4" s="1"/>
  <c r="R1000" i="4"/>
  <c r="S1000" i="4" s="1"/>
  <c r="R1001" i="4"/>
  <c r="S1001" i="4" s="1"/>
  <c r="R1002" i="4"/>
  <c r="S1002" i="4" s="1"/>
  <c r="R1003" i="4"/>
  <c r="S1003" i="4" s="1"/>
  <c r="R1005" i="4"/>
  <c r="S1005" i="4" s="1"/>
  <c r="R1006" i="4"/>
  <c r="S1006" i="4" s="1"/>
  <c r="R1007" i="4"/>
  <c r="S1007" i="4" s="1"/>
  <c r="R1008" i="4"/>
  <c r="S1008" i="4" s="1"/>
  <c r="R1009" i="4"/>
  <c r="S1009" i="4" s="1"/>
  <c r="R1010" i="4"/>
  <c r="S1010" i="4" s="1"/>
  <c r="R1011" i="4"/>
  <c r="S1011" i="4" s="1"/>
  <c r="R1012" i="4"/>
  <c r="S1012" i="4" s="1"/>
  <c r="R1013" i="4"/>
  <c r="S1013" i="4" s="1"/>
  <c r="R1014" i="4"/>
  <c r="S1014" i="4" s="1"/>
  <c r="R1016" i="4"/>
  <c r="S1016" i="4" s="1"/>
  <c r="R1017" i="4"/>
  <c r="S1017" i="4" s="1"/>
  <c r="R1018" i="4"/>
  <c r="S1018" i="4" s="1"/>
  <c r="R1019" i="4"/>
  <c r="S1019" i="4" s="1"/>
  <c r="R1020" i="4"/>
  <c r="S1020" i="4" s="1"/>
  <c r="K1040" i="4" l="1"/>
  <c r="L1040" i="4"/>
  <c r="M1040" i="4" s="1"/>
  <c r="I952" i="4"/>
  <c r="I800" i="4"/>
  <c r="I1293" i="4"/>
  <c r="K383" i="4" l="1"/>
  <c r="L383" i="4"/>
  <c r="M383" i="4" l="1"/>
  <c r="N383" i="4"/>
  <c r="J326" i="4"/>
  <c r="J522" i="4"/>
  <c r="J594" i="4"/>
  <c r="J800" i="4"/>
  <c r="J952" i="4"/>
  <c r="J1370" i="4"/>
  <c r="J1293" i="4"/>
  <c r="G1293" i="4"/>
  <c r="O276" i="4" l="1"/>
  <c r="P276" i="4" s="1"/>
  <c r="O283" i="4"/>
  <c r="P283" i="4" s="1"/>
  <c r="O284" i="4"/>
  <c r="P284" i="4" s="1"/>
  <c r="O285" i="4"/>
  <c r="P285" i="4" s="1"/>
  <c r="O287" i="4"/>
  <c r="P287" i="4" s="1"/>
  <c r="O288" i="4"/>
  <c r="P288" i="4" s="1"/>
  <c r="O289" i="4"/>
  <c r="P289" i="4" s="1"/>
  <c r="O291" i="4"/>
  <c r="P291" i="4" s="1"/>
  <c r="O292" i="4"/>
  <c r="P292" i="4" s="1"/>
  <c r="O293" i="4"/>
  <c r="P293" i="4" s="1"/>
  <c r="O294" i="4"/>
  <c r="P294" i="4" s="1"/>
  <c r="O295" i="4"/>
  <c r="P295" i="4" s="1"/>
  <c r="O297" i="4"/>
  <c r="P297" i="4" s="1"/>
  <c r="O298" i="4"/>
  <c r="P298" i="4" s="1"/>
  <c r="O299" i="4"/>
  <c r="P299" i="4" s="1"/>
  <c r="O301" i="4"/>
  <c r="P301" i="4" s="1"/>
  <c r="O302" i="4"/>
  <c r="P302" i="4" s="1"/>
  <c r="O304" i="4"/>
  <c r="P304" i="4" s="1"/>
  <c r="O305" i="4"/>
  <c r="P305" i="4" s="1"/>
  <c r="O308" i="4"/>
  <c r="P308" i="4" s="1"/>
  <c r="O309" i="4"/>
  <c r="P309" i="4" s="1"/>
  <c r="O312" i="4"/>
  <c r="P312" i="4" s="1"/>
  <c r="O313" i="4"/>
  <c r="P313" i="4" s="1"/>
  <c r="O317" i="4"/>
  <c r="P317" i="4" s="1"/>
  <c r="O318" i="4"/>
  <c r="P318" i="4" s="1"/>
  <c r="O320" i="4"/>
  <c r="P320" i="4" s="1"/>
  <c r="O322" i="4"/>
  <c r="P322" i="4" s="1"/>
  <c r="O323" i="4"/>
  <c r="P323" i="4" s="1"/>
  <c r="R260" i="4"/>
  <c r="S260" i="4" s="1"/>
  <c r="R261" i="4"/>
  <c r="S261" i="4" s="1"/>
  <c r="R263" i="4"/>
  <c r="S263" i="4" s="1"/>
  <c r="R265" i="4"/>
  <c r="S265" i="4" s="1"/>
  <c r="R266" i="4"/>
  <c r="S266" i="4" s="1"/>
  <c r="R267" i="4"/>
  <c r="S267" i="4" s="1"/>
  <c r="R268" i="4"/>
  <c r="S268" i="4" s="1"/>
  <c r="R269" i="4"/>
  <c r="S269" i="4" s="1"/>
  <c r="R270" i="4"/>
  <c r="S270" i="4" s="1"/>
  <c r="R272" i="4"/>
  <c r="S272" i="4" s="1"/>
  <c r="R273" i="4"/>
  <c r="S273" i="4" s="1"/>
  <c r="R274" i="4"/>
  <c r="S274" i="4" s="1"/>
  <c r="R276" i="4"/>
  <c r="S276" i="4" s="1"/>
  <c r="R277" i="4"/>
  <c r="S277" i="4" s="1"/>
  <c r="R278" i="4"/>
  <c r="S278" i="4" s="1"/>
  <c r="R279" i="4"/>
  <c r="S279" i="4" s="1"/>
  <c r="R280" i="4"/>
  <c r="S280" i="4" s="1"/>
  <c r="R281" i="4"/>
  <c r="S281" i="4" s="1"/>
  <c r="R283" i="4"/>
  <c r="S283" i="4" s="1"/>
  <c r="R284" i="4"/>
  <c r="S284" i="4" s="1"/>
  <c r="R285" i="4"/>
  <c r="S285" i="4" s="1"/>
  <c r="R286" i="4"/>
  <c r="S286" i="4" s="1"/>
  <c r="R287" i="4"/>
  <c r="S287" i="4" s="1"/>
  <c r="R288" i="4"/>
  <c r="S288" i="4" s="1"/>
  <c r="R289" i="4"/>
  <c r="S289" i="4" s="1"/>
  <c r="R290" i="4"/>
  <c r="S290" i="4" s="1"/>
  <c r="R291" i="4"/>
  <c r="S291" i="4" s="1"/>
  <c r="R292" i="4"/>
  <c r="S292" i="4" s="1"/>
  <c r="R293" i="4"/>
  <c r="S293" i="4" s="1"/>
  <c r="R294" i="4"/>
  <c r="S294" i="4" s="1"/>
  <c r="R295" i="4"/>
  <c r="S295" i="4" s="1"/>
  <c r="R297" i="4"/>
  <c r="S297" i="4" s="1"/>
  <c r="R298" i="4"/>
  <c r="S298" i="4" s="1"/>
  <c r="R299" i="4"/>
  <c r="S299" i="4" s="1"/>
  <c r="R300" i="4"/>
  <c r="S300" i="4" s="1"/>
  <c r="R259" i="4"/>
  <c r="S259" i="4" s="1"/>
  <c r="I1370" i="4" l="1"/>
  <c r="B1370" i="4"/>
  <c r="E1370" i="4"/>
  <c r="D1370" i="4"/>
  <c r="C1370" i="4"/>
  <c r="G1370" i="4"/>
  <c r="F1370" i="4"/>
  <c r="F1293" i="4"/>
  <c r="G952" i="4"/>
  <c r="F952" i="4"/>
  <c r="G594" i="4"/>
  <c r="F594" i="4"/>
  <c r="G522" i="4"/>
  <c r="F522" i="4"/>
  <c r="G326" i="4"/>
  <c r="F326" i="4"/>
  <c r="G258" i="4"/>
  <c r="F258" i="4"/>
  <c r="G177" i="4"/>
  <c r="G133" i="4"/>
  <c r="F133" i="4"/>
  <c r="R130" i="4"/>
  <c r="S130" i="4" s="1"/>
  <c r="R132" i="4"/>
  <c r="S132" i="4" s="1"/>
  <c r="O130" i="4"/>
  <c r="P130" i="4" s="1"/>
  <c r="O132" i="4"/>
  <c r="P132" i="4" s="1"/>
  <c r="J133" i="4"/>
  <c r="K131" i="4"/>
  <c r="L131" i="4"/>
  <c r="M131" i="4" s="1"/>
  <c r="K130" i="4"/>
  <c r="L130" i="4"/>
  <c r="M130" i="4" s="1"/>
  <c r="I133" i="4"/>
  <c r="F800" i="4"/>
  <c r="X699" i="4" s="1"/>
  <c r="X800" i="4" s="1"/>
  <c r="G800" i="4"/>
  <c r="K1295" i="4"/>
  <c r="L1295" i="4"/>
  <c r="M1295" i="4" s="1"/>
  <c r="K1296" i="4"/>
  <c r="L1296" i="4"/>
  <c r="M1296" i="4" s="1"/>
  <c r="K1297" i="4"/>
  <c r="L1297" i="4"/>
  <c r="M1297" i="4" s="1"/>
  <c r="K1298" i="4"/>
  <c r="L1298" i="4"/>
  <c r="M1298" i="4" s="1"/>
  <c r="K1299" i="4"/>
  <c r="L1299" i="4"/>
  <c r="M1299" i="4" s="1"/>
  <c r="K1300" i="4"/>
  <c r="L1300" i="4"/>
  <c r="M1300" i="4" s="1"/>
  <c r="K1301" i="4"/>
  <c r="L1301" i="4"/>
  <c r="M1301" i="4" s="1"/>
  <c r="K1302" i="4"/>
  <c r="L1302" i="4"/>
  <c r="M1302" i="4" s="1"/>
  <c r="K1303" i="4"/>
  <c r="L1303" i="4"/>
  <c r="M1303" i="4" s="1"/>
  <c r="K1304" i="4"/>
  <c r="L1304" i="4"/>
  <c r="M1304" i="4" s="1"/>
  <c r="K1305" i="4"/>
  <c r="L1305" i="4"/>
  <c r="M1305" i="4" s="1"/>
  <c r="K1306" i="4"/>
  <c r="L1306" i="4"/>
  <c r="M1306" i="4" s="1"/>
  <c r="K1307" i="4"/>
  <c r="L1307" i="4"/>
  <c r="K1308" i="4"/>
  <c r="L1308" i="4"/>
  <c r="M1308" i="4" s="1"/>
  <c r="K1309" i="4"/>
  <c r="L1309" i="4"/>
  <c r="M1309" i="4" s="1"/>
  <c r="K1310" i="4"/>
  <c r="L1310" i="4"/>
  <c r="M1310" i="4" s="1"/>
  <c r="K1311" i="4"/>
  <c r="L1311" i="4"/>
  <c r="M1311" i="4" s="1"/>
  <c r="K1312" i="4"/>
  <c r="L1312" i="4"/>
  <c r="M1312" i="4" s="1"/>
  <c r="K1313" i="4"/>
  <c r="L1313" i="4"/>
  <c r="M1313" i="4" s="1"/>
  <c r="K1314" i="4"/>
  <c r="L1314" i="4"/>
  <c r="M1314" i="4" s="1"/>
  <c r="K1315" i="4"/>
  <c r="L1315" i="4"/>
  <c r="M1315" i="4" s="1"/>
  <c r="K1316" i="4"/>
  <c r="L1316" i="4"/>
  <c r="M1316" i="4" s="1"/>
  <c r="K1317" i="4"/>
  <c r="L1317" i="4"/>
  <c r="M1317" i="4" s="1"/>
  <c r="K1318" i="4"/>
  <c r="L1318" i="4"/>
  <c r="M1318" i="4" s="1"/>
  <c r="K1319" i="4"/>
  <c r="L1319" i="4"/>
  <c r="M1319" i="4" s="1"/>
  <c r="K1320" i="4"/>
  <c r="L1320" i="4"/>
  <c r="M1320" i="4" s="1"/>
  <c r="K1321" i="4"/>
  <c r="L1321" i="4"/>
  <c r="M1321" i="4" s="1"/>
  <c r="K1322" i="4"/>
  <c r="L1322" i="4"/>
  <c r="M1322" i="4" s="1"/>
  <c r="K1323" i="4"/>
  <c r="L1323" i="4"/>
  <c r="M1323" i="4" s="1"/>
  <c r="K1324" i="4"/>
  <c r="L1324" i="4"/>
  <c r="M1324" i="4" s="1"/>
  <c r="K1325" i="4"/>
  <c r="L1325" i="4"/>
  <c r="M1325" i="4" s="1"/>
  <c r="K1326" i="4"/>
  <c r="L1326" i="4"/>
  <c r="M1326" i="4" s="1"/>
  <c r="K1327" i="4"/>
  <c r="L1327" i="4"/>
  <c r="M1327" i="4" s="1"/>
  <c r="K1328" i="4"/>
  <c r="L1328" i="4"/>
  <c r="M1328" i="4" s="1"/>
  <c r="K1329" i="4"/>
  <c r="L1329" i="4"/>
  <c r="M1329" i="4" s="1"/>
  <c r="K1330" i="4"/>
  <c r="L1330" i="4"/>
  <c r="M1330" i="4" s="1"/>
  <c r="K1331" i="4"/>
  <c r="L1331" i="4"/>
  <c r="K1332" i="4"/>
  <c r="L1332" i="4"/>
  <c r="M1332" i="4" s="1"/>
  <c r="K1333" i="4"/>
  <c r="L1333" i="4"/>
  <c r="M1333" i="4" s="1"/>
  <c r="K1334" i="4"/>
  <c r="L1334" i="4"/>
  <c r="M1334" i="4" s="1"/>
  <c r="K1335" i="4"/>
  <c r="L1335" i="4"/>
  <c r="M1335" i="4" s="1"/>
  <c r="K1336" i="4"/>
  <c r="L1336" i="4"/>
  <c r="M1336" i="4" s="1"/>
  <c r="K1337" i="4"/>
  <c r="L1337" i="4"/>
  <c r="M1337" i="4" s="1"/>
  <c r="K1338" i="4"/>
  <c r="L1338" i="4"/>
  <c r="M1338" i="4" s="1"/>
  <c r="K1339" i="4"/>
  <c r="L1339" i="4"/>
  <c r="M1339" i="4" s="1"/>
  <c r="K1340" i="4"/>
  <c r="L1340" i="4"/>
  <c r="M1340" i="4" s="1"/>
  <c r="K1341" i="4"/>
  <c r="L1341" i="4"/>
  <c r="M1341" i="4" s="1"/>
  <c r="K1342" i="4"/>
  <c r="L1342" i="4"/>
  <c r="M1342" i="4" s="1"/>
  <c r="K1343" i="4"/>
  <c r="L1343" i="4"/>
  <c r="M1343" i="4" s="1"/>
  <c r="K1344" i="4"/>
  <c r="L1344" i="4"/>
  <c r="M1344" i="4" s="1"/>
  <c r="K1345" i="4"/>
  <c r="L1345" i="4"/>
  <c r="M1345" i="4" s="1"/>
  <c r="K1346" i="4"/>
  <c r="L1346" i="4"/>
  <c r="M1346" i="4" s="1"/>
  <c r="K1347" i="4"/>
  <c r="L1347" i="4"/>
  <c r="M1347" i="4" s="1"/>
  <c r="K1348" i="4"/>
  <c r="L1348" i="4"/>
  <c r="M1348" i="4" s="1"/>
  <c r="K1349" i="4"/>
  <c r="L1349" i="4"/>
  <c r="M1349" i="4" s="1"/>
  <c r="K1350" i="4"/>
  <c r="L1350" i="4"/>
  <c r="M1350" i="4" s="1"/>
  <c r="K1351" i="4"/>
  <c r="L1351" i="4"/>
  <c r="M1351" i="4" s="1"/>
  <c r="K1352" i="4"/>
  <c r="L1352" i="4"/>
  <c r="M1352" i="4" s="1"/>
  <c r="K1353" i="4"/>
  <c r="L1353" i="4"/>
  <c r="M1353" i="4" s="1"/>
  <c r="K1354" i="4"/>
  <c r="L1354" i="4"/>
  <c r="M1354" i="4" s="1"/>
  <c r="K1355" i="4"/>
  <c r="L1355" i="4"/>
  <c r="M1355" i="4" s="1"/>
  <c r="K1357" i="4"/>
  <c r="L1357" i="4"/>
  <c r="M1357" i="4" s="1"/>
  <c r="K1358" i="4"/>
  <c r="L1358" i="4"/>
  <c r="M1358" i="4" s="1"/>
  <c r="K1359" i="4"/>
  <c r="L1359" i="4"/>
  <c r="M1359" i="4" s="1"/>
  <c r="K1360" i="4"/>
  <c r="L1360" i="4"/>
  <c r="M1360" i="4" s="1"/>
  <c r="K1361" i="4"/>
  <c r="L1361" i="4"/>
  <c r="M1361" i="4" s="1"/>
  <c r="K1362" i="4"/>
  <c r="L1362" i="4"/>
  <c r="M1362" i="4" s="1"/>
  <c r="K1363" i="4"/>
  <c r="L1363" i="4"/>
  <c r="M1363" i="4" s="1"/>
  <c r="K1364" i="4"/>
  <c r="L1364" i="4"/>
  <c r="M1364" i="4" s="1"/>
  <c r="K1365" i="4"/>
  <c r="L1365" i="4"/>
  <c r="M1365" i="4" s="1"/>
  <c r="K1366" i="4"/>
  <c r="L1366" i="4"/>
  <c r="M1366" i="4" s="1"/>
  <c r="K1367" i="4"/>
  <c r="L1367" i="4"/>
  <c r="M1367" i="4" s="1"/>
  <c r="K1368" i="4"/>
  <c r="L1368" i="4"/>
  <c r="M1368" i="4" s="1"/>
  <c r="K1369" i="4"/>
  <c r="L1369" i="4"/>
  <c r="M1369" i="4" s="1"/>
  <c r="L1294" i="4"/>
  <c r="M1294" i="4" s="1"/>
  <c r="K1294" i="4"/>
  <c r="K1120" i="4"/>
  <c r="L1120" i="4"/>
  <c r="M1120" i="4" s="1"/>
  <c r="K1121" i="4"/>
  <c r="L1121" i="4"/>
  <c r="M1121" i="4" s="1"/>
  <c r="K1122" i="4"/>
  <c r="L1122" i="4"/>
  <c r="M1122" i="4" s="1"/>
  <c r="K1123" i="4"/>
  <c r="L1123" i="4"/>
  <c r="M1123" i="4" s="1"/>
  <c r="K1124" i="4"/>
  <c r="L1124" i="4"/>
  <c r="M1124" i="4" s="1"/>
  <c r="K1125" i="4"/>
  <c r="L1125" i="4"/>
  <c r="M1125" i="4" s="1"/>
  <c r="K1126" i="4"/>
  <c r="L1126" i="4"/>
  <c r="M1126" i="4" s="1"/>
  <c r="K1127" i="4"/>
  <c r="L1127" i="4"/>
  <c r="M1127" i="4" s="1"/>
  <c r="K1128" i="4"/>
  <c r="L1128" i="4"/>
  <c r="M1128" i="4" s="1"/>
  <c r="K1129" i="4"/>
  <c r="L1129" i="4"/>
  <c r="M1129" i="4" s="1"/>
  <c r="K1130" i="4"/>
  <c r="L1130" i="4"/>
  <c r="M1130" i="4" s="1"/>
  <c r="K1131" i="4"/>
  <c r="L1131" i="4"/>
  <c r="M1131" i="4" s="1"/>
  <c r="K1132" i="4"/>
  <c r="L1132" i="4"/>
  <c r="M1132" i="4" s="1"/>
  <c r="K1133" i="4"/>
  <c r="L1133" i="4"/>
  <c r="M1133" i="4" s="1"/>
  <c r="K1134" i="4"/>
  <c r="L1134" i="4"/>
  <c r="M1134" i="4" s="1"/>
  <c r="K1135" i="4"/>
  <c r="L1135" i="4"/>
  <c r="M1135" i="4" s="1"/>
  <c r="K1136" i="4"/>
  <c r="L1136" i="4"/>
  <c r="M1136" i="4" s="1"/>
  <c r="K1137" i="4"/>
  <c r="L1137" i="4"/>
  <c r="M1137" i="4" s="1"/>
  <c r="K1138" i="4"/>
  <c r="L1138" i="4"/>
  <c r="M1138" i="4" s="1"/>
  <c r="K1139" i="4"/>
  <c r="L1139" i="4"/>
  <c r="M1139" i="4" s="1"/>
  <c r="K1140" i="4"/>
  <c r="L1140" i="4"/>
  <c r="M1140" i="4" s="1"/>
  <c r="K1141" i="4"/>
  <c r="L1141" i="4"/>
  <c r="M1141" i="4" s="1"/>
  <c r="K1142" i="4"/>
  <c r="L1142" i="4"/>
  <c r="M1142" i="4" s="1"/>
  <c r="K1143" i="4"/>
  <c r="L1143" i="4"/>
  <c r="M1143" i="4" s="1"/>
  <c r="K1144" i="4"/>
  <c r="L1144" i="4"/>
  <c r="M1144" i="4" s="1"/>
  <c r="K1145" i="4"/>
  <c r="L1145" i="4"/>
  <c r="M1145" i="4" s="1"/>
  <c r="K1146" i="4"/>
  <c r="L1146" i="4"/>
  <c r="M1146" i="4" s="1"/>
  <c r="K1147" i="4"/>
  <c r="L1147" i="4"/>
  <c r="M1147" i="4" s="1"/>
  <c r="K1148" i="4"/>
  <c r="L1148" i="4"/>
  <c r="M1148" i="4" s="1"/>
  <c r="K1149" i="4"/>
  <c r="L1149" i="4"/>
  <c r="M1149" i="4" s="1"/>
  <c r="K1150" i="4"/>
  <c r="L1150" i="4"/>
  <c r="M1150" i="4" s="1"/>
  <c r="K1151" i="4"/>
  <c r="L1151" i="4"/>
  <c r="M1151" i="4" s="1"/>
  <c r="K1152" i="4"/>
  <c r="L1152" i="4"/>
  <c r="M1152" i="4" s="1"/>
  <c r="K1153" i="4"/>
  <c r="L1153" i="4"/>
  <c r="M1153" i="4" s="1"/>
  <c r="K1154" i="4"/>
  <c r="L1154" i="4"/>
  <c r="M1154" i="4" s="1"/>
  <c r="K1155" i="4"/>
  <c r="L1155" i="4"/>
  <c r="M1155" i="4" s="1"/>
  <c r="K1156" i="4"/>
  <c r="L1156" i="4"/>
  <c r="M1156" i="4" s="1"/>
  <c r="K1157" i="4"/>
  <c r="L1157" i="4"/>
  <c r="M1157" i="4" s="1"/>
  <c r="K1158" i="4"/>
  <c r="L1158" i="4"/>
  <c r="M1158" i="4" s="1"/>
  <c r="K1159" i="4"/>
  <c r="L1159" i="4"/>
  <c r="M1159" i="4" s="1"/>
  <c r="K1160" i="4"/>
  <c r="L1160" i="4"/>
  <c r="M1160" i="4" s="1"/>
  <c r="K1161" i="4"/>
  <c r="L1161" i="4"/>
  <c r="M1161" i="4" s="1"/>
  <c r="K1162" i="4"/>
  <c r="L1162" i="4"/>
  <c r="M1162" i="4" s="1"/>
  <c r="K1163" i="4"/>
  <c r="L1163" i="4"/>
  <c r="M1163" i="4" s="1"/>
  <c r="K1164" i="4"/>
  <c r="L1164" i="4"/>
  <c r="M1164" i="4" s="1"/>
  <c r="K1165" i="4"/>
  <c r="L1165" i="4"/>
  <c r="M1165" i="4" s="1"/>
  <c r="K1166" i="4"/>
  <c r="L1166" i="4"/>
  <c r="M1166" i="4" s="1"/>
  <c r="K1167" i="4"/>
  <c r="L1167" i="4"/>
  <c r="M1167" i="4" s="1"/>
  <c r="K1168" i="4"/>
  <c r="L1168" i="4"/>
  <c r="M1168" i="4" s="1"/>
  <c r="K1169" i="4"/>
  <c r="L1169" i="4"/>
  <c r="M1169" i="4" s="1"/>
  <c r="K1170" i="4"/>
  <c r="L1170" i="4"/>
  <c r="M1170" i="4" s="1"/>
  <c r="K1171" i="4"/>
  <c r="L1171" i="4"/>
  <c r="M1171" i="4" s="1"/>
  <c r="K1172" i="4"/>
  <c r="L1172" i="4"/>
  <c r="M1172" i="4" s="1"/>
  <c r="K1173" i="4"/>
  <c r="L1173" i="4"/>
  <c r="M1173" i="4" s="1"/>
  <c r="K1174" i="4"/>
  <c r="L1174" i="4"/>
  <c r="M1174" i="4" s="1"/>
  <c r="K1175" i="4"/>
  <c r="L1175" i="4"/>
  <c r="M1175" i="4" s="1"/>
  <c r="K1176" i="4"/>
  <c r="L1176" i="4"/>
  <c r="M1176" i="4" s="1"/>
  <c r="K1177" i="4"/>
  <c r="L1177" i="4"/>
  <c r="M1177" i="4" s="1"/>
  <c r="K1178" i="4"/>
  <c r="L1178" i="4"/>
  <c r="M1178" i="4" s="1"/>
  <c r="K1179" i="4"/>
  <c r="L1179" i="4"/>
  <c r="M1179" i="4" s="1"/>
  <c r="K1180" i="4"/>
  <c r="L1180" i="4"/>
  <c r="M1180" i="4" s="1"/>
  <c r="K1181" i="4"/>
  <c r="L1181" i="4"/>
  <c r="M1181" i="4" s="1"/>
  <c r="K1182" i="4"/>
  <c r="L1182" i="4"/>
  <c r="M1182" i="4" s="1"/>
  <c r="K1183" i="4"/>
  <c r="L1183" i="4"/>
  <c r="M1183" i="4" s="1"/>
  <c r="K1184" i="4"/>
  <c r="L1184" i="4"/>
  <c r="M1184" i="4" s="1"/>
  <c r="K1185" i="4"/>
  <c r="L1185" i="4"/>
  <c r="M1185" i="4" s="1"/>
  <c r="K1186" i="4"/>
  <c r="L1186" i="4"/>
  <c r="M1186" i="4" s="1"/>
  <c r="K1187" i="4"/>
  <c r="L1187" i="4"/>
  <c r="M1187" i="4" s="1"/>
  <c r="K1188" i="4"/>
  <c r="L1188" i="4"/>
  <c r="M1188" i="4" s="1"/>
  <c r="K1189" i="4"/>
  <c r="L1189" i="4"/>
  <c r="M1189" i="4" s="1"/>
  <c r="K1190" i="4"/>
  <c r="L1190" i="4"/>
  <c r="M1190" i="4" s="1"/>
  <c r="K1191" i="4"/>
  <c r="L1191" i="4"/>
  <c r="M1191" i="4" s="1"/>
  <c r="K1192" i="4"/>
  <c r="L1192" i="4"/>
  <c r="M1192" i="4" s="1"/>
  <c r="K1193" i="4"/>
  <c r="L1193" i="4"/>
  <c r="M1193" i="4" s="1"/>
  <c r="K1194" i="4"/>
  <c r="L1194" i="4"/>
  <c r="M1194" i="4" s="1"/>
  <c r="K1195" i="4"/>
  <c r="L1195" i="4"/>
  <c r="M1195" i="4" s="1"/>
  <c r="K1196" i="4"/>
  <c r="L1196" i="4"/>
  <c r="M1196" i="4" s="1"/>
  <c r="K1197" i="4"/>
  <c r="L1197" i="4"/>
  <c r="M1197" i="4" s="1"/>
  <c r="K1198" i="4"/>
  <c r="L1198" i="4"/>
  <c r="M1198" i="4" s="1"/>
  <c r="K1199" i="4"/>
  <c r="L1199" i="4"/>
  <c r="M1199" i="4" s="1"/>
  <c r="K1200" i="4"/>
  <c r="L1200" i="4"/>
  <c r="M1200" i="4" s="1"/>
  <c r="K1201" i="4"/>
  <c r="L1201" i="4"/>
  <c r="M1201" i="4" s="1"/>
  <c r="K1202" i="4"/>
  <c r="L1202" i="4"/>
  <c r="M1202" i="4" s="1"/>
  <c r="K1203" i="4"/>
  <c r="L1203" i="4"/>
  <c r="M1203" i="4" s="1"/>
  <c r="K1204" i="4"/>
  <c r="L1204" i="4"/>
  <c r="M1204" i="4" s="1"/>
  <c r="K1205" i="4"/>
  <c r="L1205" i="4"/>
  <c r="M1205" i="4" s="1"/>
  <c r="K1206" i="4"/>
  <c r="L1206" i="4"/>
  <c r="M1206" i="4" s="1"/>
  <c r="K1207" i="4"/>
  <c r="L1207" i="4"/>
  <c r="M1207" i="4" s="1"/>
  <c r="K1208" i="4"/>
  <c r="L1208" i="4"/>
  <c r="M1208" i="4" s="1"/>
  <c r="K1209" i="4"/>
  <c r="L1209" i="4"/>
  <c r="M1209" i="4" s="1"/>
  <c r="K1210" i="4"/>
  <c r="L1210" i="4"/>
  <c r="M1210" i="4" s="1"/>
  <c r="K1211" i="4"/>
  <c r="L1211" i="4"/>
  <c r="M1211" i="4" s="1"/>
  <c r="K1212" i="4"/>
  <c r="L1212" i="4"/>
  <c r="M1212" i="4" s="1"/>
  <c r="K1213" i="4"/>
  <c r="L1213" i="4"/>
  <c r="M1213" i="4" s="1"/>
  <c r="K1214" i="4"/>
  <c r="L1214" i="4"/>
  <c r="M1214" i="4" s="1"/>
  <c r="K1216" i="4"/>
  <c r="L1216" i="4"/>
  <c r="M1216" i="4" s="1"/>
  <c r="K1217" i="4"/>
  <c r="L1217" i="4"/>
  <c r="M1217" i="4" s="1"/>
  <c r="K1218" i="4"/>
  <c r="L1218" i="4"/>
  <c r="M1218" i="4" s="1"/>
  <c r="K1219" i="4"/>
  <c r="L1219" i="4"/>
  <c r="M1219" i="4" s="1"/>
  <c r="K1220" i="4"/>
  <c r="L1220" i="4"/>
  <c r="M1220" i="4" s="1"/>
  <c r="K1221" i="4"/>
  <c r="L1221" i="4"/>
  <c r="M1221" i="4" s="1"/>
  <c r="K1222" i="4"/>
  <c r="L1222" i="4"/>
  <c r="M1222" i="4" s="1"/>
  <c r="K1223" i="4"/>
  <c r="L1223" i="4"/>
  <c r="M1223" i="4" s="1"/>
  <c r="K1224" i="4"/>
  <c r="L1224" i="4"/>
  <c r="M1224" i="4" s="1"/>
  <c r="K1225" i="4"/>
  <c r="L1225" i="4"/>
  <c r="M1225" i="4" s="1"/>
  <c r="K1226" i="4"/>
  <c r="L1226" i="4"/>
  <c r="M1226" i="4" s="1"/>
  <c r="K1227" i="4"/>
  <c r="L1227" i="4"/>
  <c r="M1227" i="4" s="1"/>
  <c r="K1228" i="4"/>
  <c r="L1228" i="4"/>
  <c r="M1228" i="4" s="1"/>
  <c r="K1229" i="4"/>
  <c r="L1229" i="4"/>
  <c r="M1229" i="4" s="1"/>
  <c r="K1230" i="4"/>
  <c r="L1230" i="4"/>
  <c r="M1230" i="4" s="1"/>
  <c r="K1231" i="4"/>
  <c r="L1231" i="4"/>
  <c r="M1231" i="4" s="1"/>
  <c r="K1232" i="4"/>
  <c r="L1232" i="4"/>
  <c r="M1232" i="4" s="1"/>
  <c r="K1233" i="4"/>
  <c r="L1233" i="4"/>
  <c r="M1233" i="4" s="1"/>
  <c r="K1234" i="4"/>
  <c r="L1234" i="4"/>
  <c r="M1234" i="4" s="1"/>
  <c r="K1235" i="4"/>
  <c r="L1235" i="4"/>
  <c r="M1235" i="4" s="1"/>
  <c r="K1236" i="4"/>
  <c r="L1236" i="4"/>
  <c r="M1236" i="4" s="1"/>
  <c r="K1237" i="4"/>
  <c r="L1237" i="4"/>
  <c r="M1237" i="4" s="1"/>
  <c r="K1238" i="4"/>
  <c r="L1238" i="4"/>
  <c r="M1238" i="4" s="1"/>
  <c r="K1239" i="4"/>
  <c r="L1239" i="4"/>
  <c r="M1239" i="4" s="1"/>
  <c r="K1240" i="4"/>
  <c r="L1240" i="4"/>
  <c r="M1240" i="4" s="1"/>
  <c r="K1241" i="4"/>
  <c r="L1241" i="4"/>
  <c r="M1241" i="4" s="1"/>
  <c r="K1242" i="4"/>
  <c r="L1242" i="4"/>
  <c r="M1242" i="4" s="1"/>
  <c r="K1243" i="4"/>
  <c r="L1243" i="4"/>
  <c r="M1243" i="4" s="1"/>
  <c r="K1244" i="4"/>
  <c r="L1244" i="4"/>
  <c r="M1244" i="4" s="1"/>
  <c r="K1245" i="4"/>
  <c r="L1245" i="4"/>
  <c r="M1245" i="4" s="1"/>
  <c r="K1246" i="4"/>
  <c r="L1246" i="4"/>
  <c r="M1246" i="4" s="1"/>
  <c r="K1247" i="4"/>
  <c r="L1247" i="4"/>
  <c r="M1247" i="4" s="1"/>
  <c r="K1248" i="4"/>
  <c r="L1248" i="4"/>
  <c r="M1248" i="4" s="1"/>
  <c r="K1249" i="4"/>
  <c r="L1249" i="4"/>
  <c r="M1249" i="4" s="1"/>
  <c r="K1250" i="4"/>
  <c r="L1250" i="4"/>
  <c r="M1250" i="4" s="1"/>
  <c r="K1251" i="4"/>
  <c r="L1251" i="4"/>
  <c r="M1251" i="4" s="1"/>
  <c r="K1252" i="4"/>
  <c r="L1252" i="4"/>
  <c r="M1252" i="4" s="1"/>
  <c r="K1253" i="4"/>
  <c r="L1253" i="4"/>
  <c r="M1253" i="4" s="1"/>
  <c r="K1254" i="4"/>
  <c r="L1254" i="4"/>
  <c r="M1254" i="4" s="1"/>
  <c r="K1255" i="4"/>
  <c r="L1255" i="4"/>
  <c r="M1255" i="4" s="1"/>
  <c r="K1256" i="4"/>
  <c r="L1256" i="4"/>
  <c r="M1256" i="4" s="1"/>
  <c r="K1257" i="4"/>
  <c r="L1257" i="4"/>
  <c r="M1257" i="4" s="1"/>
  <c r="K1258" i="4"/>
  <c r="L1258" i="4"/>
  <c r="M1258" i="4" s="1"/>
  <c r="K1259" i="4"/>
  <c r="L1259" i="4"/>
  <c r="M1259" i="4" s="1"/>
  <c r="K1260" i="4"/>
  <c r="L1260" i="4"/>
  <c r="M1260" i="4" s="1"/>
  <c r="K1261" i="4"/>
  <c r="L1261" i="4"/>
  <c r="M1261" i="4" s="1"/>
  <c r="K1262" i="4"/>
  <c r="L1262" i="4"/>
  <c r="M1262" i="4" s="1"/>
  <c r="K1263" i="4"/>
  <c r="L1263" i="4"/>
  <c r="M1263" i="4" s="1"/>
  <c r="K1264" i="4"/>
  <c r="L1264" i="4"/>
  <c r="M1264" i="4" s="1"/>
  <c r="K1265" i="4"/>
  <c r="L1265" i="4"/>
  <c r="M1265" i="4" s="1"/>
  <c r="K1266" i="4"/>
  <c r="L1266" i="4"/>
  <c r="M1266" i="4" s="1"/>
  <c r="K1267" i="4"/>
  <c r="L1267" i="4"/>
  <c r="M1267" i="4" s="1"/>
  <c r="K1268" i="4"/>
  <c r="L1268" i="4"/>
  <c r="M1268" i="4" s="1"/>
  <c r="K1269" i="4"/>
  <c r="L1269" i="4"/>
  <c r="M1269" i="4" s="1"/>
  <c r="K1270" i="4"/>
  <c r="L1270" i="4"/>
  <c r="M1270" i="4" s="1"/>
  <c r="K1271" i="4"/>
  <c r="L1271" i="4"/>
  <c r="M1271" i="4" s="1"/>
  <c r="K1272" i="4"/>
  <c r="L1272" i="4"/>
  <c r="M1272" i="4" s="1"/>
  <c r="K1273" i="4"/>
  <c r="L1273" i="4"/>
  <c r="M1273" i="4" s="1"/>
  <c r="K1274" i="4"/>
  <c r="L1274" i="4"/>
  <c r="M1274" i="4" s="1"/>
  <c r="K1275" i="4"/>
  <c r="L1275" i="4"/>
  <c r="M1275" i="4" s="1"/>
  <c r="K1276" i="4"/>
  <c r="L1276" i="4"/>
  <c r="M1276" i="4" s="1"/>
  <c r="K1277" i="4"/>
  <c r="L1277" i="4"/>
  <c r="M1277" i="4" s="1"/>
  <c r="K1278" i="4"/>
  <c r="L1278" i="4"/>
  <c r="M1278" i="4" s="1"/>
  <c r="K1279" i="4"/>
  <c r="L1279" i="4"/>
  <c r="M1279" i="4" s="1"/>
  <c r="K1280" i="4"/>
  <c r="L1280" i="4"/>
  <c r="M1280" i="4" s="1"/>
  <c r="K1281" i="4"/>
  <c r="L1281" i="4"/>
  <c r="M1281" i="4" s="1"/>
  <c r="K1282" i="4"/>
  <c r="L1282" i="4"/>
  <c r="M1282" i="4" s="1"/>
  <c r="K1283" i="4"/>
  <c r="L1283" i="4"/>
  <c r="M1283" i="4" s="1"/>
  <c r="K1284" i="4"/>
  <c r="L1284" i="4"/>
  <c r="M1284" i="4" s="1"/>
  <c r="K1285" i="4"/>
  <c r="L1285" i="4"/>
  <c r="M1285" i="4" s="1"/>
  <c r="K1286" i="4"/>
  <c r="L1286" i="4"/>
  <c r="M1286" i="4" s="1"/>
  <c r="K1287" i="4"/>
  <c r="L1287" i="4"/>
  <c r="M1287" i="4" s="1"/>
  <c r="K1288" i="4"/>
  <c r="L1288" i="4"/>
  <c r="M1288" i="4" s="1"/>
  <c r="K1289" i="4"/>
  <c r="L1289" i="4"/>
  <c r="M1289" i="4" s="1"/>
  <c r="K1290" i="4"/>
  <c r="L1290" i="4"/>
  <c r="M1290" i="4" s="1"/>
  <c r="K1291" i="4"/>
  <c r="L1291" i="4"/>
  <c r="M1291" i="4" s="1"/>
  <c r="K1292" i="4"/>
  <c r="L1292" i="4"/>
  <c r="M1292" i="4" s="1"/>
  <c r="L1119" i="4"/>
  <c r="M1119" i="4" s="1"/>
  <c r="K1119" i="4"/>
  <c r="K1102" i="4"/>
  <c r="L1102" i="4"/>
  <c r="M1102" i="4" s="1"/>
  <c r="K1103" i="4"/>
  <c r="L1103" i="4"/>
  <c r="M1103" i="4" s="1"/>
  <c r="K1104" i="4"/>
  <c r="L1104" i="4"/>
  <c r="M1104" i="4" s="1"/>
  <c r="K1105" i="4"/>
  <c r="L1105" i="4"/>
  <c r="M1105" i="4" s="1"/>
  <c r="K1106" i="4"/>
  <c r="L1106" i="4"/>
  <c r="M1106" i="4" s="1"/>
  <c r="K1107" i="4"/>
  <c r="L1107" i="4"/>
  <c r="M1107" i="4" s="1"/>
  <c r="K1108" i="4"/>
  <c r="L1108" i="4"/>
  <c r="M1108" i="4" s="1"/>
  <c r="K1109" i="4"/>
  <c r="L1109" i="4"/>
  <c r="M1109" i="4" s="1"/>
  <c r="K1110" i="4"/>
  <c r="L1110" i="4"/>
  <c r="M1110" i="4" s="1"/>
  <c r="K1111" i="4"/>
  <c r="L1111" i="4"/>
  <c r="M1111" i="4" s="1"/>
  <c r="K1112" i="4"/>
  <c r="L1112" i="4"/>
  <c r="M1112" i="4" s="1"/>
  <c r="K1113" i="4"/>
  <c r="L1113" i="4"/>
  <c r="M1113" i="4" s="1"/>
  <c r="K1114" i="4"/>
  <c r="L1114" i="4"/>
  <c r="M1114" i="4" s="1"/>
  <c r="K1115" i="4"/>
  <c r="L1115" i="4"/>
  <c r="M1115" i="4" s="1"/>
  <c r="K1116" i="4"/>
  <c r="L1116" i="4"/>
  <c r="M1116" i="4" s="1"/>
  <c r="K1117" i="4"/>
  <c r="L1117" i="4"/>
  <c r="M1117" i="4" s="1"/>
  <c r="O1297" i="4"/>
  <c r="P1297" i="4" s="1"/>
  <c r="O1298" i="4"/>
  <c r="P1298" i="4" s="1"/>
  <c r="O1299" i="4"/>
  <c r="P1299" i="4" s="1"/>
  <c r="O1301" i="4"/>
  <c r="P1301" i="4" s="1"/>
  <c r="O1303" i="4"/>
  <c r="P1303" i="4" s="1"/>
  <c r="O1304" i="4"/>
  <c r="P1304" i="4" s="1"/>
  <c r="O1305" i="4"/>
  <c r="P1305" i="4" s="1"/>
  <c r="O1307" i="4"/>
  <c r="P1307" i="4" s="1"/>
  <c r="O1308" i="4"/>
  <c r="P1308" i="4" s="1"/>
  <c r="O1310" i="4"/>
  <c r="P1310" i="4" s="1"/>
  <c r="O1311" i="4"/>
  <c r="P1311" i="4" s="1"/>
  <c r="O1313" i="4"/>
  <c r="P1313" i="4" s="1"/>
  <c r="O1314" i="4"/>
  <c r="P1314" i="4" s="1"/>
  <c r="O1315" i="4"/>
  <c r="P1315" i="4" s="1"/>
  <c r="O1316" i="4"/>
  <c r="P1316" i="4" s="1"/>
  <c r="O1317" i="4"/>
  <c r="P1317" i="4" s="1"/>
  <c r="O1319" i="4"/>
  <c r="P1319" i="4" s="1"/>
  <c r="O1320" i="4"/>
  <c r="P1320" i="4" s="1"/>
  <c r="O1322" i="4"/>
  <c r="P1322" i="4" s="1"/>
  <c r="O1325" i="4"/>
  <c r="P1325" i="4" s="1"/>
  <c r="O1326" i="4"/>
  <c r="P1326" i="4" s="1"/>
  <c r="O1327" i="4"/>
  <c r="P1327" i="4" s="1"/>
  <c r="O1328" i="4"/>
  <c r="P1328" i="4" s="1"/>
  <c r="O1329" i="4"/>
  <c r="P1329" i="4" s="1"/>
  <c r="O1331" i="4"/>
  <c r="P1331" i="4" s="1"/>
  <c r="O1332" i="4"/>
  <c r="P1332" i="4" s="1"/>
  <c r="O1333" i="4"/>
  <c r="P1333" i="4" s="1"/>
  <c r="O1334" i="4"/>
  <c r="P1334" i="4" s="1"/>
  <c r="O1336" i="4"/>
  <c r="P1336" i="4" s="1"/>
  <c r="O1337" i="4"/>
  <c r="P1337" i="4" s="1"/>
  <c r="O1338" i="4"/>
  <c r="P1338" i="4" s="1"/>
  <c r="O1339" i="4"/>
  <c r="P1339" i="4" s="1"/>
  <c r="O1341" i="4"/>
  <c r="P1341" i="4" s="1"/>
  <c r="O1342" i="4"/>
  <c r="P1342" i="4" s="1"/>
  <c r="O1345" i="4"/>
  <c r="P1345" i="4" s="1"/>
  <c r="O1346" i="4"/>
  <c r="P1346" i="4" s="1"/>
  <c r="O1347" i="4"/>
  <c r="P1347" i="4" s="1"/>
  <c r="O1348" i="4"/>
  <c r="P1348" i="4" s="1"/>
  <c r="O1349" i="4"/>
  <c r="P1349" i="4" s="1"/>
  <c r="O1351" i="4"/>
  <c r="P1351" i="4" s="1"/>
  <c r="O1352" i="4"/>
  <c r="P1352" i="4" s="1"/>
  <c r="O1353" i="4"/>
  <c r="P1353" i="4" s="1"/>
  <c r="O1354" i="4"/>
  <c r="P1354" i="4" s="1"/>
  <c r="O1357" i="4"/>
  <c r="P1357" i="4" s="1"/>
  <c r="O1358" i="4"/>
  <c r="P1358" i="4" s="1"/>
  <c r="O1359" i="4"/>
  <c r="P1359" i="4" s="1"/>
  <c r="O1361" i="4"/>
  <c r="P1361" i="4" s="1"/>
  <c r="O1362" i="4"/>
  <c r="P1362" i="4" s="1"/>
  <c r="O1363" i="4"/>
  <c r="P1363" i="4" s="1"/>
  <c r="O1364" i="4"/>
  <c r="P1364" i="4" s="1"/>
  <c r="O1366" i="4"/>
  <c r="P1366" i="4" s="1"/>
  <c r="O1367" i="4"/>
  <c r="P1367" i="4" s="1"/>
  <c r="O1368" i="4"/>
  <c r="P1368" i="4" s="1"/>
  <c r="O1160" i="4"/>
  <c r="P1160" i="4" s="1"/>
  <c r="O1161" i="4"/>
  <c r="P1161" i="4" s="1"/>
  <c r="O1162" i="4"/>
  <c r="P1162" i="4" s="1"/>
  <c r="O1163" i="4"/>
  <c r="P1163" i="4" s="1"/>
  <c r="O1164" i="4"/>
  <c r="P1164" i="4" s="1"/>
  <c r="O1165" i="4"/>
  <c r="P1165" i="4" s="1"/>
  <c r="O1167" i="4"/>
  <c r="P1167" i="4" s="1"/>
  <c r="O1168" i="4"/>
  <c r="P1168" i="4" s="1"/>
  <c r="O1169" i="4"/>
  <c r="P1169" i="4" s="1"/>
  <c r="O1170" i="4"/>
  <c r="P1170" i="4" s="1"/>
  <c r="O1171" i="4"/>
  <c r="P1171" i="4" s="1"/>
  <c r="O1172" i="4"/>
  <c r="P1172" i="4" s="1"/>
  <c r="O1173" i="4"/>
  <c r="P1173" i="4" s="1"/>
  <c r="O1175" i="4"/>
  <c r="P1175" i="4" s="1"/>
  <c r="O1176" i="4"/>
  <c r="P1176" i="4" s="1"/>
  <c r="O1177" i="4"/>
  <c r="P1177" i="4" s="1"/>
  <c r="O1179" i="4"/>
  <c r="P1179" i="4" s="1"/>
  <c r="O1180" i="4"/>
  <c r="P1180" i="4" s="1"/>
  <c r="O1181" i="4"/>
  <c r="P1181" i="4" s="1"/>
  <c r="O1184" i="4"/>
  <c r="P1184" i="4" s="1"/>
  <c r="O1185" i="4"/>
  <c r="P1185" i="4" s="1"/>
  <c r="O1186" i="4"/>
  <c r="P1186" i="4" s="1"/>
  <c r="O1188" i="4"/>
  <c r="P1188" i="4" s="1"/>
  <c r="O1191" i="4"/>
  <c r="P1191" i="4" s="1"/>
  <c r="O1192" i="4"/>
  <c r="P1192" i="4" s="1"/>
  <c r="O1193" i="4"/>
  <c r="P1193" i="4" s="1"/>
  <c r="O1194" i="4"/>
  <c r="P1194" i="4" s="1"/>
  <c r="O1195" i="4"/>
  <c r="P1195" i="4" s="1"/>
  <c r="O1197" i="4"/>
  <c r="P1197" i="4" s="1"/>
  <c r="O1198" i="4"/>
  <c r="P1198" i="4" s="1"/>
  <c r="O1200" i="4"/>
  <c r="P1200" i="4" s="1"/>
  <c r="O1201" i="4"/>
  <c r="P1201" i="4" s="1"/>
  <c r="O1202" i="4"/>
  <c r="P1202" i="4" s="1"/>
  <c r="O1203" i="4"/>
  <c r="P1203" i="4" s="1"/>
  <c r="O1205" i="4"/>
  <c r="P1205" i="4" s="1"/>
  <c r="O1206" i="4"/>
  <c r="P1206" i="4" s="1"/>
  <c r="O1208" i="4"/>
  <c r="P1208" i="4" s="1"/>
  <c r="O1209" i="4"/>
  <c r="P1209" i="4" s="1"/>
  <c r="O1210" i="4"/>
  <c r="P1210" i="4" s="1"/>
  <c r="O1212" i="4"/>
  <c r="P1212" i="4" s="1"/>
  <c r="O1213" i="4"/>
  <c r="P1213" i="4" s="1"/>
  <c r="O1216" i="4"/>
  <c r="P1216" i="4" s="1"/>
  <c r="O1217" i="4"/>
  <c r="P1217" i="4" s="1"/>
  <c r="O1219" i="4"/>
  <c r="P1219" i="4" s="1"/>
  <c r="O1220" i="4"/>
  <c r="P1220" i="4" s="1"/>
  <c r="O1222" i="4"/>
  <c r="P1222" i="4" s="1"/>
  <c r="O1223" i="4"/>
  <c r="P1223" i="4" s="1"/>
  <c r="O1224" i="4"/>
  <c r="P1224" i="4" s="1"/>
  <c r="O1227" i="4"/>
  <c r="P1227" i="4" s="1"/>
  <c r="O1229" i="4"/>
  <c r="P1229" i="4" s="1"/>
  <c r="O1230" i="4"/>
  <c r="P1230" i="4" s="1"/>
  <c r="O1231" i="4"/>
  <c r="P1231" i="4" s="1"/>
  <c r="O1232" i="4"/>
  <c r="P1232" i="4" s="1"/>
  <c r="O1233" i="4"/>
  <c r="P1233" i="4" s="1"/>
  <c r="O1236" i="4"/>
  <c r="P1236" i="4" s="1"/>
  <c r="O1238" i="4"/>
  <c r="P1238" i="4" s="1"/>
  <c r="O1239" i="4"/>
  <c r="P1239" i="4" s="1"/>
  <c r="O1240" i="4"/>
  <c r="P1240" i="4" s="1"/>
  <c r="O1242" i="4"/>
  <c r="P1242" i="4" s="1"/>
  <c r="O1243" i="4"/>
  <c r="P1243" i="4" s="1"/>
  <c r="O1244" i="4"/>
  <c r="P1244" i="4" s="1"/>
  <c r="O1245" i="4"/>
  <c r="P1245" i="4" s="1"/>
  <c r="O1248" i="4"/>
  <c r="P1248" i="4" s="1"/>
  <c r="O1249" i="4"/>
  <c r="P1249" i="4" s="1"/>
  <c r="O1250" i="4"/>
  <c r="P1250" i="4" s="1"/>
  <c r="O1251" i="4"/>
  <c r="P1251" i="4" s="1"/>
  <c r="O1252" i="4"/>
  <c r="P1252" i="4" s="1"/>
  <c r="O1254" i="4"/>
  <c r="P1254" i="4" s="1"/>
  <c r="O1255" i="4"/>
  <c r="P1255" i="4" s="1"/>
  <c r="O1257" i="4"/>
  <c r="P1257" i="4" s="1"/>
  <c r="O1259" i="4"/>
  <c r="P1259" i="4" s="1"/>
  <c r="O1260" i="4"/>
  <c r="P1260" i="4" s="1"/>
  <c r="O1262" i="4"/>
  <c r="P1262" i="4" s="1"/>
  <c r="O1263" i="4"/>
  <c r="P1263" i="4" s="1"/>
  <c r="O1264" i="4"/>
  <c r="P1264" i="4" s="1"/>
  <c r="O1267" i="4"/>
  <c r="P1267" i="4" s="1"/>
  <c r="O1268" i="4"/>
  <c r="P1268" i="4" s="1"/>
  <c r="O1270" i="4"/>
  <c r="P1270" i="4" s="1"/>
  <c r="O1271" i="4"/>
  <c r="P1271" i="4" s="1"/>
  <c r="O1272" i="4"/>
  <c r="P1272" i="4" s="1"/>
  <c r="O1273" i="4"/>
  <c r="P1273" i="4" s="1"/>
  <c r="O1275" i="4"/>
  <c r="P1275" i="4" s="1"/>
  <c r="O1276" i="4"/>
  <c r="P1276" i="4" s="1"/>
  <c r="O1277" i="4"/>
  <c r="P1277" i="4" s="1"/>
  <c r="O1280" i="4"/>
  <c r="P1280" i="4" s="1"/>
  <c r="O1281" i="4"/>
  <c r="P1281" i="4" s="1"/>
  <c r="O1284" i="4"/>
  <c r="P1284" i="4" s="1"/>
  <c r="O1286" i="4"/>
  <c r="P1286" i="4" s="1"/>
  <c r="O1287" i="4"/>
  <c r="P1287" i="4" s="1"/>
  <c r="O1290" i="4"/>
  <c r="P1290" i="4" s="1"/>
  <c r="O976" i="4"/>
  <c r="P976" i="4" s="1"/>
  <c r="O977" i="4"/>
  <c r="P977" i="4" s="1"/>
  <c r="O979" i="4"/>
  <c r="P979" i="4" s="1"/>
  <c r="O980" i="4"/>
  <c r="P980" i="4" s="1"/>
  <c r="O981" i="4"/>
  <c r="P981" i="4" s="1"/>
  <c r="O984" i="4"/>
  <c r="P984" i="4" s="1"/>
  <c r="O985" i="4"/>
  <c r="P985" i="4" s="1"/>
  <c r="O987" i="4"/>
  <c r="P987" i="4" s="1"/>
  <c r="O989" i="4"/>
  <c r="P989" i="4" s="1"/>
  <c r="O990" i="4"/>
  <c r="P990" i="4" s="1"/>
  <c r="O991" i="4"/>
  <c r="P991" i="4" s="1"/>
  <c r="O994" i="4"/>
  <c r="P994" i="4" s="1"/>
  <c r="O995" i="4"/>
  <c r="P995" i="4" s="1"/>
  <c r="O998" i="4"/>
  <c r="P998" i="4" s="1"/>
  <c r="O999" i="4"/>
  <c r="P999" i="4" s="1"/>
  <c r="O1000" i="4"/>
  <c r="P1000" i="4" s="1"/>
  <c r="O1002" i="4"/>
  <c r="P1002" i="4" s="1"/>
  <c r="O1003" i="4"/>
  <c r="P1003" i="4" s="1"/>
  <c r="O1006" i="4"/>
  <c r="P1006" i="4" s="1"/>
  <c r="O1007" i="4"/>
  <c r="P1007" i="4" s="1"/>
  <c r="O1008" i="4"/>
  <c r="P1008" i="4" s="1"/>
  <c r="O1009" i="4"/>
  <c r="P1009" i="4" s="1"/>
  <c r="O1010" i="4"/>
  <c r="P1010" i="4" s="1"/>
  <c r="O1012" i="4"/>
  <c r="P1012" i="4" s="1"/>
  <c r="O1014" i="4"/>
  <c r="P1014" i="4" s="1"/>
  <c r="O1017" i="4"/>
  <c r="P1017" i="4" s="1"/>
  <c r="O1018" i="4"/>
  <c r="P1018" i="4" s="1"/>
  <c r="O1020" i="4"/>
  <c r="P1020" i="4" s="1"/>
  <c r="O1021" i="4"/>
  <c r="P1021" i="4" s="1"/>
  <c r="O1024" i="4"/>
  <c r="P1024" i="4" s="1"/>
  <c r="O1025" i="4"/>
  <c r="P1025" i="4" s="1"/>
  <c r="O1028" i="4"/>
  <c r="P1028" i="4" s="1"/>
  <c r="O1029" i="4"/>
  <c r="P1029" i="4" s="1"/>
  <c r="O1032" i="4"/>
  <c r="P1032" i="4" s="1"/>
  <c r="O1033" i="4"/>
  <c r="P1033" i="4" s="1"/>
  <c r="O1034" i="4"/>
  <c r="P1034" i="4" s="1"/>
  <c r="O1035" i="4"/>
  <c r="P1035" i="4" s="1"/>
  <c r="O1036" i="4"/>
  <c r="P1036" i="4" s="1"/>
  <c r="K1020" i="4"/>
  <c r="L1020" i="4"/>
  <c r="M1020" i="4" s="1"/>
  <c r="K1021" i="4"/>
  <c r="L1021" i="4"/>
  <c r="M1021" i="4" s="1"/>
  <c r="K1022" i="4"/>
  <c r="L1022" i="4"/>
  <c r="M1022" i="4" s="1"/>
  <c r="K1024" i="4"/>
  <c r="L1024" i="4"/>
  <c r="M1024" i="4" s="1"/>
  <c r="K1025" i="4"/>
  <c r="L1025" i="4"/>
  <c r="M1025" i="4" s="1"/>
  <c r="K1026" i="4"/>
  <c r="L1026" i="4"/>
  <c r="M1026" i="4" s="1"/>
  <c r="K1027" i="4"/>
  <c r="L1027" i="4"/>
  <c r="M1027" i="4" s="1"/>
  <c r="K1028" i="4"/>
  <c r="L1028" i="4"/>
  <c r="M1028" i="4" s="1"/>
  <c r="K1029" i="4"/>
  <c r="L1029" i="4"/>
  <c r="M1029" i="4" s="1"/>
  <c r="K1030" i="4"/>
  <c r="L1030" i="4"/>
  <c r="M1030" i="4" s="1"/>
  <c r="K1032" i="4"/>
  <c r="L1032" i="4"/>
  <c r="M1032" i="4" s="1"/>
  <c r="K1033" i="4"/>
  <c r="L1033" i="4"/>
  <c r="M1033" i="4" s="1"/>
  <c r="K1034" i="4"/>
  <c r="L1034" i="4"/>
  <c r="M1034" i="4" s="1"/>
  <c r="K1035" i="4"/>
  <c r="L1035" i="4"/>
  <c r="M1035" i="4" s="1"/>
  <c r="K1036" i="4"/>
  <c r="L1036" i="4"/>
  <c r="M1036" i="4" s="1"/>
  <c r="K1037" i="4"/>
  <c r="L1037" i="4"/>
  <c r="M1037" i="4" s="1"/>
  <c r="K976" i="4"/>
  <c r="L976" i="4"/>
  <c r="M976" i="4" s="1"/>
  <c r="K977" i="4"/>
  <c r="L977" i="4"/>
  <c r="M977" i="4" s="1"/>
  <c r="K978" i="4"/>
  <c r="L978" i="4"/>
  <c r="M978" i="4" s="1"/>
  <c r="K979" i="4"/>
  <c r="L979" i="4"/>
  <c r="M979" i="4" s="1"/>
  <c r="K980" i="4"/>
  <c r="L980" i="4"/>
  <c r="M980" i="4" s="1"/>
  <c r="K981" i="4"/>
  <c r="L981" i="4"/>
  <c r="M981" i="4" s="1"/>
  <c r="K982" i="4"/>
  <c r="L982" i="4"/>
  <c r="M982" i="4" s="1"/>
  <c r="K984" i="4"/>
  <c r="L984" i="4"/>
  <c r="M984" i="4" s="1"/>
  <c r="K985" i="4"/>
  <c r="L985" i="4"/>
  <c r="M985" i="4" s="1"/>
  <c r="K986" i="4"/>
  <c r="L986" i="4"/>
  <c r="M986" i="4" s="1"/>
  <c r="K987" i="4"/>
  <c r="L987" i="4"/>
  <c r="M987" i="4" s="1"/>
  <c r="K988" i="4"/>
  <c r="L988" i="4"/>
  <c r="M988" i="4" s="1"/>
  <c r="K989" i="4"/>
  <c r="L989" i="4"/>
  <c r="M989" i="4" s="1"/>
  <c r="K990" i="4"/>
  <c r="L990" i="4"/>
  <c r="M990" i="4" s="1"/>
  <c r="K991" i="4"/>
  <c r="L991" i="4"/>
  <c r="M991" i="4" s="1"/>
  <c r="K992" i="4"/>
  <c r="L992" i="4"/>
  <c r="M992" i="4" s="1"/>
  <c r="K994" i="4"/>
  <c r="L994" i="4"/>
  <c r="M994" i="4" s="1"/>
  <c r="K995" i="4"/>
  <c r="L995" i="4"/>
  <c r="M995" i="4" s="1"/>
  <c r="K996" i="4"/>
  <c r="L996" i="4"/>
  <c r="M996" i="4" s="1"/>
  <c r="K998" i="4"/>
  <c r="L998" i="4"/>
  <c r="M998" i="4" s="1"/>
  <c r="K999" i="4"/>
  <c r="L999" i="4"/>
  <c r="M999" i="4" s="1"/>
  <c r="K1000" i="4"/>
  <c r="L1000" i="4"/>
  <c r="M1000" i="4" s="1"/>
  <c r="K1001" i="4"/>
  <c r="L1001" i="4"/>
  <c r="M1001" i="4" s="1"/>
  <c r="K1002" i="4"/>
  <c r="L1002" i="4"/>
  <c r="M1002" i="4" s="1"/>
  <c r="K1003" i="4"/>
  <c r="L1003" i="4"/>
  <c r="M1003" i="4" s="1"/>
  <c r="K1004" i="4"/>
  <c r="L1004" i="4"/>
  <c r="M1004" i="4" s="1"/>
  <c r="K1006" i="4"/>
  <c r="L1006" i="4"/>
  <c r="M1006" i="4" s="1"/>
  <c r="K1007" i="4"/>
  <c r="L1007" i="4"/>
  <c r="M1007" i="4" s="1"/>
  <c r="K1008" i="4"/>
  <c r="L1008" i="4"/>
  <c r="M1008" i="4" s="1"/>
  <c r="K1009" i="4"/>
  <c r="L1009" i="4"/>
  <c r="M1009" i="4" s="1"/>
  <c r="K1010" i="4"/>
  <c r="L1010" i="4"/>
  <c r="M1010" i="4" s="1"/>
  <c r="K1011" i="4"/>
  <c r="L1011" i="4"/>
  <c r="M1011" i="4" s="1"/>
  <c r="K1012" i="4"/>
  <c r="L1012" i="4"/>
  <c r="M1012" i="4" s="1"/>
  <c r="K1013" i="4"/>
  <c r="L1013" i="4"/>
  <c r="M1013" i="4" s="1"/>
  <c r="K1014" i="4"/>
  <c r="L1014" i="4"/>
  <c r="M1014" i="4" s="1"/>
  <c r="K1015" i="4"/>
  <c r="L1015" i="4"/>
  <c r="M1015" i="4" s="1"/>
  <c r="K1017" i="4"/>
  <c r="L1017" i="4"/>
  <c r="M1017" i="4" s="1"/>
  <c r="K1018" i="4"/>
  <c r="L1018" i="4"/>
  <c r="M1018" i="4" s="1"/>
  <c r="K1019" i="4"/>
  <c r="L1019" i="4"/>
  <c r="M1019" i="4" s="1"/>
  <c r="O802" i="4"/>
  <c r="P802" i="4" s="1"/>
  <c r="O803" i="4"/>
  <c r="P803" i="4" s="1"/>
  <c r="O804" i="4"/>
  <c r="P804" i="4" s="1"/>
  <c r="O805" i="4"/>
  <c r="P805" i="4" s="1"/>
  <c r="O807" i="4"/>
  <c r="P807" i="4" s="1"/>
  <c r="O808" i="4"/>
  <c r="P808" i="4" s="1"/>
  <c r="O809" i="4"/>
  <c r="P809" i="4" s="1"/>
  <c r="O810" i="4"/>
  <c r="P810" i="4" s="1"/>
  <c r="O811" i="4"/>
  <c r="P811" i="4" s="1"/>
  <c r="O812" i="4"/>
  <c r="P812" i="4" s="1"/>
  <c r="O814" i="4"/>
  <c r="P814" i="4" s="1"/>
  <c r="O815" i="4"/>
  <c r="P815" i="4" s="1"/>
  <c r="O816" i="4"/>
  <c r="P816" i="4" s="1"/>
  <c r="O817" i="4"/>
  <c r="P817" i="4" s="1"/>
  <c r="O819" i="4"/>
  <c r="P819" i="4" s="1"/>
  <c r="O820" i="4"/>
  <c r="P820" i="4" s="1"/>
  <c r="O821" i="4"/>
  <c r="P821" i="4" s="1"/>
  <c r="O822" i="4"/>
  <c r="P822" i="4" s="1"/>
  <c r="O823" i="4"/>
  <c r="P823" i="4" s="1"/>
  <c r="O824" i="4"/>
  <c r="P824" i="4" s="1"/>
  <c r="O825" i="4"/>
  <c r="P825" i="4" s="1"/>
  <c r="O826" i="4"/>
  <c r="P826" i="4" s="1"/>
  <c r="O828" i="4"/>
  <c r="P828" i="4" s="1"/>
  <c r="O829" i="4"/>
  <c r="P829" i="4" s="1"/>
  <c r="O830" i="4"/>
  <c r="P830" i="4" s="1"/>
  <c r="O831" i="4"/>
  <c r="P831" i="4" s="1"/>
  <c r="O832" i="4"/>
  <c r="P832" i="4" s="1"/>
  <c r="O833" i="4"/>
  <c r="P833" i="4" s="1"/>
  <c r="O836" i="4"/>
  <c r="P836" i="4" s="1"/>
  <c r="O837" i="4"/>
  <c r="P837" i="4" s="1"/>
  <c r="O838" i="4"/>
  <c r="P838" i="4" s="1"/>
  <c r="O839" i="4"/>
  <c r="P839" i="4" s="1"/>
  <c r="O840" i="4"/>
  <c r="P840" i="4" s="1"/>
  <c r="O841" i="4"/>
  <c r="P841" i="4" s="1"/>
  <c r="O843" i="4"/>
  <c r="P843" i="4" s="1"/>
  <c r="O844" i="4"/>
  <c r="P844" i="4" s="1"/>
  <c r="O845" i="4"/>
  <c r="P845" i="4" s="1"/>
  <c r="O848" i="4"/>
  <c r="P848" i="4" s="1"/>
  <c r="O849" i="4"/>
  <c r="P849" i="4" s="1"/>
  <c r="O850" i="4"/>
  <c r="P850" i="4" s="1"/>
  <c r="O851" i="4"/>
  <c r="P851" i="4" s="1"/>
  <c r="O852" i="4"/>
  <c r="P852" i="4" s="1"/>
  <c r="O853" i="4"/>
  <c r="P853" i="4" s="1"/>
  <c r="O855" i="4"/>
  <c r="P855" i="4" s="1"/>
  <c r="O856" i="4"/>
  <c r="P856" i="4" s="1"/>
  <c r="O857" i="4"/>
  <c r="P857" i="4" s="1"/>
  <c r="O858" i="4"/>
  <c r="P858" i="4" s="1"/>
  <c r="O861" i="4"/>
  <c r="P861" i="4" s="1"/>
  <c r="O862" i="4"/>
  <c r="P862" i="4" s="1"/>
  <c r="O863" i="4"/>
  <c r="P863" i="4" s="1"/>
  <c r="O864" i="4"/>
  <c r="P864" i="4" s="1"/>
  <c r="O866" i="4"/>
  <c r="P866" i="4" s="1"/>
  <c r="O867" i="4"/>
  <c r="P867" i="4" s="1"/>
  <c r="O868" i="4"/>
  <c r="P868" i="4" s="1"/>
  <c r="O869" i="4"/>
  <c r="P869" i="4" s="1"/>
  <c r="O872" i="4"/>
  <c r="P872" i="4" s="1"/>
  <c r="O873" i="4"/>
  <c r="P873" i="4" s="1"/>
  <c r="O874" i="4"/>
  <c r="P874" i="4" s="1"/>
  <c r="O877" i="4"/>
  <c r="P877" i="4" s="1"/>
  <c r="O878" i="4"/>
  <c r="P878" i="4" s="1"/>
  <c r="O879" i="4"/>
  <c r="P879" i="4" s="1"/>
  <c r="O880" i="4"/>
  <c r="P880" i="4" s="1"/>
  <c r="O881" i="4"/>
  <c r="P881" i="4" s="1"/>
  <c r="O882" i="4"/>
  <c r="P882" i="4" s="1"/>
  <c r="O883" i="4"/>
  <c r="P883" i="4" s="1"/>
  <c r="O884" i="4"/>
  <c r="P884" i="4" s="1"/>
  <c r="O885" i="4"/>
  <c r="P885" i="4" s="1"/>
  <c r="O886" i="4"/>
  <c r="P886" i="4" s="1"/>
  <c r="O887" i="4"/>
  <c r="P887" i="4" s="1"/>
  <c r="O890" i="4"/>
  <c r="P890" i="4" s="1"/>
  <c r="O891" i="4"/>
  <c r="P891" i="4" s="1"/>
  <c r="O892" i="4"/>
  <c r="P892" i="4" s="1"/>
  <c r="O893" i="4"/>
  <c r="P893" i="4" s="1"/>
  <c r="O894" i="4"/>
  <c r="P894" i="4" s="1"/>
  <c r="O896" i="4"/>
  <c r="P896" i="4" s="1"/>
  <c r="O897" i="4"/>
  <c r="P897" i="4" s="1"/>
  <c r="O900" i="4"/>
  <c r="P900" i="4" s="1"/>
  <c r="O901" i="4"/>
  <c r="P901" i="4" s="1"/>
  <c r="O903" i="4"/>
  <c r="P903" i="4" s="1"/>
  <c r="O904" i="4"/>
  <c r="P904" i="4" s="1"/>
  <c r="O905" i="4"/>
  <c r="P905" i="4" s="1"/>
  <c r="O908" i="4"/>
  <c r="P908" i="4" s="1"/>
  <c r="O909" i="4"/>
  <c r="P909" i="4" s="1"/>
  <c r="O910" i="4"/>
  <c r="P910" i="4" s="1"/>
  <c r="O911" i="4"/>
  <c r="P911" i="4" s="1"/>
  <c r="O912" i="4"/>
  <c r="P912" i="4" s="1"/>
  <c r="O913" i="4"/>
  <c r="P913" i="4" s="1"/>
  <c r="O915" i="4"/>
  <c r="P915" i="4" s="1"/>
  <c r="O916" i="4"/>
  <c r="P916" i="4" s="1"/>
  <c r="O917" i="4"/>
  <c r="P917" i="4" s="1"/>
  <c r="O919" i="4"/>
  <c r="P919" i="4" s="1"/>
  <c r="O920" i="4"/>
  <c r="P920" i="4" s="1"/>
  <c r="O921" i="4"/>
  <c r="P921" i="4" s="1"/>
  <c r="O922" i="4"/>
  <c r="P922" i="4" s="1"/>
  <c r="O923" i="4"/>
  <c r="P923" i="4" s="1"/>
  <c r="O924" i="4"/>
  <c r="P924" i="4" s="1"/>
  <c r="O925" i="4"/>
  <c r="P925" i="4" s="1"/>
  <c r="O927" i="4"/>
  <c r="P927" i="4" s="1"/>
  <c r="O928" i="4"/>
  <c r="P928" i="4" s="1"/>
  <c r="O931" i="4"/>
  <c r="P931" i="4" s="1"/>
  <c r="O932" i="4"/>
  <c r="P932" i="4" s="1"/>
  <c r="O933" i="4"/>
  <c r="P933" i="4" s="1"/>
  <c r="O934" i="4"/>
  <c r="P934" i="4" s="1"/>
  <c r="O936" i="4"/>
  <c r="P936" i="4" s="1"/>
  <c r="O937" i="4"/>
  <c r="P937" i="4" s="1"/>
  <c r="O938" i="4"/>
  <c r="P938" i="4" s="1"/>
  <c r="O939" i="4"/>
  <c r="P939" i="4" s="1"/>
  <c r="O940" i="4"/>
  <c r="P940" i="4" s="1"/>
  <c r="O941" i="4"/>
  <c r="P941" i="4" s="1"/>
  <c r="O942" i="4"/>
  <c r="P942" i="4" s="1"/>
  <c r="O943" i="4"/>
  <c r="P943" i="4" s="1"/>
  <c r="O944" i="4"/>
  <c r="P944" i="4" s="1"/>
  <c r="O946" i="4"/>
  <c r="P946" i="4" s="1"/>
  <c r="O947" i="4"/>
  <c r="P947" i="4" s="1"/>
  <c r="O948" i="4"/>
  <c r="P948" i="4" s="1"/>
  <c r="O949" i="4"/>
  <c r="P949" i="4" s="1"/>
  <c r="O950" i="4"/>
  <c r="P950" i="4" s="1"/>
  <c r="O714" i="4"/>
  <c r="P714" i="4" s="1"/>
  <c r="O715" i="4"/>
  <c r="P715" i="4" s="1"/>
  <c r="O716" i="4"/>
  <c r="P716" i="4" s="1"/>
  <c r="O718" i="4"/>
  <c r="P718" i="4" s="1"/>
  <c r="O719" i="4"/>
  <c r="P719" i="4" s="1"/>
  <c r="O720" i="4"/>
  <c r="P720" i="4" s="1"/>
  <c r="O721" i="4"/>
  <c r="P721" i="4" s="1"/>
  <c r="O722" i="4"/>
  <c r="P722" i="4" s="1"/>
  <c r="O723" i="4"/>
  <c r="P723" i="4" s="1"/>
  <c r="O725" i="4"/>
  <c r="P725" i="4" s="1"/>
  <c r="O726" i="4"/>
  <c r="P726" i="4" s="1"/>
  <c r="O727" i="4"/>
  <c r="P727" i="4" s="1"/>
  <c r="O728" i="4"/>
  <c r="P728" i="4" s="1"/>
  <c r="O729" i="4"/>
  <c r="P729" i="4" s="1"/>
  <c r="O730" i="4"/>
  <c r="P730" i="4" s="1"/>
  <c r="O732" i="4"/>
  <c r="P732" i="4" s="1"/>
  <c r="O733" i="4"/>
  <c r="P733" i="4" s="1"/>
  <c r="O734" i="4"/>
  <c r="P734" i="4" s="1"/>
  <c r="O735" i="4"/>
  <c r="P735" i="4" s="1"/>
  <c r="O736" i="4"/>
  <c r="P736" i="4" s="1"/>
  <c r="O738" i="4"/>
  <c r="P738" i="4" s="1"/>
  <c r="O739" i="4"/>
  <c r="P739" i="4" s="1"/>
  <c r="O740" i="4"/>
  <c r="P740" i="4" s="1"/>
  <c r="O741" i="4"/>
  <c r="P741" i="4" s="1"/>
  <c r="O742" i="4"/>
  <c r="P742" i="4" s="1"/>
  <c r="O745" i="4"/>
  <c r="P745" i="4" s="1"/>
  <c r="O746" i="4"/>
  <c r="P746" i="4" s="1"/>
  <c r="O747" i="4"/>
  <c r="P747" i="4" s="1"/>
  <c r="O748" i="4"/>
  <c r="P748" i="4" s="1"/>
  <c r="O749" i="4"/>
  <c r="P749" i="4" s="1"/>
  <c r="O750" i="4"/>
  <c r="P750" i="4" s="1"/>
  <c r="O751" i="4"/>
  <c r="P751" i="4" s="1"/>
  <c r="O752" i="4"/>
  <c r="P752" i="4" s="1"/>
  <c r="O753" i="4"/>
  <c r="P753" i="4" s="1"/>
  <c r="O754" i="4"/>
  <c r="P754" i="4" s="1"/>
  <c r="O755" i="4"/>
  <c r="P755" i="4" s="1"/>
  <c r="O756" i="4"/>
  <c r="P756" i="4" s="1"/>
  <c r="O758" i="4"/>
  <c r="P758" i="4" s="1"/>
  <c r="O759" i="4"/>
  <c r="P759" i="4" s="1"/>
  <c r="O760" i="4"/>
  <c r="P760" i="4" s="1"/>
  <c r="O761" i="4"/>
  <c r="P761" i="4" s="1"/>
  <c r="O763" i="4"/>
  <c r="P763" i="4" s="1"/>
  <c r="O764" i="4"/>
  <c r="P764" i="4" s="1"/>
  <c r="O765" i="4"/>
  <c r="P765" i="4" s="1"/>
  <c r="O766" i="4"/>
  <c r="P766" i="4" s="1"/>
  <c r="O768" i="4"/>
  <c r="P768" i="4" s="1"/>
  <c r="O769" i="4"/>
  <c r="P769" i="4" s="1"/>
  <c r="O770" i="4"/>
  <c r="P770" i="4" s="1"/>
  <c r="O771" i="4"/>
  <c r="P771" i="4" s="1"/>
  <c r="O773" i="4"/>
  <c r="P773" i="4" s="1"/>
  <c r="O774" i="4"/>
  <c r="P774" i="4" s="1"/>
  <c r="O775" i="4"/>
  <c r="P775" i="4" s="1"/>
  <c r="O778" i="4"/>
  <c r="P778" i="4" s="1"/>
  <c r="O779" i="4"/>
  <c r="P779" i="4" s="1"/>
  <c r="O780" i="4"/>
  <c r="P780" i="4" s="1"/>
  <c r="O781" i="4"/>
  <c r="P781" i="4" s="1"/>
  <c r="O783" i="4"/>
  <c r="P783" i="4" s="1"/>
  <c r="O784" i="4"/>
  <c r="P784" i="4" s="1"/>
  <c r="O785" i="4"/>
  <c r="P785" i="4" s="1"/>
  <c r="O787" i="4"/>
  <c r="P787" i="4" s="1"/>
  <c r="O788" i="4"/>
  <c r="P788" i="4" s="1"/>
  <c r="O789" i="4"/>
  <c r="P789" i="4" s="1"/>
  <c r="O790" i="4"/>
  <c r="P790" i="4" s="1"/>
  <c r="O791" i="4"/>
  <c r="P791" i="4" s="1"/>
  <c r="O792" i="4"/>
  <c r="P792" i="4" s="1"/>
  <c r="O793" i="4"/>
  <c r="P793" i="4" s="1"/>
  <c r="O795" i="4"/>
  <c r="P795" i="4" s="1"/>
  <c r="O796" i="4"/>
  <c r="P796" i="4" s="1"/>
  <c r="O797" i="4"/>
  <c r="P797" i="4" s="1"/>
  <c r="O585" i="4"/>
  <c r="P585" i="4" s="1"/>
  <c r="O581" i="4"/>
  <c r="P581" i="4" s="1"/>
  <c r="O586" i="4"/>
  <c r="P586" i="4" s="1"/>
  <c r="O589" i="4"/>
  <c r="P589" i="4" s="1"/>
  <c r="O591" i="4"/>
  <c r="P591" i="4" s="1"/>
  <c r="O592" i="4"/>
  <c r="P592" i="4" s="1"/>
  <c r="O561" i="4"/>
  <c r="P561" i="4" s="1"/>
  <c r="O524" i="4"/>
  <c r="P524" i="4" s="1"/>
  <c r="O525" i="4"/>
  <c r="P525" i="4" s="1"/>
  <c r="O527" i="4"/>
  <c r="P527" i="4" s="1"/>
  <c r="O529" i="4"/>
  <c r="P529" i="4" s="1"/>
  <c r="O531" i="4"/>
  <c r="P531" i="4" s="1"/>
  <c r="O523" i="4"/>
  <c r="P523" i="4" s="1"/>
  <c r="O403" i="4"/>
  <c r="O397" i="4"/>
  <c r="P397" i="4" s="1"/>
  <c r="O398" i="4"/>
  <c r="P398" i="4" s="1"/>
  <c r="O400" i="4"/>
  <c r="P400" i="4" s="1"/>
  <c r="O401" i="4"/>
  <c r="P401" i="4" s="1"/>
  <c r="O405" i="4"/>
  <c r="P405" i="4" s="1"/>
  <c r="O406" i="4"/>
  <c r="P406" i="4" s="1"/>
  <c r="O408" i="4"/>
  <c r="P408" i="4" s="1"/>
  <c r="O410" i="4"/>
  <c r="P410" i="4" s="1"/>
  <c r="O411" i="4"/>
  <c r="P411" i="4" s="1"/>
  <c r="O412" i="4"/>
  <c r="P412" i="4" s="1"/>
  <c r="O413" i="4"/>
  <c r="P413" i="4" s="1"/>
  <c r="O415" i="4"/>
  <c r="P415" i="4" s="1"/>
  <c r="O417" i="4"/>
  <c r="P417" i="4" s="1"/>
  <c r="O418" i="4"/>
  <c r="P418" i="4" s="1"/>
  <c r="O420" i="4"/>
  <c r="P420" i="4" s="1"/>
  <c r="O421" i="4"/>
  <c r="P421" i="4" s="1"/>
  <c r="K425" i="4"/>
  <c r="L425" i="4"/>
  <c r="M425" i="4" s="1"/>
  <c r="O355" i="4"/>
  <c r="P355" i="4" s="1"/>
  <c r="O357" i="4"/>
  <c r="P357" i="4" s="1"/>
  <c r="O358" i="4"/>
  <c r="P358" i="4" s="1"/>
  <c r="O360" i="4"/>
  <c r="P360" i="4" s="1"/>
  <c r="O361" i="4"/>
  <c r="P361" i="4" s="1"/>
  <c r="O362" i="4"/>
  <c r="P362" i="4" s="1"/>
  <c r="O363" i="4"/>
  <c r="P363" i="4" s="1"/>
  <c r="O365" i="4"/>
  <c r="P365" i="4" s="1"/>
  <c r="O366" i="4"/>
  <c r="P366" i="4" s="1"/>
  <c r="O367" i="4"/>
  <c r="P367" i="4" s="1"/>
  <c r="O369" i="4"/>
  <c r="P369" i="4" s="1"/>
  <c r="O370" i="4"/>
  <c r="P370" i="4" s="1"/>
  <c r="O371" i="4"/>
  <c r="P371" i="4" s="1"/>
  <c r="O372" i="4"/>
  <c r="P372" i="4" s="1"/>
  <c r="O373" i="4"/>
  <c r="P373" i="4" s="1"/>
  <c r="O375" i="4"/>
  <c r="P375" i="4" s="1"/>
  <c r="O376" i="4"/>
  <c r="P376" i="4" s="1"/>
  <c r="O377" i="4"/>
  <c r="P377" i="4" s="1"/>
  <c r="O380" i="4"/>
  <c r="P380" i="4" s="1"/>
  <c r="O381" i="4"/>
  <c r="P381" i="4" s="1"/>
  <c r="O383" i="4"/>
  <c r="P383" i="4" s="1"/>
  <c r="O385" i="4"/>
  <c r="P385" i="4" s="1"/>
  <c r="O386" i="4"/>
  <c r="P386" i="4" s="1"/>
  <c r="O387" i="4"/>
  <c r="P387" i="4" s="1"/>
  <c r="O389" i="4"/>
  <c r="P389" i="4" s="1"/>
  <c r="O390" i="4"/>
  <c r="P390" i="4" s="1"/>
  <c r="O391" i="4"/>
  <c r="P391" i="4" s="1"/>
  <c r="O392" i="4"/>
  <c r="P392" i="4" s="1"/>
  <c r="R301" i="4"/>
  <c r="S301" i="4" s="1"/>
  <c r="R302" i="4"/>
  <c r="S302" i="4" s="1"/>
  <c r="R305" i="4"/>
  <c r="S305" i="4" s="1"/>
  <c r="R306" i="4"/>
  <c r="S306" i="4" s="1"/>
  <c r="R309" i="4"/>
  <c r="S309" i="4" s="1"/>
  <c r="R310" i="4"/>
  <c r="S310" i="4" s="1"/>
  <c r="R313" i="4"/>
  <c r="S313" i="4" s="1"/>
  <c r="R316" i="4"/>
  <c r="S316" i="4" s="1"/>
  <c r="R317" i="4"/>
  <c r="S317" i="4" s="1"/>
  <c r="R318" i="4"/>
  <c r="S318" i="4" s="1"/>
  <c r="R321" i="4"/>
  <c r="S321" i="4" s="1"/>
  <c r="R322" i="4"/>
  <c r="S322" i="4" s="1"/>
  <c r="R323" i="4"/>
  <c r="S323" i="4" s="1"/>
  <c r="R327" i="4"/>
  <c r="S327" i="4" s="1"/>
  <c r="N1321" i="4" l="1"/>
  <c r="O1321" i="4" s="1"/>
  <c r="P1321" i="4" s="1"/>
  <c r="N1302" i="4"/>
  <c r="O1302" i="4" s="1"/>
  <c r="P1302" i="4" s="1"/>
  <c r="N1289" i="4"/>
  <c r="O1289" i="4" s="1"/>
  <c r="P1289" i="4" s="1"/>
  <c r="N1312" i="4"/>
  <c r="O1312" i="4" s="1"/>
  <c r="N1369" i="4"/>
  <c r="O1369" i="4" s="1"/>
  <c r="P1369" i="4" s="1"/>
  <c r="N1365" i="4"/>
  <c r="O1365" i="4" s="1"/>
  <c r="P1365" i="4" s="1"/>
  <c r="N131" i="4"/>
  <c r="O131" i="4" s="1"/>
  <c r="P131" i="4" s="1"/>
  <c r="N1350" i="4"/>
  <c r="N1309" i="4"/>
  <c r="O1309" i="4" s="1"/>
  <c r="P1309" i="4" s="1"/>
  <c r="N1355" i="4"/>
  <c r="O1355" i="4" s="1"/>
  <c r="P1355" i="4" s="1"/>
  <c r="N1360" i="4"/>
  <c r="N1335" i="4"/>
  <c r="O1335" i="4" s="1"/>
  <c r="P1335" i="4" s="1"/>
  <c r="N1323" i="4"/>
  <c r="O1323" i="4" s="1"/>
  <c r="P1323" i="4" s="1"/>
  <c r="M1331" i="4"/>
  <c r="M1307" i="4"/>
  <c r="N1306" i="4"/>
  <c r="N1330" i="4"/>
  <c r="O1330" i="4" s="1"/>
  <c r="P1330" i="4" s="1"/>
  <c r="N1340" i="4"/>
  <c r="O1340" i="4" s="1"/>
  <c r="N1300" i="4"/>
  <c r="N1318" i="4"/>
  <c r="N1296" i="4"/>
  <c r="N1343" i="4"/>
  <c r="O1343" i="4" s="1"/>
  <c r="P1343" i="4" s="1"/>
  <c r="N1026" i="4"/>
  <c r="O1026" i="4" s="1"/>
  <c r="P1026" i="4" s="1"/>
  <c r="N1022" i="4"/>
  <c r="O1022" i="4" s="1"/>
  <c r="P1022" i="4" s="1"/>
  <c r="N1027" i="4"/>
  <c r="O1027" i="4" s="1"/>
  <c r="P1027" i="4" s="1"/>
  <c r="N1030" i="4"/>
  <c r="O1030" i="4" s="1"/>
  <c r="P1030" i="4" s="1"/>
  <c r="N1037" i="4"/>
  <c r="N1019" i="4"/>
  <c r="N1013" i="4"/>
  <c r="O1013" i="4" s="1"/>
  <c r="P1013" i="4" s="1"/>
  <c r="N1015" i="4"/>
  <c r="O1015" i="4" s="1"/>
  <c r="P1015" i="4" s="1"/>
  <c r="N1011" i="4"/>
  <c r="N988" i="4"/>
  <c r="O988" i="4" s="1"/>
  <c r="P988" i="4" s="1"/>
  <c r="N996" i="4"/>
  <c r="N1001" i="4"/>
  <c r="N1004" i="4"/>
  <c r="O1004" i="4" s="1"/>
  <c r="P1004" i="4" s="1"/>
  <c r="N992" i="4"/>
  <c r="O992" i="4" s="1"/>
  <c r="P992" i="4" s="1"/>
  <c r="N986" i="4"/>
  <c r="N982" i="4"/>
  <c r="O982" i="4" s="1"/>
  <c r="P403" i="4"/>
  <c r="K139" i="4"/>
  <c r="L139" i="4"/>
  <c r="M139" i="4" s="1"/>
  <c r="O139" i="4"/>
  <c r="P139" i="4" s="1"/>
  <c r="R139" i="4"/>
  <c r="S139" i="4" s="1"/>
  <c r="O25" i="4"/>
  <c r="P25" i="4" s="1"/>
  <c r="O26" i="4"/>
  <c r="P26" i="4" s="1"/>
  <c r="O34" i="4"/>
  <c r="P34" i="4" s="1"/>
  <c r="O37" i="4"/>
  <c r="P37" i="4" s="1"/>
  <c r="O40" i="4"/>
  <c r="P40" i="4" s="1"/>
  <c r="O41" i="4"/>
  <c r="P41" i="4" s="1"/>
  <c r="O42" i="4"/>
  <c r="P42" i="4" s="1"/>
  <c r="O44" i="4"/>
  <c r="P44" i="4" s="1"/>
  <c r="O45" i="4"/>
  <c r="P45" i="4" s="1"/>
  <c r="O48" i="4"/>
  <c r="P48" i="4" s="1"/>
  <c r="O49" i="4"/>
  <c r="P49" i="4" s="1"/>
  <c r="O50" i="4"/>
  <c r="P50" i="4" s="1"/>
  <c r="O52" i="4"/>
  <c r="P52" i="4" s="1"/>
  <c r="O53" i="4"/>
  <c r="P53" i="4" s="1"/>
  <c r="O61" i="4"/>
  <c r="P61" i="4" s="1"/>
  <c r="O62" i="4"/>
  <c r="P62" i="4" s="1"/>
  <c r="O64" i="4"/>
  <c r="P64" i="4" s="1"/>
  <c r="O66" i="4"/>
  <c r="P66" i="4" s="1"/>
  <c r="O67" i="4"/>
  <c r="P67" i="4" s="1"/>
  <c r="O72" i="4"/>
  <c r="P72" i="4" s="1"/>
  <c r="O73" i="4"/>
  <c r="P73" i="4" s="1"/>
  <c r="O75" i="4"/>
  <c r="P75" i="4" s="1"/>
  <c r="O76" i="4"/>
  <c r="P76" i="4" s="1"/>
  <c r="O79" i="4"/>
  <c r="P79" i="4" s="1"/>
  <c r="O80" i="4"/>
  <c r="P80" i="4" s="1"/>
  <c r="O81" i="4"/>
  <c r="P81" i="4" s="1"/>
  <c r="O84" i="4"/>
  <c r="P84" i="4" s="1"/>
  <c r="O85" i="4"/>
  <c r="P85" i="4" s="1"/>
  <c r="O86" i="4"/>
  <c r="P86" i="4" s="1"/>
  <c r="O88" i="4"/>
  <c r="P88" i="4" s="1"/>
  <c r="O90" i="4"/>
  <c r="P90" i="4" s="1"/>
  <c r="O93" i="4"/>
  <c r="P93" i="4" s="1"/>
  <c r="O94" i="4"/>
  <c r="P94" i="4" s="1"/>
  <c r="O95" i="4"/>
  <c r="P95" i="4" s="1"/>
  <c r="O98" i="4"/>
  <c r="P98" i="4" s="1"/>
  <c r="O100" i="4"/>
  <c r="P100" i="4" s="1"/>
  <c r="O103" i="4"/>
  <c r="P103" i="4" s="1"/>
  <c r="O105" i="4"/>
  <c r="P105" i="4" s="1"/>
  <c r="O108" i="4"/>
  <c r="P108" i="4" s="1"/>
  <c r="O109" i="4"/>
  <c r="P109" i="4" s="1"/>
  <c r="O110" i="4"/>
  <c r="P110" i="4" s="1"/>
  <c r="O111" i="4"/>
  <c r="P111" i="4" s="1"/>
  <c r="O113" i="4"/>
  <c r="P113" i="4" s="1"/>
  <c r="O114" i="4"/>
  <c r="P114" i="4" s="1"/>
  <c r="O118" i="4"/>
  <c r="P118" i="4" s="1"/>
  <c r="O119" i="4"/>
  <c r="P119" i="4" s="1"/>
  <c r="O121" i="4"/>
  <c r="P121" i="4" s="1"/>
  <c r="O124" i="4"/>
  <c r="P124" i="4" s="1"/>
  <c r="O125" i="4"/>
  <c r="P125" i="4" s="1"/>
  <c r="O126" i="4"/>
  <c r="P126" i="4" s="1"/>
  <c r="O128" i="4"/>
  <c r="P128" i="4" s="1"/>
  <c r="O135" i="4"/>
  <c r="P135" i="4" s="1"/>
  <c r="O136" i="4"/>
  <c r="P136" i="4" s="1"/>
  <c r="O140" i="4"/>
  <c r="P140" i="4" s="1"/>
  <c r="O142" i="4"/>
  <c r="P142" i="4" s="1"/>
  <c r="O143" i="4"/>
  <c r="P143" i="4" s="1"/>
  <c r="O146" i="4"/>
  <c r="P146" i="4" s="1"/>
  <c r="O154" i="4"/>
  <c r="P154" i="4" s="1"/>
  <c r="O156" i="4"/>
  <c r="P156" i="4" s="1"/>
  <c r="O157" i="4"/>
  <c r="P157" i="4" s="1"/>
  <c r="O159" i="4"/>
  <c r="P159" i="4" s="1"/>
  <c r="O162" i="4"/>
  <c r="P162" i="4" s="1"/>
  <c r="O163" i="4"/>
  <c r="P163" i="4" s="1"/>
  <c r="O166" i="4"/>
  <c r="P166" i="4" s="1"/>
  <c r="O168" i="4"/>
  <c r="P168" i="4" s="1"/>
  <c r="O173" i="4"/>
  <c r="P173" i="4" s="1"/>
  <c r="O174" i="4"/>
  <c r="P174" i="4" s="1"/>
  <c r="O178" i="4"/>
  <c r="P178" i="4" s="1"/>
  <c r="O179" i="4"/>
  <c r="P179" i="4" s="1"/>
  <c r="O180" i="4"/>
  <c r="P180" i="4" s="1"/>
  <c r="O183" i="4"/>
  <c r="P183" i="4" s="1"/>
  <c r="O186" i="4"/>
  <c r="P186" i="4" s="1"/>
  <c r="O187" i="4"/>
  <c r="P187" i="4" s="1"/>
  <c r="O189" i="4"/>
  <c r="P189" i="4" s="1"/>
  <c r="O190" i="4"/>
  <c r="P190" i="4" s="1"/>
  <c r="O192" i="4"/>
  <c r="P192" i="4" s="1"/>
  <c r="O196" i="4"/>
  <c r="P196" i="4" s="1"/>
  <c r="O197" i="4"/>
  <c r="P197" i="4" s="1"/>
  <c r="O200" i="4"/>
  <c r="P200" i="4" s="1"/>
  <c r="O202" i="4"/>
  <c r="P202" i="4" s="1"/>
  <c r="O203" i="4"/>
  <c r="P203" i="4" s="1"/>
  <c r="O206" i="4"/>
  <c r="P206" i="4" s="1"/>
  <c r="O207" i="4"/>
  <c r="P207" i="4" s="1"/>
  <c r="O208" i="4"/>
  <c r="P208" i="4" s="1"/>
  <c r="O210" i="4"/>
  <c r="P210" i="4" s="1"/>
  <c r="O211" i="4"/>
  <c r="P211" i="4" s="1"/>
  <c r="O213" i="4"/>
  <c r="P213" i="4" s="1"/>
  <c r="O217" i="4"/>
  <c r="P217" i="4" s="1"/>
  <c r="O218" i="4"/>
  <c r="P218" i="4" s="1"/>
  <c r="O220" i="4"/>
  <c r="P220" i="4" s="1"/>
  <c r="O223" i="4"/>
  <c r="P223" i="4" s="1"/>
  <c r="O225" i="4"/>
  <c r="P225" i="4" s="1"/>
  <c r="O226" i="4"/>
  <c r="P226" i="4" s="1"/>
  <c r="O227" i="4"/>
  <c r="P227" i="4" s="1"/>
  <c r="O228" i="4"/>
  <c r="P228" i="4" s="1"/>
  <c r="O231" i="4"/>
  <c r="P231" i="4" s="1"/>
  <c r="O233" i="4"/>
  <c r="P233" i="4" s="1"/>
  <c r="O234" i="4"/>
  <c r="P234" i="4" s="1"/>
  <c r="O236" i="4"/>
  <c r="P236" i="4" s="1"/>
  <c r="O239" i="4"/>
  <c r="P239" i="4" s="1"/>
  <c r="O240" i="4"/>
  <c r="P240" i="4" s="1"/>
  <c r="O242" i="4"/>
  <c r="P242" i="4" s="1"/>
  <c r="O243" i="4"/>
  <c r="P243" i="4" s="1"/>
  <c r="O244" i="4"/>
  <c r="P244" i="4" s="1"/>
  <c r="O246" i="4"/>
  <c r="P246" i="4" s="1"/>
  <c r="O247" i="4"/>
  <c r="P247" i="4" s="1"/>
  <c r="O248" i="4"/>
  <c r="P248" i="4" s="1"/>
  <c r="O251" i="4"/>
  <c r="P251" i="4" s="1"/>
  <c r="O253" i="4"/>
  <c r="P253" i="4" s="1"/>
  <c r="O254" i="4"/>
  <c r="P254" i="4" s="1"/>
  <c r="O255" i="4"/>
  <c r="P255" i="4" s="1"/>
  <c r="O266" i="4"/>
  <c r="P266" i="4" s="1"/>
  <c r="O267" i="4"/>
  <c r="P267" i="4" s="1"/>
  <c r="O269" i="4"/>
  <c r="P269" i="4" s="1"/>
  <c r="K2" i="11"/>
  <c r="J2" i="11"/>
  <c r="C4" i="11"/>
  <c r="B4" i="11"/>
  <c r="N2" i="10"/>
  <c r="M2" i="10"/>
  <c r="L2" i="10"/>
  <c r="K2" i="10"/>
  <c r="J2" i="10"/>
  <c r="C4" i="10"/>
  <c r="B4" i="10"/>
  <c r="N2" i="8"/>
  <c r="K2" i="8"/>
  <c r="J2" i="8"/>
  <c r="H2" i="8"/>
  <c r="C4" i="8"/>
  <c r="B4" i="8"/>
  <c r="R2" i="7"/>
  <c r="Q2" i="7"/>
  <c r="P2" i="7"/>
  <c r="O2" i="7"/>
  <c r="N2" i="7"/>
  <c r="M2" i="7"/>
  <c r="J2" i="7"/>
  <c r="I2" i="7"/>
  <c r="C4" i="7"/>
  <c r="B4" i="7"/>
  <c r="C4" i="6"/>
  <c r="B4" i="6"/>
  <c r="C4" i="5"/>
  <c r="B4" i="5"/>
  <c r="B4" i="4"/>
  <c r="H1371" i="4"/>
  <c r="C1371" i="4"/>
  <c r="B522" i="4"/>
  <c r="B1293" i="4"/>
  <c r="B800" i="4"/>
  <c r="Q131" i="4" l="1"/>
  <c r="R131" i="4" s="1"/>
  <c r="S131" i="4" s="1"/>
  <c r="P1312" i="4"/>
  <c r="O1360" i="4"/>
  <c r="P1360" i="4" s="1"/>
  <c r="Q1369" i="4"/>
  <c r="O1350" i="4"/>
  <c r="P1350" i="4" s="1"/>
  <c r="Q1355" i="4"/>
  <c r="O1318" i="4"/>
  <c r="P1318" i="4" s="1"/>
  <c r="Q1323" i="4"/>
  <c r="O1300" i="4"/>
  <c r="P1300" i="4" s="1"/>
  <c r="P1340" i="4"/>
  <c r="Q1343" i="4"/>
  <c r="Q1309" i="4"/>
  <c r="O1306" i="4"/>
  <c r="P1306" i="4" s="1"/>
  <c r="N1370" i="4"/>
  <c r="O1370" i="4" s="1"/>
  <c r="P1370" i="4" s="1"/>
  <c r="Q1302" i="4"/>
  <c r="O1019" i="4"/>
  <c r="P1019" i="4" s="1"/>
  <c r="Q1022" i="4"/>
  <c r="O1037" i="4"/>
  <c r="P1037" i="4" s="1"/>
  <c r="Q1037" i="4"/>
  <c r="Q1030" i="4"/>
  <c r="O1011" i="4"/>
  <c r="P1011" i="4" s="1"/>
  <c r="Q1015" i="4"/>
  <c r="O1001" i="4"/>
  <c r="P1001" i="4" s="1"/>
  <c r="Q1004" i="4"/>
  <c r="R1004" i="4" s="1"/>
  <c r="S1004" i="4" s="1"/>
  <c r="O996" i="4"/>
  <c r="P996" i="4" s="1"/>
  <c r="Q996" i="4"/>
  <c r="R996" i="4" s="1"/>
  <c r="S996" i="4" s="1"/>
  <c r="O986" i="4"/>
  <c r="P986" i="4" s="1"/>
  <c r="Q992" i="4"/>
  <c r="R992" i="4" s="1"/>
  <c r="S992" i="4" s="1"/>
  <c r="P982" i="4"/>
  <c r="K590" i="4"/>
  <c r="L590" i="4"/>
  <c r="M590" i="4" s="1"/>
  <c r="R429" i="4"/>
  <c r="S429" i="4" s="1"/>
  <c r="R432" i="4"/>
  <c r="S432" i="4" s="1"/>
  <c r="R433" i="4"/>
  <c r="S433" i="4" s="1"/>
  <c r="R434" i="4"/>
  <c r="S434" i="4" s="1"/>
  <c r="R435" i="4"/>
  <c r="S435" i="4" s="1"/>
  <c r="R436" i="4"/>
  <c r="S436" i="4" s="1"/>
  <c r="R437" i="4"/>
  <c r="S437" i="4" s="1"/>
  <c r="R438" i="4"/>
  <c r="S438" i="4" s="1"/>
  <c r="R441" i="4"/>
  <c r="S441" i="4" s="1"/>
  <c r="R442" i="4"/>
  <c r="S442" i="4" s="1"/>
  <c r="R443" i="4"/>
  <c r="S443" i="4" s="1"/>
  <c r="R446" i="4"/>
  <c r="S446" i="4" s="1"/>
  <c r="R447" i="4"/>
  <c r="S447" i="4" s="1"/>
  <c r="R448" i="4"/>
  <c r="S448" i="4" s="1"/>
  <c r="R449" i="4"/>
  <c r="S449" i="4" s="1"/>
  <c r="R450" i="4"/>
  <c r="S450" i="4" s="1"/>
  <c r="R451" i="4"/>
  <c r="S451" i="4" s="1"/>
  <c r="R452" i="4"/>
  <c r="S452" i="4" s="1"/>
  <c r="R453" i="4"/>
  <c r="S453" i="4" s="1"/>
  <c r="R456" i="4"/>
  <c r="S456" i="4" s="1"/>
  <c r="R457" i="4"/>
  <c r="S457" i="4" s="1"/>
  <c r="R458" i="4"/>
  <c r="S458" i="4" s="1"/>
  <c r="R459" i="4"/>
  <c r="S459" i="4" s="1"/>
  <c r="R460" i="4"/>
  <c r="S460" i="4" s="1"/>
  <c r="R461" i="4"/>
  <c r="S461" i="4" s="1"/>
  <c r="R462" i="4"/>
  <c r="S462" i="4" s="1"/>
  <c r="R463" i="4"/>
  <c r="S463" i="4" s="1"/>
  <c r="R464" i="4"/>
  <c r="S464" i="4" s="1"/>
  <c r="R465" i="4"/>
  <c r="S465" i="4" s="1"/>
  <c r="R466" i="4"/>
  <c r="S466" i="4" s="1"/>
  <c r="R469" i="4"/>
  <c r="S469" i="4" s="1"/>
  <c r="R470" i="4"/>
  <c r="S470" i="4" s="1"/>
  <c r="R471" i="4"/>
  <c r="S471" i="4" s="1"/>
  <c r="R472" i="4"/>
  <c r="S472" i="4" s="1"/>
  <c r="R475" i="4"/>
  <c r="S475" i="4" s="1"/>
  <c r="R476" i="4"/>
  <c r="S476" i="4" s="1"/>
  <c r="R477" i="4"/>
  <c r="S477" i="4" s="1"/>
  <c r="R478" i="4"/>
  <c r="S478" i="4" s="1"/>
  <c r="R479" i="4"/>
  <c r="S479" i="4" s="1"/>
  <c r="R480" i="4"/>
  <c r="S480" i="4" s="1"/>
  <c r="R481" i="4"/>
  <c r="S481" i="4" s="1"/>
  <c r="R482" i="4"/>
  <c r="S482" i="4" s="1"/>
  <c r="R483" i="4"/>
  <c r="S483" i="4" s="1"/>
  <c r="R484" i="4"/>
  <c r="S484" i="4" s="1"/>
  <c r="R485" i="4"/>
  <c r="S485" i="4" s="1"/>
  <c r="R486" i="4"/>
  <c r="S486" i="4" s="1"/>
  <c r="R487" i="4"/>
  <c r="S487" i="4" s="1"/>
  <c r="R488" i="4"/>
  <c r="S488" i="4" s="1"/>
  <c r="R491" i="4"/>
  <c r="S491" i="4" s="1"/>
  <c r="R492" i="4"/>
  <c r="S492" i="4" s="1"/>
  <c r="R493" i="4"/>
  <c r="S493" i="4" s="1"/>
  <c r="R494" i="4"/>
  <c r="S494" i="4" s="1"/>
  <c r="R495" i="4"/>
  <c r="S495" i="4" s="1"/>
  <c r="R496" i="4"/>
  <c r="S496" i="4" s="1"/>
  <c r="R497" i="4"/>
  <c r="S497" i="4" s="1"/>
  <c r="R498" i="4"/>
  <c r="S498" i="4" s="1"/>
  <c r="R499" i="4"/>
  <c r="S499" i="4" s="1"/>
  <c r="R502" i="4"/>
  <c r="S502" i="4" s="1"/>
  <c r="R503" i="4"/>
  <c r="S503" i="4" s="1"/>
  <c r="R504" i="4"/>
  <c r="S504" i="4" s="1"/>
  <c r="R507" i="4"/>
  <c r="S507" i="4" s="1"/>
  <c r="R508" i="4"/>
  <c r="S508" i="4" s="1"/>
  <c r="R509" i="4"/>
  <c r="S509" i="4" s="1"/>
  <c r="R510" i="4"/>
  <c r="S510" i="4" s="1"/>
  <c r="R511" i="4"/>
  <c r="S511" i="4" s="1"/>
  <c r="R512" i="4"/>
  <c r="S512" i="4" s="1"/>
  <c r="R513" i="4"/>
  <c r="S513" i="4" s="1"/>
  <c r="R514" i="4"/>
  <c r="S514" i="4" s="1"/>
  <c r="R517" i="4"/>
  <c r="S517" i="4" s="1"/>
  <c r="R518" i="4"/>
  <c r="S518" i="4" s="1"/>
  <c r="R519" i="4"/>
  <c r="S519" i="4" s="1"/>
  <c r="O447" i="4"/>
  <c r="P447" i="4" s="1"/>
  <c r="O448" i="4"/>
  <c r="P448" i="4" s="1"/>
  <c r="O450" i="4"/>
  <c r="P450" i="4" s="1"/>
  <c r="O451" i="4"/>
  <c r="P451" i="4" s="1"/>
  <c r="O452" i="4"/>
  <c r="P452" i="4" s="1"/>
  <c r="O453" i="4"/>
  <c r="P453" i="4" s="1"/>
  <c r="O456" i="4"/>
  <c r="P456" i="4" s="1"/>
  <c r="O457" i="4"/>
  <c r="P457" i="4" s="1"/>
  <c r="O458" i="4"/>
  <c r="P458" i="4" s="1"/>
  <c r="O459" i="4"/>
  <c r="P459" i="4" s="1"/>
  <c r="O461" i="4"/>
  <c r="P461" i="4" s="1"/>
  <c r="O462" i="4"/>
  <c r="P462" i="4" s="1"/>
  <c r="O463" i="4"/>
  <c r="P463" i="4" s="1"/>
  <c r="O465" i="4"/>
  <c r="P465" i="4" s="1"/>
  <c r="O466" i="4"/>
  <c r="P466" i="4" s="1"/>
  <c r="O469" i="4"/>
  <c r="P469" i="4" s="1"/>
  <c r="O470" i="4"/>
  <c r="P470" i="4" s="1"/>
  <c r="O471" i="4"/>
  <c r="P471" i="4" s="1"/>
  <c r="O472" i="4"/>
  <c r="P472" i="4" s="1"/>
  <c r="O475" i="4"/>
  <c r="P475" i="4" s="1"/>
  <c r="O476" i="4"/>
  <c r="P476" i="4" s="1"/>
  <c r="O477" i="4"/>
  <c r="P477" i="4" s="1"/>
  <c r="O479" i="4"/>
  <c r="P479" i="4" s="1"/>
  <c r="O480" i="4"/>
  <c r="P480" i="4" s="1"/>
  <c r="O481" i="4"/>
  <c r="P481" i="4" s="1"/>
  <c r="O483" i="4"/>
  <c r="P483" i="4" s="1"/>
  <c r="O484" i="4"/>
  <c r="P484" i="4" s="1"/>
  <c r="O485" i="4"/>
  <c r="P485" i="4" s="1"/>
  <c r="O487" i="4"/>
  <c r="P487" i="4" s="1"/>
  <c r="O488" i="4"/>
  <c r="P488" i="4" s="1"/>
  <c r="O491" i="4"/>
  <c r="P491" i="4" s="1"/>
  <c r="O492" i="4"/>
  <c r="P492" i="4" s="1"/>
  <c r="O493" i="4"/>
  <c r="P493" i="4" s="1"/>
  <c r="O495" i="4"/>
  <c r="P495" i="4" s="1"/>
  <c r="O496" i="4"/>
  <c r="P496" i="4" s="1"/>
  <c r="O498" i="4"/>
  <c r="P498" i="4" s="1"/>
  <c r="O499" i="4"/>
  <c r="P499" i="4" s="1"/>
  <c r="O502" i="4"/>
  <c r="P502" i="4" s="1"/>
  <c r="O504" i="4"/>
  <c r="P504" i="4" s="1"/>
  <c r="O507" i="4"/>
  <c r="P507" i="4" s="1"/>
  <c r="O508" i="4"/>
  <c r="P508" i="4" s="1"/>
  <c r="O509" i="4"/>
  <c r="P509" i="4" s="1"/>
  <c r="O510" i="4"/>
  <c r="P510" i="4" s="1"/>
  <c r="O512" i="4"/>
  <c r="P512" i="4" s="1"/>
  <c r="O513" i="4"/>
  <c r="P513" i="4" s="1"/>
  <c r="O514" i="4"/>
  <c r="P514" i="4" s="1"/>
  <c r="O517" i="4"/>
  <c r="P517" i="4" s="1"/>
  <c r="O518" i="4"/>
  <c r="P518" i="4" s="1"/>
  <c r="O519" i="4"/>
  <c r="P519" i="4" s="1"/>
  <c r="O429" i="4"/>
  <c r="P429" i="4" s="1"/>
  <c r="O432" i="4"/>
  <c r="P432" i="4" s="1"/>
  <c r="O433" i="4"/>
  <c r="P433" i="4" s="1"/>
  <c r="O434" i="4"/>
  <c r="P434" i="4" s="1"/>
  <c r="O435" i="4"/>
  <c r="P435" i="4" s="1"/>
  <c r="O436" i="4"/>
  <c r="P436" i="4" s="1"/>
  <c r="O438" i="4"/>
  <c r="P438" i="4" s="1"/>
  <c r="O441" i="4"/>
  <c r="P441" i="4" s="1"/>
  <c r="O442" i="4"/>
  <c r="P442" i="4" s="1"/>
  <c r="O443" i="4"/>
  <c r="P443" i="4" s="1"/>
  <c r="O446" i="4"/>
  <c r="P446" i="4" s="1"/>
  <c r="K561" i="4"/>
  <c r="L561" i="4"/>
  <c r="K562" i="4"/>
  <c r="L562" i="4"/>
  <c r="M562" i="4" s="1"/>
  <c r="K563" i="4"/>
  <c r="L563" i="4"/>
  <c r="K564" i="4"/>
  <c r="L564" i="4"/>
  <c r="K565" i="4"/>
  <c r="L565" i="4"/>
  <c r="K568" i="4"/>
  <c r="L568" i="4"/>
  <c r="K569" i="4"/>
  <c r="L569" i="4"/>
  <c r="K570" i="4"/>
  <c r="L570" i="4"/>
  <c r="K571" i="4"/>
  <c r="L571" i="4"/>
  <c r="K573" i="4"/>
  <c r="L573" i="4"/>
  <c r="K574" i="4"/>
  <c r="L574" i="4"/>
  <c r="M574" i="4" s="1"/>
  <c r="K575" i="4"/>
  <c r="L575" i="4"/>
  <c r="K576" i="4"/>
  <c r="L576" i="4"/>
  <c r="K577" i="4"/>
  <c r="L577" i="4"/>
  <c r="K566" i="4"/>
  <c r="L566" i="4"/>
  <c r="K579" i="4"/>
  <c r="L579" i="4"/>
  <c r="K581" i="4"/>
  <c r="L581" i="4"/>
  <c r="K582" i="4"/>
  <c r="L582" i="4"/>
  <c r="M582" i="4" s="1"/>
  <c r="K583" i="4"/>
  <c r="L583" i="4"/>
  <c r="K584" i="4"/>
  <c r="L584" i="4"/>
  <c r="K585" i="4"/>
  <c r="L585" i="4"/>
  <c r="K586" i="4"/>
  <c r="L586" i="4"/>
  <c r="M586" i="4" s="1"/>
  <c r="K587" i="4"/>
  <c r="L587" i="4"/>
  <c r="M587" i="4" s="1"/>
  <c r="K589" i="4"/>
  <c r="L589" i="4"/>
  <c r="K591" i="4"/>
  <c r="L591" i="4"/>
  <c r="K592" i="4"/>
  <c r="L592" i="4"/>
  <c r="M592" i="4" s="1"/>
  <c r="K593" i="4"/>
  <c r="L593" i="4"/>
  <c r="M593" i="4" s="1"/>
  <c r="K1076" i="4"/>
  <c r="L1076" i="4"/>
  <c r="K1077" i="4"/>
  <c r="L1077" i="4"/>
  <c r="M1077" i="4" s="1"/>
  <c r="K1078" i="4"/>
  <c r="L1078" i="4"/>
  <c r="K1079" i="4"/>
  <c r="L1079" i="4"/>
  <c r="M1079" i="4" s="1"/>
  <c r="K1080" i="4"/>
  <c r="L1080" i="4"/>
  <c r="M1080" i="4" s="1"/>
  <c r="K1081" i="4"/>
  <c r="L1081" i="4"/>
  <c r="K1082" i="4"/>
  <c r="L1082" i="4"/>
  <c r="M1082" i="4" s="1"/>
  <c r="K1083" i="4"/>
  <c r="L1083" i="4"/>
  <c r="K1084" i="4"/>
  <c r="L1084" i="4"/>
  <c r="M1084" i="4" s="1"/>
  <c r="K1085" i="4"/>
  <c r="L1085" i="4"/>
  <c r="M1085" i="4" s="1"/>
  <c r="K1086" i="4"/>
  <c r="L1086" i="4"/>
  <c r="M1086" i="4" s="1"/>
  <c r="K1088" i="4"/>
  <c r="L1088" i="4"/>
  <c r="K1089" i="4"/>
  <c r="L1089" i="4"/>
  <c r="M1089" i="4" s="1"/>
  <c r="K1090" i="4"/>
  <c r="L1090" i="4"/>
  <c r="M1090" i="4" s="1"/>
  <c r="K1091" i="4"/>
  <c r="L1091" i="4"/>
  <c r="K1092" i="4"/>
  <c r="L1092" i="4"/>
  <c r="M1092" i="4" s="1"/>
  <c r="K1093" i="4"/>
  <c r="L1093" i="4"/>
  <c r="M1093" i="4" s="1"/>
  <c r="K1095" i="4"/>
  <c r="L1095" i="4"/>
  <c r="K1096" i="4"/>
  <c r="L1096" i="4"/>
  <c r="M1096" i="4" s="1"/>
  <c r="K1097" i="4"/>
  <c r="L1097" i="4"/>
  <c r="M1097" i="4" s="1"/>
  <c r="K1098" i="4"/>
  <c r="L1098" i="4"/>
  <c r="K1099" i="4"/>
  <c r="L1099" i="4"/>
  <c r="M1099" i="4" s="1"/>
  <c r="K1101" i="4"/>
  <c r="L1101" i="4"/>
  <c r="L1074" i="4"/>
  <c r="K1074" i="4"/>
  <c r="E1293" i="4"/>
  <c r="D1293" i="4"/>
  <c r="K1041" i="4"/>
  <c r="L1041" i="4"/>
  <c r="K1042" i="4"/>
  <c r="L1042" i="4"/>
  <c r="K1043" i="4"/>
  <c r="L1043" i="4"/>
  <c r="M1043" i="4" s="1"/>
  <c r="K1044" i="4"/>
  <c r="L1044" i="4"/>
  <c r="K1045" i="4"/>
  <c r="L1045" i="4"/>
  <c r="M1045" i="4" s="1"/>
  <c r="K1046" i="4"/>
  <c r="L1046" i="4"/>
  <c r="K1047" i="4"/>
  <c r="L1047" i="4"/>
  <c r="M1047" i="4" s="1"/>
  <c r="K1048" i="4"/>
  <c r="L1048" i="4"/>
  <c r="M1048" i="4" s="1"/>
  <c r="K1050" i="4"/>
  <c r="L1050" i="4"/>
  <c r="K1051" i="4"/>
  <c r="L1051" i="4"/>
  <c r="K1052" i="4"/>
  <c r="L1052" i="4"/>
  <c r="K1053" i="4"/>
  <c r="L1053" i="4"/>
  <c r="M1053" i="4" s="1"/>
  <c r="K1055" i="4"/>
  <c r="L1055" i="4"/>
  <c r="K1056" i="4"/>
  <c r="L1056" i="4"/>
  <c r="M1056" i="4" s="1"/>
  <c r="K1057" i="4"/>
  <c r="L1057" i="4"/>
  <c r="M1057" i="4" s="1"/>
  <c r="K1058" i="4"/>
  <c r="L1058" i="4"/>
  <c r="K1059" i="4"/>
  <c r="L1059" i="4"/>
  <c r="M1059" i="4" s="1"/>
  <c r="K1060" i="4"/>
  <c r="L1060" i="4"/>
  <c r="M1060" i="4" s="1"/>
  <c r="K1061" i="4"/>
  <c r="L1061" i="4"/>
  <c r="K1062" i="4"/>
  <c r="L1062" i="4"/>
  <c r="M1062" i="4" s="1"/>
  <c r="K1063" i="4"/>
  <c r="L1063" i="4"/>
  <c r="M1063" i="4" s="1"/>
  <c r="K1065" i="4"/>
  <c r="L1065" i="4"/>
  <c r="K1066" i="4"/>
  <c r="L1066" i="4"/>
  <c r="M1066" i="4" s="1"/>
  <c r="K1067" i="4"/>
  <c r="L1067" i="4"/>
  <c r="K1068" i="4"/>
  <c r="L1068" i="4"/>
  <c r="M1068" i="4" s="1"/>
  <c r="K1070" i="4"/>
  <c r="L1070" i="4"/>
  <c r="K1071" i="4"/>
  <c r="L1071" i="4"/>
  <c r="M1071" i="4" s="1"/>
  <c r="K1072" i="4"/>
  <c r="L1072" i="4"/>
  <c r="M1072" i="4" s="1"/>
  <c r="L1039" i="4"/>
  <c r="K1039" i="4"/>
  <c r="K954" i="4"/>
  <c r="L954" i="4"/>
  <c r="K955" i="4"/>
  <c r="L955" i="4"/>
  <c r="K956" i="4"/>
  <c r="L956" i="4"/>
  <c r="M956" i="4" s="1"/>
  <c r="K957" i="4"/>
  <c r="L957" i="4"/>
  <c r="M957" i="4" s="1"/>
  <c r="K958" i="4"/>
  <c r="L958" i="4"/>
  <c r="M958" i="4" s="1"/>
  <c r="K959" i="4"/>
  <c r="L959" i="4"/>
  <c r="M959" i="4" s="1"/>
  <c r="K960" i="4"/>
  <c r="L960" i="4"/>
  <c r="K961" i="4"/>
  <c r="L961" i="4"/>
  <c r="M961" i="4" s="1"/>
  <c r="K962" i="4"/>
  <c r="L962" i="4"/>
  <c r="M962" i="4" s="1"/>
  <c r="K963" i="4"/>
  <c r="L963" i="4"/>
  <c r="M963" i="4" s="1"/>
  <c r="K965" i="4"/>
  <c r="L965" i="4"/>
  <c r="K966" i="4"/>
  <c r="L966" i="4"/>
  <c r="M966" i="4" s="1"/>
  <c r="K967" i="4"/>
  <c r="L967" i="4"/>
  <c r="M967" i="4" s="1"/>
  <c r="K968" i="4"/>
  <c r="L968" i="4"/>
  <c r="M968" i="4" s="1"/>
  <c r="K970" i="4"/>
  <c r="L970" i="4"/>
  <c r="K971" i="4"/>
  <c r="L971" i="4"/>
  <c r="M971" i="4" s="1"/>
  <c r="K972" i="4"/>
  <c r="L972" i="4"/>
  <c r="M972" i="4" s="1"/>
  <c r="K973" i="4"/>
  <c r="L973" i="4"/>
  <c r="M973" i="4" s="1"/>
  <c r="K974" i="4"/>
  <c r="L974" i="4"/>
  <c r="M974" i="4" s="1"/>
  <c r="K975" i="4"/>
  <c r="L975" i="4"/>
  <c r="L953" i="4"/>
  <c r="M953" i="4" s="1"/>
  <c r="K953" i="4"/>
  <c r="K843" i="4"/>
  <c r="L843" i="4"/>
  <c r="K844" i="4"/>
  <c r="L844" i="4"/>
  <c r="M844" i="4" s="1"/>
  <c r="K845" i="4"/>
  <c r="L845" i="4"/>
  <c r="M845" i="4" s="1"/>
  <c r="K846" i="4"/>
  <c r="L846" i="4"/>
  <c r="M846" i="4" s="1"/>
  <c r="K848" i="4"/>
  <c r="L848" i="4"/>
  <c r="K849" i="4"/>
  <c r="L849" i="4"/>
  <c r="M849" i="4" s="1"/>
  <c r="K850" i="4"/>
  <c r="L850" i="4"/>
  <c r="M850" i="4" s="1"/>
  <c r="K851" i="4"/>
  <c r="L851" i="4"/>
  <c r="M851" i="4" s="1"/>
  <c r="K852" i="4"/>
  <c r="L852" i="4"/>
  <c r="M852" i="4" s="1"/>
  <c r="K853" i="4"/>
  <c r="L853" i="4"/>
  <c r="M853" i="4" s="1"/>
  <c r="K854" i="4"/>
  <c r="L854" i="4"/>
  <c r="M854" i="4" s="1"/>
  <c r="K855" i="4"/>
  <c r="L855" i="4"/>
  <c r="K856" i="4"/>
  <c r="L856" i="4"/>
  <c r="M856" i="4" s="1"/>
  <c r="K857" i="4"/>
  <c r="L857" i="4"/>
  <c r="M857" i="4" s="1"/>
  <c r="K858" i="4"/>
  <c r="L858" i="4"/>
  <c r="M858" i="4" s="1"/>
  <c r="K859" i="4"/>
  <c r="L859" i="4"/>
  <c r="M859" i="4" s="1"/>
  <c r="K861" i="4"/>
  <c r="L861" i="4"/>
  <c r="K862" i="4"/>
  <c r="L862" i="4"/>
  <c r="M862" i="4" s="1"/>
  <c r="K863" i="4"/>
  <c r="L863" i="4"/>
  <c r="M863" i="4" s="1"/>
  <c r="K864" i="4"/>
  <c r="L864" i="4"/>
  <c r="M864" i="4" s="1"/>
  <c r="K865" i="4"/>
  <c r="L865" i="4"/>
  <c r="M865" i="4" s="1"/>
  <c r="K866" i="4"/>
  <c r="L866" i="4"/>
  <c r="K867" i="4"/>
  <c r="L867" i="4"/>
  <c r="M867" i="4" s="1"/>
  <c r="K868" i="4"/>
  <c r="L868" i="4"/>
  <c r="M868" i="4" s="1"/>
  <c r="K869" i="4"/>
  <c r="L869" i="4"/>
  <c r="M869" i="4" s="1"/>
  <c r="K870" i="4"/>
  <c r="L870" i="4"/>
  <c r="M870" i="4" s="1"/>
  <c r="K872" i="4"/>
  <c r="L872" i="4"/>
  <c r="K873" i="4"/>
  <c r="L873" i="4"/>
  <c r="M873" i="4" s="1"/>
  <c r="K874" i="4"/>
  <c r="L874" i="4"/>
  <c r="M874" i="4" s="1"/>
  <c r="K875" i="4"/>
  <c r="L875" i="4"/>
  <c r="M875" i="4" s="1"/>
  <c r="K877" i="4"/>
  <c r="L877" i="4"/>
  <c r="K878" i="4"/>
  <c r="L878" i="4"/>
  <c r="M878" i="4" s="1"/>
  <c r="K879" i="4"/>
  <c r="L879" i="4"/>
  <c r="M879" i="4" s="1"/>
  <c r="K880" i="4"/>
  <c r="L880" i="4"/>
  <c r="M880" i="4" s="1"/>
  <c r="K881" i="4"/>
  <c r="L881" i="4"/>
  <c r="M881" i="4" s="1"/>
  <c r="K882" i="4"/>
  <c r="L882" i="4"/>
  <c r="M882" i="4" s="1"/>
  <c r="K883" i="4"/>
  <c r="L883" i="4"/>
  <c r="M883" i="4" s="1"/>
  <c r="K884" i="4"/>
  <c r="L884" i="4"/>
  <c r="M884" i="4" s="1"/>
  <c r="K885" i="4"/>
  <c r="L885" i="4"/>
  <c r="M885" i="4" s="1"/>
  <c r="K886" i="4"/>
  <c r="L886" i="4"/>
  <c r="M886" i="4" s="1"/>
  <c r="K887" i="4"/>
  <c r="L887" i="4"/>
  <c r="M887" i="4" s="1"/>
  <c r="K888" i="4"/>
  <c r="L888" i="4"/>
  <c r="M888" i="4" s="1"/>
  <c r="K890" i="4"/>
  <c r="L890" i="4"/>
  <c r="K891" i="4"/>
  <c r="L891" i="4"/>
  <c r="M891" i="4" s="1"/>
  <c r="K892" i="4"/>
  <c r="L892" i="4"/>
  <c r="M892" i="4" s="1"/>
  <c r="K893" i="4"/>
  <c r="L893" i="4"/>
  <c r="M893" i="4" s="1"/>
  <c r="K894" i="4"/>
  <c r="L894" i="4"/>
  <c r="M894" i="4" s="1"/>
  <c r="K895" i="4"/>
  <c r="L895" i="4"/>
  <c r="M895" i="4" s="1"/>
  <c r="K896" i="4"/>
  <c r="L896" i="4"/>
  <c r="K897" i="4"/>
  <c r="L897" i="4"/>
  <c r="M897" i="4" s="1"/>
  <c r="K898" i="4"/>
  <c r="L898" i="4"/>
  <c r="M898" i="4" s="1"/>
  <c r="K900" i="4"/>
  <c r="L900" i="4"/>
  <c r="K901" i="4"/>
  <c r="L901" i="4"/>
  <c r="M901" i="4" s="1"/>
  <c r="K902" i="4"/>
  <c r="L902" i="4"/>
  <c r="M902" i="4" s="1"/>
  <c r="K903" i="4"/>
  <c r="L903" i="4"/>
  <c r="K904" i="4"/>
  <c r="L904" i="4"/>
  <c r="M904" i="4" s="1"/>
  <c r="K905" i="4"/>
  <c r="L905" i="4"/>
  <c r="M905" i="4" s="1"/>
  <c r="K906" i="4"/>
  <c r="L906" i="4"/>
  <c r="M906" i="4" s="1"/>
  <c r="K908" i="4"/>
  <c r="L908" i="4"/>
  <c r="K909" i="4"/>
  <c r="L909" i="4"/>
  <c r="M909" i="4" s="1"/>
  <c r="K910" i="4"/>
  <c r="L910" i="4"/>
  <c r="M910" i="4" s="1"/>
  <c r="K911" i="4"/>
  <c r="L911" i="4"/>
  <c r="M911" i="4" s="1"/>
  <c r="K912" i="4"/>
  <c r="L912" i="4"/>
  <c r="M912" i="4" s="1"/>
  <c r="K913" i="4"/>
  <c r="L913" i="4"/>
  <c r="M913" i="4" s="1"/>
  <c r="K914" i="4"/>
  <c r="L914" i="4"/>
  <c r="M914" i="4" s="1"/>
  <c r="K915" i="4"/>
  <c r="L915" i="4"/>
  <c r="K916" i="4"/>
  <c r="L916" i="4"/>
  <c r="M916" i="4" s="1"/>
  <c r="K917" i="4"/>
  <c r="L917" i="4"/>
  <c r="M917" i="4" s="1"/>
  <c r="K918" i="4"/>
  <c r="L918" i="4"/>
  <c r="M918" i="4" s="1"/>
  <c r="K919" i="4"/>
  <c r="L919" i="4"/>
  <c r="K920" i="4"/>
  <c r="L920" i="4"/>
  <c r="M920" i="4" s="1"/>
  <c r="K921" i="4"/>
  <c r="L921" i="4"/>
  <c r="M921" i="4" s="1"/>
  <c r="K922" i="4"/>
  <c r="L922" i="4"/>
  <c r="M922" i="4" s="1"/>
  <c r="K923" i="4"/>
  <c r="L923" i="4"/>
  <c r="M923" i="4" s="1"/>
  <c r="K924" i="4"/>
  <c r="L924" i="4"/>
  <c r="M924" i="4" s="1"/>
  <c r="K925" i="4"/>
  <c r="L925" i="4"/>
  <c r="M925" i="4" s="1"/>
  <c r="K926" i="4"/>
  <c r="L926" i="4"/>
  <c r="M926" i="4" s="1"/>
  <c r="K927" i="4"/>
  <c r="L927" i="4"/>
  <c r="K928" i="4"/>
  <c r="L928" i="4"/>
  <c r="M928" i="4" s="1"/>
  <c r="K929" i="4"/>
  <c r="L929" i="4"/>
  <c r="M929" i="4" s="1"/>
  <c r="K931" i="4"/>
  <c r="L931" i="4"/>
  <c r="K932" i="4"/>
  <c r="L932" i="4"/>
  <c r="M932" i="4" s="1"/>
  <c r="K933" i="4"/>
  <c r="L933" i="4"/>
  <c r="M933" i="4" s="1"/>
  <c r="K934" i="4"/>
  <c r="L934" i="4"/>
  <c r="M934" i="4" s="1"/>
  <c r="K935" i="4"/>
  <c r="L935" i="4"/>
  <c r="M935" i="4" s="1"/>
  <c r="K936" i="4"/>
  <c r="L936" i="4"/>
  <c r="K937" i="4"/>
  <c r="L937" i="4"/>
  <c r="M937" i="4" s="1"/>
  <c r="K938" i="4"/>
  <c r="L938" i="4"/>
  <c r="M938" i="4" s="1"/>
  <c r="K939" i="4"/>
  <c r="L939" i="4"/>
  <c r="M939" i="4" s="1"/>
  <c r="K940" i="4"/>
  <c r="L940" i="4"/>
  <c r="M940" i="4" s="1"/>
  <c r="K941" i="4"/>
  <c r="L941" i="4"/>
  <c r="M941" i="4" s="1"/>
  <c r="K942" i="4"/>
  <c r="L942" i="4"/>
  <c r="M942" i="4" s="1"/>
  <c r="K943" i="4"/>
  <c r="L943" i="4"/>
  <c r="M943" i="4" s="1"/>
  <c r="K944" i="4"/>
  <c r="L944" i="4"/>
  <c r="M944" i="4" s="1"/>
  <c r="K945" i="4"/>
  <c r="L945" i="4"/>
  <c r="M945" i="4" s="1"/>
  <c r="K946" i="4"/>
  <c r="L946" i="4"/>
  <c r="K947" i="4"/>
  <c r="L947" i="4"/>
  <c r="M947" i="4" s="1"/>
  <c r="K948" i="4"/>
  <c r="L948" i="4"/>
  <c r="M948" i="4" s="1"/>
  <c r="K949" i="4"/>
  <c r="L949" i="4"/>
  <c r="M949" i="4" s="1"/>
  <c r="K950" i="4"/>
  <c r="L950" i="4"/>
  <c r="M950" i="4" s="1"/>
  <c r="K951" i="4"/>
  <c r="L951" i="4"/>
  <c r="M951" i="4" s="1"/>
  <c r="K768" i="4"/>
  <c r="L768" i="4"/>
  <c r="K769" i="4"/>
  <c r="L769" i="4"/>
  <c r="M769" i="4" s="1"/>
  <c r="K770" i="4"/>
  <c r="L770" i="4"/>
  <c r="M770" i="4" s="1"/>
  <c r="K771" i="4"/>
  <c r="L771" i="4"/>
  <c r="M771" i="4" s="1"/>
  <c r="K772" i="4"/>
  <c r="L772" i="4"/>
  <c r="M772" i="4" s="1"/>
  <c r="K773" i="4"/>
  <c r="L773" i="4"/>
  <c r="K774" i="4"/>
  <c r="L774" i="4"/>
  <c r="M774" i="4" s="1"/>
  <c r="K775" i="4"/>
  <c r="L775" i="4"/>
  <c r="M775" i="4" s="1"/>
  <c r="K776" i="4"/>
  <c r="L776" i="4"/>
  <c r="M776" i="4" s="1"/>
  <c r="K778" i="4"/>
  <c r="L778" i="4"/>
  <c r="K779" i="4"/>
  <c r="L779" i="4"/>
  <c r="M779" i="4" s="1"/>
  <c r="K780" i="4"/>
  <c r="L780" i="4"/>
  <c r="M780" i="4" s="1"/>
  <c r="K781" i="4"/>
  <c r="L781" i="4"/>
  <c r="M781" i="4" s="1"/>
  <c r="K782" i="4"/>
  <c r="L782" i="4"/>
  <c r="M782" i="4" s="1"/>
  <c r="K783" i="4"/>
  <c r="L783" i="4"/>
  <c r="K784" i="4"/>
  <c r="L784" i="4"/>
  <c r="M784" i="4" s="1"/>
  <c r="K785" i="4"/>
  <c r="L785" i="4"/>
  <c r="M785" i="4" s="1"/>
  <c r="K786" i="4"/>
  <c r="L786" i="4"/>
  <c r="M786" i="4" s="1"/>
  <c r="K787" i="4"/>
  <c r="L787" i="4"/>
  <c r="K788" i="4"/>
  <c r="L788" i="4"/>
  <c r="M788" i="4" s="1"/>
  <c r="K789" i="4"/>
  <c r="L789" i="4"/>
  <c r="M789" i="4" s="1"/>
  <c r="K790" i="4"/>
  <c r="L790" i="4"/>
  <c r="M790" i="4" s="1"/>
  <c r="K791" i="4"/>
  <c r="L791" i="4"/>
  <c r="M791" i="4" s="1"/>
  <c r="K792" i="4"/>
  <c r="L792" i="4"/>
  <c r="M792" i="4" s="1"/>
  <c r="K793" i="4"/>
  <c r="L793" i="4"/>
  <c r="M793" i="4" s="1"/>
  <c r="K794" i="4"/>
  <c r="L794" i="4"/>
  <c r="M794" i="4" s="1"/>
  <c r="K795" i="4"/>
  <c r="L795" i="4"/>
  <c r="K796" i="4"/>
  <c r="L796" i="4"/>
  <c r="M796" i="4" s="1"/>
  <c r="K797" i="4"/>
  <c r="L797" i="4"/>
  <c r="M797" i="4" s="1"/>
  <c r="K798" i="4"/>
  <c r="L798" i="4"/>
  <c r="M798" i="4" s="1"/>
  <c r="K524" i="4"/>
  <c r="L524" i="4"/>
  <c r="K525" i="4"/>
  <c r="L525" i="4"/>
  <c r="M525" i="4" s="1"/>
  <c r="K526" i="4"/>
  <c r="L526" i="4"/>
  <c r="M526" i="4" s="1"/>
  <c r="K527" i="4"/>
  <c r="L527" i="4"/>
  <c r="K528" i="4"/>
  <c r="L528" i="4"/>
  <c r="M528" i="4" s="1"/>
  <c r="K529" i="4"/>
  <c r="L529" i="4"/>
  <c r="K530" i="4"/>
  <c r="L530" i="4"/>
  <c r="M530" i="4" s="1"/>
  <c r="K531" i="4"/>
  <c r="L531" i="4"/>
  <c r="K532" i="4"/>
  <c r="L532" i="4"/>
  <c r="M532" i="4" s="1"/>
  <c r="K534" i="4"/>
  <c r="L534" i="4"/>
  <c r="K535" i="4"/>
  <c r="L535" i="4"/>
  <c r="M535" i="4" s="1"/>
  <c r="K536" i="4"/>
  <c r="L536" i="4"/>
  <c r="K537" i="4"/>
  <c r="L537" i="4"/>
  <c r="M537" i="4" s="1"/>
  <c r="K538" i="4"/>
  <c r="L538" i="4"/>
  <c r="M538" i="4" s="1"/>
  <c r="K552" i="4"/>
  <c r="L552" i="4"/>
  <c r="K540" i="4"/>
  <c r="L540" i="4"/>
  <c r="K541" i="4"/>
  <c r="L541" i="4"/>
  <c r="M541" i="4" s="1"/>
  <c r="K542" i="4"/>
  <c r="L542" i="4"/>
  <c r="M542" i="4" s="1"/>
  <c r="K543" i="4"/>
  <c r="L543" i="4"/>
  <c r="K544" i="4"/>
  <c r="L544" i="4"/>
  <c r="M544" i="4" s="1"/>
  <c r="K545" i="4"/>
  <c r="L545" i="4"/>
  <c r="M545" i="4" s="1"/>
  <c r="K547" i="4"/>
  <c r="L547" i="4"/>
  <c r="N547" i="4" s="1"/>
  <c r="K548" i="4"/>
  <c r="L548" i="4"/>
  <c r="K549" i="4"/>
  <c r="L549" i="4"/>
  <c r="K550" i="4"/>
  <c r="L550" i="4"/>
  <c r="M550" i="4" s="1"/>
  <c r="K551" i="4"/>
  <c r="L551" i="4"/>
  <c r="K554" i="4"/>
  <c r="L554" i="4"/>
  <c r="K555" i="4"/>
  <c r="L555" i="4"/>
  <c r="M555" i="4" s="1"/>
  <c r="K556" i="4"/>
  <c r="L556" i="4"/>
  <c r="M556" i="4" s="1"/>
  <c r="K557" i="4"/>
  <c r="L557" i="4"/>
  <c r="M557" i="4" s="1"/>
  <c r="K558" i="4"/>
  <c r="L558" i="4"/>
  <c r="K559" i="4"/>
  <c r="L559" i="4"/>
  <c r="N559" i="4" s="1"/>
  <c r="L523" i="4"/>
  <c r="M523" i="4" s="1"/>
  <c r="K523" i="4"/>
  <c r="K429" i="4"/>
  <c r="L429" i="4"/>
  <c r="K430" i="4"/>
  <c r="L430" i="4"/>
  <c r="M430" i="4" s="1"/>
  <c r="K432" i="4"/>
  <c r="L432" i="4"/>
  <c r="K433" i="4"/>
  <c r="L433" i="4"/>
  <c r="M433" i="4" s="1"/>
  <c r="K434" i="4"/>
  <c r="L434" i="4"/>
  <c r="M434" i="4" s="1"/>
  <c r="K435" i="4"/>
  <c r="L435" i="4"/>
  <c r="M435" i="4" s="1"/>
  <c r="K436" i="4"/>
  <c r="L436" i="4"/>
  <c r="M436" i="4" s="1"/>
  <c r="K437" i="4"/>
  <c r="L437" i="4"/>
  <c r="M437" i="4" s="1"/>
  <c r="K438" i="4"/>
  <c r="L438" i="4"/>
  <c r="K439" i="4"/>
  <c r="L439" i="4"/>
  <c r="M439" i="4" s="1"/>
  <c r="K441" i="4"/>
  <c r="L441" i="4"/>
  <c r="K442" i="4"/>
  <c r="L442" i="4"/>
  <c r="M442" i="4" s="1"/>
  <c r="K443" i="4"/>
  <c r="L443" i="4"/>
  <c r="M443" i="4" s="1"/>
  <c r="K444" i="4"/>
  <c r="L444" i="4"/>
  <c r="M444" i="4" s="1"/>
  <c r="K446" i="4"/>
  <c r="L446" i="4"/>
  <c r="K447" i="4"/>
  <c r="L447" i="4"/>
  <c r="M447" i="4" s="1"/>
  <c r="K448" i="4"/>
  <c r="L448" i="4"/>
  <c r="M448" i="4" s="1"/>
  <c r="K449" i="4"/>
  <c r="L449" i="4"/>
  <c r="M449" i="4" s="1"/>
  <c r="K450" i="4"/>
  <c r="L450" i="4"/>
  <c r="K451" i="4"/>
  <c r="L451" i="4"/>
  <c r="M451" i="4" s="1"/>
  <c r="K452" i="4"/>
  <c r="L452" i="4"/>
  <c r="M452" i="4" s="1"/>
  <c r="K453" i="4"/>
  <c r="L453" i="4"/>
  <c r="M453" i="4" s="1"/>
  <c r="K454" i="4"/>
  <c r="L454" i="4"/>
  <c r="M454" i="4" s="1"/>
  <c r="K456" i="4"/>
  <c r="L456" i="4"/>
  <c r="K457" i="4"/>
  <c r="L457" i="4"/>
  <c r="M457" i="4" s="1"/>
  <c r="K458" i="4"/>
  <c r="L458" i="4"/>
  <c r="M458" i="4" s="1"/>
  <c r="K459" i="4"/>
  <c r="L459" i="4"/>
  <c r="M459" i="4" s="1"/>
  <c r="K460" i="4"/>
  <c r="L460" i="4"/>
  <c r="M460" i="4" s="1"/>
  <c r="K461" i="4"/>
  <c r="L461" i="4"/>
  <c r="K462" i="4"/>
  <c r="L462" i="4"/>
  <c r="M462" i="4" s="1"/>
  <c r="K463" i="4"/>
  <c r="L463" i="4"/>
  <c r="M463" i="4" s="1"/>
  <c r="K464" i="4"/>
  <c r="L464" i="4"/>
  <c r="M464" i="4" s="1"/>
  <c r="K465" i="4"/>
  <c r="L465" i="4"/>
  <c r="K466" i="4"/>
  <c r="L466" i="4"/>
  <c r="M466" i="4" s="1"/>
  <c r="K467" i="4"/>
  <c r="L467" i="4"/>
  <c r="M467" i="4" s="1"/>
  <c r="K469" i="4"/>
  <c r="L469" i="4"/>
  <c r="K470" i="4"/>
  <c r="L470" i="4"/>
  <c r="M470" i="4" s="1"/>
  <c r="K471" i="4"/>
  <c r="L471" i="4"/>
  <c r="M471" i="4" s="1"/>
  <c r="K472" i="4"/>
  <c r="L472" i="4"/>
  <c r="M472" i="4" s="1"/>
  <c r="K473" i="4"/>
  <c r="L473" i="4"/>
  <c r="M473" i="4" s="1"/>
  <c r="K475" i="4"/>
  <c r="L475" i="4"/>
  <c r="K476" i="4"/>
  <c r="L476" i="4"/>
  <c r="M476" i="4" s="1"/>
  <c r="K477" i="4"/>
  <c r="L477" i="4"/>
  <c r="M477" i="4" s="1"/>
  <c r="K478" i="4"/>
  <c r="L478" i="4"/>
  <c r="M478" i="4" s="1"/>
  <c r="K479" i="4"/>
  <c r="L479" i="4"/>
  <c r="K480" i="4"/>
  <c r="L480" i="4"/>
  <c r="M480" i="4" s="1"/>
  <c r="K481" i="4"/>
  <c r="L481" i="4"/>
  <c r="M481" i="4" s="1"/>
  <c r="K482" i="4"/>
  <c r="L482" i="4"/>
  <c r="M482" i="4" s="1"/>
  <c r="K483" i="4"/>
  <c r="L483" i="4"/>
  <c r="K484" i="4"/>
  <c r="L484" i="4"/>
  <c r="M484" i="4" s="1"/>
  <c r="K485" i="4"/>
  <c r="L485" i="4"/>
  <c r="M485" i="4" s="1"/>
  <c r="K486" i="4"/>
  <c r="L486" i="4"/>
  <c r="M486" i="4" s="1"/>
  <c r="K487" i="4"/>
  <c r="L487" i="4"/>
  <c r="K488" i="4"/>
  <c r="L488" i="4"/>
  <c r="M488" i="4" s="1"/>
  <c r="K489" i="4"/>
  <c r="L489" i="4"/>
  <c r="M489" i="4" s="1"/>
  <c r="K491" i="4"/>
  <c r="L491" i="4"/>
  <c r="K492" i="4"/>
  <c r="L492" i="4"/>
  <c r="M492" i="4" s="1"/>
  <c r="K493" i="4"/>
  <c r="L493" i="4"/>
  <c r="M493" i="4" s="1"/>
  <c r="K494" i="4"/>
  <c r="L494" i="4"/>
  <c r="M494" i="4" s="1"/>
  <c r="K495" i="4"/>
  <c r="L495" i="4"/>
  <c r="K496" i="4"/>
  <c r="L496" i="4"/>
  <c r="M496" i="4" s="1"/>
  <c r="K497" i="4"/>
  <c r="L497" i="4"/>
  <c r="M497" i="4" s="1"/>
  <c r="K498" i="4"/>
  <c r="L498" i="4"/>
  <c r="K499" i="4"/>
  <c r="L499" i="4"/>
  <c r="M499" i="4" s="1"/>
  <c r="K500" i="4"/>
  <c r="L500" i="4"/>
  <c r="M500" i="4" s="1"/>
  <c r="K502" i="4"/>
  <c r="L502" i="4"/>
  <c r="K503" i="4"/>
  <c r="L503" i="4"/>
  <c r="M503" i="4" s="1"/>
  <c r="K504" i="4"/>
  <c r="L504" i="4"/>
  <c r="K505" i="4"/>
  <c r="L505" i="4"/>
  <c r="M505" i="4" s="1"/>
  <c r="K507" i="4"/>
  <c r="L507" i="4"/>
  <c r="K508" i="4"/>
  <c r="L508" i="4"/>
  <c r="M508" i="4" s="1"/>
  <c r="K509" i="4"/>
  <c r="L509" i="4"/>
  <c r="M509" i="4" s="1"/>
  <c r="K510" i="4"/>
  <c r="L510" i="4"/>
  <c r="M510" i="4" s="1"/>
  <c r="K511" i="4"/>
  <c r="L511" i="4"/>
  <c r="M511" i="4" s="1"/>
  <c r="K512" i="4"/>
  <c r="L512" i="4"/>
  <c r="K513" i="4"/>
  <c r="L513" i="4"/>
  <c r="M513" i="4" s="1"/>
  <c r="K514" i="4"/>
  <c r="L514" i="4"/>
  <c r="M514" i="4" s="1"/>
  <c r="K515" i="4"/>
  <c r="L515" i="4"/>
  <c r="M515" i="4" s="1"/>
  <c r="K517" i="4"/>
  <c r="L517" i="4"/>
  <c r="K518" i="4"/>
  <c r="L518" i="4"/>
  <c r="M518" i="4" s="1"/>
  <c r="K519" i="4"/>
  <c r="L519" i="4"/>
  <c r="M519" i="4" s="1"/>
  <c r="K520" i="4"/>
  <c r="L520" i="4"/>
  <c r="M520" i="4" s="1"/>
  <c r="L428" i="4"/>
  <c r="M428" i="4" s="1"/>
  <c r="K428" i="4"/>
  <c r="K397" i="4"/>
  <c r="L397" i="4"/>
  <c r="K398" i="4"/>
  <c r="L398" i="4"/>
  <c r="M398" i="4" s="1"/>
  <c r="K399" i="4"/>
  <c r="L399" i="4"/>
  <c r="M399" i="4" s="1"/>
  <c r="K401" i="4"/>
  <c r="L401" i="4"/>
  <c r="K402" i="4"/>
  <c r="L402" i="4"/>
  <c r="M402" i="4" s="1"/>
  <c r="K403" i="4"/>
  <c r="L403" i="4"/>
  <c r="K404" i="4"/>
  <c r="L404" i="4"/>
  <c r="M404" i="4" s="1"/>
  <c r="K405" i="4"/>
  <c r="L405" i="4"/>
  <c r="K406" i="4"/>
  <c r="L406" i="4"/>
  <c r="M406" i="4" s="1"/>
  <c r="K407" i="4"/>
  <c r="L407" i="4"/>
  <c r="M407" i="4" s="1"/>
  <c r="K409" i="4"/>
  <c r="L409" i="4"/>
  <c r="K411" i="4"/>
  <c r="L411" i="4"/>
  <c r="K412" i="4"/>
  <c r="L412" i="4"/>
  <c r="M412" i="4" s="1"/>
  <c r="K413" i="4"/>
  <c r="L413" i="4"/>
  <c r="M413" i="4" s="1"/>
  <c r="K414" i="4"/>
  <c r="L414" i="4"/>
  <c r="M414" i="4" s="1"/>
  <c r="K416" i="4"/>
  <c r="L416" i="4"/>
  <c r="K417" i="4"/>
  <c r="L417" i="4"/>
  <c r="M417" i="4" s="1"/>
  <c r="K418" i="4"/>
  <c r="L418" i="4"/>
  <c r="M418" i="4" s="1"/>
  <c r="K419" i="4"/>
  <c r="L419" i="4"/>
  <c r="M419" i="4" s="1"/>
  <c r="K420" i="4"/>
  <c r="L420" i="4"/>
  <c r="K421" i="4"/>
  <c r="L421" i="4"/>
  <c r="M421" i="4" s="1"/>
  <c r="K422" i="4"/>
  <c r="L422" i="4"/>
  <c r="M422" i="4" s="1"/>
  <c r="K423" i="4"/>
  <c r="L423" i="4"/>
  <c r="K424" i="4"/>
  <c r="L424" i="4"/>
  <c r="M424" i="4" s="1"/>
  <c r="L396" i="4"/>
  <c r="K396" i="4"/>
  <c r="K328" i="4"/>
  <c r="L328" i="4"/>
  <c r="K329" i="4"/>
  <c r="L329" i="4"/>
  <c r="M329" i="4" s="1"/>
  <c r="K330" i="4"/>
  <c r="L330" i="4"/>
  <c r="M330" i="4" s="1"/>
  <c r="K331" i="4"/>
  <c r="L331" i="4"/>
  <c r="M331" i="4" s="1"/>
  <c r="K333" i="4"/>
  <c r="L333" i="4"/>
  <c r="K334" i="4"/>
  <c r="L334" i="4"/>
  <c r="M334" i="4" s="1"/>
  <c r="K335" i="4"/>
  <c r="L335" i="4"/>
  <c r="M335" i="4" s="1"/>
  <c r="K336" i="4"/>
  <c r="L336" i="4"/>
  <c r="M336" i="4" s="1"/>
  <c r="K337" i="4"/>
  <c r="L337" i="4"/>
  <c r="M337" i="4" s="1"/>
  <c r="K338" i="4"/>
  <c r="L338" i="4"/>
  <c r="M338" i="4" s="1"/>
  <c r="K339" i="4"/>
  <c r="L339" i="4"/>
  <c r="M339" i="4" s="1"/>
  <c r="K340" i="4"/>
  <c r="L340" i="4"/>
  <c r="M340" i="4" s="1"/>
  <c r="K342" i="4"/>
  <c r="L342" i="4"/>
  <c r="K343" i="4"/>
  <c r="L343" i="4"/>
  <c r="M343" i="4" s="1"/>
  <c r="K344" i="4"/>
  <c r="L344" i="4"/>
  <c r="M344" i="4" s="1"/>
  <c r="K345" i="4"/>
  <c r="L345" i="4"/>
  <c r="M345" i="4" s="1"/>
  <c r="K346" i="4"/>
  <c r="L346" i="4"/>
  <c r="M346" i="4" s="1"/>
  <c r="K347" i="4"/>
  <c r="L347" i="4"/>
  <c r="M347" i="4" s="1"/>
  <c r="K349" i="4"/>
  <c r="L349" i="4"/>
  <c r="K351" i="4"/>
  <c r="L351" i="4"/>
  <c r="K352" i="4"/>
  <c r="L352" i="4"/>
  <c r="M352" i="4" s="1"/>
  <c r="K353" i="4"/>
  <c r="L353" i="4"/>
  <c r="M353" i="4" s="1"/>
  <c r="K354" i="4"/>
  <c r="L354" i="4"/>
  <c r="M354" i="4" s="1"/>
  <c r="K355" i="4"/>
  <c r="L355" i="4"/>
  <c r="M355" i="4" s="1"/>
  <c r="K356" i="4"/>
  <c r="L356" i="4"/>
  <c r="M356" i="4" s="1"/>
  <c r="K357" i="4"/>
  <c r="L357" i="4"/>
  <c r="K358" i="4"/>
  <c r="L358" i="4"/>
  <c r="M358" i="4" s="1"/>
  <c r="K359" i="4"/>
  <c r="L359" i="4"/>
  <c r="M359" i="4" s="1"/>
  <c r="K360" i="4"/>
  <c r="L360" i="4"/>
  <c r="K361" i="4"/>
  <c r="L361" i="4"/>
  <c r="M361" i="4" s="1"/>
  <c r="K362" i="4"/>
  <c r="L362" i="4"/>
  <c r="M362" i="4" s="1"/>
  <c r="K363" i="4"/>
  <c r="L363" i="4"/>
  <c r="M363" i="4" s="1"/>
  <c r="K364" i="4"/>
  <c r="L364" i="4"/>
  <c r="M364" i="4" s="1"/>
  <c r="K366" i="4"/>
  <c r="L366" i="4"/>
  <c r="K367" i="4"/>
  <c r="L367" i="4"/>
  <c r="M367" i="4" s="1"/>
  <c r="K368" i="4"/>
  <c r="L368" i="4"/>
  <c r="M368" i="4" s="1"/>
  <c r="K370" i="4"/>
  <c r="L370" i="4"/>
  <c r="K371" i="4"/>
  <c r="L371" i="4"/>
  <c r="M371" i="4" s="1"/>
  <c r="K372" i="4"/>
  <c r="L372" i="4"/>
  <c r="M372" i="4" s="1"/>
  <c r="K373" i="4"/>
  <c r="L373" i="4"/>
  <c r="M373" i="4" s="1"/>
  <c r="K374" i="4"/>
  <c r="L374" i="4"/>
  <c r="M374" i="4" s="1"/>
  <c r="K375" i="4"/>
  <c r="L375" i="4"/>
  <c r="M375" i="4" s="1"/>
  <c r="K376" i="4"/>
  <c r="L376" i="4"/>
  <c r="K377" i="4"/>
  <c r="L377" i="4"/>
  <c r="M377" i="4" s="1"/>
  <c r="K378" i="4"/>
  <c r="L378" i="4"/>
  <c r="M378" i="4" s="1"/>
  <c r="K379" i="4"/>
  <c r="L379" i="4"/>
  <c r="K380" i="4"/>
  <c r="L380" i="4"/>
  <c r="K381" i="4"/>
  <c r="L381" i="4"/>
  <c r="M381" i="4" s="1"/>
  <c r="K382" i="4"/>
  <c r="L382" i="4"/>
  <c r="M382" i="4" s="1"/>
  <c r="K385" i="4"/>
  <c r="L385" i="4"/>
  <c r="K386" i="4"/>
  <c r="L386" i="4"/>
  <c r="M386" i="4" s="1"/>
  <c r="K387" i="4"/>
  <c r="L387" i="4"/>
  <c r="M387" i="4" s="1"/>
  <c r="K388" i="4"/>
  <c r="L388" i="4"/>
  <c r="M388" i="4" s="1"/>
  <c r="K389" i="4"/>
  <c r="L389" i="4"/>
  <c r="K390" i="4"/>
  <c r="L390" i="4"/>
  <c r="M390" i="4" s="1"/>
  <c r="K391" i="4"/>
  <c r="L391" i="4"/>
  <c r="M391" i="4" s="1"/>
  <c r="K392" i="4"/>
  <c r="L392" i="4"/>
  <c r="M392" i="4" s="1"/>
  <c r="K393" i="4"/>
  <c r="L393" i="4"/>
  <c r="M393" i="4" s="1"/>
  <c r="L327" i="4"/>
  <c r="M327" i="4" s="1"/>
  <c r="K327" i="4"/>
  <c r="Y800" i="4"/>
  <c r="E800" i="4"/>
  <c r="D800" i="4"/>
  <c r="K700" i="4"/>
  <c r="L700" i="4"/>
  <c r="K701" i="4"/>
  <c r="L701" i="4"/>
  <c r="M701" i="4" s="1"/>
  <c r="K702" i="4"/>
  <c r="L702" i="4"/>
  <c r="M702" i="4" s="1"/>
  <c r="K703" i="4"/>
  <c r="L703" i="4"/>
  <c r="M703" i="4" s="1"/>
  <c r="K704" i="4"/>
  <c r="L704" i="4"/>
  <c r="M704" i="4" s="1"/>
  <c r="K705" i="4"/>
  <c r="L705" i="4"/>
  <c r="K706" i="4"/>
  <c r="L706" i="4"/>
  <c r="M706" i="4" s="1"/>
  <c r="K707" i="4"/>
  <c r="L707" i="4"/>
  <c r="M707" i="4" s="1"/>
  <c r="K708" i="4"/>
  <c r="L708" i="4"/>
  <c r="M708" i="4" s="1"/>
  <c r="K709" i="4"/>
  <c r="L709" i="4"/>
  <c r="M709" i="4" s="1"/>
  <c r="K710" i="4"/>
  <c r="L710" i="4"/>
  <c r="M710" i="4" s="1"/>
  <c r="K711" i="4"/>
  <c r="L711" i="4"/>
  <c r="M711" i="4" s="1"/>
  <c r="K712" i="4"/>
  <c r="L712" i="4"/>
  <c r="M712" i="4" s="1"/>
  <c r="K713" i="4"/>
  <c r="L713" i="4"/>
  <c r="M713" i="4" s="1"/>
  <c r="K714" i="4"/>
  <c r="L714" i="4"/>
  <c r="K715" i="4"/>
  <c r="L715" i="4"/>
  <c r="M715" i="4" s="1"/>
  <c r="K716" i="4"/>
  <c r="L716" i="4"/>
  <c r="M716" i="4" s="1"/>
  <c r="K717" i="4"/>
  <c r="L717" i="4"/>
  <c r="M717" i="4" s="1"/>
  <c r="K719" i="4"/>
  <c r="L719" i="4"/>
  <c r="K720" i="4"/>
  <c r="L720" i="4"/>
  <c r="M720" i="4" s="1"/>
  <c r="K721" i="4"/>
  <c r="L721" i="4"/>
  <c r="M721" i="4" s="1"/>
  <c r="K722" i="4"/>
  <c r="L722" i="4"/>
  <c r="M722" i="4" s="1"/>
  <c r="K723" i="4"/>
  <c r="L723" i="4"/>
  <c r="M723" i="4" s="1"/>
  <c r="K724" i="4"/>
  <c r="L724" i="4"/>
  <c r="M724" i="4" s="1"/>
  <c r="K725" i="4"/>
  <c r="L725" i="4"/>
  <c r="K726" i="4"/>
  <c r="L726" i="4"/>
  <c r="M726" i="4" s="1"/>
  <c r="K727" i="4"/>
  <c r="L727" i="4"/>
  <c r="M727" i="4" s="1"/>
  <c r="K728" i="4"/>
  <c r="L728" i="4"/>
  <c r="M728" i="4" s="1"/>
  <c r="K729" i="4"/>
  <c r="L729" i="4"/>
  <c r="M729" i="4" s="1"/>
  <c r="K730" i="4"/>
  <c r="L730" i="4"/>
  <c r="M730" i="4" s="1"/>
  <c r="K731" i="4"/>
  <c r="L731" i="4"/>
  <c r="M731" i="4" s="1"/>
  <c r="K732" i="4"/>
  <c r="L732" i="4"/>
  <c r="K733" i="4"/>
  <c r="L733" i="4"/>
  <c r="M733" i="4" s="1"/>
  <c r="K734" i="4"/>
  <c r="L734" i="4"/>
  <c r="M734" i="4" s="1"/>
  <c r="K735" i="4"/>
  <c r="L735" i="4"/>
  <c r="M735" i="4" s="1"/>
  <c r="K736" i="4"/>
  <c r="L736" i="4"/>
  <c r="M736" i="4" s="1"/>
  <c r="K737" i="4"/>
  <c r="L737" i="4"/>
  <c r="M737" i="4" s="1"/>
  <c r="K738" i="4"/>
  <c r="L738" i="4"/>
  <c r="K739" i="4"/>
  <c r="L739" i="4"/>
  <c r="M739" i="4" s="1"/>
  <c r="K740" i="4"/>
  <c r="L740" i="4"/>
  <c r="M740" i="4" s="1"/>
  <c r="K741" i="4"/>
  <c r="L741" i="4"/>
  <c r="M741" i="4" s="1"/>
  <c r="K742" i="4"/>
  <c r="L742" i="4"/>
  <c r="M742" i="4" s="1"/>
  <c r="K743" i="4"/>
  <c r="L743" i="4"/>
  <c r="M743" i="4" s="1"/>
  <c r="K745" i="4"/>
  <c r="L745" i="4"/>
  <c r="K746" i="4"/>
  <c r="L746" i="4"/>
  <c r="M746" i="4" s="1"/>
  <c r="K747" i="4"/>
  <c r="L747" i="4"/>
  <c r="M747" i="4" s="1"/>
  <c r="K748" i="4"/>
  <c r="L748" i="4"/>
  <c r="M748" i="4" s="1"/>
  <c r="K749" i="4"/>
  <c r="L749" i="4"/>
  <c r="M749" i="4" s="1"/>
  <c r="K750" i="4"/>
  <c r="L750" i="4"/>
  <c r="M750" i="4" s="1"/>
  <c r="K751" i="4"/>
  <c r="L751" i="4"/>
  <c r="M751" i="4" s="1"/>
  <c r="K752" i="4"/>
  <c r="L752" i="4"/>
  <c r="M752" i="4" s="1"/>
  <c r="K753" i="4"/>
  <c r="L753" i="4"/>
  <c r="M753" i="4" s="1"/>
  <c r="K754" i="4"/>
  <c r="L754" i="4"/>
  <c r="M754" i="4" s="1"/>
  <c r="K755" i="4"/>
  <c r="L755" i="4"/>
  <c r="M755" i="4" s="1"/>
  <c r="K756" i="4"/>
  <c r="L756" i="4"/>
  <c r="M756" i="4" s="1"/>
  <c r="K757" i="4"/>
  <c r="L757" i="4"/>
  <c r="M757" i="4" s="1"/>
  <c r="K758" i="4"/>
  <c r="L758" i="4"/>
  <c r="K759" i="4"/>
  <c r="L759" i="4"/>
  <c r="M759" i="4" s="1"/>
  <c r="K760" i="4"/>
  <c r="L760" i="4"/>
  <c r="M760" i="4" s="1"/>
  <c r="K761" i="4"/>
  <c r="L761" i="4"/>
  <c r="M761" i="4" s="1"/>
  <c r="K762" i="4"/>
  <c r="L762" i="4"/>
  <c r="M762" i="4" s="1"/>
  <c r="K763" i="4"/>
  <c r="L763" i="4"/>
  <c r="K764" i="4"/>
  <c r="L764" i="4"/>
  <c r="M764" i="4" s="1"/>
  <c r="K765" i="4"/>
  <c r="L765" i="4"/>
  <c r="M765" i="4" s="1"/>
  <c r="K766" i="4"/>
  <c r="L766" i="4"/>
  <c r="M766" i="4" s="1"/>
  <c r="K767" i="4"/>
  <c r="L767" i="4"/>
  <c r="M767" i="4" s="1"/>
  <c r="K801" i="4"/>
  <c r="L801" i="4"/>
  <c r="K802" i="4"/>
  <c r="L802" i="4"/>
  <c r="M802" i="4" s="1"/>
  <c r="K803" i="4"/>
  <c r="L803" i="4"/>
  <c r="M803" i="4" s="1"/>
  <c r="K804" i="4"/>
  <c r="L804" i="4"/>
  <c r="M804" i="4" s="1"/>
  <c r="K805" i="4"/>
  <c r="L805" i="4"/>
  <c r="M805" i="4" s="1"/>
  <c r="K806" i="4"/>
  <c r="L806" i="4"/>
  <c r="M806" i="4" s="1"/>
  <c r="K807" i="4"/>
  <c r="L807" i="4"/>
  <c r="K808" i="4"/>
  <c r="L808" i="4"/>
  <c r="M808" i="4" s="1"/>
  <c r="K809" i="4"/>
  <c r="L809" i="4"/>
  <c r="M809" i="4" s="1"/>
  <c r="K810" i="4"/>
  <c r="L810" i="4"/>
  <c r="M810" i="4" s="1"/>
  <c r="K811" i="4"/>
  <c r="L811" i="4"/>
  <c r="M811" i="4" s="1"/>
  <c r="K812" i="4"/>
  <c r="L812" i="4"/>
  <c r="M812" i="4" s="1"/>
  <c r="K813" i="4"/>
  <c r="L813" i="4"/>
  <c r="M813" i="4" s="1"/>
  <c r="K814" i="4"/>
  <c r="L814" i="4"/>
  <c r="K815" i="4"/>
  <c r="L815" i="4"/>
  <c r="M815" i="4" s="1"/>
  <c r="K816" i="4"/>
  <c r="L816" i="4"/>
  <c r="M816" i="4" s="1"/>
  <c r="K817" i="4"/>
  <c r="L817" i="4"/>
  <c r="M817" i="4" s="1"/>
  <c r="K818" i="4"/>
  <c r="L818" i="4"/>
  <c r="M818" i="4" s="1"/>
  <c r="K820" i="4"/>
  <c r="L820" i="4"/>
  <c r="M820" i="4" s="1"/>
  <c r="K821" i="4"/>
  <c r="L821" i="4"/>
  <c r="M821" i="4" s="1"/>
  <c r="K822" i="4"/>
  <c r="L822" i="4"/>
  <c r="M822" i="4" s="1"/>
  <c r="K823" i="4"/>
  <c r="L823" i="4"/>
  <c r="M823" i="4" s="1"/>
  <c r="K824" i="4"/>
  <c r="L824" i="4"/>
  <c r="M824" i="4" s="1"/>
  <c r="K825" i="4"/>
  <c r="L825" i="4"/>
  <c r="M825" i="4" s="1"/>
  <c r="K826" i="4"/>
  <c r="L826" i="4"/>
  <c r="M826" i="4" s="1"/>
  <c r="K827" i="4"/>
  <c r="L827" i="4"/>
  <c r="K828" i="4"/>
  <c r="L828" i="4"/>
  <c r="K829" i="4"/>
  <c r="L829" i="4"/>
  <c r="M829" i="4" s="1"/>
  <c r="K830" i="4"/>
  <c r="L830" i="4"/>
  <c r="M830" i="4" s="1"/>
  <c r="I522" i="4"/>
  <c r="E522" i="4"/>
  <c r="D522" i="4"/>
  <c r="R1323" i="4" l="1"/>
  <c r="S1323" i="4"/>
  <c r="R1302" i="4"/>
  <c r="S1302" i="4" s="1"/>
  <c r="R1355" i="4"/>
  <c r="S1355" i="4" s="1"/>
  <c r="R1309" i="4"/>
  <c r="S1309" i="4" s="1"/>
  <c r="R1343" i="4"/>
  <c r="S1343" i="4" s="1"/>
  <c r="M551" i="4"/>
  <c r="N551" i="4"/>
  <c r="M548" i="4"/>
  <c r="N548" i="4"/>
  <c r="M549" i="4"/>
  <c r="N549" i="4"/>
  <c r="R1015" i="4"/>
  <c r="S1015" i="4" s="1"/>
  <c r="M1039" i="4"/>
  <c r="N1041" i="4"/>
  <c r="O1041" i="4" s="1"/>
  <c r="P1041" i="4" s="1"/>
  <c r="N1045" i="4"/>
  <c r="O1045" i="4" s="1"/>
  <c r="P1045" i="4" s="1"/>
  <c r="N382" i="4"/>
  <c r="O382" i="4" s="1"/>
  <c r="P382" i="4" s="1"/>
  <c r="Q1370" i="4"/>
  <c r="N1291" i="4"/>
  <c r="N1282" i="4"/>
  <c r="N1269" i="4"/>
  <c r="N1285" i="4"/>
  <c r="Q1289" i="4" s="1"/>
  <c r="R1289" i="4" s="1"/>
  <c r="S1289" i="4" s="1"/>
  <c r="N1274" i="4"/>
  <c r="O1274" i="4" s="1"/>
  <c r="P1274" i="4" s="1"/>
  <c r="O1288" i="4"/>
  <c r="P1288" i="4" s="1"/>
  <c r="N1278" i="4"/>
  <c r="Q1278" i="4" s="1"/>
  <c r="R1278" i="4" s="1"/>
  <c r="S1278" i="4" s="1"/>
  <c r="N1265" i="4"/>
  <c r="O1265" i="4" s="1"/>
  <c r="P1265" i="4" s="1"/>
  <c r="N1256" i="4"/>
  <c r="O1256" i="4" s="1"/>
  <c r="P1256" i="4" s="1"/>
  <c r="N1258" i="4"/>
  <c r="O1258" i="4" s="1"/>
  <c r="P1258" i="4" s="1"/>
  <c r="N1261" i="4"/>
  <c r="O1261" i="4" s="1"/>
  <c r="P1261" i="4" s="1"/>
  <c r="N1253" i="4"/>
  <c r="N1237" i="4"/>
  <c r="N1246" i="4"/>
  <c r="O1246" i="4" s="1"/>
  <c r="P1246" i="4" s="1"/>
  <c r="N1241" i="4"/>
  <c r="O1241" i="4" s="1"/>
  <c r="P1241" i="4" s="1"/>
  <c r="N1228" i="4"/>
  <c r="N1234" i="4"/>
  <c r="N1221" i="4"/>
  <c r="O1221" i="4" s="1"/>
  <c r="P1221" i="4" s="1"/>
  <c r="N1207" i="4"/>
  <c r="O1207" i="4" s="1"/>
  <c r="P1207" i="4" s="1"/>
  <c r="N1214" i="4"/>
  <c r="O1214" i="4" s="1"/>
  <c r="P1214" i="4" s="1"/>
  <c r="N1204" i="4"/>
  <c r="O1204" i="4" s="1"/>
  <c r="P1204" i="4" s="1"/>
  <c r="N1225" i="4"/>
  <c r="O1225" i="4" s="1"/>
  <c r="P1225" i="4" s="1"/>
  <c r="N1211" i="4"/>
  <c r="N1199" i="4"/>
  <c r="O1199" i="4" s="1"/>
  <c r="P1199" i="4" s="1"/>
  <c r="N1218" i="4"/>
  <c r="O1218" i="4" s="1"/>
  <c r="P1218" i="4" s="1"/>
  <c r="N1196" i="4"/>
  <c r="N1182" i="4"/>
  <c r="O1182" i="4" s="1"/>
  <c r="P1182" i="4" s="1"/>
  <c r="N1187" i="4"/>
  <c r="N1183" i="4"/>
  <c r="N1174" i="4"/>
  <c r="N1189" i="4"/>
  <c r="O1189" i="4" s="1"/>
  <c r="P1189" i="4" s="1"/>
  <c r="N1178" i="4"/>
  <c r="M1074" i="4"/>
  <c r="N1074" i="4"/>
  <c r="Q1074" i="4" s="1"/>
  <c r="N1166" i="4"/>
  <c r="N1159" i="4"/>
  <c r="N1153" i="4"/>
  <c r="N1149" i="4"/>
  <c r="N1139" i="4"/>
  <c r="N1130" i="4"/>
  <c r="N1125" i="4"/>
  <c r="N1144" i="4"/>
  <c r="N1133" i="4"/>
  <c r="N1115" i="4"/>
  <c r="N1109" i="4"/>
  <c r="N1117" i="4"/>
  <c r="N1108" i="4"/>
  <c r="N1111" i="4"/>
  <c r="M1101" i="4"/>
  <c r="N1102" i="4"/>
  <c r="M1091" i="4"/>
  <c r="N1093" i="4"/>
  <c r="N1105" i="4"/>
  <c r="M1098" i="4"/>
  <c r="N1099" i="4"/>
  <c r="M1095" i="4"/>
  <c r="N1097" i="4"/>
  <c r="M1088" i="4"/>
  <c r="N1090" i="4"/>
  <c r="M1076" i="4"/>
  <c r="N1077" i="4"/>
  <c r="M1078" i="4"/>
  <c r="N1080" i="4"/>
  <c r="M1083" i="4"/>
  <c r="N1086" i="4"/>
  <c r="M1081" i="4"/>
  <c r="N1082" i="4"/>
  <c r="M1067" i="4"/>
  <c r="N1068" i="4"/>
  <c r="O1068" i="4" s="1"/>
  <c r="P1068" i="4" s="1"/>
  <c r="M1070" i="4"/>
  <c r="N1072" i="4"/>
  <c r="M1065" i="4"/>
  <c r="N1066" i="4"/>
  <c r="O1066" i="4" s="1"/>
  <c r="P1066" i="4" s="1"/>
  <c r="N1053" i="4"/>
  <c r="O1053" i="4" s="1"/>
  <c r="P1053" i="4" s="1"/>
  <c r="M1058" i="4"/>
  <c r="N1060" i="4"/>
  <c r="O1060" i="4" s="1"/>
  <c r="P1060" i="4" s="1"/>
  <c r="M1061" i="4"/>
  <c r="N1063" i="4"/>
  <c r="M1055" i="4"/>
  <c r="N1057" i="4"/>
  <c r="O1057" i="4" s="1"/>
  <c r="P1057" i="4" s="1"/>
  <c r="M1052" i="4"/>
  <c r="M1051" i="4"/>
  <c r="N1051" i="4"/>
  <c r="M1050" i="4"/>
  <c r="N1050" i="4"/>
  <c r="O1050" i="4" s="1"/>
  <c r="P1050" i="4" s="1"/>
  <c r="M1044" i="4"/>
  <c r="M1046" i="4"/>
  <c r="N1048" i="4"/>
  <c r="O1048" i="4" s="1"/>
  <c r="P1048" i="4" s="1"/>
  <c r="M1042" i="4"/>
  <c r="N1043" i="4"/>
  <c r="M1041" i="4"/>
  <c r="M975" i="4"/>
  <c r="N978" i="4"/>
  <c r="M970" i="4"/>
  <c r="N974" i="4"/>
  <c r="M965" i="4"/>
  <c r="N968" i="4"/>
  <c r="Q968" i="4" s="1"/>
  <c r="M955" i="4"/>
  <c r="N959" i="4"/>
  <c r="M954" i="4"/>
  <c r="N954" i="4"/>
  <c r="M960" i="4"/>
  <c r="N963" i="4"/>
  <c r="M936" i="4"/>
  <c r="N945" i="4"/>
  <c r="O945" i="4" s="1"/>
  <c r="P945" i="4" s="1"/>
  <c r="M946" i="4"/>
  <c r="N951" i="4"/>
  <c r="O951" i="4" s="1"/>
  <c r="P951" i="4" s="1"/>
  <c r="M931" i="4"/>
  <c r="N935" i="4"/>
  <c r="M927" i="4"/>
  <c r="N929" i="4"/>
  <c r="O929" i="4" s="1"/>
  <c r="P929" i="4" s="1"/>
  <c r="M919" i="4"/>
  <c r="N926" i="4"/>
  <c r="O926" i="4" s="1"/>
  <c r="P926" i="4" s="1"/>
  <c r="M908" i="4"/>
  <c r="N914" i="4"/>
  <c r="M903" i="4"/>
  <c r="N906" i="4"/>
  <c r="O906" i="4" s="1"/>
  <c r="P906" i="4" s="1"/>
  <c r="M915" i="4"/>
  <c r="N918" i="4"/>
  <c r="O918" i="4" s="1"/>
  <c r="P918" i="4" s="1"/>
  <c r="M807" i="4"/>
  <c r="N813" i="4"/>
  <c r="M890" i="4"/>
  <c r="N895" i="4"/>
  <c r="M814" i="4"/>
  <c r="N818" i="4"/>
  <c r="O818" i="4" s="1"/>
  <c r="P818" i="4" s="1"/>
  <c r="M801" i="4"/>
  <c r="N806" i="4"/>
  <c r="M900" i="4"/>
  <c r="N902" i="4"/>
  <c r="M896" i="4"/>
  <c r="N898" i="4"/>
  <c r="O898" i="4" s="1"/>
  <c r="P898" i="4" s="1"/>
  <c r="M877" i="4"/>
  <c r="N888" i="4"/>
  <c r="M872" i="4"/>
  <c r="N875" i="4"/>
  <c r="M866" i="4"/>
  <c r="N870" i="4"/>
  <c r="O870" i="4" s="1"/>
  <c r="P870" i="4" s="1"/>
  <c r="M828" i="4"/>
  <c r="M855" i="4"/>
  <c r="N859" i="4"/>
  <c r="M827" i="4"/>
  <c r="N827" i="4"/>
  <c r="M861" i="4"/>
  <c r="N865" i="4"/>
  <c r="M848" i="4"/>
  <c r="N854" i="4"/>
  <c r="M843" i="4"/>
  <c r="N846" i="4"/>
  <c r="M795" i="4"/>
  <c r="N798" i="4"/>
  <c r="Q798" i="4" s="1"/>
  <c r="M787" i="4"/>
  <c r="N794" i="4"/>
  <c r="M783" i="4"/>
  <c r="N786" i="4"/>
  <c r="O786" i="4" s="1"/>
  <c r="P786" i="4" s="1"/>
  <c r="M745" i="4"/>
  <c r="N757" i="4"/>
  <c r="M768" i="4"/>
  <c r="N772" i="4"/>
  <c r="O772" i="4" s="1"/>
  <c r="P772" i="4" s="1"/>
  <c r="M763" i="4"/>
  <c r="N767" i="4"/>
  <c r="O767" i="4" s="1"/>
  <c r="P767" i="4" s="1"/>
  <c r="M758" i="4"/>
  <c r="N762" i="4"/>
  <c r="M778" i="4"/>
  <c r="N782" i="4"/>
  <c r="M773" i="4"/>
  <c r="N776" i="4"/>
  <c r="O776" i="4" s="1"/>
  <c r="P776" i="4" s="1"/>
  <c r="M700" i="4"/>
  <c r="M725" i="4"/>
  <c r="N731" i="4"/>
  <c r="O731" i="4" s="1"/>
  <c r="P731" i="4" s="1"/>
  <c r="M732" i="4"/>
  <c r="N737" i="4"/>
  <c r="O737" i="4" s="1"/>
  <c r="P737" i="4" s="1"/>
  <c r="M719" i="4"/>
  <c r="N724" i="4"/>
  <c r="M714" i="4"/>
  <c r="N717" i="4"/>
  <c r="M738" i="4"/>
  <c r="N743" i="4"/>
  <c r="O743" i="4" s="1"/>
  <c r="P743" i="4" s="1"/>
  <c r="M705" i="4"/>
  <c r="N713" i="4"/>
  <c r="O713" i="4" s="1"/>
  <c r="P713" i="4" s="1"/>
  <c r="M583" i="4"/>
  <c r="N583" i="4"/>
  <c r="O583" i="4" s="1"/>
  <c r="P583" i="4" s="1"/>
  <c r="M566" i="4"/>
  <c r="N566" i="4"/>
  <c r="M584" i="4"/>
  <c r="N584" i="4"/>
  <c r="O584" i="4" s="1"/>
  <c r="P584" i="4" s="1"/>
  <c r="M589" i="4"/>
  <c r="N590" i="4"/>
  <c r="N574" i="4"/>
  <c r="M579" i="4"/>
  <c r="N579" i="4"/>
  <c r="M591" i="4"/>
  <c r="N593" i="4"/>
  <c r="O593" i="4" s="1"/>
  <c r="P593" i="4" s="1"/>
  <c r="M585" i="4"/>
  <c r="N587" i="4"/>
  <c r="O587" i="4" s="1"/>
  <c r="P587" i="4" s="1"/>
  <c r="M581" i="4"/>
  <c r="N582" i="4"/>
  <c r="M577" i="4"/>
  <c r="N577" i="4"/>
  <c r="O577" i="4" s="1"/>
  <c r="P577" i="4" s="1"/>
  <c r="M575" i="4"/>
  <c r="N575" i="4"/>
  <c r="O575" i="4" s="1"/>
  <c r="P575" i="4" s="1"/>
  <c r="M576" i="4"/>
  <c r="N576" i="4"/>
  <c r="O576" i="4" s="1"/>
  <c r="P576" i="4" s="1"/>
  <c r="M570" i="4"/>
  <c r="N570" i="4"/>
  <c r="M564" i="4"/>
  <c r="N564" i="4"/>
  <c r="O564" i="4" s="1"/>
  <c r="P564" i="4" s="1"/>
  <c r="O559" i="4"/>
  <c r="P559" i="4" s="1"/>
  <c r="M573" i="4"/>
  <c r="O573" i="4"/>
  <c r="P573" i="4" s="1"/>
  <c r="M568" i="4"/>
  <c r="N568" i="4"/>
  <c r="M569" i="4"/>
  <c r="N569" i="4"/>
  <c r="M563" i="4"/>
  <c r="N563" i="4"/>
  <c r="O563" i="4" s="1"/>
  <c r="P563" i="4" s="1"/>
  <c r="M558" i="4"/>
  <c r="N558" i="4"/>
  <c r="O558" i="4" s="1"/>
  <c r="M554" i="4"/>
  <c r="N557" i="4"/>
  <c r="M571" i="4"/>
  <c r="N571" i="4"/>
  <c r="O571" i="4" s="1"/>
  <c r="P571" i="4" s="1"/>
  <c r="M565" i="4"/>
  <c r="N565" i="4"/>
  <c r="O565" i="4" s="1"/>
  <c r="P565" i="4" s="1"/>
  <c r="M561" i="4"/>
  <c r="N562" i="4"/>
  <c r="M559" i="4"/>
  <c r="M547" i="4"/>
  <c r="M534" i="4"/>
  <c r="N535" i="4"/>
  <c r="M529" i="4"/>
  <c r="N530" i="4"/>
  <c r="M540" i="4"/>
  <c r="N542" i="4"/>
  <c r="M536" i="4"/>
  <c r="N538" i="4"/>
  <c r="M531" i="4"/>
  <c r="N532" i="4"/>
  <c r="O532" i="4" s="1"/>
  <c r="P532" i="4" s="1"/>
  <c r="M527" i="4"/>
  <c r="N528" i="4"/>
  <c r="O528" i="4" s="1"/>
  <c r="P528" i="4" s="1"/>
  <c r="M524" i="4"/>
  <c r="N526" i="4"/>
  <c r="M543" i="4"/>
  <c r="N545" i="4"/>
  <c r="M552" i="4"/>
  <c r="N552" i="4"/>
  <c r="M475" i="4"/>
  <c r="N478" i="4"/>
  <c r="M504" i="4"/>
  <c r="N505" i="4"/>
  <c r="O505" i="4" s="1"/>
  <c r="P505" i="4" s="1"/>
  <c r="M495" i="4"/>
  <c r="N497" i="4"/>
  <c r="O497" i="4" s="1"/>
  <c r="P497" i="4" s="1"/>
  <c r="M491" i="4"/>
  <c r="N494" i="4"/>
  <c r="M469" i="4"/>
  <c r="N473" i="4"/>
  <c r="M456" i="4"/>
  <c r="N460" i="4"/>
  <c r="M487" i="4"/>
  <c r="N489" i="4"/>
  <c r="O489" i="4" s="1"/>
  <c r="P489" i="4" s="1"/>
  <c r="M465" i="4"/>
  <c r="N467" i="4"/>
  <c r="O467" i="4" s="1"/>
  <c r="P467" i="4" s="1"/>
  <c r="M438" i="4"/>
  <c r="N439" i="4"/>
  <c r="O439" i="4" s="1"/>
  <c r="P439" i="4" s="1"/>
  <c r="M429" i="4"/>
  <c r="N430" i="4"/>
  <c r="M483" i="4"/>
  <c r="N486" i="4"/>
  <c r="O486" i="4" s="1"/>
  <c r="P486" i="4" s="1"/>
  <c r="M517" i="4"/>
  <c r="N520" i="4"/>
  <c r="M498" i="4"/>
  <c r="N500" i="4"/>
  <c r="O500" i="4" s="1"/>
  <c r="P500" i="4" s="1"/>
  <c r="M446" i="4"/>
  <c r="N449" i="4"/>
  <c r="M432" i="4"/>
  <c r="N437" i="4"/>
  <c r="M461" i="4"/>
  <c r="N464" i="4"/>
  <c r="M512" i="4"/>
  <c r="N515" i="4"/>
  <c r="O515" i="4" s="1"/>
  <c r="P515" i="4" s="1"/>
  <c r="M450" i="4"/>
  <c r="N454" i="4"/>
  <c r="O454" i="4" s="1"/>
  <c r="P454" i="4" s="1"/>
  <c r="M441" i="4"/>
  <c r="N444" i="4"/>
  <c r="M507" i="4"/>
  <c r="N511" i="4"/>
  <c r="M502" i="4"/>
  <c r="N503" i="4"/>
  <c r="M479" i="4"/>
  <c r="N482" i="4"/>
  <c r="O482" i="4" s="1"/>
  <c r="P482" i="4" s="1"/>
  <c r="M396" i="4"/>
  <c r="N396" i="4"/>
  <c r="M403" i="4"/>
  <c r="N404" i="4"/>
  <c r="O404" i="4" s="1"/>
  <c r="P404" i="4" s="1"/>
  <c r="M401" i="4"/>
  <c r="N402" i="4"/>
  <c r="M420" i="4"/>
  <c r="N422" i="4"/>
  <c r="M411" i="4"/>
  <c r="N414" i="4"/>
  <c r="M423" i="4"/>
  <c r="N425" i="4"/>
  <c r="M409" i="4"/>
  <c r="N409" i="4"/>
  <c r="M397" i="4"/>
  <c r="N399" i="4"/>
  <c r="M416" i="4"/>
  <c r="N416" i="4"/>
  <c r="N419" i="4"/>
  <c r="O419" i="4" s="1"/>
  <c r="P419" i="4" s="1"/>
  <c r="M405" i="4"/>
  <c r="N407" i="4"/>
  <c r="O407" i="4" s="1"/>
  <c r="P407" i="4" s="1"/>
  <c r="M351" i="4"/>
  <c r="N356" i="4"/>
  <c r="M389" i="4"/>
  <c r="N393" i="4"/>
  <c r="M385" i="4"/>
  <c r="N388" i="4"/>
  <c r="M379" i="4"/>
  <c r="N379" i="4"/>
  <c r="M366" i="4"/>
  <c r="N368" i="4"/>
  <c r="M357" i="4"/>
  <c r="N359" i="4"/>
  <c r="O359" i="4" s="1"/>
  <c r="P359" i="4" s="1"/>
  <c r="M380" i="4"/>
  <c r="M376" i="4"/>
  <c r="N378" i="4"/>
  <c r="M349" i="4"/>
  <c r="N349" i="4"/>
  <c r="M370" i="4"/>
  <c r="N374" i="4"/>
  <c r="M360" i="4"/>
  <c r="N364" i="4"/>
  <c r="O364" i="4" s="1"/>
  <c r="P364" i="4" s="1"/>
  <c r="M328" i="4"/>
  <c r="N331" i="4"/>
  <c r="M342" i="4"/>
  <c r="N347" i="4"/>
  <c r="M333" i="4"/>
  <c r="N340" i="4"/>
  <c r="Y522" i="4"/>
  <c r="X428" i="4"/>
  <c r="X522" i="4" s="1"/>
  <c r="Y1293" i="4"/>
  <c r="X1119" i="4"/>
  <c r="X1293" i="4" s="1"/>
  <c r="K1370" i="4"/>
  <c r="L1293" i="4"/>
  <c r="K1293" i="4"/>
  <c r="L800" i="4"/>
  <c r="K800" i="4"/>
  <c r="K522" i="4"/>
  <c r="L522" i="4"/>
  <c r="Q1214" i="4" l="1"/>
  <c r="R1214" i="4" s="1"/>
  <c r="S1214" i="4" s="1"/>
  <c r="Q794" i="4"/>
  <c r="R794" i="4" s="1"/>
  <c r="S794" i="4" s="1"/>
  <c r="Q566" i="4"/>
  <c r="R566" i="4" s="1"/>
  <c r="S566" i="4" s="1"/>
  <c r="Q552" i="4"/>
  <c r="R552" i="4" s="1"/>
  <c r="S552" i="4" s="1"/>
  <c r="O579" i="4"/>
  <c r="P579" i="4" s="1"/>
  <c r="Q579" i="4"/>
  <c r="R579" i="4" s="1"/>
  <c r="S579" i="4" s="1"/>
  <c r="O1063" i="4"/>
  <c r="P1063" i="4" s="1"/>
  <c r="O1051" i="4"/>
  <c r="P1051" i="4" s="1"/>
  <c r="O1043" i="4"/>
  <c r="P1043" i="4" s="1"/>
  <c r="O347" i="4"/>
  <c r="P347" i="4" s="1"/>
  <c r="Q340" i="4"/>
  <c r="O340" i="4"/>
  <c r="P340" i="4" s="1"/>
  <c r="O349" i="4"/>
  <c r="P349" i="4" s="1"/>
  <c r="Q331" i="4"/>
  <c r="O331" i="4"/>
  <c r="P331" i="4" s="1"/>
  <c r="Q1043" i="4"/>
  <c r="Q383" i="4"/>
  <c r="R383" i="4" s="1"/>
  <c r="S383" i="4" s="1"/>
  <c r="O473" i="4"/>
  <c r="P473" i="4" s="1"/>
  <c r="Q473" i="4"/>
  <c r="R473" i="4" s="1"/>
  <c r="S473" i="4" s="1"/>
  <c r="R1370" i="4"/>
  <c r="S1370" i="4" s="1"/>
  <c r="O1285" i="4"/>
  <c r="P1285" i="4" s="1"/>
  <c r="O1282" i="4"/>
  <c r="P1282" i="4" s="1"/>
  <c r="Q1282" i="4"/>
  <c r="R1282" i="4" s="1"/>
  <c r="S1282" i="4" s="1"/>
  <c r="Q1291" i="4"/>
  <c r="O1291" i="4"/>
  <c r="P1291" i="4" s="1"/>
  <c r="O1278" i="4"/>
  <c r="P1278" i="4" s="1"/>
  <c r="O1253" i="4"/>
  <c r="P1253" i="4" s="1"/>
  <c r="Q1265" i="4"/>
  <c r="R1265" i="4" s="1"/>
  <c r="S1265" i="4" s="1"/>
  <c r="O1269" i="4"/>
  <c r="P1269" i="4" s="1"/>
  <c r="Q1274" i="4"/>
  <c r="R1274" i="4" s="1"/>
  <c r="S1274" i="4" s="1"/>
  <c r="O1237" i="4"/>
  <c r="P1237" i="4" s="1"/>
  <c r="Q1246" i="4"/>
  <c r="R1246" i="4" s="1"/>
  <c r="S1246" i="4" s="1"/>
  <c r="O1228" i="4"/>
  <c r="P1228" i="4" s="1"/>
  <c r="Q1234" i="4"/>
  <c r="R1234" i="4" s="1"/>
  <c r="S1234" i="4" s="1"/>
  <c r="M1293" i="4"/>
  <c r="O1211" i="4"/>
  <c r="P1211" i="4" s="1"/>
  <c r="Q1225" i="4"/>
  <c r="R1225" i="4" s="1"/>
  <c r="S1225" i="4" s="1"/>
  <c r="O1234" i="4"/>
  <c r="P1234" i="4" s="1"/>
  <c r="N1293" i="4"/>
  <c r="O1293" i="4" s="1"/>
  <c r="P1293" i="4" s="1"/>
  <c r="O1196" i="4"/>
  <c r="P1196" i="4" s="1"/>
  <c r="Q1207" i="4"/>
  <c r="R1207" i="4" s="1"/>
  <c r="S1207" i="4" s="1"/>
  <c r="O1183" i="4"/>
  <c r="P1183" i="4" s="1"/>
  <c r="Q1189" i="4"/>
  <c r="R1189" i="4" s="1"/>
  <c r="S1189" i="4" s="1"/>
  <c r="O1178" i="4"/>
  <c r="P1178" i="4" s="1"/>
  <c r="Q1182" i="4"/>
  <c r="O1187" i="4"/>
  <c r="P1187" i="4" s="1"/>
  <c r="Q1174" i="4"/>
  <c r="O1166" i="4"/>
  <c r="P1166" i="4" s="1"/>
  <c r="Q1159" i="4"/>
  <c r="O1174" i="4"/>
  <c r="P1174" i="4" s="1"/>
  <c r="Q1117" i="4"/>
  <c r="Q1144" i="4"/>
  <c r="Q1111" i="4"/>
  <c r="Q1093" i="4"/>
  <c r="Q1099" i="4"/>
  <c r="Q1105" i="4"/>
  <c r="Q1086" i="4"/>
  <c r="Q1072" i="4"/>
  <c r="O1072" i="4"/>
  <c r="P1072" i="4" s="1"/>
  <c r="Q1068" i="4"/>
  <c r="Q1063" i="4"/>
  <c r="Q1053" i="4"/>
  <c r="Q982" i="4"/>
  <c r="R982" i="4" s="1"/>
  <c r="S982" i="4" s="1"/>
  <c r="Q1048" i="4"/>
  <c r="R1048" i="4" s="1"/>
  <c r="S1048" i="4" s="1"/>
  <c r="Q1052" i="4"/>
  <c r="R1052" i="4" s="1"/>
  <c r="S1052" i="4" s="1"/>
  <c r="O978" i="4"/>
  <c r="P978" i="4" s="1"/>
  <c r="Q963" i="4"/>
  <c r="O914" i="4"/>
  <c r="P914" i="4" s="1"/>
  <c r="Q929" i="4"/>
  <c r="R929" i="4" s="1"/>
  <c r="S929" i="4" s="1"/>
  <c r="Q951" i="4"/>
  <c r="R951" i="4" s="1"/>
  <c r="S951" i="4" s="1"/>
  <c r="O935" i="4"/>
  <c r="P935" i="4" s="1"/>
  <c r="O902" i="4"/>
  <c r="P902" i="4" s="1"/>
  <c r="Q906" i="4"/>
  <c r="R906" i="4" s="1"/>
  <c r="S906" i="4" s="1"/>
  <c r="Q898" i="4"/>
  <c r="R898" i="4" s="1"/>
  <c r="S898" i="4" s="1"/>
  <c r="O895" i="4"/>
  <c r="P895" i="4" s="1"/>
  <c r="O806" i="4"/>
  <c r="P806" i="4" s="1"/>
  <c r="Q818" i="4"/>
  <c r="R818" i="4" s="1"/>
  <c r="S818" i="4" s="1"/>
  <c r="O813" i="4"/>
  <c r="P813" i="4" s="1"/>
  <c r="Q875" i="4"/>
  <c r="R875" i="4" s="1"/>
  <c r="S875" i="4" s="1"/>
  <c r="O875" i="4"/>
  <c r="P875" i="4" s="1"/>
  <c r="Q888" i="4"/>
  <c r="O888" i="4"/>
  <c r="P888" i="4" s="1"/>
  <c r="O854" i="4"/>
  <c r="P854" i="4" s="1"/>
  <c r="Q859" i="4"/>
  <c r="R859" i="4" s="1"/>
  <c r="S859" i="4" s="1"/>
  <c r="O827" i="4"/>
  <c r="P827" i="4" s="1"/>
  <c r="O865" i="4"/>
  <c r="P865" i="4" s="1"/>
  <c r="Q870" i="4"/>
  <c r="R870" i="4" s="1"/>
  <c r="S870" i="4" s="1"/>
  <c r="O846" i="4"/>
  <c r="P846" i="4" s="1"/>
  <c r="O859" i="4"/>
  <c r="P859" i="4" s="1"/>
  <c r="R798" i="4"/>
  <c r="S798" i="4" s="1"/>
  <c r="O798" i="4"/>
  <c r="P798" i="4" s="1"/>
  <c r="O794" i="4"/>
  <c r="P794" i="4" s="1"/>
  <c r="O757" i="4"/>
  <c r="P757" i="4" s="1"/>
  <c r="Q776" i="4"/>
  <c r="R776" i="4" s="1"/>
  <c r="S776" i="4" s="1"/>
  <c r="M800" i="4"/>
  <c r="O762" i="4"/>
  <c r="P762" i="4" s="1"/>
  <c r="N800" i="4"/>
  <c r="O800" i="4" s="1"/>
  <c r="P800" i="4" s="1"/>
  <c r="O724" i="4"/>
  <c r="P724" i="4" s="1"/>
  <c r="Q743" i="4"/>
  <c r="O782" i="4"/>
  <c r="P782" i="4" s="1"/>
  <c r="O717" i="4"/>
  <c r="P717" i="4" s="1"/>
  <c r="O566" i="4"/>
  <c r="P566" i="4" s="1"/>
  <c r="O590" i="4"/>
  <c r="P590" i="4" s="1"/>
  <c r="Q593" i="4"/>
  <c r="O582" i="4"/>
  <c r="P582" i="4" s="1"/>
  <c r="Q587" i="4"/>
  <c r="R587" i="4" s="1"/>
  <c r="S587" i="4" s="1"/>
  <c r="O574" i="4"/>
  <c r="P574" i="4" s="1"/>
  <c r="Q577" i="4"/>
  <c r="R577" i="4" s="1"/>
  <c r="S577" i="4" s="1"/>
  <c r="O568" i="4"/>
  <c r="P568" i="4" s="1"/>
  <c r="Q571" i="4"/>
  <c r="O569" i="4"/>
  <c r="P569" i="4" s="1"/>
  <c r="O562" i="4"/>
  <c r="P562" i="4" s="1"/>
  <c r="Q559" i="4"/>
  <c r="R559" i="4" s="1"/>
  <c r="S559" i="4" s="1"/>
  <c r="O570" i="4"/>
  <c r="P570" i="4" s="1"/>
  <c r="Q545" i="4"/>
  <c r="M522" i="4"/>
  <c r="O526" i="4"/>
  <c r="P526" i="4" s="1"/>
  <c r="Q532" i="4"/>
  <c r="O530" i="4"/>
  <c r="P530" i="4" s="1"/>
  <c r="Q444" i="4"/>
  <c r="R444" i="4" s="1"/>
  <c r="S444" i="4" s="1"/>
  <c r="O444" i="4"/>
  <c r="P444" i="4" s="1"/>
  <c r="Q515" i="4"/>
  <c r="R515" i="4" s="1"/>
  <c r="S515" i="4" s="1"/>
  <c r="O511" i="4"/>
  <c r="P511" i="4" s="1"/>
  <c r="N522" i="4"/>
  <c r="O522" i="4" s="1"/>
  <c r="P522" i="4" s="1"/>
  <c r="O464" i="4"/>
  <c r="P464" i="4" s="1"/>
  <c r="Q500" i="4"/>
  <c r="R500" i="4" s="1"/>
  <c r="S500" i="4" s="1"/>
  <c r="O494" i="4"/>
  <c r="P494" i="4" s="1"/>
  <c r="Q439" i="4"/>
  <c r="R439" i="4" s="1"/>
  <c r="S439" i="4" s="1"/>
  <c r="O437" i="4"/>
  <c r="P437" i="4" s="1"/>
  <c r="Q454" i="4"/>
  <c r="R454" i="4" s="1"/>
  <c r="S454" i="4" s="1"/>
  <c r="O449" i="4"/>
  <c r="P449" i="4" s="1"/>
  <c r="Q430" i="4"/>
  <c r="R430" i="4" s="1"/>
  <c r="S430" i="4" s="1"/>
  <c r="O430" i="4"/>
  <c r="P430" i="4" s="1"/>
  <c r="Q467" i="4"/>
  <c r="O460" i="4"/>
  <c r="P460" i="4" s="1"/>
  <c r="Q520" i="4"/>
  <c r="R520" i="4" s="1"/>
  <c r="S520" i="4" s="1"/>
  <c r="O520" i="4"/>
  <c r="P520" i="4" s="1"/>
  <c r="Q505" i="4"/>
  <c r="R505" i="4" s="1"/>
  <c r="S505" i="4" s="1"/>
  <c r="O503" i="4"/>
  <c r="P503" i="4" s="1"/>
  <c r="Q489" i="4"/>
  <c r="R489" i="4" s="1"/>
  <c r="S489" i="4" s="1"/>
  <c r="O478" i="4"/>
  <c r="P478" i="4" s="1"/>
  <c r="Q414" i="4"/>
  <c r="O414" i="4"/>
  <c r="P414" i="4" s="1"/>
  <c r="O399" i="4"/>
  <c r="P399" i="4" s="1"/>
  <c r="Q399" i="4"/>
  <c r="O409" i="4"/>
  <c r="P409" i="4" s="1"/>
  <c r="Q409" i="4"/>
  <c r="R409" i="4" s="1"/>
  <c r="S409" i="4" s="1"/>
  <c r="O402" i="4"/>
  <c r="P402" i="4" s="1"/>
  <c r="Q407" i="4"/>
  <c r="O425" i="4"/>
  <c r="P425" i="4" s="1"/>
  <c r="Q425" i="4"/>
  <c r="R425" i="4" s="1"/>
  <c r="S425" i="4" s="1"/>
  <c r="O416" i="4"/>
  <c r="P416" i="4" s="1"/>
  <c r="O379" i="4"/>
  <c r="P379" i="4" s="1"/>
  <c r="O378" i="4"/>
  <c r="P378" i="4" s="1"/>
  <c r="Q393" i="4"/>
  <c r="O388" i="4"/>
  <c r="P388" i="4" s="1"/>
  <c r="O374" i="4"/>
  <c r="P374" i="4" s="1"/>
  <c r="Q374" i="4"/>
  <c r="Q347" i="4"/>
  <c r="Q349" i="4"/>
  <c r="O368" i="4"/>
  <c r="P368" i="4" s="1"/>
  <c r="Q368" i="4"/>
  <c r="Q364" i="4"/>
  <c r="O356" i="4"/>
  <c r="P356" i="4" s="1"/>
  <c r="M1370" i="4"/>
  <c r="L1370" i="4"/>
  <c r="N191" i="4"/>
  <c r="K260" i="4"/>
  <c r="L260" i="4"/>
  <c r="K261" i="4"/>
  <c r="L261" i="4"/>
  <c r="K262" i="4"/>
  <c r="L262" i="4"/>
  <c r="K264" i="4"/>
  <c r="L264" i="4"/>
  <c r="K266" i="4"/>
  <c r="L266" i="4"/>
  <c r="K267" i="4"/>
  <c r="L267" i="4"/>
  <c r="M267" i="4" s="1"/>
  <c r="K268" i="4"/>
  <c r="L268" i="4"/>
  <c r="M268" i="4" s="1"/>
  <c r="K269" i="4"/>
  <c r="L269" i="4"/>
  <c r="K270" i="4"/>
  <c r="L270" i="4"/>
  <c r="M270" i="4" s="1"/>
  <c r="K271" i="4"/>
  <c r="L271" i="4"/>
  <c r="M271" i="4" s="1"/>
  <c r="K273" i="4"/>
  <c r="L273" i="4"/>
  <c r="K274" i="4"/>
  <c r="L274" i="4"/>
  <c r="K275" i="4"/>
  <c r="L275" i="4"/>
  <c r="K277" i="4"/>
  <c r="L277" i="4"/>
  <c r="K278" i="4"/>
  <c r="L278" i="4"/>
  <c r="K279" i="4"/>
  <c r="L279" i="4"/>
  <c r="K280" i="4"/>
  <c r="L280" i="4"/>
  <c r="K281" i="4"/>
  <c r="L281" i="4"/>
  <c r="K282" i="4"/>
  <c r="L282" i="4"/>
  <c r="K284" i="4"/>
  <c r="L284" i="4"/>
  <c r="K285" i="4"/>
  <c r="L285" i="4"/>
  <c r="M285" i="4" s="1"/>
  <c r="K286" i="4"/>
  <c r="L286" i="4"/>
  <c r="M286" i="4" s="1"/>
  <c r="K287" i="4"/>
  <c r="L287" i="4"/>
  <c r="K288" i="4"/>
  <c r="L288" i="4"/>
  <c r="M288" i="4" s="1"/>
  <c r="K289" i="4"/>
  <c r="L289" i="4"/>
  <c r="M289" i="4" s="1"/>
  <c r="K290" i="4"/>
  <c r="L290" i="4"/>
  <c r="M290" i="4" s="1"/>
  <c r="K291" i="4"/>
  <c r="L291" i="4"/>
  <c r="K292" i="4"/>
  <c r="L292" i="4"/>
  <c r="M292" i="4" s="1"/>
  <c r="K293" i="4"/>
  <c r="L293" i="4"/>
  <c r="M293" i="4" s="1"/>
  <c r="K294" i="4"/>
  <c r="L294" i="4"/>
  <c r="M294" i="4" s="1"/>
  <c r="K295" i="4"/>
  <c r="L295" i="4"/>
  <c r="M295" i="4" s="1"/>
  <c r="K296" i="4"/>
  <c r="L296" i="4"/>
  <c r="M296" i="4" s="1"/>
  <c r="K298" i="4"/>
  <c r="L298" i="4"/>
  <c r="K299" i="4"/>
  <c r="L299" i="4"/>
  <c r="M299" i="4" s="1"/>
  <c r="K300" i="4"/>
  <c r="L300" i="4"/>
  <c r="M300" i="4" s="1"/>
  <c r="K301" i="4"/>
  <c r="L301" i="4"/>
  <c r="K302" i="4"/>
  <c r="L302" i="4"/>
  <c r="M302" i="4" s="1"/>
  <c r="K303" i="4"/>
  <c r="L303" i="4"/>
  <c r="M303" i="4" s="1"/>
  <c r="K305" i="4"/>
  <c r="L305" i="4"/>
  <c r="K306" i="4"/>
  <c r="L306" i="4"/>
  <c r="M306" i="4" s="1"/>
  <c r="K307" i="4"/>
  <c r="L307" i="4"/>
  <c r="K309" i="4"/>
  <c r="L309" i="4"/>
  <c r="K310" i="4"/>
  <c r="L310" i="4"/>
  <c r="M310" i="4" s="1"/>
  <c r="K311" i="4"/>
  <c r="L311" i="4"/>
  <c r="K313" i="4"/>
  <c r="L313" i="4"/>
  <c r="K314" i="4"/>
  <c r="L314" i="4"/>
  <c r="M314" i="4" s="1"/>
  <c r="K316" i="4"/>
  <c r="L316" i="4"/>
  <c r="K317" i="4"/>
  <c r="L317" i="4"/>
  <c r="K318" i="4"/>
  <c r="L318" i="4"/>
  <c r="M318" i="4" s="1"/>
  <c r="K319" i="4"/>
  <c r="L319" i="4"/>
  <c r="M319" i="4" s="1"/>
  <c r="K321" i="4"/>
  <c r="L321" i="4"/>
  <c r="K322" i="4"/>
  <c r="L322" i="4"/>
  <c r="K323" i="4"/>
  <c r="L323" i="4"/>
  <c r="M323" i="4" s="1"/>
  <c r="K324" i="4"/>
  <c r="L324" i="4"/>
  <c r="M324" i="4" s="1"/>
  <c r="R1291" i="4" l="1"/>
  <c r="S1291" i="4"/>
  <c r="R1174" i="4"/>
  <c r="S1174" i="4" s="1"/>
  <c r="R1182" i="4"/>
  <c r="S1182" i="4" s="1"/>
  <c r="R888" i="4"/>
  <c r="S888" i="4" s="1"/>
  <c r="R571" i="4"/>
  <c r="S571" i="4" s="1"/>
  <c r="R565" i="4"/>
  <c r="S565" i="4" s="1"/>
  <c r="R399" i="4"/>
  <c r="S399" i="4" s="1"/>
  <c r="R364" i="4"/>
  <c r="S364" i="4" s="1"/>
  <c r="R331" i="4"/>
  <c r="S331" i="4" s="1"/>
  <c r="R368" i="4"/>
  <c r="S368" i="4" s="1"/>
  <c r="R340" i="4"/>
  <c r="S340" i="4" s="1"/>
  <c r="R347" i="4"/>
  <c r="S347" i="4" s="1"/>
  <c r="R374" i="4"/>
  <c r="S374" i="4" s="1"/>
  <c r="R349" i="4"/>
  <c r="S349" i="4"/>
  <c r="R407" i="4"/>
  <c r="S407" i="4" s="1"/>
  <c r="Q1293" i="4"/>
  <c r="R1293" i="4" s="1"/>
  <c r="S1293" i="4" s="1"/>
  <c r="Q800" i="4"/>
  <c r="R800" i="4" s="1"/>
  <c r="S800" i="4" s="1"/>
  <c r="Q522" i="4"/>
  <c r="R522" i="4" s="1"/>
  <c r="S522" i="4" s="1"/>
  <c r="R467" i="4"/>
  <c r="S467" i="4" s="1"/>
  <c r="M321" i="4"/>
  <c r="N321" i="4"/>
  <c r="M313" i="4"/>
  <c r="N314" i="4"/>
  <c r="M316" i="4"/>
  <c r="N316" i="4"/>
  <c r="O316" i="4" s="1"/>
  <c r="P316" i="4" s="1"/>
  <c r="M322" i="4"/>
  <c r="N324" i="4"/>
  <c r="O324" i="4" s="1"/>
  <c r="P324" i="4" s="1"/>
  <c r="M317" i="4"/>
  <c r="N319" i="4"/>
  <c r="O319" i="4" s="1"/>
  <c r="P319" i="4" s="1"/>
  <c r="M309" i="4"/>
  <c r="N310" i="4"/>
  <c r="O310" i="4" s="1"/>
  <c r="P310" i="4" s="1"/>
  <c r="M287" i="4"/>
  <c r="N290" i="4"/>
  <c r="O290" i="4" s="1"/>
  <c r="P290" i="4" s="1"/>
  <c r="M311" i="4"/>
  <c r="N311" i="4"/>
  <c r="O311" i="4" s="1"/>
  <c r="P311" i="4" s="1"/>
  <c r="M301" i="4"/>
  <c r="N303" i="4"/>
  <c r="O303" i="4" s="1"/>
  <c r="P303" i="4" s="1"/>
  <c r="M305" i="4"/>
  <c r="N306" i="4"/>
  <c r="O306" i="4" s="1"/>
  <c r="P306" i="4" s="1"/>
  <c r="M291" i="4"/>
  <c r="N296" i="4"/>
  <c r="M307" i="4"/>
  <c r="N307" i="4"/>
  <c r="O307" i="4" s="1"/>
  <c r="P307" i="4" s="1"/>
  <c r="M298" i="4"/>
  <c r="N300" i="4"/>
  <c r="O191" i="4"/>
  <c r="P191" i="4" s="1"/>
  <c r="M280" i="4"/>
  <c r="N280" i="4"/>
  <c r="M275" i="4"/>
  <c r="N275" i="4"/>
  <c r="O275" i="4" s="1"/>
  <c r="P275" i="4" s="1"/>
  <c r="M266" i="4"/>
  <c r="N268" i="4"/>
  <c r="M260" i="4"/>
  <c r="N260" i="4"/>
  <c r="M284" i="4"/>
  <c r="N286" i="4"/>
  <c r="O286" i="4" s="1"/>
  <c r="P286" i="4" s="1"/>
  <c r="M279" i="4"/>
  <c r="N279" i="4"/>
  <c r="O279" i="4" s="1"/>
  <c r="P279" i="4" s="1"/>
  <c r="M274" i="4"/>
  <c r="N274" i="4"/>
  <c r="O274" i="4" s="1"/>
  <c r="P274" i="4" s="1"/>
  <c r="M269" i="4"/>
  <c r="N271" i="4"/>
  <c r="M264" i="4"/>
  <c r="N264" i="4"/>
  <c r="Q264" i="4" s="1"/>
  <c r="R264" i="4" s="1"/>
  <c r="S264" i="4" s="1"/>
  <c r="M282" i="4"/>
  <c r="N282" i="4"/>
  <c r="O282" i="4" s="1"/>
  <c r="P282" i="4" s="1"/>
  <c r="M278" i="4"/>
  <c r="N278" i="4"/>
  <c r="O278" i="4" s="1"/>
  <c r="P278" i="4" s="1"/>
  <c r="M273" i="4"/>
  <c r="N273" i="4"/>
  <c r="M262" i="4"/>
  <c r="N262" i="4"/>
  <c r="O262" i="4" s="1"/>
  <c r="P262" i="4" s="1"/>
  <c r="M281" i="4"/>
  <c r="N281" i="4"/>
  <c r="M277" i="4"/>
  <c r="N277" i="4"/>
  <c r="M261" i="4"/>
  <c r="N261" i="4"/>
  <c r="O261" i="4" s="1"/>
  <c r="P261" i="4" s="1"/>
  <c r="K232" i="4"/>
  <c r="L232" i="4"/>
  <c r="M232" i="4" s="1"/>
  <c r="K251" i="4"/>
  <c r="L251" i="4"/>
  <c r="K252" i="4"/>
  <c r="L252" i="4"/>
  <c r="M252" i="4" s="1"/>
  <c r="K245" i="4"/>
  <c r="L245" i="4"/>
  <c r="M245" i="4" s="1"/>
  <c r="K244" i="4"/>
  <c r="L244" i="4"/>
  <c r="M244" i="4" s="1"/>
  <c r="K243" i="4"/>
  <c r="L243" i="4"/>
  <c r="M243" i="4" s="1"/>
  <c r="K240" i="4"/>
  <c r="L240" i="4"/>
  <c r="M240" i="4" s="1"/>
  <c r="K241" i="4"/>
  <c r="L241" i="4"/>
  <c r="M241" i="4" s="1"/>
  <c r="L235" i="4"/>
  <c r="M235" i="4" s="1"/>
  <c r="K235" i="4"/>
  <c r="K234" i="4"/>
  <c r="L234" i="4"/>
  <c r="M234" i="4" s="1"/>
  <c r="L229" i="4"/>
  <c r="M229" i="4" s="1"/>
  <c r="K229" i="4"/>
  <c r="K228" i="4"/>
  <c r="L228" i="4"/>
  <c r="M228" i="4" s="1"/>
  <c r="K225" i="4"/>
  <c r="L225" i="4"/>
  <c r="L224" i="4"/>
  <c r="M224" i="4" s="1"/>
  <c r="K224" i="4"/>
  <c r="R218" i="4"/>
  <c r="S218" i="4" s="1"/>
  <c r="R219" i="4"/>
  <c r="S219" i="4" s="1"/>
  <c r="K219" i="4"/>
  <c r="L219" i="4"/>
  <c r="M219" i="4" s="1"/>
  <c r="L218" i="4"/>
  <c r="M218" i="4" s="1"/>
  <c r="K218" i="4"/>
  <c r="R179" i="4"/>
  <c r="S179" i="4" s="1"/>
  <c r="R180" i="4"/>
  <c r="S180" i="4" s="1"/>
  <c r="R181" i="4"/>
  <c r="S181" i="4" s="1"/>
  <c r="R182" i="4"/>
  <c r="S182" i="4" s="1"/>
  <c r="R183" i="4"/>
  <c r="S183" i="4" s="1"/>
  <c r="R186" i="4"/>
  <c r="S186" i="4" s="1"/>
  <c r="R187" i="4"/>
  <c r="S187" i="4" s="1"/>
  <c r="R188" i="4"/>
  <c r="S188" i="4" s="1"/>
  <c r="R189" i="4"/>
  <c r="S189" i="4" s="1"/>
  <c r="R190" i="4"/>
  <c r="S190" i="4" s="1"/>
  <c r="R191" i="4"/>
  <c r="S191" i="4" s="1"/>
  <c r="R192" i="4"/>
  <c r="S192" i="4" s="1"/>
  <c r="R195" i="4"/>
  <c r="S195" i="4" s="1"/>
  <c r="R196" i="4"/>
  <c r="S196" i="4" s="1"/>
  <c r="R197" i="4"/>
  <c r="S197" i="4" s="1"/>
  <c r="R200" i="4"/>
  <c r="S200" i="4" s="1"/>
  <c r="R201" i="4"/>
  <c r="S201" i="4" s="1"/>
  <c r="R202" i="4"/>
  <c r="S202" i="4" s="1"/>
  <c r="R203" i="4"/>
  <c r="S203" i="4" s="1"/>
  <c r="R206" i="4"/>
  <c r="S206" i="4" s="1"/>
  <c r="R207" i="4"/>
  <c r="S207" i="4" s="1"/>
  <c r="R208" i="4"/>
  <c r="S208" i="4" s="1"/>
  <c r="R209" i="4"/>
  <c r="S209" i="4" s="1"/>
  <c r="R210" i="4"/>
  <c r="S210" i="4" s="1"/>
  <c r="R211" i="4"/>
  <c r="S211" i="4" s="1"/>
  <c r="R212" i="4"/>
  <c r="S212" i="4" s="1"/>
  <c r="R213" i="4"/>
  <c r="S213" i="4" s="1"/>
  <c r="R216" i="4"/>
  <c r="S216" i="4" s="1"/>
  <c r="R217" i="4"/>
  <c r="S217" i="4" s="1"/>
  <c r="R220" i="4"/>
  <c r="S220" i="4" s="1"/>
  <c r="R223" i="4"/>
  <c r="S223" i="4" s="1"/>
  <c r="R226" i="4"/>
  <c r="S226" i="4" s="1"/>
  <c r="R227" i="4"/>
  <c r="S227" i="4" s="1"/>
  <c r="R231" i="4"/>
  <c r="S231" i="4" s="1"/>
  <c r="R233" i="4"/>
  <c r="S233" i="4" s="1"/>
  <c r="R236" i="4"/>
  <c r="S236" i="4" s="1"/>
  <c r="R239" i="4"/>
  <c r="S239" i="4" s="1"/>
  <c r="R242" i="4"/>
  <c r="S242" i="4" s="1"/>
  <c r="R246" i="4"/>
  <c r="S246" i="4" s="1"/>
  <c r="R247" i="4"/>
  <c r="S247" i="4" s="1"/>
  <c r="R248" i="4"/>
  <c r="S248" i="4" s="1"/>
  <c r="R251" i="4"/>
  <c r="S251" i="4" s="1"/>
  <c r="R252" i="4"/>
  <c r="S252" i="4" s="1"/>
  <c r="R253" i="4"/>
  <c r="S253" i="4" s="1"/>
  <c r="R254" i="4"/>
  <c r="S254" i="4" s="1"/>
  <c r="R255" i="4"/>
  <c r="S255" i="4" s="1"/>
  <c r="Q395" i="4"/>
  <c r="Q427" i="4"/>
  <c r="Q698" i="4"/>
  <c r="Q1038" i="4"/>
  <c r="Q1073" i="4"/>
  <c r="Q1118" i="4"/>
  <c r="K212" i="4"/>
  <c r="L212" i="4"/>
  <c r="M212" i="4" s="1"/>
  <c r="K211" i="4"/>
  <c r="L211" i="4"/>
  <c r="M211" i="4" s="1"/>
  <c r="K207" i="4"/>
  <c r="L207" i="4"/>
  <c r="M207" i="4" s="1"/>
  <c r="K208" i="4"/>
  <c r="L208" i="4"/>
  <c r="M208" i="4" s="1"/>
  <c r="K209" i="4"/>
  <c r="L209" i="4"/>
  <c r="M209" i="4" s="1"/>
  <c r="K179" i="4"/>
  <c r="L179" i="4"/>
  <c r="M179" i="4" s="1"/>
  <c r="K180" i="4"/>
  <c r="L180" i="4"/>
  <c r="M180" i="4" s="1"/>
  <c r="K181" i="4"/>
  <c r="L181" i="4"/>
  <c r="M181" i="4" s="1"/>
  <c r="K182" i="4"/>
  <c r="L182" i="4"/>
  <c r="K183" i="4"/>
  <c r="L183" i="4"/>
  <c r="K184" i="4"/>
  <c r="L184" i="4"/>
  <c r="M184" i="4" s="1"/>
  <c r="K186" i="4"/>
  <c r="L186" i="4"/>
  <c r="K187" i="4"/>
  <c r="L187" i="4"/>
  <c r="M187" i="4" s="1"/>
  <c r="K188" i="4"/>
  <c r="L188" i="4"/>
  <c r="M188" i="4" s="1"/>
  <c r="K189" i="4"/>
  <c r="L189" i="4"/>
  <c r="M189" i="4" s="1"/>
  <c r="K190" i="4"/>
  <c r="L190" i="4"/>
  <c r="M190" i="4" s="1"/>
  <c r="K191" i="4"/>
  <c r="L191" i="4"/>
  <c r="M191" i="4" s="1"/>
  <c r="K192" i="4"/>
  <c r="L192" i="4"/>
  <c r="K193" i="4"/>
  <c r="L193" i="4"/>
  <c r="M193" i="4" s="1"/>
  <c r="K195" i="4"/>
  <c r="L195" i="4"/>
  <c r="K196" i="4"/>
  <c r="L196" i="4"/>
  <c r="K197" i="4"/>
  <c r="L197" i="4"/>
  <c r="M197" i="4" s="1"/>
  <c r="K198" i="4"/>
  <c r="L198" i="4"/>
  <c r="M198" i="4" s="1"/>
  <c r="K200" i="4"/>
  <c r="L200" i="4"/>
  <c r="K201" i="4"/>
  <c r="L201" i="4"/>
  <c r="M201" i="4" s="1"/>
  <c r="K202" i="4"/>
  <c r="L202" i="4"/>
  <c r="K203" i="4"/>
  <c r="L203" i="4"/>
  <c r="M203" i="4" s="1"/>
  <c r="K204" i="4"/>
  <c r="L204" i="4"/>
  <c r="M204" i="4" s="1"/>
  <c r="K206" i="4"/>
  <c r="L206" i="4"/>
  <c r="K210" i="4"/>
  <c r="L210" i="4"/>
  <c r="K213" i="4"/>
  <c r="L213" i="4"/>
  <c r="K214" i="4"/>
  <c r="L214" i="4"/>
  <c r="M214" i="4" s="1"/>
  <c r="K216" i="4"/>
  <c r="L216" i="4"/>
  <c r="K217" i="4"/>
  <c r="L217" i="4"/>
  <c r="K220" i="4"/>
  <c r="L220" i="4"/>
  <c r="M220" i="4" s="1"/>
  <c r="K221" i="4"/>
  <c r="L221" i="4"/>
  <c r="M221" i="4" s="1"/>
  <c r="K223" i="4"/>
  <c r="L223" i="4"/>
  <c r="K226" i="4"/>
  <c r="L226" i="4"/>
  <c r="M226" i="4" s="1"/>
  <c r="K227" i="4"/>
  <c r="L227" i="4"/>
  <c r="M227" i="4" s="1"/>
  <c r="K231" i="4"/>
  <c r="L231" i="4"/>
  <c r="K233" i="4"/>
  <c r="L233" i="4"/>
  <c r="K236" i="4"/>
  <c r="L236" i="4"/>
  <c r="K237" i="4"/>
  <c r="L237" i="4"/>
  <c r="M237" i="4" s="1"/>
  <c r="K239" i="4"/>
  <c r="L239" i="4"/>
  <c r="K242" i="4"/>
  <c r="L242" i="4"/>
  <c r="K246" i="4"/>
  <c r="L246" i="4"/>
  <c r="K247" i="4"/>
  <c r="L247" i="4"/>
  <c r="M247" i="4" s="1"/>
  <c r="K248" i="4"/>
  <c r="L248" i="4"/>
  <c r="M248" i="4" s="1"/>
  <c r="K249" i="4"/>
  <c r="L249" i="4"/>
  <c r="M249" i="4" s="1"/>
  <c r="K253" i="4"/>
  <c r="L253" i="4"/>
  <c r="K254" i="4"/>
  <c r="L254" i="4"/>
  <c r="M254" i="4" s="1"/>
  <c r="K255" i="4"/>
  <c r="L255" i="4"/>
  <c r="M255" i="4" s="1"/>
  <c r="K256" i="4"/>
  <c r="L256" i="4"/>
  <c r="M256" i="4" s="1"/>
  <c r="L178" i="4"/>
  <c r="K178" i="4"/>
  <c r="R135" i="4"/>
  <c r="S135" i="4" s="1"/>
  <c r="R136" i="4"/>
  <c r="S136" i="4" s="1"/>
  <c r="R140" i="4"/>
  <c r="S140" i="4" s="1"/>
  <c r="R141" i="4"/>
  <c r="S141" i="4" s="1"/>
  <c r="R142" i="4"/>
  <c r="S142" i="4" s="1"/>
  <c r="R143" i="4"/>
  <c r="S143" i="4" s="1"/>
  <c r="R146" i="4"/>
  <c r="S146" i="4" s="1"/>
  <c r="R147" i="4"/>
  <c r="S147" i="4" s="1"/>
  <c r="R150" i="4"/>
  <c r="S150" i="4" s="1"/>
  <c r="R151" i="4"/>
  <c r="S151" i="4" s="1"/>
  <c r="R154" i="4"/>
  <c r="S154" i="4" s="1"/>
  <c r="R155" i="4"/>
  <c r="S155" i="4" s="1"/>
  <c r="R156" i="4"/>
  <c r="S156" i="4" s="1"/>
  <c r="R157" i="4"/>
  <c r="S157" i="4" s="1"/>
  <c r="R158" i="4"/>
  <c r="S158" i="4" s="1"/>
  <c r="R159" i="4"/>
  <c r="S159" i="4" s="1"/>
  <c r="R162" i="4"/>
  <c r="S162" i="4" s="1"/>
  <c r="R163" i="4"/>
  <c r="S163" i="4" s="1"/>
  <c r="R166" i="4"/>
  <c r="S166" i="4" s="1"/>
  <c r="R167" i="4"/>
  <c r="S167" i="4" s="1"/>
  <c r="R168" i="4"/>
  <c r="S168" i="4" s="1"/>
  <c r="R169" i="4"/>
  <c r="S169" i="4" s="1"/>
  <c r="R172" i="4"/>
  <c r="S172" i="4" s="1"/>
  <c r="R173" i="4"/>
  <c r="S173" i="4" s="1"/>
  <c r="R174" i="4"/>
  <c r="S174" i="4" s="1"/>
  <c r="O314" i="4" l="1"/>
  <c r="P314" i="4" s="1"/>
  <c r="Q314" i="4"/>
  <c r="R314" i="4" s="1"/>
  <c r="S314" i="4" s="1"/>
  <c r="Q275" i="4"/>
  <c r="R275" i="4" s="1"/>
  <c r="S275" i="4" s="1"/>
  <c r="O300" i="4"/>
  <c r="P300" i="4" s="1"/>
  <c r="O321" i="4"/>
  <c r="P321" i="4" s="1"/>
  <c r="Q282" i="4"/>
  <c r="O277" i="4"/>
  <c r="P277" i="4" s="1"/>
  <c r="O268" i="4"/>
  <c r="P268" i="4" s="1"/>
  <c r="Q271" i="4"/>
  <c r="O281" i="4"/>
  <c r="P281" i="4" s="1"/>
  <c r="O296" i="4"/>
  <c r="P296" i="4" s="1"/>
  <c r="O280" i="4"/>
  <c r="P280" i="4" s="1"/>
  <c r="Q319" i="4"/>
  <c r="R319" i="4" s="1"/>
  <c r="S319" i="4" s="1"/>
  <c r="Q324" i="4"/>
  <c r="R324" i="4" s="1"/>
  <c r="S324" i="4" s="1"/>
  <c r="Q303" i="4"/>
  <c r="R303" i="4" s="1"/>
  <c r="S303" i="4" s="1"/>
  <c r="Q296" i="4"/>
  <c r="Q307" i="4"/>
  <c r="R307" i="4" s="1"/>
  <c r="S307" i="4" s="1"/>
  <c r="Q311" i="4"/>
  <c r="R311" i="4" s="1"/>
  <c r="S311" i="4" s="1"/>
  <c r="O264" i="4"/>
  <c r="P264" i="4" s="1"/>
  <c r="O260" i="4"/>
  <c r="P260" i="4" s="1"/>
  <c r="M246" i="4"/>
  <c r="N249" i="4"/>
  <c r="M217" i="4"/>
  <c r="N219" i="4"/>
  <c r="M202" i="4"/>
  <c r="N204" i="4"/>
  <c r="M213" i="4"/>
  <c r="N214" i="4"/>
  <c r="M253" i="4"/>
  <c r="N256" i="4"/>
  <c r="O256" i="4" s="1"/>
  <c r="P256" i="4" s="1"/>
  <c r="M183" i="4"/>
  <c r="N184" i="4"/>
  <c r="O184" i="4" s="1"/>
  <c r="P184" i="4" s="1"/>
  <c r="M242" i="4"/>
  <c r="N245" i="4"/>
  <c r="M233" i="4"/>
  <c r="N235" i="4"/>
  <c r="O235" i="4" s="1"/>
  <c r="P235" i="4" s="1"/>
  <c r="M223" i="4"/>
  <c r="N224" i="4"/>
  <c r="N221" i="4"/>
  <c r="O221" i="4" s="1"/>
  <c r="P221" i="4" s="1"/>
  <c r="M216" i="4"/>
  <c r="N216" i="4"/>
  <c r="O216" i="4" s="1"/>
  <c r="P216" i="4" s="1"/>
  <c r="M206" i="4"/>
  <c r="N209" i="4"/>
  <c r="M196" i="4"/>
  <c r="N198" i="4"/>
  <c r="O198" i="4" s="1"/>
  <c r="P198" i="4" s="1"/>
  <c r="M182" i="4"/>
  <c r="N182" i="4"/>
  <c r="M225" i="4"/>
  <c r="N229" i="4"/>
  <c r="O229" i="4" s="1"/>
  <c r="P229" i="4" s="1"/>
  <c r="M192" i="4"/>
  <c r="N193" i="4"/>
  <c r="O193" i="4" s="1"/>
  <c r="P193" i="4" s="1"/>
  <c r="M236" i="4"/>
  <c r="N237" i="4"/>
  <c r="M210" i="4"/>
  <c r="N212" i="4"/>
  <c r="O212" i="4" s="1"/>
  <c r="P212" i="4" s="1"/>
  <c r="M239" i="4"/>
  <c r="N241" i="4"/>
  <c r="M231" i="4"/>
  <c r="N232" i="4"/>
  <c r="M200" i="4"/>
  <c r="N201" i="4"/>
  <c r="M195" i="4"/>
  <c r="N195" i="4"/>
  <c r="M186" i="4"/>
  <c r="N188" i="4"/>
  <c r="O188" i="4" s="1"/>
  <c r="P188" i="4" s="1"/>
  <c r="M251" i="4"/>
  <c r="N252" i="4"/>
  <c r="O252" i="4" s="1"/>
  <c r="P252" i="4" s="1"/>
  <c r="M178" i="4"/>
  <c r="N181" i="4"/>
  <c r="K135" i="4"/>
  <c r="L135" i="4"/>
  <c r="M135" i="4" s="1"/>
  <c r="K136" i="4"/>
  <c r="L136" i="4"/>
  <c r="M136" i="4" s="1"/>
  <c r="K137" i="4"/>
  <c r="L137" i="4"/>
  <c r="M137" i="4" s="1"/>
  <c r="K140" i="4"/>
  <c r="L140" i="4"/>
  <c r="M140" i="4" s="1"/>
  <c r="K141" i="4"/>
  <c r="L141" i="4"/>
  <c r="M141" i="4" s="1"/>
  <c r="K142" i="4"/>
  <c r="L142" i="4"/>
  <c r="M142" i="4" s="1"/>
  <c r="K143" i="4"/>
  <c r="L143" i="4"/>
  <c r="M143" i="4" s="1"/>
  <c r="K144" i="4"/>
  <c r="L144" i="4"/>
  <c r="M144" i="4" s="1"/>
  <c r="K146" i="4"/>
  <c r="L146" i="4"/>
  <c r="M146" i="4" s="1"/>
  <c r="K147" i="4"/>
  <c r="L147" i="4"/>
  <c r="M147" i="4" s="1"/>
  <c r="K148" i="4"/>
  <c r="L148" i="4"/>
  <c r="M148" i="4" s="1"/>
  <c r="K150" i="4"/>
  <c r="L150" i="4"/>
  <c r="M150" i="4" s="1"/>
  <c r="K151" i="4"/>
  <c r="L151" i="4"/>
  <c r="N151" i="4" s="1"/>
  <c r="O151" i="4" s="1"/>
  <c r="P151" i="4" s="1"/>
  <c r="K152" i="4"/>
  <c r="L152" i="4"/>
  <c r="M152" i="4" s="1"/>
  <c r="K154" i="4"/>
  <c r="L154" i="4"/>
  <c r="M154" i="4" s="1"/>
  <c r="K155" i="4"/>
  <c r="L155" i="4"/>
  <c r="M155" i="4" s="1"/>
  <c r="K156" i="4"/>
  <c r="L156" i="4"/>
  <c r="M156" i="4" s="1"/>
  <c r="K157" i="4"/>
  <c r="L157" i="4"/>
  <c r="M157" i="4" s="1"/>
  <c r="K158" i="4"/>
  <c r="L158" i="4"/>
  <c r="M158" i="4" s="1"/>
  <c r="K159" i="4"/>
  <c r="L159" i="4"/>
  <c r="M159" i="4" s="1"/>
  <c r="K160" i="4"/>
  <c r="L160" i="4"/>
  <c r="M160" i="4" s="1"/>
  <c r="K162" i="4"/>
  <c r="L162" i="4"/>
  <c r="M162" i="4" s="1"/>
  <c r="K163" i="4"/>
  <c r="L163" i="4"/>
  <c r="M163" i="4" s="1"/>
  <c r="K164" i="4"/>
  <c r="L164" i="4"/>
  <c r="M164" i="4" s="1"/>
  <c r="K166" i="4"/>
  <c r="L166" i="4"/>
  <c r="K167" i="4"/>
  <c r="L167" i="4"/>
  <c r="M167" i="4" s="1"/>
  <c r="K168" i="4"/>
  <c r="L168" i="4"/>
  <c r="M168" i="4" s="1"/>
  <c r="K169" i="4"/>
  <c r="L169" i="4"/>
  <c r="M169" i="4" s="1"/>
  <c r="K170" i="4"/>
  <c r="L170" i="4"/>
  <c r="M170" i="4" s="1"/>
  <c r="K172" i="4"/>
  <c r="L172" i="4"/>
  <c r="M172" i="4" s="1"/>
  <c r="K173" i="4"/>
  <c r="L173" i="4"/>
  <c r="M173" i="4" s="1"/>
  <c r="K174" i="4"/>
  <c r="L174" i="4"/>
  <c r="M174" i="4" s="1"/>
  <c r="K175" i="4"/>
  <c r="L175" i="4"/>
  <c r="M175" i="4" s="1"/>
  <c r="L134" i="4"/>
  <c r="M134" i="4" s="1"/>
  <c r="K134" i="4"/>
  <c r="R85" i="4"/>
  <c r="S85" i="4" s="1"/>
  <c r="R86" i="4"/>
  <c r="S86" i="4" s="1"/>
  <c r="R87" i="4"/>
  <c r="S87" i="4" s="1"/>
  <c r="R88" i="4"/>
  <c r="S88" i="4" s="1"/>
  <c r="R89" i="4"/>
  <c r="S89" i="4" s="1"/>
  <c r="R90" i="4"/>
  <c r="S90" i="4" s="1"/>
  <c r="R93" i="4"/>
  <c r="S93" i="4" s="1"/>
  <c r="R94" i="4"/>
  <c r="S94" i="4" s="1"/>
  <c r="R95" i="4"/>
  <c r="S95" i="4" s="1"/>
  <c r="R98" i="4"/>
  <c r="S98" i="4" s="1"/>
  <c r="R99" i="4"/>
  <c r="S99" i="4" s="1"/>
  <c r="R100" i="4"/>
  <c r="S100" i="4" s="1"/>
  <c r="R103" i="4"/>
  <c r="S103" i="4" s="1"/>
  <c r="R104" i="4"/>
  <c r="S104" i="4" s="1"/>
  <c r="R105" i="4"/>
  <c r="S105" i="4" s="1"/>
  <c r="R108" i="4"/>
  <c r="S108" i="4" s="1"/>
  <c r="R109" i="4"/>
  <c r="S109" i="4" s="1"/>
  <c r="R110" i="4"/>
  <c r="S110" i="4" s="1"/>
  <c r="R111" i="4"/>
  <c r="S111" i="4" s="1"/>
  <c r="R112" i="4"/>
  <c r="S112" i="4" s="1"/>
  <c r="R113" i="4"/>
  <c r="S113" i="4" s="1"/>
  <c r="R114" i="4"/>
  <c r="S114" i="4" s="1"/>
  <c r="R117" i="4"/>
  <c r="S117" i="4" s="1"/>
  <c r="R118" i="4"/>
  <c r="S118" i="4" s="1"/>
  <c r="R119" i="4"/>
  <c r="S119" i="4" s="1"/>
  <c r="R120" i="4"/>
  <c r="S120" i="4" s="1"/>
  <c r="R121" i="4"/>
  <c r="S121" i="4" s="1"/>
  <c r="R124" i="4"/>
  <c r="S124" i="4" s="1"/>
  <c r="R125" i="4"/>
  <c r="S125" i="4" s="1"/>
  <c r="R126" i="4"/>
  <c r="S126" i="4" s="1"/>
  <c r="R127" i="4"/>
  <c r="S127" i="4" s="1"/>
  <c r="R128" i="4"/>
  <c r="S128" i="4" s="1"/>
  <c r="R84" i="4"/>
  <c r="S84" i="4" s="1"/>
  <c r="K85" i="4"/>
  <c r="L85" i="4"/>
  <c r="M85" i="4" s="1"/>
  <c r="K86" i="4"/>
  <c r="L86" i="4"/>
  <c r="M86" i="4" s="1"/>
  <c r="K87" i="4"/>
  <c r="L87" i="4"/>
  <c r="M87" i="4" s="1"/>
  <c r="K88" i="4"/>
  <c r="L88" i="4"/>
  <c r="M88" i="4" s="1"/>
  <c r="K89" i="4"/>
  <c r="L89" i="4"/>
  <c r="M89" i="4" s="1"/>
  <c r="K90" i="4"/>
  <c r="L90" i="4"/>
  <c r="M90" i="4" s="1"/>
  <c r="K91" i="4"/>
  <c r="L91" i="4"/>
  <c r="M91" i="4" s="1"/>
  <c r="K93" i="4"/>
  <c r="L93" i="4"/>
  <c r="M93" i="4" s="1"/>
  <c r="K94" i="4"/>
  <c r="L94" i="4"/>
  <c r="M94" i="4" s="1"/>
  <c r="K95" i="4"/>
  <c r="L95" i="4"/>
  <c r="M95" i="4" s="1"/>
  <c r="K96" i="4"/>
  <c r="L96" i="4"/>
  <c r="M96" i="4" s="1"/>
  <c r="K98" i="4"/>
  <c r="L98" i="4"/>
  <c r="M98" i="4" s="1"/>
  <c r="K99" i="4"/>
  <c r="L99" i="4"/>
  <c r="M99" i="4" s="1"/>
  <c r="K100" i="4"/>
  <c r="L100" i="4"/>
  <c r="M100" i="4" s="1"/>
  <c r="K101" i="4"/>
  <c r="L101" i="4"/>
  <c r="K103" i="4"/>
  <c r="L103" i="4"/>
  <c r="M103" i="4" s="1"/>
  <c r="K104" i="4"/>
  <c r="L104" i="4"/>
  <c r="M104" i="4" s="1"/>
  <c r="K105" i="4"/>
  <c r="L105" i="4"/>
  <c r="K106" i="4"/>
  <c r="L106" i="4"/>
  <c r="M106" i="4" s="1"/>
  <c r="K108" i="4"/>
  <c r="L108" i="4"/>
  <c r="M108" i="4" s="1"/>
  <c r="K109" i="4"/>
  <c r="L109" i="4"/>
  <c r="M109" i="4" s="1"/>
  <c r="K110" i="4"/>
  <c r="L110" i="4"/>
  <c r="M110" i="4" s="1"/>
  <c r="K111" i="4"/>
  <c r="L111" i="4"/>
  <c r="M111" i="4" s="1"/>
  <c r="K112" i="4"/>
  <c r="L112" i="4"/>
  <c r="M112" i="4" s="1"/>
  <c r="K113" i="4"/>
  <c r="L113" i="4"/>
  <c r="M113" i="4" s="1"/>
  <c r="K114" i="4"/>
  <c r="L114" i="4"/>
  <c r="M114" i="4" s="1"/>
  <c r="K115" i="4"/>
  <c r="L115" i="4"/>
  <c r="M115" i="4" s="1"/>
  <c r="K117" i="4"/>
  <c r="L117" i="4"/>
  <c r="M117" i="4" s="1"/>
  <c r="K118" i="4"/>
  <c r="L118" i="4"/>
  <c r="M118" i="4" s="1"/>
  <c r="K119" i="4"/>
  <c r="L119" i="4"/>
  <c r="M119" i="4" s="1"/>
  <c r="K120" i="4"/>
  <c r="L120" i="4"/>
  <c r="M120" i="4" s="1"/>
  <c r="K121" i="4"/>
  <c r="L121" i="4"/>
  <c r="M121" i="4" s="1"/>
  <c r="K122" i="4"/>
  <c r="L122" i="4"/>
  <c r="M122" i="4" s="1"/>
  <c r="K124" i="4"/>
  <c r="L124" i="4"/>
  <c r="M124" i="4" s="1"/>
  <c r="K125" i="4"/>
  <c r="L125" i="4"/>
  <c r="M125" i="4" s="1"/>
  <c r="K126" i="4"/>
  <c r="L126" i="4"/>
  <c r="M126" i="4" s="1"/>
  <c r="K127" i="4"/>
  <c r="L127" i="4"/>
  <c r="M127" i="4" s="1"/>
  <c r="K128" i="4"/>
  <c r="L128" i="4"/>
  <c r="M128" i="4" s="1"/>
  <c r="K129" i="4"/>
  <c r="L129" i="4"/>
  <c r="M129" i="4" s="1"/>
  <c r="R29" i="4"/>
  <c r="S29" i="4" s="1"/>
  <c r="R30" i="4"/>
  <c r="S30" i="4" s="1"/>
  <c r="R31" i="4"/>
  <c r="S31" i="4" s="1"/>
  <c r="R34" i="4"/>
  <c r="S34" i="4" s="1"/>
  <c r="R35" i="4"/>
  <c r="S35" i="4" s="1"/>
  <c r="R36" i="4"/>
  <c r="S36" i="4" s="1"/>
  <c r="R37" i="4"/>
  <c r="S37" i="4" s="1"/>
  <c r="R40" i="4"/>
  <c r="S40" i="4" s="1"/>
  <c r="R41" i="4"/>
  <c r="S41" i="4" s="1"/>
  <c r="R42" i="4"/>
  <c r="S42" i="4" s="1"/>
  <c r="R43" i="4"/>
  <c r="S43" i="4" s="1"/>
  <c r="R44" i="4"/>
  <c r="S44" i="4" s="1"/>
  <c r="R45" i="4"/>
  <c r="S45" i="4" s="1"/>
  <c r="R48" i="4"/>
  <c r="S48" i="4" s="1"/>
  <c r="R49" i="4"/>
  <c r="S49" i="4" s="1"/>
  <c r="R50" i="4"/>
  <c r="S50" i="4" s="1"/>
  <c r="R51" i="4"/>
  <c r="S51" i="4" s="1"/>
  <c r="R52" i="4"/>
  <c r="S52" i="4" s="1"/>
  <c r="R53" i="4"/>
  <c r="S53" i="4" s="1"/>
  <c r="R56" i="4"/>
  <c r="S56" i="4" s="1"/>
  <c r="R57" i="4"/>
  <c r="S57" i="4" s="1"/>
  <c r="R58" i="4"/>
  <c r="S58" i="4" s="1"/>
  <c r="R61" i="4"/>
  <c r="S61" i="4" s="1"/>
  <c r="R62" i="4"/>
  <c r="S62" i="4" s="1"/>
  <c r="R63" i="4"/>
  <c r="S63" i="4" s="1"/>
  <c r="R64" i="4"/>
  <c r="S64" i="4" s="1"/>
  <c r="R65" i="4"/>
  <c r="S65" i="4" s="1"/>
  <c r="R66" i="4"/>
  <c r="S66" i="4" s="1"/>
  <c r="R67" i="4"/>
  <c r="S67" i="4" s="1"/>
  <c r="R72" i="4"/>
  <c r="S72" i="4" s="1"/>
  <c r="R73" i="4"/>
  <c r="S73" i="4" s="1"/>
  <c r="R74" i="4"/>
  <c r="S74" i="4" s="1"/>
  <c r="R75" i="4"/>
  <c r="S75" i="4" s="1"/>
  <c r="R76" i="4"/>
  <c r="S76" i="4" s="1"/>
  <c r="R79" i="4"/>
  <c r="S79" i="4" s="1"/>
  <c r="R80" i="4"/>
  <c r="S80" i="4" s="1"/>
  <c r="R81" i="4"/>
  <c r="S81" i="4" s="1"/>
  <c r="R14" i="4"/>
  <c r="S14" i="4" s="1"/>
  <c r="R15" i="4"/>
  <c r="S15" i="4" s="1"/>
  <c r="R18" i="4"/>
  <c r="S18" i="4" s="1"/>
  <c r="R19" i="4"/>
  <c r="S19" i="4" s="1"/>
  <c r="R20" i="4"/>
  <c r="S20" i="4" s="1"/>
  <c r="R23" i="4"/>
  <c r="S23" i="4" s="1"/>
  <c r="R24" i="4"/>
  <c r="S24" i="4" s="1"/>
  <c r="R25" i="4"/>
  <c r="S25" i="4" s="1"/>
  <c r="R26" i="4"/>
  <c r="S26" i="4" s="1"/>
  <c r="O20" i="4"/>
  <c r="P20" i="4" s="1"/>
  <c r="K16" i="4"/>
  <c r="L16" i="4"/>
  <c r="M16" i="4" s="1"/>
  <c r="K18" i="4"/>
  <c r="L18" i="4"/>
  <c r="N18" i="4" s="1"/>
  <c r="K19" i="4"/>
  <c r="L19" i="4"/>
  <c r="M19" i="4" s="1"/>
  <c r="K20" i="4"/>
  <c r="L20" i="4"/>
  <c r="M20" i="4" s="1"/>
  <c r="K21" i="4"/>
  <c r="L21" i="4"/>
  <c r="M21" i="4" s="1"/>
  <c r="K23" i="4"/>
  <c r="L23" i="4"/>
  <c r="M23" i="4" s="1"/>
  <c r="K24" i="4"/>
  <c r="L24" i="4"/>
  <c r="M24" i="4" s="1"/>
  <c r="K25" i="4"/>
  <c r="L25" i="4"/>
  <c r="M25" i="4" s="1"/>
  <c r="K26" i="4"/>
  <c r="L26" i="4"/>
  <c r="M26" i="4" s="1"/>
  <c r="K27" i="4"/>
  <c r="L27" i="4"/>
  <c r="M27" i="4" s="1"/>
  <c r="K29" i="4"/>
  <c r="L29" i="4"/>
  <c r="M29" i="4" s="1"/>
  <c r="K30" i="4"/>
  <c r="L30" i="4"/>
  <c r="N30" i="4" s="1"/>
  <c r="O30" i="4" s="1"/>
  <c r="P30" i="4" s="1"/>
  <c r="K31" i="4"/>
  <c r="L31" i="4"/>
  <c r="M31" i="4" s="1"/>
  <c r="K32" i="4"/>
  <c r="L32" i="4"/>
  <c r="N32" i="4" s="1"/>
  <c r="K34" i="4"/>
  <c r="L34" i="4"/>
  <c r="M34" i="4" s="1"/>
  <c r="K35" i="4"/>
  <c r="L35" i="4"/>
  <c r="M35" i="4" s="1"/>
  <c r="K36" i="4"/>
  <c r="L36" i="4"/>
  <c r="M36" i="4" s="1"/>
  <c r="K37" i="4"/>
  <c r="L37" i="4"/>
  <c r="K38" i="4"/>
  <c r="L38" i="4"/>
  <c r="M38" i="4" s="1"/>
  <c r="K40" i="4"/>
  <c r="L40" i="4"/>
  <c r="K41" i="4"/>
  <c r="L41" i="4"/>
  <c r="M41" i="4" s="1"/>
  <c r="K42" i="4"/>
  <c r="L42" i="4"/>
  <c r="M42" i="4" s="1"/>
  <c r="K43" i="4"/>
  <c r="L43" i="4"/>
  <c r="M43" i="4" s="1"/>
  <c r="K44" i="4"/>
  <c r="L44" i="4"/>
  <c r="K45" i="4"/>
  <c r="L45" i="4"/>
  <c r="M45" i="4" s="1"/>
  <c r="K46" i="4"/>
  <c r="L46" i="4"/>
  <c r="M46" i="4" s="1"/>
  <c r="K48" i="4"/>
  <c r="L48" i="4"/>
  <c r="M48" i="4" s="1"/>
  <c r="K49" i="4"/>
  <c r="L49" i="4"/>
  <c r="M49" i="4" s="1"/>
  <c r="K50" i="4"/>
  <c r="L50" i="4"/>
  <c r="M50" i="4" s="1"/>
  <c r="K51" i="4"/>
  <c r="L51" i="4"/>
  <c r="M51" i="4" s="1"/>
  <c r="K52" i="4"/>
  <c r="L52" i="4"/>
  <c r="M52" i="4" s="1"/>
  <c r="K53" i="4"/>
  <c r="L53" i="4"/>
  <c r="M53" i="4" s="1"/>
  <c r="K54" i="4"/>
  <c r="L54" i="4"/>
  <c r="M54" i="4" s="1"/>
  <c r="K56" i="4"/>
  <c r="L56" i="4"/>
  <c r="M56" i="4" s="1"/>
  <c r="K57" i="4"/>
  <c r="L57" i="4"/>
  <c r="M57" i="4" s="1"/>
  <c r="K58" i="4"/>
  <c r="L58" i="4"/>
  <c r="N58" i="4" s="1"/>
  <c r="O58" i="4" s="1"/>
  <c r="P58" i="4" s="1"/>
  <c r="K59" i="4"/>
  <c r="L59" i="4"/>
  <c r="M59" i="4" s="1"/>
  <c r="K61" i="4"/>
  <c r="L61" i="4"/>
  <c r="M61" i="4" s="1"/>
  <c r="K62" i="4"/>
  <c r="L62" i="4"/>
  <c r="M62" i="4" s="1"/>
  <c r="K63" i="4"/>
  <c r="L63" i="4"/>
  <c r="M63" i="4" s="1"/>
  <c r="K64" i="4"/>
  <c r="L64" i="4"/>
  <c r="M64" i="4" s="1"/>
  <c r="K65" i="4"/>
  <c r="L65" i="4"/>
  <c r="M65" i="4" s="1"/>
  <c r="K66" i="4"/>
  <c r="L66" i="4"/>
  <c r="M66" i="4" s="1"/>
  <c r="K67" i="4"/>
  <c r="L67" i="4"/>
  <c r="M67" i="4" s="1"/>
  <c r="K68" i="4"/>
  <c r="L68" i="4"/>
  <c r="M68" i="4" s="1"/>
  <c r="K70" i="4"/>
  <c r="L70" i="4"/>
  <c r="M70" i="4" s="1"/>
  <c r="K72" i="4"/>
  <c r="L72" i="4"/>
  <c r="M72" i="4" s="1"/>
  <c r="K73" i="4"/>
  <c r="L73" i="4"/>
  <c r="M73" i="4" s="1"/>
  <c r="K74" i="4"/>
  <c r="L74" i="4"/>
  <c r="M74" i="4" s="1"/>
  <c r="K75" i="4"/>
  <c r="L75" i="4"/>
  <c r="M75" i="4" s="1"/>
  <c r="K76" i="4"/>
  <c r="L76" i="4"/>
  <c r="M76" i="4" s="1"/>
  <c r="K77" i="4"/>
  <c r="L77" i="4"/>
  <c r="M77" i="4" s="1"/>
  <c r="K79" i="4"/>
  <c r="L79" i="4"/>
  <c r="M79" i="4" s="1"/>
  <c r="K80" i="4"/>
  <c r="L80" i="4"/>
  <c r="M80" i="4" s="1"/>
  <c r="K81" i="4"/>
  <c r="L81" i="4"/>
  <c r="M81" i="4" s="1"/>
  <c r="K82" i="4"/>
  <c r="L82" i="4"/>
  <c r="M82" i="4" s="1"/>
  <c r="L14" i="4"/>
  <c r="M14" i="4" s="1"/>
  <c r="K14" i="4"/>
  <c r="R282" i="4" l="1"/>
  <c r="S282" i="4" s="1"/>
  <c r="R296" i="4"/>
  <c r="S296" i="4" s="1"/>
  <c r="R271" i="4"/>
  <c r="S271" i="4" s="1"/>
  <c r="O224" i="4"/>
  <c r="P224" i="4" s="1"/>
  <c r="O249" i="4"/>
  <c r="P249" i="4" s="1"/>
  <c r="O181" i="4"/>
  <c r="P181" i="4" s="1"/>
  <c r="O201" i="4"/>
  <c r="P201" i="4" s="1"/>
  <c r="O237" i="4"/>
  <c r="P237" i="4" s="1"/>
  <c r="O232" i="4"/>
  <c r="P232" i="4" s="1"/>
  <c r="O209" i="4"/>
  <c r="P209" i="4" s="1"/>
  <c r="O245" i="4"/>
  <c r="P245" i="4" s="1"/>
  <c r="O204" i="4"/>
  <c r="P204" i="4" s="1"/>
  <c r="O214" i="4"/>
  <c r="P214" i="4" s="1"/>
  <c r="O241" i="4"/>
  <c r="P241" i="4" s="1"/>
  <c r="O219" i="4"/>
  <c r="P219" i="4" s="1"/>
  <c r="O195" i="4"/>
  <c r="P195" i="4" s="1"/>
  <c r="O182" i="4"/>
  <c r="P182" i="4" s="1"/>
  <c r="O32" i="4"/>
  <c r="P32" i="4" s="1"/>
  <c r="Q256" i="4"/>
  <c r="R256" i="4" s="1"/>
  <c r="S256" i="4" s="1"/>
  <c r="Q237" i="4"/>
  <c r="R237" i="4" s="1"/>
  <c r="S237" i="4" s="1"/>
  <c r="Q214" i="4"/>
  <c r="R214" i="4" s="1"/>
  <c r="S214" i="4" s="1"/>
  <c r="Q193" i="4"/>
  <c r="R193" i="4" s="1"/>
  <c r="S193" i="4" s="1"/>
  <c r="Q249" i="4"/>
  <c r="R249" i="4" s="1"/>
  <c r="S249" i="4" s="1"/>
  <c r="Q221" i="4"/>
  <c r="R221" i="4" s="1"/>
  <c r="S221" i="4" s="1"/>
  <c r="Q198" i="4"/>
  <c r="R198" i="4" s="1"/>
  <c r="S198" i="4" s="1"/>
  <c r="Q229" i="4"/>
  <c r="Q184" i="4"/>
  <c r="R184" i="4" s="1"/>
  <c r="S184" i="4" s="1"/>
  <c r="Q204" i="4"/>
  <c r="R204" i="4" s="1"/>
  <c r="S204" i="4" s="1"/>
  <c r="M151" i="4"/>
  <c r="N101" i="4"/>
  <c r="O101" i="4" s="1"/>
  <c r="P101" i="4" s="1"/>
  <c r="N65" i="4"/>
  <c r="M32" i="4"/>
  <c r="N106" i="4"/>
  <c r="O106" i="4" s="1"/>
  <c r="P106" i="4" s="1"/>
  <c r="N23" i="4"/>
  <c r="N150" i="4"/>
  <c r="O150" i="4" s="1"/>
  <c r="P150" i="4" s="1"/>
  <c r="N169" i="4"/>
  <c r="O169" i="4" s="1"/>
  <c r="P169" i="4" s="1"/>
  <c r="M18" i="4"/>
  <c r="N170" i="4"/>
  <c r="O170" i="4" s="1"/>
  <c r="P170" i="4" s="1"/>
  <c r="N172" i="4"/>
  <c r="N167" i="4"/>
  <c r="N175" i="4"/>
  <c r="O175" i="4" s="1"/>
  <c r="P175" i="4" s="1"/>
  <c r="N141" i="4"/>
  <c r="O141" i="4" s="1"/>
  <c r="P141" i="4" s="1"/>
  <c r="N148" i="4"/>
  <c r="N147" i="4"/>
  <c r="N152" i="4"/>
  <c r="N91" i="4"/>
  <c r="O91" i="4" s="1"/>
  <c r="P91" i="4" s="1"/>
  <c r="N21" i="4"/>
  <c r="N57" i="4"/>
  <c r="M101" i="4"/>
  <c r="N117" i="4"/>
  <c r="M166" i="4"/>
  <c r="N155" i="4"/>
  <c r="O155" i="4" s="1"/>
  <c r="P155" i="4" s="1"/>
  <c r="N16" i="4"/>
  <c r="O16" i="4" s="1"/>
  <c r="P16" i="4" s="1"/>
  <c r="N158" i="4"/>
  <c r="N82" i="4"/>
  <c r="O82" i="4" s="1"/>
  <c r="P82" i="4" s="1"/>
  <c r="N77" i="4"/>
  <c r="O77" i="4" s="1"/>
  <c r="P77" i="4" s="1"/>
  <c r="M58" i="4"/>
  <c r="N19" i="4"/>
  <c r="O19" i="4" s="1"/>
  <c r="N29" i="4"/>
  <c r="N96" i="4"/>
  <c r="O96" i="4" s="1"/>
  <c r="P96" i="4" s="1"/>
  <c r="N160" i="4"/>
  <c r="O160" i="4" s="1"/>
  <c r="P160" i="4" s="1"/>
  <c r="N144" i="4"/>
  <c r="O144" i="4" s="1"/>
  <c r="P144" i="4" s="1"/>
  <c r="N46" i="4"/>
  <c r="N43" i="4"/>
  <c r="N127" i="4"/>
  <c r="N164" i="4"/>
  <c r="N38" i="4"/>
  <c r="N36" i="4"/>
  <c r="O36" i="4" s="1"/>
  <c r="P36" i="4" s="1"/>
  <c r="N129" i="4"/>
  <c r="O129" i="4" s="1"/>
  <c r="P129" i="4" s="1"/>
  <c r="N122" i="4"/>
  <c r="N137" i="4"/>
  <c r="O18" i="4"/>
  <c r="P18" i="4" s="1"/>
  <c r="M44" i="4"/>
  <c r="M37" i="4"/>
  <c r="M30" i="4"/>
  <c r="N31" i="4"/>
  <c r="O31" i="4" s="1"/>
  <c r="P31" i="4" s="1"/>
  <c r="N63" i="4"/>
  <c r="O63" i="4" s="1"/>
  <c r="P63" i="4" s="1"/>
  <c r="M105" i="4"/>
  <c r="N104" i="4"/>
  <c r="N51" i="4"/>
  <c r="N68" i="4"/>
  <c r="O68" i="4" s="1"/>
  <c r="P68" i="4" s="1"/>
  <c r="N112" i="4"/>
  <c r="N14" i="4"/>
  <c r="O14" i="4" s="1"/>
  <c r="P14" i="4" s="1"/>
  <c r="M40" i="4"/>
  <c r="N35" i="4"/>
  <c r="N54" i="4"/>
  <c r="O54" i="4" s="1"/>
  <c r="P54" i="4" s="1"/>
  <c r="N70" i="4"/>
  <c r="N89" i="4"/>
  <c r="O89" i="4" s="1"/>
  <c r="P89" i="4" s="1"/>
  <c r="N115" i="4"/>
  <c r="O115" i="4" s="1"/>
  <c r="P115" i="4" s="1"/>
  <c r="N56" i="4"/>
  <c r="N74" i="4"/>
  <c r="O74" i="4" s="1"/>
  <c r="P74" i="4" s="1"/>
  <c r="N24" i="4"/>
  <c r="O24" i="4" s="1"/>
  <c r="P24" i="4" s="1"/>
  <c r="N59" i="4"/>
  <c r="O59" i="4" s="1"/>
  <c r="P59" i="4" s="1"/>
  <c r="N120" i="4"/>
  <c r="O120" i="4" s="1"/>
  <c r="P120" i="4" s="1"/>
  <c r="N27" i="4"/>
  <c r="N99" i="4"/>
  <c r="O99" i="4" s="1"/>
  <c r="P99" i="4" s="1"/>
  <c r="N134" i="4"/>
  <c r="B83" i="4"/>
  <c r="I4" i="11"/>
  <c r="I4" i="10"/>
  <c r="H4" i="10"/>
  <c r="J4" i="9"/>
  <c r="E4" i="9"/>
  <c r="D4" i="9"/>
  <c r="C4" i="9"/>
  <c r="B4" i="9"/>
  <c r="P2" i="9"/>
  <c r="O2" i="9"/>
  <c r="N2" i="9"/>
  <c r="M2" i="9"/>
  <c r="K2" i="9"/>
  <c r="L4" i="8"/>
  <c r="I4" i="8"/>
  <c r="G4" i="8"/>
  <c r="L4" i="7"/>
  <c r="K4" i="7"/>
  <c r="H4" i="7"/>
  <c r="I4" i="6"/>
  <c r="R1369" i="4"/>
  <c r="S1369" i="4" s="1"/>
  <c r="R1368" i="4"/>
  <c r="S1368" i="4" s="1"/>
  <c r="R1367" i="4"/>
  <c r="S1367" i="4" s="1"/>
  <c r="R1366" i="4"/>
  <c r="S1366" i="4" s="1"/>
  <c r="R1365" i="4"/>
  <c r="S1365" i="4" s="1"/>
  <c r="R1364" i="4"/>
  <c r="S1364" i="4" s="1"/>
  <c r="R1363" i="4"/>
  <c r="S1363" i="4" s="1"/>
  <c r="R1362" i="4"/>
  <c r="S1362" i="4" s="1"/>
  <c r="R1297" i="4"/>
  <c r="S1297" i="4" s="1"/>
  <c r="R1296" i="4"/>
  <c r="S1296" i="4" s="1"/>
  <c r="O1296" i="4"/>
  <c r="P1296" i="4" s="1"/>
  <c r="R1295" i="4"/>
  <c r="S1295" i="4" s="1"/>
  <c r="O1295" i="4"/>
  <c r="P1295" i="4" s="1"/>
  <c r="R1294" i="4"/>
  <c r="S1294" i="4" s="1"/>
  <c r="O1294" i="4"/>
  <c r="P1294" i="4" s="1"/>
  <c r="R1162" i="4"/>
  <c r="S1162" i="4" s="1"/>
  <c r="R1161" i="4"/>
  <c r="S1161" i="4" s="1"/>
  <c r="R1159" i="4"/>
  <c r="S1159" i="4" s="1"/>
  <c r="O1159" i="4"/>
  <c r="P1159" i="4" s="1"/>
  <c r="R1158" i="4"/>
  <c r="S1158" i="4" s="1"/>
  <c r="O1158" i="4"/>
  <c r="P1158" i="4" s="1"/>
  <c r="R1157" i="4"/>
  <c r="S1157" i="4" s="1"/>
  <c r="O1157" i="4"/>
  <c r="P1157" i="4" s="1"/>
  <c r="R1156" i="4"/>
  <c r="S1156" i="4" s="1"/>
  <c r="O1156" i="4"/>
  <c r="P1156" i="4" s="1"/>
  <c r="R1155" i="4"/>
  <c r="S1155" i="4" s="1"/>
  <c r="O1155" i="4"/>
  <c r="P1155" i="4" s="1"/>
  <c r="R1154" i="4"/>
  <c r="S1154" i="4" s="1"/>
  <c r="O1154" i="4"/>
  <c r="P1154" i="4" s="1"/>
  <c r="R1153" i="4"/>
  <c r="S1153" i="4" s="1"/>
  <c r="O1153" i="4"/>
  <c r="P1153" i="4" s="1"/>
  <c r="R1152" i="4"/>
  <c r="S1152" i="4" s="1"/>
  <c r="O1152" i="4"/>
  <c r="P1152" i="4" s="1"/>
  <c r="R1151" i="4"/>
  <c r="S1151" i="4" s="1"/>
  <c r="O1151" i="4"/>
  <c r="P1151" i="4" s="1"/>
  <c r="R1150" i="4"/>
  <c r="S1150" i="4" s="1"/>
  <c r="O1150" i="4"/>
  <c r="P1150" i="4" s="1"/>
  <c r="R1149" i="4"/>
  <c r="S1149" i="4" s="1"/>
  <c r="O1149" i="4"/>
  <c r="P1149" i="4" s="1"/>
  <c r="R1148" i="4"/>
  <c r="S1148" i="4" s="1"/>
  <c r="O1148" i="4"/>
  <c r="P1148" i="4" s="1"/>
  <c r="R1147" i="4"/>
  <c r="S1147" i="4" s="1"/>
  <c r="O1147" i="4"/>
  <c r="P1147" i="4" s="1"/>
  <c r="R1146" i="4"/>
  <c r="S1146" i="4" s="1"/>
  <c r="O1146" i="4"/>
  <c r="P1146" i="4" s="1"/>
  <c r="R1144" i="4"/>
  <c r="S1144" i="4" s="1"/>
  <c r="O1144" i="4"/>
  <c r="P1144" i="4" s="1"/>
  <c r="R1143" i="4"/>
  <c r="S1143" i="4" s="1"/>
  <c r="O1143" i="4"/>
  <c r="P1143" i="4" s="1"/>
  <c r="R1142" i="4"/>
  <c r="S1142" i="4" s="1"/>
  <c r="O1142" i="4"/>
  <c r="P1142" i="4" s="1"/>
  <c r="R1141" i="4"/>
  <c r="S1141" i="4" s="1"/>
  <c r="O1141" i="4"/>
  <c r="P1141" i="4" s="1"/>
  <c r="R1140" i="4"/>
  <c r="S1140" i="4" s="1"/>
  <c r="O1140" i="4"/>
  <c r="P1140" i="4" s="1"/>
  <c r="R1139" i="4"/>
  <c r="S1139" i="4" s="1"/>
  <c r="O1139" i="4"/>
  <c r="P1139" i="4" s="1"/>
  <c r="R1138" i="4"/>
  <c r="S1138" i="4" s="1"/>
  <c r="O1138" i="4"/>
  <c r="P1138" i="4" s="1"/>
  <c r="R1137" i="4"/>
  <c r="S1137" i="4" s="1"/>
  <c r="O1137" i="4"/>
  <c r="P1137" i="4" s="1"/>
  <c r="R1136" i="4"/>
  <c r="S1136" i="4" s="1"/>
  <c r="O1136" i="4"/>
  <c r="P1136" i="4" s="1"/>
  <c r="R1135" i="4"/>
  <c r="S1135" i="4" s="1"/>
  <c r="O1135" i="4"/>
  <c r="P1135" i="4" s="1"/>
  <c r="O1133" i="4"/>
  <c r="P1133" i="4" s="1"/>
  <c r="R1132" i="4"/>
  <c r="S1132" i="4" s="1"/>
  <c r="O1132" i="4"/>
  <c r="P1132" i="4" s="1"/>
  <c r="R1131" i="4"/>
  <c r="S1131" i="4" s="1"/>
  <c r="O1131" i="4"/>
  <c r="P1131" i="4" s="1"/>
  <c r="R1130" i="4"/>
  <c r="S1130" i="4" s="1"/>
  <c r="O1130" i="4"/>
  <c r="P1130" i="4" s="1"/>
  <c r="R1129" i="4"/>
  <c r="S1129" i="4" s="1"/>
  <c r="O1129" i="4"/>
  <c r="P1129" i="4" s="1"/>
  <c r="R1128" i="4"/>
  <c r="S1128" i="4" s="1"/>
  <c r="O1128" i="4"/>
  <c r="P1128" i="4" s="1"/>
  <c r="R1127" i="4"/>
  <c r="S1127" i="4" s="1"/>
  <c r="O1127" i="4"/>
  <c r="P1127" i="4" s="1"/>
  <c r="R1126" i="4"/>
  <c r="S1126" i="4" s="1"/>
  <c r="O1126" i="4"/>
  <c r="P1126" i="4" s="1"/>
  <c r="R1125" i="4"/>
  <c r="S1125" i="4" s="1"/>
  <c r="O1125" i="4"/>
  <c r="P1125" i="4" s="1"/>
  <c r="R1124" i="4"/>
  <c r="S1124" i="4" s="1"/>
  <c r="O1124" i="4"/>
  <c r="P1124" i="4" s="1"/>
  <c r="R1123" i="4"/>
  <c r="S1123" i="4" s="1"/>
  <c r="O1123" i="4"/>
  <c r="P1123" i="4" s="1"/>
  <c r="R1122" i="4"/>
  <c r="S1122" i="4" s="1"/>
  <c r="O1122" i="4"/>
  <c r="P1122" i="4" s="1"/>
  <c r="R1121" i="4"/>
  <c r="S1121" i="4" s="1"/>
  <c r="R1120" i="4"/>
  <c r="S1120" i="4" s="1"/>
  <c r="O1120" i="4"/>
  <c r="P1120" i="4" s="1"/>
  <c r="R1119" i="4"/>
  <c r="S1119" i="4" s="1"/>
  <c r="O1119" i="4"/>
  <c r="P1119" i="4" s="1"/>
  <c r="N1118" i="4"/>
  <c r="O1118" i="4" s="1"/>
  <c r="J1118" i="4"/>
  <c r="I1118" i="4"/>
  <c r="G1118" i="4"/>
  <c r="F1118" i="4"/>
  <c r="X1074" i="4" s="1"/>
  <c r="X1118" i="4" s="1"/>
  <c r="E1118" i="4"/>
  <c r="D1118" i="4"/>
  <c r="B1118" i="4"/>
  <c r="R1117" i="4"/>
  <c r="S1117" i="4" s="1"/>
  <c r="O1117" i="4"/>
  <c r="P1117" i="4" s="1"/>
  <c r="R1116" i="4"/>
  <c r="S1116" i="4" s="1"/>
  <c r="O1116" i="4"/>
  <c r="P1116" i="4" s="1"/>
  <c r="R1115" i="4"/>
  <c r="S1115" i="4" s="1"/>
  <c r="O1115" i="4"/>
  <c r="P1115" i="4" s="1"/>
  <c r="R1114" i="4"/>
  <c r="S1114" i="4" s="1"/>
  <c r="O1114" i="4"/>
  <c r="P1114" i="4" s="1"/>
  <c r="R1113" i="4"/>
  <c r="S1113" i="4" s="1"/>
  <c r="O1113" i="4"/>
  <c r="P1113" i="4" s="1"/>
  <c r="R1111" i="4"/>
  <c r="S1111" i="4" s="1"/>
  <c r="O1111" i="4"/>
  <c r="P1111" i="4" s="1"/>
  <c r="R1110" i="4"/>
  <c r="S1110" i="4" s="1"/>
  <c r="O1110" i="4"/>
  <c r="P1110" i="4" s="1"/>
  <c r="R1109" i="4"/>
  <c r="S1109" i="4" s="1"/>
  <c r="O1109" i="4"/>
  <c r="P1109" i="4" s="1"/>
  <c r="R1108" i="4"/>
  <c r="S1108" i="4" s="1"/>
  <c r="O1108" i="4"/>
  <c r="P1108" i="4" s="1"/>
  <c r="R1107" i="4"/>
  <c r="S1107" i="4" s="1"/>
  <c r="O1107" i="4"/>
  <c r="P1107" i="4" s="1"/>
  <c r="R1105" i="4"/>
  <c r="S1105" i="4" s="1"/>
  <c r="O1105" i="4"/>
  <c r="P1105" i="4" s="1"/>
  <c r="R1104" i="4"/>
  <c r="S1104" i="4" s="1"/>
  <c r="O1104" i="4"/>
  <c r="P1104" i="4" s="1"/>
  <c r="R1103" i="4"/>
  <c r="S1103" i="4" s="1"/>
  <c r="O1103" i="4"/>
  <c r="P1103" i="4" s="1"/>
  <c r="R1102" i="4"/>
  <c r="S1102" i="4" s="1"/>
  <c r="O1102" i="4"/>
  <c r="P1102" i="4" s="1"/>
  <c r="R1101" i="4"/>
  <c r="S1101" i="4" s="1"/>
  <c r="O1101" i="4"/>
  <c r="P1101" i="4" s="1"/>
  <c r="R1099" i="4"/>
  <c r="S1099" i="4" s="1"/>
  <c r="O1099" i="4"/>
  <c r="P1099" i="4" s="1"/>
  <c r="R1098" i="4"/>
  <c r="S1098" i="4" s="1"/>
  <c r="O1098" i="4"/>
  <c r="P1098" i="4" s="1"/>
  <c r="R1097" i="4"/>
  <c r="S1097" i="4" s="1"/>
  <c r="O1097" i="4"/>
  <c r="P1097" i="4" s="1"/>
  <c r="R1096" i="4"/>
  <c r="S1096" i="4" s="1"/>
  <c r="O1096" i="4"/>
  <c r="P1096" i="4" s="1"/>
  <c r="R1095" i="4"/>
  <c r="S1095" i="4" s="1"/>
  <c r="O1095" i="4"/>
  <c r="P1095" i="4" s="1"/>
  <c r="R1093" i="4"/>
  <c r="S1093" i="4" s="1"/>
  <c r="O1093" i="4"/>
  <c r="P1093" i="4" s="1"/>
  <c r="R1092" i="4"/>
  <c r="S1092" i="4" s="1"/>
  <c r="O1092" i="4"/>
  <c r="P1092" i="4" s="1"/>
  <c r="R1091" i="4"/>
  <c r="S1091" i="4" s="1"/>
  <c r="O1091" i="4"/>
  <c r="P1091" i="4" s="1"/>
  <c r="R1090" i="4"/>
  <c r="S1090" i="4" s="1"/>
  <c r="O1090" i="4"/>
  <c r="P1090" i="4" s="1"/>
  <c r="R1089" i="4"/>
  <c r="S1089" i="4" s="1"/>
  <c r="O1089" i="4"/>
  <c r="P1089" i="4" s="1"/>
  <c r="R1088" i="4"/>
  <c r="S1088" i="4" s="1"/>
  <c r="O1088" i="4"/>
  <c r="P1088" i="4" s="1"/>
  <c r="R1086" i="4"/>
  <c r="S1086" i="4" s="1"/>
  <c r="O1086" i="4"/>
  <c r="P1086" i="4" s="1"/>
  <c r="R1085" i="4"/>
  <c r="S1085" i="4" s="1"/>
  <c r="O1085" i="4"/>
  <c r="P1085" i="4" s="1"/>
  <c r="R1084" i="4"/>
  <c r="S1084" i="4" s="1"/>
  <c r="O1084" i="4"/>
  <c r="P1084" i="4" s="1"/>
  <c r="R1083" i="4"/>
  <c r="S1083" i="4" s="1"/>
  <c r="O1083" i="4"/>
  <c r="P1083" i="4" s="1"/>
  <c r="R1082" i="4"/>
  <c r="S1082" i="4" s="1"/>
  <c r="O1082" i="4"/>
  <c r="P1082" i="4" s="1"/>
  <c r="R1081" i="4"/>
  <c r="S1081" i="4" s="1"/>
  <c r="O1081" i="4"/>
  <c r="P1081" i="4" s="1"/>
  <c r="R1080" i="4"/>
  <c r="S1080" i="4" s="1"/>
  <c r="O1080" i="4"/>
  <c r="P1080" i="4" s="1"/>
  <c r="R1079" i="4"/>
  <c r="S1079" i="4" s="1"/>
  <c r="O1079" i="4"/>
  <c r="P1079" i="4" s="1"/>
  <c r="R1078" i="4"/>
  <c r="S1078" i="4" s="1"/>
  <c r="O1078" i="4"/>
  <c r="P1078" i="4" s="1"/>
  <c r="R1077" i="4"/>
  <c r="S1077" i="4" s="1"/>
  <c r="O1077" i="4"/>
  <c r="P1077" i="4" s="1"/>
  <c r="R1076" i="4"/>
  <c r="S1076" i="4" s="1"/>
  <c r="O1076" i="4"/>
  <c r="P1076" i="4" s="1"/>
  <c r="R1074" i="4"/>
  <c r="S1074" i="4" s="1"/>
  <c r="O1074" i="4"/>
  <c r="P1074" i="4" s="1"/>
  <c r="R1073" i="4"/>
  <c r="S1073" i="4" s="1"/>
  <c r="N1073" i="4"/>
  <c r="O1073" i="4" s="1"/>
  <c r="J1073" i="4"/>
  <c r="I1073" i="4"/>
  <c r="G1073" i="4"/>
  <c r="F1073" i="4"/>
  <c r="X1039" i="4" s="1"/>
  <c r="X1073" i="4" s="1"/>
  <c r="E1073" i="4"/>
  <c r="D1073" i="4"/>
  <c r="B1073" i="4"/>
  <c r="R1072" i="4"/>
  <c r="S1072" i="4" s="1"/>
  <c r="R1071" i="4"/>
  <c r="S1071" i="4" s="1"/>
  <c r="R1070" i="4"/>
  <c r="S1070" i="4" s="1"/>
  <c r="R1068" i="4"/>
  <c r="S1068" i="4" s="1"/>
  <c r="R1067" i="4"/>
  <c r="S1067" i="4" s="1"/>
  <c r="R1065" i="4"/>
  <c r="S1065" i="4" s="1"/>
  <c r="R1063" i="4"/>
  <c r="S1063" i="4" s="1"/>
  <c r="R1062" i="4"/>
  <c r="S1062" i="4" s="1"/>
  <c r="R1061" i="4"/>
  <c r="S1061" i="4" s="1"/>
  <c r="R1059" i="4"/>
  <c r="S1059" i="4" s="1"/>
  <c r="R1058" i="4"/>
  <c r="S1058" i="4" s="1"/>
  <c r="R1056" i="4"/>
  <c r="S1056" i="4" s="1"/>
  <c r="R1055" i="4"/>
  <c r="S1055" i="4" s="1"/>
  <c r="R1053" i="4"/>
  <c r="S1053" i="4" s="1"/>
  <c r="R1043" i="4"/>
  <c r="S1043" i="4" s="1"/>
  <c r="R1041" i="4"/>
  <c r="S1041" i="4" s="1"/>
  <c r="R1039" i="4"/>
  <c r="S1039" i="4" s="1"/>
  <c r="O1039" i="4"/>
  <c r="P1039" i="4" s="1"/>
  <c r="R1038" i="4"/>
  <c r="N1038" i="4"/>
  <c r="O1038" i="4" s="1"/>
  <c r="P1038" i="4" s="1"/>
  <c r="J1038" i="4"/>
  <c r="I1038" i="4"/>
  <c r="G1038" i="4"/>
  <c r="F1038" i="4"/>
  <c r="Y1038" i="4" s="1"/>
  <c r="E1038" i="4"/>
  <c r="D1038" i="4"/>
  <c r="B1038" i="4"/>
  <c r="R1037" i="4"/>
  <c r="S1037" i="4" s="1"/>
  <c r="R1036" i="4"/>
  <c r="S1036" i="4" s="1"/>
  <c r="R1035" i="4"/>
  <c r="S1035" i="4" s="1"/>
  <c r="R1034" i="4"/>
  <c r="S1034" i="4" s="1"/>
  <c r="R1033" i="4"/>
  <c r="S1033" i="4" s="1"/>
  <c r="R1032" i="4"/>
  <c r="S1032" i="4" s="1"/>
  <c r="R1030" i="4"/>
  <c r="S1030" i="4" s="1"/>
  <c r="R1029" i="4"/>
  <c r="S1029" i="4" s="1"/>
  <c r="R1028" i="4"/>
  <c r="S1028" i="4" s="1"/>
  <c r="R1027" i="4"/>
  <c r="S1027" i="4" s="1"/>
  <c r="R1026" i="4"/>
  <c r="S1026" i="4" s="1"/>
  <c r="R1025" i="4"/>
  <c r="S1025" i="4" s="1"/>
  <c r="R1024" i="4"/>
  <c r="S1024" i="4" s="1"/>
  <c r="R1022" i="4"/>
  <c r="S1022" i="4" s="1"/>
  <c r="R1021" i="4"/>
  <c r="S1021" i="4" s="1"/>
  <c r="O975" i="4"/>
  <c r="P975" i="4" s="1"/>
  <c r="O974" i="4"/>
  <c r="P974" i="4" s="1"/>
  <c r="O973" i="4"/>
  <c r="P973" i="4" s="1"/>
  <c r="O972" i="4"/>
  <c r="P972" i="4" s="1"/>
  <c r="O971" i="4"/>
  <c r="P971" i="4" s="1"/>
  <c r="O970" i="4"/>
  <c r="P970" i="4" s="1"/>
  <c r="R968" i="4"/>
  <c r="S968" i="4" s="1"/>
  <c r="O968" i="4"/>
  <c r="P968" i="4" s="1"/>
  <c r="R967" i="4"/>
  <c r="S967" i="4" s="1"/>
  <c r="O967" i="4"/>
  <c r="P967" i="4" s="1"/>
  <c r="R966" i="4"/>
  <c r="S966" i="4" s="1"/>
  <c r="O966" i="4"/>
  <c r="P966" i="4" s="1"/>
  <c r="R965" i="4"/>
  <c r="S965" i="4" s="1"/>
  <c r="O965" i="4"/>
  <c r="P965" i="4" s="1"/>
  <c r="R963" i="4"/>
  <c r="S963" i="4" s="1"/>
  <c r="O963" i="4"/>
  <c r="P963" i="4" s="1"/>
  <c r="R962" i="4"/>
  <c r="S962" i="4" s="1"/>
  <c r="O962" i="4"/>
  <c r="P962" i="4" s="1"/>
  <c r="R961" i="4"/>
  <c r="S961" i="4" s="1"/>
  <c r="O961" i="4"/>
  <c r="P961" i="4" s="1"/>
  <c r="R960" i="4"/>
  <c r="S960" i="4" s="1"/>
  <c r="O960" i="4"/>
  <c r="P960" i="4" s="1"/>
  <c r="R959" i="4"/>
  <c r="S959" i="4" s="1"/>
  <c r="O959" i="4"/>
  <c r="P959" i="4" s="1"/>
  <c r="R958" i="4"/>
  <c r="S958" i="4" s="1"/>
  <c r="O958" i="4"/>
  <c r="P958" i="4" s="1"/>
  <c r="R957" i="4"/>
  <c r="S957" i="4" s="1"/>
  <c r="O957" i="4"/>
  <c r="P957" i="4" s="1"/>
  <c r="R956" i="4"/>
  <c r="S956" i="4" s="1"/>
  <c r="O956" i="4"/>
  <c r="P956" i="4" s="1"/>
  <c r="R955" i="4"/>
  <c r="S955" i="4" s="1"/>
  <c r="O955" i="4"/>
  <c r="P955" i="4" s="1"/>
  <c r="R954" i="4"/>
  <c r="S954" i="4" s="1"/>
  <c r="O954" i="4"/>
  <c r="P954" i="4" s="1"/>
  <c r="R953" i="4"/>
  <c r="S953" i="4" s="1"/>
  <c r="O953" i="4"/>
  <c r="P953" i="4" s="1"/>
  <c r="Y952" i="4"/>
  <c r="E952" i="4"/>
  <c r="D952" i="4"/>
  <c r="B952" i="4"/>
  <c r="L842" i="4"/>
  <c r="M842" i="4" s="1"/>
  <c r="K842" i="4"/>
  <c r="L841" i="4"/>
  <c r="M841" i="4" s="1"/>
  <c r="K841" i="4"/>
  <c r="L840" i="4"/>
  <c r="M840" i="4" s="1"/>
  <c r="K840" i="4"/>
  <c r="L839" i="4"/>
  <c r="M839" i="4" s="1"/>
  <c r="K839" i="4"/>
  <c r="L838" i="4"/>
  <c r="M838" i="4" s="1"/>
  <c r="K838" i="4"/>
  <c r="L837" i="4"/>
  <c r="M837" i="4" s="1"/>
  <c r="K837" i="4"/>
  <c r="L836" i="4"/>
  <c r="K836" i="4"/>
  <c r="L834" i="4"/>
  <c r="M834" i="4" s="1"/>
  <c r="K834" i="4"/>
  <c r="L833" i="4"/>
  <c r="M833" i="4" s="1"/>
  <c r="K833" i="4"/>
  <c r="L832" i="4"/>
  <c r="M832" i="4" s="1"/>
  <c r="K832" i="4"/>
  <c r="L831" i="4"/>
  <c r="K831" i="4"/>
  <c r="R801" i="4"/>
  <c r="S801" i="4" s="1"/>
  <c r="O801" i="4"/>
  <c r="P801" i="4" s="1"/>
  <c r="R767" i="4"/>
  <c r="S767" i="4" s="1"/>
  <c r="R766" i="4"/>
  <c r="S766" i="4" s="1"/>
  <c r="R765" i="4"/>
  <c r="S765" i="4" s="1"/>
  <c r="R764" i="4"/>
  <c r="S764" i="4" s="1"/>
  <c r="R763" i="4"/>
  <c r="S763" i="4" s="1"/>
  <c r="R762" i="4"/>
  <c r="S762" i="4" s="1"/>
  <c r="R761" i="4"/>
  <c r="S761" i="4" s="1"/>
  <c r="R760" i="4"/>
  <c r="S760" i="4" s="1"/>
  <c r="R759" i="4"/>
  <c r="S759" i="4" s="1"/>
  <c r="R758" i="4"/>
  <c r="S758" i="4" s="1"/>
  <c r="R757" i="4"/>
  <c r="S757" i="4" s="1"/>
  <c r="R756" i="4"/>
  <c r="S756" i="4" s="1"/>
  <c r="R755" i="4"/>
  <c r="S755" i="4" s="1"/>
  <c r="R754" i="4"/>
  <c r="S754" i="4" s="1"/>
  <c r="R753" i="4"/>
  <c r="S753" i="4" s="1"/>
  <c r="R752" i="4"/>
  <c r="S752" i="4" s="1"/>
  <c r="R751" i="4"/>
  <c r="S751" i="4" s="1"/>
  <c r="R750" i="4"/>
  <c r="S750" i="4" s="1"/>
  <c r="R749" i="4"/>
  <c r="S749" i="4" s="1"/>
  <c r="R748" i="4"/>
  <c r="S748" i="4" s="1"/>
  <c r="R747" i="4"/>
  <c r="S747" i="4" s="1"/>
  <c r="R746" i="4"/>
  <c r="S746" i="4" s="1"/>
  <c r="R745" i="4"/>
  <c r="S745" i="4" s="1"/>
  <c r="R743" i="4"/>
  <c r="S743" i="4" s="1"/>
  <c r="R742" i="4"/>
  <c r="S742" i="4" s="1"/>
  <c r="R741" i="4"/>
  <c r="S741" i="4" s="1"/>
  <c r="R740" i="4"/>
  <c r="S740" i="4" s="1"/>
  <c r="R739" i="4"/>
  <c r="S739" i="4" s="1"/>
  <c r="R738" i="4"/>
  <c r="S738" i="4" s="1"/>
  <c r="R737" i="4"/>
  <c r="S737" i="4" s="1"/>
  <c r="R736" i="4"/>
  <c r="S736" i="4" s="1"/>
  <c r="R735" i="4"/>
  <c r="S735" i="4" s="1"/>
  <c r="R734" i="4"/>
  <c r="S734" i="4" s="1"/>
  <c r="R733" i="4"/>
  <c r="S733" i="4" s="1"/>
  <c r="R732" i="4"/>
  <c r="S732" i="4" s="1"/>
  <c r="R731" i="4"/>
  <c r="S731" i="4" s="1"/>
  <c r="R730" i="4"/>
  <c r="S730" i="4" s="1"/>
  <c r="R729" i="4"/>
  <c r="S729" i="4" s="1"/>
  <c r="R728" i="4"/>
  <c r="S728" i="4" s="1"/>
  <c r="R727" i="4"/>
  <c r="S727" i="4" s="1"/>
  <c r="R726" i="4"/>
  <c r="S726" i="4" s="1"/>
  <c r="R725" i="4"/>
  <c r="S725" i="4" s="1"/>
  <c r="R724" i="4"/>
  <c r="S724" i="4" s="1"/>
  <c r="R722" i="4"/>
  <c r="S722" i="4" s="1"/>
  <c r="R721" i="4"/>
  <c r="S721" i="4" s="1"/>
  <c r="R719" i="4"/>
  <c r="S719" i="4" s="1"/>
  <c r="R714" i="4"/>
  <c r="S714" i="4" s="1"/>
  <c r="R712" i="4"/>
  <c r="S712" i="4" s="1"/>
  <c r="O712" i="4"/>
  <c r="P712" i="4" s="1"/>
  <c r="R710" i="4"/>
  <c r="S710" i="4" s="1"/>
  <c r="O710" i="4"/>
  <c r="P710" i="4" s="1"/>
  <c r="R708" i="4"/>
  <c r="S708" i="4" s="1"/>
  <c r="O708" i="4"/>
  <c r="P708" i="4" s="1"/>
  <c r="R707" i="4"/>
  <c r="S707" i="4" s="1"/>
  <c r="O707" i="4"/>
  <c r="P707" i="4" s="1"/>
  <c r="R705" i="4"/>
  <c r="S705" i="4" s="1"/>
  <c r="O705" i="4"/>
  <c r="P705" i="4" s="1"/>
  <c r="R704" i="4"/>
  <c r="S704" i="4" s="1"/>
  <c r="R702" i="4"/>
  <c r="S702" i="4" s="1"/>
  <c r="O702" i="4"/>
  <c r="P702" i="4" s="1"/>
  <c r="R699" i="4"/>
  <c r="S699" i="4" s="1"/>
  <c r="O699" i="4"/>
  <c r="P699" i="4" s="1"/>
  <c r="L699" i="4"/>
  <c r="K699" i="4"/>
  <c r="N698" i="4"/>
  <c r="O698" i="4" s="1"/>
  <c r="P698" i="4" s="1"/>
  <c r="E698" i="4"/>
  <c r="D698" i="4"/>
  <c r="B698" i="4"/>
  <c r="I594" i="4"/>
  <c r="X523" i="4"/>
  <c r="X594" i="4" s="1"/>
  <c r="E594" i="4"/>
  <c r="D594" i="4"/>
  <c r="B594" i="4"/>
  <c r="R593" i="4"/>
  <c r="S593" i="4" s="1"/>
  <c r="R558" i="4"/>
  <c r="S558" i="4" s="1"/>
  <c r="P558" i="4"/>
  <c r="R557" i="4"/>
  <c r="S557" i="4" s="1"/>
  <c r="O557" i="4"/>
  <c r="P557" i="4" s="1"/>
  <c r="R556" i="4"/>
  <c r="S556" i="4" s="1"/>
  <c r="O556" i="4"/>
  <c r="P556" i="4" s="1"/>
  <c r="R555" i="4"/>
  <c r="S555" i="4" s="1"/>
  <c r="O555" i="4"/>
  <c r="P555" i="4" s="1"/>
  <c r="R554" i="4"/>
  <c r="S554" i="4" s="1"/>
  <c r="O554" i="4"/>
  <c r="P554" i="4" s="1"/>
  <c r="R551" i="4"/>
  <c r="S551" i="4" s="1"/>
  <c r="O551" i="4"/>
  <c r="P551" i="4" s="1"/>
  <c r="R550" i="4"/>
  <c r="S550" i="4" s="1"/>
  <c r="O550" i="4"/>
  <c r="P550" i="4" s="1"/>
  <c r="R549" i="4"/>
  <c r="S549" i="4" s="1"/>
  <c r="O549" i="4"/>
  <c r="P549" i="4" s="1"/>
  <c r="R548" i="4"/>
  <c r="S548" i="4" s="1"/>
  <c r="O548" i="4"/>
  <c r="P548" i="4" s="1"/>
  <c r="R547" i="4"/>
  <c r="S547" i="4" s="1"/>
  <c r="O547" i="4"/>
  <c r="P547" i="4" s="1"/>
  <c r="R545" i="4"/>
  <c r="S545" i="4" s="1"/>
  <c r="O545" i="4"/>
  <c r="P545" i="4" s="1"/>
  <c r="R544" i="4"/>
  <c r="S544" i="4" s="1"/>
  <c r="O544" i="4"/>
  <c r="P544" i="4" s="1"/>
  <c r="R543" i="4"/>
  <c r="S543" i="4" s="1"/>
  <c r="O543" i="4"/>
  <c r="P543" i="4" s="1"/>
  <c r="R542" i="4"/>
  <c r="S542" i="4" s="1"/>
  <c r="O542" i="4"/>
  <c r="P542" i="4" s="1"/>
  <c r="R541" i="4"/>
  <c r="S541" i="4" s="1"/>
  <c r="O541" i="4"/>
  <c r="P541" i="4" s="1"/>
  <c r="R540" i="4"/>
  <c r="S540" i="4" s="1"/>
  <c r="O540" i="4"/>
  <c r="P540" i="4" s="1"/>
  <c r="R539" i="4"/>
  <c r="S539" i="4" s="1"/>
  <c r="O552" i="4"/>
  <c r="P552" i="4" s="1"/>
  <c r="R538" i="4"/>
  <c r="S538" i="4" s="1"/>
  <c r="O538" i="4"/>
  <c r="P538" i="4" s="1"/>
  <c r="R537" i="4"/>
  <c r="S537" i="4" s="1"/>
  <c r="O537" i="4"/>
  <c r="P537" i="4" s="1"/>
  <c r="R535" i="4"/>
  <c r="S535" i="4" s="1"/>
  <c r="O535" i="4"/>
  <c r="P535" i="4" s="1"/>
  <c r="R532" i="4"/>
  <c r="S532" i="4" s="1"/>
  <c r="R531" i="4"/>
  <c r="S531" i="4" s="1"/>
  <c r="R530" i="4"/>
  <c r="S530" i="4" s="1"/>
  <c r="R527" i="4"/>
  <c r="S527" i="4" s="1"/>
  <c r="R525" i="4"/>
  <c r="S525" i="4" s="1"/>
  <c r="R523" i="4"/>
  <c r="S523" i="4" s="1"/>
  <c r="R428" i="4"/>
  <c r="S428" i="4" s="1"/>
  <c r="O428" i="4"/>
  <c r="P428" i="4" s="1"/>
  <c r="R427" i="4"/>
  <c r="S427" i="4" s="1"/>
  <c r="N427" i="4"/>
  <c r="O427" i="4" s="1"/>
  <c r="J427" i="4"/>
  <c r="I427" i="4"/>
  <c r="G427" i="4"/>
  <c r="F427" i="4"/>
  <c r="Y427" i="4" s="1"/>
  <c r="E427" i="4"/>
  <c r="D427" i="4"/>
  <c r="B427" i="4"/>
  <c r="R424" i="4"/>
  <c r="S424" i="4" s="1"/>
  <c r="O424" i="4"/>
  <c r="P424" i="4" s="1"/>
  <c r="R423" i="4"/>
  <c r="S423" i="4" s="1"/>
  <c r="O423" i="4"/>
  <c r="P423" i="4" s="1"/>
  <c r="R422" i="4"/>
  <c r="S422" i="4" s="1"/>
  <c r="O422" i="4"/>
  <c r="P422" i="4" s="1"/>
  <c r="R421" i="4"/>
  <c r="S421" i="4" s="1"/>
  <c r="R420" i="4"/>
  <c r="S420" i="4" s="1"/>
  <c r="R419" i="4"/>
  <c r="S419" i="4" s="1"/>
  <c r="R418" i="4"/>
  <c r="S418" i="4" s="1"/>
  <c r="R417" i="4"/>
  <c r="S417" i="4" s="1"/>
  <c r="R416" i="4"/>
  <c r="S416" i="4" s="1"/>
  <c r="R414" i="4"/>
  <c r="S414" i="4" s="1"/>
  <c r="R413" i="4"/>
  <c r="S413" i="4" s="1"/>
  <c r="R396" i="4"/>
  <c r="S396" i="4" s="1"/>
  <c r="O396" i="4"/>
  <c r="P396" i="4" s="1"/>
  <c r="R395" i="4"/>
  <c r="S395" i="4" s="1"/>
  <c r="N395" i="4"/>
  <c r="O395" i="4" s="1"/>
  <c r="J395" i="4"/>
  <c r="I395" i="4"/>
  <c r="G395" i="4"/>
  <c r="F395" i="4"/>
  <c r="Y395" i="4" s="1"/>
  <c r="E395" i="4"/>
  <c r="D395" i="4"/>
  <c r="B395" i="4"/>
  <c r="R393" i="4"/>
  <c r="S393" i="4" s="1"/>
  <c r="O393" i="4"/>
  <c r="P393" i="4" s="1"/>
  <c r="R392" i="4"/>
  <c r="S392" i="4" s="1"/>
  <c r="R391" i="4"/>
  <c r="S391" i="4" s="1"/>
  <c r="R390" i="4"/>
  <c r="S390" i="4" s="1"/>
  <c r="R389" i="4"/>
  <c r="S389" i="4" s="1"/>
  <c r="R388" i="4"/>
  <c r="S388" i="4" s="1"/>
  <c r="R387" i="4"/>
  <c r="S387" i="4" s="1"/>
  <c r="R386" i="4"/>
  <c r="S386" i="4" s="1"/>
  <c r="R385" i="4"/>
  <c r="S385" i="4" s="1"/>
  <c r="R382" i="4"/>
  <c r="S382" i="4" s="1"/>
  <c r="O327" i="4"/>
  <c r="P327" i="4" s="1"/>
  <c r="I326" i="4"/>
  <c r="Y326" i="4"/>
  <c r="E326" i="4"/>
  <c r="D326" i="4"/>
  <c r="B326" i="4"/>
  <c r="O273" i="4"/>
  <c r="P273" i="4" s="1"/>
  <c r="O271" i="4"/>
  <c r="P271" i="4" s="1"/>
  <c r="L259" i="4"/>
  <c r="K259" i="4"/>
  <c r="J258" i="4"/>
  <c r="I258" i="4"/>
  <c r="Y258" i="4"/>
  <c r="E258" i="4"/>
  <c r="D258" i="4"/>
  <c r="B258" i="4"/>
  <c r="R178" i="4"/>
  <c r="S178" i="4" s="1"/>
  <c r="J177" i="4"/>
  <c r="I177" i="4"/>
  <c r="F177" i="4"/>
  <c r="X134" i="4" s="1"/>
  <c r="X177" i="4" s="1"/>
  <c r="E177" i="4"/>
  <c r="D177" i="4"/>
  <c r="B177" i="4"/>
  <c r="R134" i="4"/>
  <c r="S134" i="4" s="1"/>
  <c r="X84" i="4"/>
  <c r="X133" i="4" s="1"/>
  <c r="E133" i="4"/>
  <c r="D133" i="4"/>
  <c r="B133" i="4"/>
  <c r="L84" i="4"/>
  <c r="K84" i="4"/>
  <c r="J83" i="4"/>
  <c r="I83" i="4"/>
  <c r="G83" i="4"/>
  <c r="F83" i="4"/>
  <c r="E83" i="4"/>
  <c r="D83" i="4"/>
  <c r="L15" i="4"/>
  <c r="K15" i="4"/>
  <c r="R13" i="4"/>
  <c r="S13" i="4" s="1"/>
  <c r="L13" i="4"/>
  <c r="N13" i="4" s="1"/>
  <c r="K13" i="4"/>
  <c r="R1118" i="4"/>
  <c r="S1118" i="4" s="1"/>
  <c r="R698" i="4"/>
  <c r="S698" i="4" s="1"/>
  <c r="P4" i="9" l="1"/>
  <c r="N4" i="9"/>
  <c r="Q129" i="4"/>
  <c r="O4" i="9"/>
  <c r="H4" i="9"/>
  <c r="I4" i="9" s="1"/>
  <c r="K4" i="9" s="1"/>
  <c r="M4" i="9"/>
  <c r="N1121" i="4"/>
  <c r="M699" i="4"/>
  <c r="N704" i="4"/>
  <c r="M836" i="4"/>
  <c r="N842" i="4"/>
  <c r="Q846" i="4" s="1"/>
  <c r="R846" i="4" s="1"/>
  <c r="S846" i="4" s="1"/>
  <c r="M831" i="4"/>
  <c r="N834" i="4"/>
  <c r="Q834" i="4" s="1"/>
  <c r="R834" i="4" s="1"/>
  <c r="S834" i="4" s="1"/>
  <c r="O152" i="4"/>
  <c r="P152" i="4" s="1"/>
  <c r="O147" i="4"/>
  <c r="P147" i="4" s="1"/>
  <c r="O134" i="4"/>
  <c r="P134" i="4" s="1"/>
  <c r="O148" i="4"/>
  <c r="P148" i="4" s="1"/>
  <c r="O167" i="4"/>
  <c r="P167" i="4" s="1"/>
  <c r="Q164" i="4"/>
  <c r="R164" i="4" s="1"/>
  <c r="S164" i="4" s="1"/>
  <c r="O164" i="4"/>
  <c r="P164" i="4" s="1"/>
  <c r="O137" i="4"/>
  <c r="P137" i="4" s="1"/>
  <c r="O172" i="4"/>
  <c r="P172" i="4" s="1"/>
  <c r="O158" i="4"/>
  <c r="P158" i="4" s="1"/>
  <c r="O104" i="4"/>
  <c r="P104" i="4" s="1"/>
  <c r="O127" i="4"/>
  <c r="P127" i="4" s="1"/>
  <c r="O122" i="4"/>
  <c r="P122" i="4" s="1"/>
  <c r="O112" i="4"/>
  <c r="P112" i="4" s="1"/>
  <c r="O117" i="4"/>
  <c r="P117" i="4" s="1"/>
  <c r="O35" i="4"/>
  <c r="P35" i="4" s="1"/>
  <c r="Q38" i="4"/>
  <c r="R38" i="4" s="1"/>
  <c r="S38" i="4" s="1"/>
  <c r="O57" i="4"/>
  <c r="P57" i="4" s="1"/>
  <c r="O27" i="4"/>
  <c r="P27" i="4" s="1"/>
  <c r="O51" i="4"/>
  <c r="P51" i="4" s="1"/>
  <c r="O65" i="4"/>
  <c r="P65" i="4" s="1"/>
  <c r="O38" i="4"/>
  <c r="P38" i="4" s="1"/>
  <c r="O29" i="4"/>
  <c r="P29" i="4" s="1"/>
  <c r="Q70" i="4"/>
  <c r="O70" i="4"/>
  <c r="P70" i="4" s="1"/>
  <c r="O56" i="4"/>
  <c r="P56" i="4" s="1"/>
  <c r="O43" i="4"/>
  <c r="P43" i="4" s="1"/>
  <c r="O46" i="4"/>
  <c r="P46" i="4" s="1"/>
  <c r="G1371" i="4"/>
  <c r="E1371" i="4"/>
  <c r="J9" i="4" s="1"/>
  <c r="Y83" i="4"/>
  <c r="I1371" i="4"/>
  <c r="F10" i="4" s="1"/>
  <c r="B1371" i="4"/>
  <c r="F9" i="4" s="1"/>
  <c r="J4" i="4" s="1"/>
  <c r="J1371" i="4"/>
  <c r="F5" i="4" s="1"/>
  <c r="D1371" i="4"/>
  <c r="M259" i="4"/>
  <c r="N259" i="4"/>
  <c r="Q262" i="4" s="1"/>
  <c r="R262" i="4" s="1"/>
  <c r="S262" i="4" s="1"/>
  <c r="Y1118" i="4"/>
  <c r="Q101" i="4"/>
  <c r="Q77" i="4"/>
  <c r="R77" i="4" s="1"/>
  <c r="S77" i="4" s="1"/>
  <c r="Q137" i="4"/>
  <c r="Q54" i="4"/>
  <c r="R54" i="4" s="1"/>
  <c r="S54" i="4" s="1"/>
  <c r="Q170" i="4"/>
  <c r="R170" i="4" s="1"/>
  <c r="S170" i="4" s="1"/>
  <c r="Q144" i="4"/>
  <c r="R144" i="4" s="1"/>
  <c r="S144" i="4" s="1"/>
  <c r="Q68" i="4"/>
  <c r="R68" i="4" s="1"/>
  <c r="S68" i="4" s="1"/>
  <c r="Q21" i="4"/>
  <c r="R21" i="4" s="1"/>
  <c r="S21" i="4" s="1"/>
  <c r="Q32" i="4"/>
  <c r="Q152" i="4"/>
  <c r="R152" i="4" s="1"/>
  <c r="S152" i="4" s="1"/>
  <c r="Q59" i="4"/>
  <c r="R59" i="4" s="1"/>
  <c r="Q115" i="4"/>
  <c r="Q122" i="4"/>
  <c r="R122" i="4" s="1"/>
  <c r="S122" i="4" s="1"/>
  <c r="O23" i="4"/>
  <c r="P23" i="4" s="1"/>
  <c r="Q27" i="4"/>
  <c r="R27" i="4" s="1"/>
  <c r="S27" i="4" s="1"/>
  <c r="R129" i="4"/>
  <c r="S129" i="4" s="1"/>
  <c r="Q46" i="4"/>
  <c r="R46" i="4" s="1"/>
  <c r="S46" i="4" s="1"/>
  <c r="Q106" i="4"/>
  <c r="Q82" i="4"/>
  <c r="R82" i="4" s="1"/>
  <c r="S82" i="4" s="1"/>
  <c r="Q175" i="4"/>
  <c r="R175" i="4" s="1"/>
  <c r="S175" i="4" s="1"/>
  <c r="Q96" i="4"/>
  <c r="R96" i="4" s="1"/>
  <c r="S96" i="4" s="1"/>
  <c r="Q160" i="4"/>
  <c r="R160" i="4" s="1"/>
  <c r="S160" i="4" s="1"/>
  <c r="Q148" i="4"/>
  <c r="L1073" i="4"/>
  <c r="P19" i="4"/>
  <c r="N177" i="4"/>
  <c r="X396" i="4"/>
  <c r="X427" i="4" s="1"/>
  <c r="K1038" i="4"/>
  <c r="O21" i="4"/>
  <c r="P21" i="4" s="1"/>
  <c r="O13" i="4"/>
  <c r="P13" i="4" s="1"/>
  <c r="M84" i="4"/>
  <c r="M133" i="4" s="1"/>
  <c r="N87" i="4"/>
  <c r="P427" i="4"/>
  <c r="M15" i="4"/>
  <c r="N15" i="4"/>
  <c r="Q16" i="4" s="1"/>
  <c r="K952" i="4"/>
  <c r="L177" i="4"/>
  <c r="K177" i="4"/>
  <c r="X801" i="4"/>
  <c r="X952" i="4" s="1"/>
  <c r="K698" i="4"/>
  <c r="M698" i="4"/>
  <c r="P1118" i="4"/>
  <c r="K1118" i="4"/>
  <c r="K1073" i="4"/>
  <c r="P1073" i="4"/>
  <c r="L1038" i="4"/>
  <c r="X953" i="4"/>
  <c r="X1038" i="4" s="1"/>
  <c r="S1038" i="4"/>
  <c r="L952" i="4"/>
  <c r="K594" i="4"/>
  <c r="L594" i="4"/>
  <c r="M1118" i="4"/>
  <c r="L1118" i="4"/>
  <c r="M1073" i="4"/>
  <c r="Y1073" i="4"/>
  <c r="M1038" i="4"/>
  <c r="Y698" i="4"/>
  <c r="Y594" i="4"/>
  <c r="K427" i="4"/>
  <c r="K395" i="4"/>
  <c r="L395" i="4"/>
  <c r="K258" i="4"/>
  <c r="K326" i="4" s="1"/>
  <c r="L258" i="4"/>
  <c r="L326" i="4" s="1"/>
  <c r="M258" i="4"/>
  <c r="X259" i="4"/>
  <c r="X326" i="4" s="1"/>
  <c r="K133" i="4"/>
  <c r="Y177" i="4"/>
  <c r="L698" i="4"/>
  <c r="M594" i="4"/>
  <c r="M427" i="4"/>
  <c r="L427" i="4"/>
  <c r="P395" i="4"/>
  <c r="M395" i="4"/>
  <c r="X327" i="4"/>
  <c r="X395" i="4" s="1"/>
  <c r="X178" i="4"/>
  <c r="X258" i="4" s="1"/>
  <c r="M177" i="4"/>
  <c r="L133" i="4"/>
  <c r="Y133" i="4"/>
  <c r="K83" i="4"/>
  <c r="L83" i="4"/>
  <c r="X13" i="4"/>
  <c r="X83" i="4" s="1"/>
  <c r="M13" i="4"/>
  <c r="Q4" i="9" l="1"/>
  <c r="L4" i="9"/>
  <c r="Q1133" i="4"/>
  <c r="R1133" i="4" s="1"/>
  <c r="S1133" i="4" s="1"/>
  <c r="O1121" i="4"/>
  <c r="P1121" i="4" s="1"/>
  <c r="M952" i="4"/>
  <c r="Q717" i="4"/>
  <c r="R717" i="4" s="1"/>
  <c r="S717" i="4" s="1"/>
  <c r="O704" i="4"/>
  <c r="P704" i="4" s="1"/>
  <c r="Q952" i="4"/>
  <c r="O834" i="4"/>
  <c r="P834" i="4" s="1"/>
  <c r="N952" i="4"/>
  <c r="O952" i="4" s="1"/>
  <c r="P952" i="4" s="1"/>
  <c r="O842" i="4"/>
  <c r="P842" i="4" s="1"/>
  <c r="O259" i="4"/>
  <c r="P259" i="4" s="1"/>
  <c r="O177" i="4"/>
  <c r="P177" i="4" s="1"/>
  <c r="D4" i="5"/>
  <c r="D4" i="6"/>
  <c r="D4" i="11"/>
  <c r="Q91" i="4"/>
  <c r="Q133" i="4" s="1"/>
  <c r="O87" i="4"/>
  <c r="P87" i="4" s="1"/>
  <c r="F4" i="4"/>
  <c r="F4" i="8"/>
  <c r="M4" i="5"/>
  <c r="G4" i="10"/>
  <c r="L4" i="5"/>
  <c r="E4" i="10"/>
  <c r="L1371" i="4"/>
  <c r="K1371" i="4"/>
  <c r="F6" i="4" s="1"/>
  <c r="M326" i="4"/>
  <c r="Q83" i="4"/>
  <c r="Q177" i="4"/>
  <c r="Q258" i="4" s="1"/>
  <c r="Q326" i="4" s="1"/>
  <c r="R148" i="4"/>
  <c r="S148" i="4" s="1"/>
  <c r="M83" i="4"/>
  <c r="R137" i="4"/>
  <c r="S137" i="4" s="1"/>
  <c r="N258" i="4"/>
  <c r="S59" i="4"/>
  <c r="N83" i="4"/>
  <c r="O83" i="4" s="1"/>
  <c r="P83" i="4" s="1"/>
  <c r="R70" i="4"/>
  <c r="S70" i="4" s="1"/>
  <c r="O15" i="4"/>
  <c r="P15" i="4" s="1"/>
  <c r="R32" i="4"/>
  <c r="S32" i="4" s="1"/>
  <c r="R101" i="4"/>
  <c r="S101" i="4" s="1"/>
  <c r="R106" i="4"/>
  <c r="S106" i="4" s="1"/>
  <c r="N133" i="4"/>
  <c r="R115" i="4"/>
  <c r="S115" i="4" s="1"/>
  <c r="R16" i="4"/>
  <c r="S16" i="4" s="1"/>
  <c r="R952" i="4" l="1"/>
  <c r="S952" i="4" s="1"/>
  <c r="N594" i="4"/>
  <c r="R326" i="4"/>
  <c r="S326" i="4" s="1"/>
  <c r="M1371" i="4"/>
  <c r="N326" i="4"/>
  <c r="O326" i="4" s="1"/>
  <c r="O258" i="4"/>
  <c r="P258" i="4" s="1"/>
  <c r="O133" i="4"/>
  <c r="P133" i="4" s="1"/>
  <c r="N4" i="10"/>
  <c r="M4" i="10"/>
  <c r="M4" i="8"/>
  <c r="N4" i="8"/>
  <c r="K4" i="10"/>
  <c r="L4" i="10"/>
  <c r="E4" i="5"/>
  <c r="E4" i="11"/>
  <c r="E4" i="6"/>
  <c r="H2" i="11"/>
  <c r="N4" i="5"/>
  <c r="R83" i="4"/>
  <c r="S83" i="4" s="1"/>
  <c r="R177" i="4"/>
  <c r="S177" i="4" s="1"/>
  <c r="R91" i="4"/>
  <c r="S91" i="4" s="1"/>
  <c r="R133" i="4"/>
  <c r="S133" i="4" s="1"/>
  <c r="O594" i="4" l="1"/>
  <c r="P594" i="4" s="1"/>
  <c r="Q594" i="4"/>
  <c r="P326" i="4"/>
  <c r="N1371" i="4"/>
  <c r="O1371" i="4" s="1"/>
  <c r="F7" i="4" s="1"/>
  <c r="H4" i="11"/>
  <c r="J4" i="11" s="1"/>
  <c r="K4" i="11"/>
  <c r="R258" i="4"/>
  <c r="S258" i="4" s="1"/>
  <c r="R594" i="4" l="1"/>
  <c r="S594" i="4" s="1"/>
  <c r="Q1371" i="4"/>
  <c r="R1371" i="4" s="1"/>
  <c r="S1371" i="4" s="1"/>
  <c r="P1371" i="4"/>
  <c r="F8" i="4" s="1"/>
  <c r="F4" i="11" s="1"/>
  <c r="C21" i="12" s="1"/>
  <c r="G4" i="11"/>
  <c r="G4" i="6"/>
  <c r="H4" i="6" s="1"/>
  <c r="J4" i="6" s="1"/>
  <c r="G4" i="5"/>
  <c r="L4" i="11"/>
  <c r="C13" i="12" s="1"/>
  <c r="F4" i="5" l="1"/>
  <c r="F4" i="6"/>
  <c r="Y1370" i="4"/>
  <c r="Y1371" i="4" s="1"/>
  <c r="X1294" i="4"/>
  <c r="X1370" i="4" s="1"/>
  <c r="X1371" i="4" s="1"/>
  <c r="J7" i="4" s="1"/>
  <c r="F1371" i="4"/>
  <c r="J5" i="4" s="1"/>
  <c r="J4" i="5" l="1"/>
  <c r="J8" i="4"/>
  <c r="J10" i="4"/>
  <c r="J6" i="4"/>
  <c r="H4" i="5" s="1"/>
  <c r="F4" i="10"/>
  <c r="I4" i="5"/>
  <c r="E4" i="8"/>
  <c r="E4" i="7"/>
  <c r="P4" i="7" l="1"/>
  <c r="Q4" i="7"/>
  <c r="O4" i="8"/>
  <c r="K4" i="8"/>
  <c r="J4" i="8"/>
  <c r="D4" i="7"/>
  <c r="D4" i="8"/>
  <c r="H4" i="8" s="1"/>
  <c r="K4" i="5"/>
  <c r="D4" i="10"/>
  <c r="J4" i="10" s="1"/>
  <c r="O4" i="10" s="1"/>
  <c r="C12" i="12" s="1"/>
  <c r="P4" i="8" l="1"/>
  <c r="C9" i="12" s="1"/>
  <c r="M4" i="7"/>
  <c r="F4" i="7"/>
  <c r="R4" i="7"/>
  <c r="G4" i="7" l="1"/>
  <c r="N4" i="7"/>
  <c r="J4" i="7" l="1"/>
  <c r="I4" i="7"/>
  <c r="O4" i="7"/>
  <c r="S4" i="7" l="1"/>
  <c r="C8" i="12" s="1"/>
  <c r="C18" i="12" s="1"/>
  <c r="C22" i="12" s="1"/>
</calcChain>
</file>

<file path=xl/sharedStrings.xml><?xml version="1.0" encoding="utf-8"?>
<sst xmlns="http://schemas.openxmlformats.org/spreadsheetml/2006/main" count="304" uniqueCount="238">
  <si>
    <t>MALAWI 2024 LLIN MASS CAMPAIGN</t>
  </si>
  <si>
    <t>Please read instructions before you start using this template</t>
  </si>
  <si>
    <t>WORKSHEET/TAB</t>
  </si>
  <si>
    <t>DESCRIPTION</t>
  </si>
  <si>
    <t>TO BE COMPLETED BY DISTRICT</t>
  </si>
  <si>
    <t>Guidelines</t>
  </si>
  <si>
    <t>This worksheet provides the instructions for completing this budget and microplanning template</t>
  </si>
  <si>
    <t>NO</t>
  </si>
  <si>
    <t>Unit cost</t>
  </si>
  <si>
    <t>This worksheets is to be completed by the districts based on information collected from health facility and community level on mass Campain. Complete white shaded areas only</t>
  </si>
  <si>
    <t>YES</t>
  </si>
  <si>
    <t>District Microplan-To be filled</t>
  </si>
  <si>
    <t>This worksheets is to be completed by the districts based on information collected from health facility and community on mass Campain. Complete white shaded areas only (if necessary).  Insert a row at the end of each distribution point (Dp) to mark the end of data entry for each dp.</t>
  </si>
  <si>
    <t>Quantification</t>
  </si>
  <si>
    <t>Log costs</t>
  </si>
  <si>
    <t>Training HHR team</t>
  </si>
  <si>
    <t>Implementation of HHR</t>
  </si>
  <si>
    <t>Training distribution teams</t>
  </si>
  <si>
    <t>Summary</t>
  </si>
  <si>
    <t>The summary worksheet provides overview of the total budget by cost component</t>
  </si>
  <si>
    <t>Comments</t>
  </si>
  <si>
    <t>This sheet should be used for additional comments needed for review of microplan. Complete white shaded areas only</t>
  </si>
  <si>
    <t>For additional assistance contact</t>
  </si>
  <si>
    <t>Name</t>
  </si>
  <si>
    <t>Mobile number</t>
  </si>
  <si>
    <t>e-mail address</t>
  </si>
  <si>
    <t>Technical Sub C</t>
  </si>
  <si>
    <t>Logistics Sub C</t>
  </si>
  <si>
    <t>SBCC Sub C</t>
  </si>
  <si>
    <t>NMCP</t>
  </si>
  <si>
    <t>ASSUMPTION</t>
  </si>
  <si>
    <t>Number of Distribution Sites</t>
  </si>
  <si>
    <t>The average number of distribution sites is to be derived by dividing the total population by 4,000 (Each Distribution Site to manage an average of 4,000 persons)</t>
  </si>
  <si>
    <t>The avearge number of distribution points should be derived by multiplying the number of distribution sites by 4 (Each Distribution Site will be made up of average of 4 DPs).</t>
  </si>
  <si>
    <t>Surname</t>
  </si>
  <si>
    <t>First Name</t>
  </si>
  <si>
    <t>Middle Name</t>
  </si>
  <si>
    <t>District</t>
  </si>
  <si>
    <t>Health Facility</t>
  </si>
  <si>
    <t>Role 1</t>
  </si>
  <si>
    <t xml:space="preserve">UNIT COST  </t>
  </si>
  <si>
    <t>Item</t>
  </si>
  <si>
    <t>cost</t>
  </si>
  <si>
    <t>Refreshment for District level</t>
  </si>
  <si>
    <t xml:space="preserve">Airtime </t>
  </si>
  <si>
    <t>Lunch at district level</t>
  </si>
  <si>
    <t>Lunch at HHR &amp; distribution team trainings</t>
  </si>
  <si>
    <t>Transport refund for District supervisors</t>
  </si>
  <si>
    <t>Transport refund for HF supervisors</t>
  </si>
  <si>
    <t>Transport refund for HF supervisors (During the HHR)</t>
  </si>
  <si>
    <t>Unit cost fuel</t>
  </si>
  <si>
    <t>Transportation reimbursement for HHA and distribution teams</t>
  </si>
  <si>
    <t>Hall hire at district level</t>
  </si>
  <si>
    <t>Hall hire for training of HHA and distribution teams</t>
  </si>
  <si>
    <t>DSA for national level staff</t>
  </si>
  <si>
    <t>DSA for national level drivers</t>
  </si>
  <si>
    <t>DSA for district facilitators</t>
  </si>
  <si>
    <t>Allowances for facilitators</t>
  </si>
  <si>
    <t>Allowances for HF supervisors</t>
  </si>
  <si>
    <t>Allowances for district supervisors</t>
  </si>
  <si>
    <t>Lunch for HHR &amp; distribution teams</t>
  </si>
  <si>
    <t>Allowances for media house participants</t>
  </si>
  <si>
    <t>Allowances for HHR, distribution teams &amp; supervisors</t>
  </si>
  <si>
    <t>Allowances for town announcers</t>
  </si>
  <si>
    <t>Warehouse hire per net</t>
  </si>
  <si>
    <t>Insurance costs per net</t>
  </si>
  <si>
    <t>Security at district level (per month)</t>
  </si>
  <si>
    <t>Vehicles rental per day (district level)</t>
  </si>
  <si>
    <t>Truck hire (6 tyre size truck)</t>
  </si>
  <si>
    <t>Truck hire (6 tyre size truck )</t>
  </si>
  <si>
    <t>Small truck hire (from district stores to PPW)</t>
  </si>
  <si>
    <t>Small truck hire (from PPW to DSs)</t>
  </si>
  <si>
    <t xml:space="preserve">Loading &amp; off loading per bale </t>
  </si>
  <si>
    <t>Stationery (per participant -note book, pen, markers, masking tape)</t>
  </si>
  <si>
    <t>Way bills (booklet)</t>
  </si>
  <si>
    <t>Stock sheet</t>
  </si>
  <si>
    <t>Facilitator Mannual</t>
  </si>
  <si>
    <t>Warehouse assessment forms/guide</t>
  </si>
  <si>
    <t>Padlocks</t>
  </si>
  <si>
    <t xml:space="preserve">Box of white chalk for house marking </t>
  </si>
  <si>
    <t>Photocopying (per page)</t>
  </si>
  <si>
    <t>Toner</t>
  </si>
  <si>
    <t>Ream of paper</t>
  </si>
  <si>
    <t>Data entry clerks (per month)</t>
  </si>
  <si>
    <t>Hiring of agency to design print messages</t>
  </si>
  <si>
    <t xml:space="preserve">Printing of fact sheets </t>
  </si>
  <si>
    <t>Printing advocacy tool kit (folder)</t>
  </si>
  <si>
    <t>Airing spot messages</t>
  </si>
  <si>
    <t>Radio talk shows (airtime)</t>
  </si>
  <si>
    <t>Hiring a drama group</t>
  </si>
  <si>
    <t>REGION</t>
  </si>
  <si>
    <t>HEALTH DISTRICT</t>
  </si>
  <si>
    <t>Number of district supervisors</t>
  </si>
  <si>
    <t xml:space="preserve">Total population :  </t>
  </si>
  <si>
    <t xml:space="preserve">No. distribution points:  </t>
  </si>
  <si>
    <t xml:space="preserve">Number of households:  </t>
  </si>
  <si>
    <t>Sum up the total number of nets in Column "K" FOR EACH DP</t>
  </si>
  <si>
    <t>Sum up the total number of nets in Column "M" FOR EACH DS</t>
  </si>
  <si>
    <t>Number of LLIN:  (BALES)</t>
  </si>
  <si>
    <t xml:space="preserve">No.Health Facility supervisors:  </t>
  </si>
  <si>
    <t>Number of LLIN:  (PIECES)</t>
  </si>
  <si>
    <t xml:space="preserve">No. distribution team members:  </t>
  </si>
  <si>
    <t xml:space="preserve">Number of health facilities:  </t>
  </si>
  <si>
    <t xml:space="preserve">No of Distribution Site Supervisors:  </t>
  </si>
  <si>
    <t xml:space="preserve">Number of villages:  </t>
  </si>
  <si>
    <t>Serial Number</t>
  </si>
  <si>
    <t>Health facility</t>
  </si>
  <si>
    <t>Name of Facility in Charge</t>
  </si>
  <si>
    <t xml:space="preserve"> Phone Number of Facility in Charge</t>
  </si>
  <si>
    <t>Name of distribution site (DS)</t>
  </si>
  <si>
    <t>Name of HSA (distribution point) (DP)</t>
  </si>
  <si>
    <t>Phone Number of HSA in Charge of DP</t>
  </si>
  <si>
    <t>Villages in catchment area of DP (List Serially by each row)</t>
  </si>
  <si>
    <t>2024 Population ( by head count)</t>
  </si>
  <si>
    <t>Number of households (average HH size of 4.4)</t>
  </si>
  <si>
    <t>Total Number of LLIN/Village</t>
  </si>
  <si>
    <t>Number of bales/Village</t>
  </si>
  <si>
    <t>Total ITNs to the Distribution Point</t>
  </si>
  <si>
    <t>Bale/Distribution Point</t>
  </si>
  <si>
    <t>LOOSE NETS/Distribution Point</t>
  </si>
  <si>
    <t>Total ITNs to the Distribution Site</t>
  </si>
  <si>
    <t>Bale/Distribution Site</t>
  </si>
  <si>
    <t>LOOSE NETS/Distribution Site</t>
  </si>
  <si>
    <t>Maximum distance (km) between the cluster warehouse and the distribution site</t>
  </si>
  <si>
    <t>Condition of the road from cluster warehouse to distribution site</t>
  </si>
  <si>
    <t>The Type and number of transport to use.</t>
  </si>
  <si>
    <t>Route</t>
  </si>
  <si>
    <t>Number of HF supervisors for HHR  (1 sup:6 HHR teams)</t>
  </si>
  <si>
    <t>Number of Distribution Team Members/HF</t>
  </si>
  <si>
    <t>Subtotal</t>
  </si>
  <si>
    <t>GRAND TOTAL</t>
  </si>
  <si>
    <t>Region</t>
  </si>
  <si>
    <t>Number of distribution team (community) supervisors</t>
  </si>
  <si>
    <t>Number of district data managers</t>
  </si>
  <si>
    <t>Logistics Costs</t>
  </si>
  <si>
    <t>Total population</t>
  </si>
  <si>
    <t>Number of households</t>
  </si>
  <si>
    <t>Number of LLIN required</t>
  </si>
  <si>
    <t>Number of bales of 50</t>
  </si>
  <si>
    <t>Cost of handling, loading &amp; unloading</t>
  </si>
  <si>
    <t>Security (2 security personnel for 1 month)</t>
  </si>
  <si>
    <t>Budget total   (Log)</t>
  </si>
  <si>
    <t>Training of HHR supervisors and personnel (Rural)</t>
  </si>
  <si>
    <t>Number of HH registration personnel</t>
  </si>
  <si>
    <t>Number of HHR HF supervisors</t>
  </si>
  <si>
    <t>Number of training sessions</t>
  </si>
  <si>
    <t>Number of facilitators (2 per session)</t>
  </si>
  <si>
    <t>Number of days of facilitation</t>
  </si>
  <si>
    <t>Transport refunds for facilitators</t>
  </si>
  <si>
    <t>Lunch allowance for facilitators</t>
  </si>
  <si>
    <t>Number of training days of HH registration personnel</t>
  </si>
  <si>
    <t>Number of training days of HHA HF supervisors</t>
  </si>
  <si>
    <t>Transport refund for HHR personnel</t>
  </si>
  <si>
    <t>Hall hire for training of HHR personnel and community supervisors</t>
  </si>
  <si>
    <t>Lunch for HHR training (volunteers +  supervisors)</t>
  </si>
  <si>
    <t>Transport refund for HHR HF supervisors</t>
  </si>
  <si>
    <t>Stationery items for the participants</t>
  </si>
  <si>
    <t>Budget total implementation of HH assessment</t>
  </si>
  <si>
    <t>Implementation of household assessment (Rural)</t>
  </si>
  <si>
    <t>Number of community supervisors</t>
  </si>
  <si>
    <t>Number of days of HH registration</t>
  </si>
  <si>
    <t>Allowances for HHR personnel</t>
  </si>
  <si>
    <t>Number of days of supervision and data collection (HF supervisors)</t>
  </si>
  <si>
    <t>Transport for HF supervisors</t>
  </si>
  <si>
    <t>Number of days of supervision and data collection (district supervisors)</t>
  </si>
  <si>
    <t>Transport for district supervisors (Fuel)</t>
  </si>
  <si>
    <t>Communication for HF and district supervisors</t>
  </si>
  <si>
    <t>Training of distribution teams including DP supervisors and members (Rural)</t>
  </si>
  <si>
    <t>Number of distribution team members</t>
  </si>
  <si>
    <t>Number of distribution point  supervisors</t>
  </si>
  <si>
    <t>Number of training days of DP supervisors</t>
  </si>
  <si>
    <t>Number of training days of distribution team members</t>
  </si>
  <si>
    <t xml:space="preserve">Number of training sessions </t>
  </si>
  <si>
    <t>Lunch for district facilitators</t>
  </si>
  <si>
    <t>Fuel for district facilitators</t>
  </si>
  <si>
    <t>Transport for DP supervisors</t>
  </si>
  <si>
    <t>Lunch for DP supervisors</t>
  </si>
  <si>
    <t>Transport for distribution team members</t>
  </si>
  <si>
    <t xml:space="preserve">Lunch for  training of distribution team members </t>
  </si>
  <si>
    <t>Budget total training of LLIN distribution teams &amp; supervisors</t>
  </si>
  <si>
    <t>LLIN distribution personnel cost (Rural)</t>
  </si>
  <si>
    <t>Number of DP  supervisors</t>
  </si>
  <si>
    <t xml:space="preserve">Number of HF supervisors </t>
  </si>
  <si>
    <t xml:space="preserve">Number of district supervisors </t>
  </si>
  <si>
    <t>Number of days for LLIN distribution (teams)</t>
  </si>
  <si>
    <t>Number of days for LLIN distribution (supervisors) including data collection)</t>
  </si>
  <si>
    <t>Allowances for household registration personnel</t>
  </si>
  <si>
    <t>Allowances for distribution community supervisors</t>
  </si>
  <si>
    <t>Transport for community supervisors</t>
  </si>
  <si>
    <t>Transport for district supervisors</t>
  </si>
  <si>
    <t>Budget total implementation of LLINs distribution</t>
  </si>
  <si>
    <t>Data management</t>
  </si>
  <si>
    <t>Health district</t>
  </si>
  <si>
    <t xml:space="preserve">Number of data managers </t>
  </si>
  <si>
    <t>Number of days for data management - HHA and LLIN distribution (13 + 10 = 36 days)</t>
  </si>
  <si>
    <t>Airtime</t>
  </si>
  <si>
    <t>Lunch for data managers</t>
  </si>
  <si>
    <t>Total budget</t>
  </si>
  <si>
    <t>Campaign budget 2024</t>
  </si>
  <si>
    <t>Budget total (MK)</t>
  </si>
  <si>
    <t>Training of HHR supervisors and members</t>
  </si>
  <si>
    <t>Logistic costs</t>
  </si>
  <si>
    <t>Training of distribution point supervisors &amp; members</t>
  </si>
  <si>
    <t>LLIN distribution</t>
  </si>
  <si>
    <t>TOTAL</t>
  </si>
  <si>
    <t>Number of LLIN (in the district)</t>
  </si>
  <si>
    <t>Cost per net</t>
  </si>
  <si>
    <t>COMMENTS</t>
  </si>
  <si>
    <t>This template contains eleven (11) worksheets; Guidlines, Unit cost, Staff List, District Microplan-To be filled, Quantification, Log cost, Training HHR, Implementation of HHR, Training distribution teams, LLIN distribution, data management and comments. 
Data should be entered on worksheets colored "GREEN" and marked "YES" under "TO BE COMPLETED BY DISTRICT" Column below</t>
  </si>
  <si>
    <t>Number of Digital support supervisors</t>
  </si>
  <si>
    <t>Phone Number</t>
  </si>
  <si>
    <t>Mobile network</t>
  </si>
  <si>
    <t>Stafflist</t>
  </si>
  <si>
    <t>Volunteers</t>
  </si>
  <si>
    <t>1 HSA will work with 1 volunteer</t>
  </si>
  <si>
    <t xml:space="preserve">This worksheet is to be completed by the districts based on information collected from health facility and community on mass campaign. List all campaign personel including volunteers.  </t>
  </si>
  <si>
    <t>Dr . Leonard Dandalo</t>
  </si>
  <si>
    <t>Norman Lakalaka</t>
  </si>
  <si>
    <t>Trinitas Mvalo</t>
  </si>
  <si>
    <t>Akuzike Tauzi</t>
  </si>
  <si>
    <t>Lazarous Mangazi</t>
  </si>
  <si>
    <t>Finance Sub C</t>
  </si>
  <si>
    <t>Austin Gumbo</t>
  </si>
  <si>
    <t>M &amp; E and Digitalization Sub C</t>
  </si>
  <si>
    <t>leonard_dandalo@abtassoc.com</t>
  </si>
  <si>
    <t>lakalakan@yahoo.com</t>
  </si>
  <si>
    <t>lazarous.mangazi@mohpiu.com</t>
  </si>
  <si>
    <t>aagumbo@yahoo.co.uk</t>
  </si>
  <si>
    <t>trinitasm@gmail.com</t>
  </si>
  <si>
    <t>akuziketauzi@yahoo.com</t>
  </si>
  <si>
    <t>Position</t>
  </si>
  <si>
    <t>CATCHMENT AREA</t>
  </si>
  <si>
    <t xml:space="preserve">No. HSAs:  </t>
  </si>
  <si>
    <t>No of HHR team members</t>
  </si>
  <si>
    <t>Lunch for training of HF supervisors for three days</t>
  </si>
  <si>
    <t>Route/ Distribution</t>
  </si>
  <si>
    <t>Tonnage</t>
  </si>
  <si>
    <t>LOOSE NETS/ Distribution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</si>
</sst>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_(* \(#,##0.00\);_(* &quot;-&quot;??_);_(@_)"/>
    <numFmt numFmtId="164" formatCode="_-* #,##0.00_-;\-* #,##0.00_-;_-* &quot;-&quot;??_-;_-@_-"/>
    <numFmt numFmtId="165" formatCode="#,##0.0"/>
    <numFmt numFmtId="166" formatCode="#,##0.00;[Red]#,##0.00"/>
    <numFmt numFmtId="167" formatCode="_-* #,##0.0_-;\-* #,##0.0_-;_-* &quot;-&quot;?_-;_-@_-"/>
    <numFmt numFmtId="168" formatCode="_-* #,##0_-;\-* #,##0_-;_-* &quot;-&quot;??_-;_-@_-"/>
    <numFmt numFmtId="169" formatCode="_-* #,##0.0_-;\-* #,##0.0_-;_-* &quot;-&quot;??_-;_-@_-"/>
    <numFmt numFmtId="170" formatCode="_(* #,##0.0_);_(* \(#,##0.0\);_(* &quot;-&quot;??_);_(@_)"/>
    <numFmt numFmtId="171" formatCode="_(* #,##0_);_(* \(#,##0\);_(* &quot;-&quot;??_);_(@_)"/>
    <numFmt numFmtId="172" formatCode="_(* #,##0.00_);_(* \(#,##0.00\);_(* &quot;-&quot;_);_(@_)"/>
    <numFmt numFmtId="173" formatCode="_-* #,##0.00\ _€_-;\-* #,##0.00\ _€_-;_-* &quot;-&quot;??\ _€_-;_-@_-"/>
    <numFmt numFmtId="174" formatCode="0.0"/>
    <numFmt numFmtId="175" formatCode="_-* #,##0\ _€_-;\-* #,##0\ _€_-;_-* &quot;-&quot;??\ _€_-;_-@_-"/>
    <numFmt numFmtId="176" formatCode="&quot; &quot;#,##0.00&quot;   &quot;;&quot;-&quot;#,##0.00&quot;   &quot;;&quot; -&quot;00&quot;   &quot;;&quot; &quot;@&quot; &quot;"/>
    <numFmt numFmtId="177" formatCode="&quot; &quot;#,##0&quot;   &quot;;&quot;-&quot;#,##0&quot;   &quot;;&quot; -&quot;00&quot;   &quot;;&quot; &quot;@&quot; &quot;"/>
    <numFmt numFmtId="178" formatCode="0.0%"/>
    <numFmt numFmtId="179" formatCode="#,##0;[Red]#,##0"/>
    <numFmt numFmtId="180" formatCode="_-* #,##0_-;\-* #,##0_-;_-* &quot;-&quot;??_-;_-@"/>
    <numFmt numFmtId="181" formatCode="0_);\(0\)"/>
    <numFmt numFmtId="182" formatCode="[$-409]dd\-mmm\-yy"/>
  </numFmts>
  <fonts count="101">
    <font>
      <sz val="11"/>
      <color theme="1"/>
      <name val="Aptos Narrow"/>
      <family val="2"/>
      <scheme val="minor"/>
    </font>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b/>
      <sz val="16"/>
      <color theme="1"/>
      <name val="Aptos Narrow"/>
      <family val="2"/>
      <scheme val="minor"/>
    </font>
    <font>
      <b/>
      <sz val="14"/>
      <color theme="1"/>
      <name val="Aptos Narrow"/>
      <family val="2"/>
      <scheme val="minor"/>
    </font>
    <font>
      <sz val="12"/>
      <color theme="1"/>
      <name val="Aptos Narrow"/>
      <family val="2"/>
      <scheme val="minor"/>
    </font>
    <font>
      <b/>
      <sz val="12"/>
      <color theme="1"/>
      <name val="Aptos Narrow"/>
      <family val="2"/>
      <scheme val="minor"/>
    </font>
    <font>
      <sz val="12"/>
      <color theme="0"/>
      <name val="Aptos Narrow"/>
      <family val="2"/>
      <scheme val="minor"/>
    </font>
    <font>
      <sz val="12"/>
      <name val="Aptos Narrow"/>
      <family val="2"/>
      <scheme val="minor"/>
    </font>
    <font>
      <b/>
      <sz val="11"/>
      <name val="Aptos Narrow"/>
      <family val="2"/>
      <scheme val="minor"/>
    </font>
    <font>
      <u/>
      <sz val="11"/>
      <color theme="10"/>
      <name val="Aptos Narrow"/>
      <family val="2"/>
      <scheme val="minor"/>
    </font>
    <font>
      <u/>
      <sz val="12"/>
      <color theme="10"/>
      <name val="Aptos Narrow"/>
      <family val="2"/>
      <scheme val="minor"/>
    </font>
    <font>
      <sz val="12"/>
      <color rgb="FFFF0000"/>
      <name val="Aptos Narrow"/>
      <family val="2"/>
      <scheme val="minor"/>
    </font>
    <font>
      <sz val="11"/>
      <color theme="1"/>
      <name val="Calibri"/>
      <family val="2"/>
    </font>
    <font>
      <b/>
      <sz val="11"/>
      <color rgb="FF000000"/>
      <name val="Calibri"/>
      <family val="2"/>
    </font>
    <font>
      <b/>
      <sz val="11"/>
      <name val="Calibri"/>
      <family val="2"/>
    </font>
    <font>
      <sz val="11"/>
      <name val="Calibri"/>
      <family val="2"/>
    </font>
    <font>
      <sz val="11"/>
      <color rgb="FF000000"/>
      <name val="Calibri"/>
      <family val="2"/>
    </font>
    <font>
      <sz val="12"/>
      <color theme="1"/>
      <name val="Times New Roman"/>
      <family val="2"/>
    </font>
    <font>
      <b/>
      <sz val="20"/>
      <color theme="1"/>
      <name val="Calibri Light"/>
      <family val="2"/>
    </font>
    <font>
      <b/>
      <sz val="16"/>
      <color theme="1"/>
      <name val="Calibri Light"/>
      <family val="2"/>
    </font>
    <font>
      <sz val="16"/>
      <color theme="1"/>
      <name val="Aptos Narrow"/>
      <family val="2"/>
      <scheme val="minor"/>
    </font>
    <font>
      <sz val="10"/>
      <name val="Arial"/>
      <family val="2"/>
      <charset val="204"/>
    </font>
    <font>
      <sz val="11"/>
      <color theme="1"/>
      <name val="Calibri Light"/>
      <family val="2"/>
    </font>
    <font>
      <sz val="11"/>
      <color rgb="FF000000"/>
      <name val="Calibri Light"/>
      <family val="2"/>
    </font>
    <font>
      <sz val="11"/>
      <name val="Calibri Light"/>
      <family val="2"/>
    </font>
    <font>
      <sz val="11"/>
      <color rgb="FF0070C0"/>
      <name val="Calibri Light"/>
      <family val="2"/>
    </font>
    <font>
      <sz val="10"/>
      <color theme="1"/>
      <name val="Calibri Light"/>
      <family val="2"/>
    </font>
    <font>
      <sz val="11"/>
      <color indexed="8"/>
      <name val="Calibri"/>
      <family val="2"/>
    </font>
    <font>
      <sz val="11"/>
      <color indexed="53"/>
      <name val="Calibri"/>
      <family val="2"/>
    </font>
    <font>
      <b/>
      <sz val="11"/>
      <color indexed="53"/>
      <name val="Calibri"/>
      <family val="2"/>
    </font>
    <font>
      <b/>
      <sz val="11"/>
      <color indexed="8"/>
      <name val="Calibri"/>
      <family val="2"/>
    </font>
    <font>
      <sz val="11"/>
      <name val="Aptos Narrow"/>
      <family val="2"/>
      <scheme val="minor"/>
    </font>
    <font>
      <b/>
      <sz val="11"/>
      <color rgb="FFFF0000"/>
      <name val="Aptos Narrow"/>
      <family val="2"/>
      <scheme val="minor"/>
    </font>
    <font>
      <sz val="11"/>
      <color rgb="FF0000FF"/>
      <name val="Calibri"/>
      <family val="2"/>
    </font>
    <font>
      <sz val="10"/>
      <name val="Arial"/>
      <family val="2"/>
    </font>
    <font>
      <sz val="11"/>
      <color theme="1"/>
      <name val="Aptos Display"/>
      <family val="1"/>
      <scheme val="major"/>
    </font>
    <font>
      <b/>
      <sz val="18"/>
      <color theme="1"/>
      <name val="Aptos Narrow"/>
      <family val="2"/>
      <scheme val="minor"/>
    </font>
    <font>
      <b/>
      <sz val="11"/>
      <color rgb="FF0000FF"/>
      <name val="Calibri"/>
      <family val="2"/>
    </font>
    <font>
      <b/>
      <sz val="11"/>
      <color indexed="8"/>
      <name val="Aptos Narrow"/>
      <family val="2"/>
      <scheme val="minor"/>
    </font>
    <font>
      <sz val="11"/>
      <color indexed="8"/>
      <name val="Aptos Narrow"/>
      <family val="2"/>
      <scheme val="minor"/>
    </font>
    <font>
      <sz val="11"/>
      <color rgb="FF000000"/>
      <name val="Calibri"/>
      <family val="2"/>
    </font>
    <font>
      <b/>
      <sz val="11"/>
      <color theme="9" tint="-0.499984740745262"/>
      <name val="Calibri"/>
      <family val="2"/>
    </font>
    <font>
      <b/>
      <sz val="11"/>
      <color rgb="FF000000"/>
      <name val="Calibri Light"/>
      <family val="2"/>
    </font>
    <font>
      <sz val="9"/>
      <color rgb="FF000000"/>
      <name val="Calibri Light"/>
      <family val="2"/>
    </font>
    <font>
      <b/>
      <sz val="9"/>
      <color rgb="FF000000"/>
      <name val="Calibri"/>
      <family val="2"/>
    </font>
    <font>
      <b/>
      <sz val="9"/>
      <name val="Calibri"/>
      <family val="2"/>
    </font>
    <font>
      <sz val="10"/>
      <color rgb="FF000000"/>
      <name val="Arial"/>
      <family val="2"/>
      <charset val="204"/>
    </font>
    <font>
      <sz val="10"/>
      <color rgb="FF000000"/>
      <name val="Calibri"/>
      <family val="2"/>
    </font>
    <font>
      <sz val="11"/>
      <color rgb="FF0000CC"/>
      <name val="Calibri"/>
      <family val="2"/>
    </font>
    <font>
      <b/>
      <sz val="10"/>
      <color rgb="FF0000FF"/>
      <name val="Calibri"/>
      <family val="2"/>
    </font>
    <font>
      <b/>
      <sz val="14"/>
      <color theme="1"/>
      <name val="Aptos Display"/>
      <family val="1"/>
      <scheme val="major"/>
    </font>
    <font>
      <b/>
      <sz val="11"/>
      <color rgb="FF0000FF"/>
      <name val="Aptos Display"/>
      <family val="1"/>
      <scheme val="major"/>
    </font>
    <font>
      <b/>
      <sz val="11"/>
      <color rgb="FF0000FF"/>
      <name val="Aptos Narrow"/>
      <family val="2"/>
      <scheme val="minor"/>
    </font>
    <font>
      <b/>
      <sz val="10"/>
      <name val="Aptos Narrow"/>
      <family val="2"/>
      <scheme val="minor"/>
    </font>
    <font>
      <sz val="10"/>
      <name val="Aptos Display"/>
      <family val="1"/>
      <scheme val="major"/>
    </font>
    <font>
      <sz val="10"/>
      <color theme="1"/>
      <name val="Aptos Display"/>
      <family val="1"/>
      <scheme val="major"/>
    </font>
    <font>
      <b/>
      <sz val="10"/>
      <name val="Aptos Display"/>
      <family val="1"/>
      <scheme val="major"/>
    </font>
    <font>
      <sz val="12"/>
      <name val="Aptos Display"/>
      <family val="1"/>
      <scheme val="major"/>
    </font>
    <font>
      <i/>
      <sz val="12"/>
      <name val="Aptos Display"/>
      <family val="1"/>
      <scheme val="major"/>
    </font>
    <font>
      <b/>
      <sz val="12"/>
      <name val="Aptos Display"/>
      <family val="1"/>
      <scheme val="major"/>
    </font>
    <font>
      <b/>
      <i/>
      <sz val="12"/>
      <name val="Aptos Display"/>
      <family val="1"/>
      <scheme val="major"/>
    </font>
    <font>
      <b/>
      <sz val="10"/>
      <color rgb="FFFF0000"/>
      <name val="Aptos Display"/>
      <family val="1"/>
      <scheme val="major"/>
    </font>
    <font>
      <b/>
      <sz val="10"/>
      <color theme="1"/>
      <name val="Aptos Display"/>
      <family val="1"/>
      <scheme val="major"/>
    </font>
    <font>
      <b/>
      <sz val="11"/>
      <color rgb="FF0070C0"/>
      <name val="Aptos Narrow"/>
      <family val="2"/>
      <scheme val="minor"/>
    </font>
    <font>
      <b/>
      <sz val="12"/>
      <color theme="1"/>
      <name val="Aptos Display"/>
      <family val="1"/>
      <scheme val="major"/>
    </font>
    <font>
      <sz val="11"/>
      <color rgb="FF0070C0"/>
      <name val="Aptos Display"/>
      <family val="1"/>
      <scheme val="major"/>
    </font>
    <font>
      <b/>
      <sz val="14"/>
      <color rgb="FF000000"/>
      <name val="Aptos Narrow"/>
      <family val="2"/>
      <scheme val="minor"/>
    </font>
    <font>
      <b/>
      <sz val="11"/>
      <color rgb="FFFF0000"/>
      <name val="Calibri"/>
      <family val="2"/>
    </font>
    <font>
      <b/>
      <i/>
      <u/>
      <sz val="14"/>
      <color rgb="FF0000FF"/>
      <name val="Calibri"/>
      <family val="2"/>
    </font>
    <font>
      <b/>
      <i/>
      <sz val="14"/>
      <color rgb="FF0000FF"/>
      <name val="Calibri"/>
      <family val="2"/>
    </font>
    <font>
      <sz val="12"/>
      <color theme="1"/>
      <name val="Aptos Display"/>
      <family val="1"/>
      <scheme val="major"/>
    </font>
    <font>
      <b/>
      <i/>
      <u/>
      <sz val="14"/>
      <color rgb="FF0000FF"/>
      <name val="Aptos Narrow"/>
      <family val="2"/>
      <scheme val="minor"/>
    </font>
    <font>
      <b/>
      <sz val="12"/>
      <color rgb="FF0000FF"/>
      <name val="Aptos Display"/>
      <family val="1"/>
      <scheme val="major"/>
    </font>
    <font>
      <b/>
      <sz val="12"/>
      <name val="Aptos Narrow"/>
      <family val="2"/>
      <scheme val="minor"/>
    </font>
    <font>
      <sz val="11"/>
      <color rgb="FF000000"/>
      <name val="Times New Roman"/>
      <family val="1"/>
    </font>
    <font>
      <sz val="12"/>
      <color indexed="8"/>
      <name val="Calibri"/>
      <family val="2"/>
    </font>
    <font>
      <sz val="12"/>
      <color rgb="FF000000"/>
      <name val="Calibri"/>
      <family val="2"/>
    </font>
    <font>
      <i/>
      <sz val="12"/>
      <color rgb="FF000000"/>
      <name val="Calibri"/>
      <family val="2"/>
    </font>
    <font>
      <sz val="12"/>
      <name val="Calibri"/>
      <family val="2"/>
    </font>
    <font>
      <sz val="12"/>
      <color indexed="8"/>
      <name val="Verdana"/>
      <family val="2"/>
    </font>
    <font>
      <sz val="12"/>
      <color theme="1"/>
      <name val="Calibri"/>
      <family val="2"/>
    </font>
    <font>
      <b/>
      <sz val="11"/>
      <color rgb="FF000000"/>
      <name val="Aptos Narrow"/>
      <family val="2"/>
      <scheme val="minor"/>
    </font>
    <font>
      <sz val="12"/>
      <name val="Verdana"/>
      <family val="2"/>
    </font>
    <font>
      <b/>
      <u/>
      <sz val="11"/>
      <color rgb="FF0000FF"/>
      <name val="Calibri"/>
      <family val="2"/>
    </font>
    <font>
      <sz val="11"/>
      <color rgb="FF000000"/>
      <name val="Bookman"/>
    </font>
    <font>
      <sz val="11"/>
      <color theme="1"/>
      <name val="Calibri"/>
      <charset val="134"/>
    </font>
    <font>
      <sz val="11"/>
      <color indexed="8"/>
      <name val="Calibri"/>
      <charset val="134"/>
    </font>
    <font>
      <sz val="11"/>
      <name val="Calibri"/>
      <charset val="134"/>
    </font>
    <font>
      <sz val="12"/>
      <name val="Times New Roman"/>
      <family val="1"/>
    </font>
    <font>
      <sz val="12"/>
      <color theme="1"/>
      <name val="Times New Roman"/>
      <family val="1"/>
    </font>
    <font>
      <sz val="12"/>
      <color indexed="8"/>
      <name val="Times New Roman"/>
      <family val="1"/>
    </font>
    <font>
      <sz val="12"/>
      <color rgb="FF000000"/>
      <name val="Times New Roman"/>
      <family val="1"/>
    </font>
    <font>
      <sz val="11"/>
      <name val="Times New Roman"/>
      <family val="1"/>
    </font>
    <font>
      <sz val="11"/>
      <color indexed="8"/>
      <name val="Times New Roman"/>
      <family val="1"/>
    </font>
    <font>
      <sz val="11"/>
      <color theme="1"/>
      <name val="Times New Roman"/>
      <family val="1"/>
    </font>
    <font>
      <sz val="14"/>
      <color theme="1"/>
      <name val="Times New Roman"/>
      <family val="1"/>
    </font>
    <font>
      <sz val="11"/>
      <color theme="0"/>
      <name val="Aptos Narrow"/>
      <family val="2"/>
      <scheme val="minor"/>
    </font>
    <font>
      <sz val="11"/>
      <color theme="6" tint="0.39997558519241921"/>
      <name val="Aptos Narrow"/>
      <family val="2"/>
      <scheme val="minor"/>
    </font>
  </fonts>
  <fills count="37">
    <fill>
      <patternFill patternType="none"/>
    </fill>
    <fill>
      <patternFill patternType="gray125"/>
    </fill>
    <fill>
      <patternFill patternType="solid">
        <fgColor theme="4" tint="0.79998168889431442"/>
        <bgColor indexed="64"/>
      </patternFill>
    </fill>
    <fill>
      <patternFill patternType="solid">
        <fgColor theme="9" tint="0.59999389629810485"/>
        <bgColor indexed="64"/>
      </patternFill>
    </fill>
    <fill>
      <patternFill patternType="solid">
        <fgColor theme="1" tint="0.499984740745262"/>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rgb="FFDAEEF3"/>
        <bgColor rgb="FFDAEEF3"/>
      </patternFill>
    </fill>
    <fill>
      <patternFill patternType="solid">
        <fgColor rgb="FFB8CCE4"/>
        <bgColor rgb="FFB8CCE4"/>
      </patternFill>
    </fill>
    <fill>
      <patternFill patternType="solid">
        <fgColor rgb="FFD6E3BC"/>
        <bgColor rgb="FFD6E3BC"/>
      </patternFill>
    </fill>
    <fill>
      <patternFill patternType="solid">
        <fgColor rgb="FFCCC0D9"/>
        <bgColor rgb="FFCCC0D9"/>
      </patternFill>
    </fill>
    <fill>
      <patternFill patternType="solid">
        <fgColor rgb="FFFFFF00"/>
        <bgColor indexed="64"/>
      </patternFill>
    </fill>
    <fill>
      <patternFill patternType="solid">
        <fgColor rgb="FFFFFFCC"/>
        <bgColor indexed="64"/>
      </patternFill>
    </fill>
    <fill>
      <patternFill patternType="solid">
        <fgColor theme="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66FF99"/>
        <bgColor indexed="64"/>
      </patternFill>
    </fill>
    <fill>
      <patternFill patternType="solid">
        <fgColor theme="5" tint="0.59999389629810485"/>
        <bgColor indexed="64"/>
      </patternFill>
    </fill>
    <fill>
      <patternFill patternType="solid">
        <fgColor rgb="FFF2F2F2"/>
        <bgColor rgb="FF000000"/>
      </patternFill>
    </fill>
    <fill>
      <patternFill patternType="solid">
        <fgColor theme="7" tint="0.39997558519241921"/>
        <bgColor indexed="64"/>
      </patternFill>
    </fill>
    <fill>
      <patternFill patternType="solid">
        <fgColor indexed="9"/>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rgb="FFFF0000"/>
        <bgColor indexed="64"/>
      </patternFill>
    </fill>
    <fill>
      <patternFill patternType="solid">
        <fgColor theme="9" tint="0.39997558519241921"/>
        <bgColor rgb="FFC6E0B4"/>
      </patternFill>
    </fill>
    <fill>
      <patternFill patternType="solid">
        <fgColor theme="9" tint="0.59999389629810485"/>
        <bgColor theme="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0"/>
        <bgColor rgb="FFD6E3BC"/>
      </patternFill>
    </fill>
    <fill>
      <patternFill patternType="solid">
        <fgColor rgb="FFFFFFFF"/>
        <bgColor indexed="64"/>
      </patternFill>
    </fill>
    <fill>
      <patternFill patternType="solid">
        <fgColor rgb="FFFFFFFF"/>
      </patternFill>
    </fill>
    <fill>
      <patternFill patternType="solid">
        <fgColor rgb="FFFFFFFF"/>
        <bgColor rgb="FFFFFFFF"/>
      </patternFill>
    </fill>
    <fill>
      <patternFill patternType="solid">
        <fgColor rgb="FF92D050"/>
        <bgColor indexed="64"/>
      </patternFill>
    </fill>
    <fill>
      <patternFill patternType="solid">
        <fgColor theme="7" tint="0.39994506668294322"/>
        <bgColor indexed="64"/>
      </patternFill>
    </fill>
    <fill>
      <patternFill patternType="solid">
        <fgColor theme="3" tint="0.89999084444715716"/>
        <bgColor indexed="64"/>
      </patternFill>
    </fill>
    <fill>
      <patternFill patternType="solid">
        <fgColor theme="1"/>
        <bgColor indexed="64"/>
      </patternFill>
    </fill>
  </fills>
  <borders count="41">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style="medium">
        <color indexed="64"/>
      </left>
      <right style="medium">
        <color indexed="64"/>
      </right>
      <top style="medium">
        <color indexed="64"/>
      </top>
      <bottom style="medium">
        <color indexed="64"/>
      </bottom>
      <diagonal/>
    </border>
    <border>
      <left/>
      <right style="thin">
        <color auto="1"/>
      </right>
      <top style="thin">
        <color auto="1"/>
      </top>
      <bottom/>
      <diagonal/>
    </border>
    <border>
      <left style="thin">
        <color auto="1"/>
      </left>
      <right/>
      <top style="thin">
        <color auto="1"/>
      </top>
      <bottom/>
      <diagonal/>
    </border>
    <border>
      <left/>
      <right style="thin">
        <color auto="1"/>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auto="1"/>
      </top>
      <bottom style="thin">
        <color auto="1"/>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style="thin">
        <color rgb="FF000000"/>
      </top>
      <bottom style="thin">
        <color auto="1"/>
      </bottom>
      <diagonal/>
    </border>
    <border>
      <left style="thin">
        <color rgb="FF000000"/>
      </left>
      <right style="thin">
        <color auto="1"/>
      </right>
      <top style="thin">
        <color rgb="FF000000"/>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s>
  <cellStyleXfs count="23">
    <xf numFmtId="0" fontId="0" fillId="0" borderId="0"/>
    <xf numFmtId="43" fontId="1" fillId="0" borderId="0" applyFont="0" applyFill="0" applyBorder="0" applyAlignment="0" applyProtection="0"/>
    <xf numFmtId="9" fontId="1" fillId="0" borderId="0" applyFont="0" applyFill="0" applyBorder="0" applyAlignment="0" applyProtection="0"/>
    <xf numFmtId="0" fontId="12" fillId="0" borderId="0" applyNumberFormat="0" applyFill="0" applyBorder="0" applyAlignment="0" applyProtection="0"/>
    <xf numFmtId="0" fontId="20" fillId="0" borderId="0"/>
    <xf numFmtId="0" fontId="24" fillId="0" borderId="0"/>
    <xf numFmtId="0" fontId="1" fillId="0" borderId="0"/>
    <xf numFmtId="43" fontId="20" fillId="0" borderId="0" applyFont="0" applyFill="0" applyBorder="0" applyAlignment="0" applyProtection="0"/>
    <xf numFmtId="0" fontId="30" fillId="0" borderId="0"/>
    <xf numFmtId="0" fontId="7" fillId="0" borderId="0"/>
    <xf numFmtId="173" fontId="37" fillId="0" borderId="0" applyFont="0" applyFill="0" applyBorder="0" applyAlignment="0" applyProtection="0"/>
    <xf numFmtId="0" fontId="1" fillId="0" borderId="0"/>
    <xf numFmtId="0" fontId="30" fillId="0" borderId="0"/>
    <xf numFmtId="173" fontId="37" fillId="0" borderId="0" applyFont="0" applyFill="0" applyBorder="0" applyAlignment="0" applyProtection="0"/>
    <xf numFmtId="0" fontId="43" fillId="0" borderId="0"/>
    <xf numFmtId="0" fontId="43" fillId="0" borderId="0" applyNumberFormat="0" applyBorder="0" applyProtection="0"/>
    <xf numFmtId="176" fontId="43" fillId="0" borderId="0" applyFont="0" applyFill="0" applyBorder="0" applyAlignment="0" applyProtection="0"/>
    <xf numFmtId="0" fontId="7" fillId="0" borderId="0"/>
    <xf numFmtId="0" fontId="49" fillId="0" borderId="0" applyNumberFormat="0" applyBorder="0" applyProtection="0"/>
    <xf numFmtId="0" fontId="37" fillId="0" borderId="0"/>
    <xf numFmtId="0" fontId="7" fillId="0" borderId="0"/>
    <xf numFmtId="0" fontId="82" fillId="0" borderId="0" applyNumberFormat="0" applyFill="0" applyBorder="0" applyProtection="0">
      <alignment vertical="top" wrapText="1"/>
    </xf>
    <xf numFmtId="0" fontId="85" fillId="0" borderId="0">
      <alignment vertical="center"/>
    </xf>
  </cellStyleXfs>
  <cellXfs count="644">
    <xf numFmtId="0" fontId="0" fillId="0" borderId="0" xfId="0"/>
    <xf numFmtId="0" fontId="0" fillId="0" borderId="0" xfId="0" applyAlignment="1">
      <alignment horizontal="center"/>
    </xf>
    <xf numFmtId="0" fontId="0" fillId="0" borderId="0" xfId="0" applyAlignment="1">
      <alignment vertical="center"/>
    </xf>
    <xf numFmtId="0" fontId="8" fillId="2" borderId="4" xfId="0" applyFont="1" applyFill="1" applyBorder="1" applyAlignment="1">
      <alignment vertical="center"/>
    </xf>
    <xf numFmtId="0" fontId="4" fillId="2" borderId="6" xfId="0" applyFont="1" applyFill="1" applyBorder="1" applyAlignment="1">
      <alignment vertical="center" wrapText="1"/>
    </xf>
    <xf numFmtId="0" fontId="9" fillId="4" borderId="4" xfId="0" applyFont="1" applyFill="1" applyBorder="1" applyAlignment="1">
      <alignment vertical="center"/>
    </xf>
    <xf numFmtId="0" fontId="2" fillId="4" borderId="6" xfId="0" applyFont="1" applyFill="1" applyBorder="1" applyAlignment="1">
      <alignment horizontal="center" vertical="center"/>
    </xf>
    <xf numFmtId="0" fontId="10" fillId="5" borderId="4" xfId="0" applyFont="1" applyFill="1" applyBorder="1" applyAlignment="1">
      <alignment vertical="center" wrapText="1"/>
    </xf>
    <xf numFmtId="0" fontId="11" fillId="5" borderId="6" xfId="0" applyFont="1" applyFill="1" applyBorder="1" applyAlignment="1">
      <alignment horizontal="center" vertical="center"/>
    </xf>
    <xf numFmtId="0" fontId="4" fillId="0" borderId="0" xfId="0" applyFont="1"/>
    <xf numFmtId="0" fontId="7" fillId="6" borderId="4" xfId="0" applyFont="1" applyFill="1" applyBorder="1" applyAlignment="1">
      <alignment vertical="center"/>
    </xf>
    <xf numFmtId="0" fontId="4" fillId="6" borderId="6" xfId="0" applyFont="1" applyFill="1" applyBorder="1" applyAlignment="1">
      <alignment horizontal="center" vertical="center"/>
    </xf>
    <xf numFmtId="0" fontId="10" fillId="5" borderId="7" xfId="0" applyFont="1" applyFill="1" applyBorder="1" applyAlignment="1">
      <alignment vertical="center" wrapText="1"/>
    </xf>
    <xf numFmtId="0" fontId="11" fillId="5" borderId="9" xfId="0" applyFont="1" applyFill="1" applyBorder="1" applyAlignment="1">
      <alignment horizontal="center" vertical="center"/>
    </xf>
    <xf numFmtId="0" fontId="8" fillId="3" borderId="2" xfId="0" applyFont="1" applyFill="1" applyBorder="1" applyAlignment="1">
      <alignment vertical="center"/>
    </xf>
    <xf numFmtId="0" fontId="7" fillId="0" borderId="5" xfId="0" applyFont="1" applyBorder="1"/>
    <xf numFmtId="0" fontId="7" fillId="0" borderId="5" xfId="0" applyFont="1" applyBorder="1" applyAlignment="1">
      <alignment horizontal="left"/>
    </xf>
    <xf numFmtId="0" fontId="7" fillId="0" borderId="8" xfId="0" applyFont="1" applyBorder="1"/>
    <xf numFmtId="0" fontId="3" fillId="0" borderId="0" xfId="0" applyFont="1"/>
    <xf numFmtId="0" fontId="14" fillId="0" borderId="0" xfId="0" applyFont="1"/>
    <xf numFmtId="0" fontId="38" fillId="0" borderId="0" xfId="0" applyFont="1"/>
    <xf numFmtId="3" fontId="39" fillId="0" borderId="16" xfId="11" applyNumberFormat="1" applyFont="1" applyBorder="1" applyAlignment="1">
      <alignment vertical="center"/>
    </xf>
    <xf numFmtId="3" fontId="40" fillId="0" borderId="21" xfId="1" applyNumberFormat="1" applyFont="1" applyBorder="1" applyAlignment="1">
      <alignment horizontal="center"/>
    </xf>
    <xf numFmtId="3" fontId="40" fillId="0" borderId="22" xfId="1" applyNumberFormat="1" applyFont="1" applyBorder="1" applyAlignment="1">
      <alignment horizontal="center"/>
    </xf>
    <xf numFmtId="3" fontId="40" fillId="0" borderId="23" xfId="1" applyNumberFormat="1" applyFont="1" applyBorder="1" applyAlignment="1">
      <alignment horizontal="center"/>
    </xf>
    <xf numFmtId="0" fontId="41" fillId="3" borderId="10" xfId="12" applyFont="1" applyFill="1" applyBorder="1" applyAlignment="1">
      <alignment vertical="center" wrapText="1"/>
    </xf>
    <xf numFmtId="175" fontId="41" fillId="3" borderId="5" xfId="13" applyNumberFormat="1" applyFont="1" applyFill="1" applyBorder="1" applyAlignment="1">
      <alignment horizontal="center" vertical="center" wrapText="1"/>
    </xf>
    <xf numFmtId="175" fontId="11" fillId="3" borderId="5" xfId="13" applyNumberFormat="1" applyFont="1" applyFill="1" applyBorder="1" applyAlignment="1">
      <alignment horizontal="center" vertical="center" wrapText="1"/>
    </xf>
    <xf numFmtId="175" fontId="41" fillId="0" borderId="5" xfId="13" applyNumberFormat="1" applyFont="1" applyFill="1" applyBorder="1" applyAlignment="1">
      <alignment horizontal="center" vertical="center"/>
    </xf>
    <xf numFmtId="168" fontId="41" fillId="0" borderId="5" xfId="1" applyNumberFormat="1" applyFont="1" applyFill="1" applyBorder="1" applyAlignment="1">
      <alignment horizontal="center" vertical="center"/>
    </xf>
    <xf numFmtId="0" fontId="41" fillId="14" borderId="10" xfId="12" applyFont="1" applyFill="1" applyBorder="1"/>
    <xf numFmtId="0" fontId="42" fillId="14" borderId="10" xfId="12" applyFont="1" applyFill="1" applyBorder="1"/>
    <xf numFmtId="175" fontId="41" fillId="14" borderId="5" xfId="13" applyNumberFormat="1" applyFont="1" applyFill="1" applyBorder="1" applyAlignment="1">
      <alignment horizontal="center" vertical="center"/>
    </xf>
    <xf numFmtId="175" fontId="11" fillId="14" borderId="5" xfId="13" applyNumberFormat="1" applyFont="1" applyFill="1" applyBorder="1" applyAlignment="1">
      <alignment horizontal="center" vertical="center"/>
    </xf>
    <xf numFmtId="168" fontId="11" fillId="14" borderId="5" xfId="1" applyNumberFormat="1" applyFont="1" applyFill="1" applyBorder="1" applyAlignment="1">
      <alignment horizontal="center" vertical="center"/>
    </xf>
    <xf numFmtId="43" fontId="38" fillId="0" borderId="0" xfId="0" applyNumberFormat="1" applyFont="1"/>
    <xf numFmtId="175" fontId="38" fillId="0" borderId="0" xfId="0" applyNumberFormat="1" applyFont="1"/>
    <xf numFmtId="168" fontId="38" fillId="0" borderId="0" xfId="0" applyNumberFormat="1" applyFont="1"/>
    <xf numFmtId="0" fontId="26" fillId="0" borderId="0" xfId="14" applyFont="1"/>
    <xf numFmtId="3" fontId="40" fillId="0" borderId="0" xfId="1" applyNumberFormat="1" applyFont="1" applyAlignment="1">
      <alignment horizontal="center"/>
    </xf>
    <xf numFmtId="171" fontId="44" fillId="0" borderId="0" xfId="14" applyNumberFormat="1" applyFont="1"/>
    <xf numFmtId="0" fontId="44" fillId="0" borderId="0" xfId="14" applyFont="1" applyAlignment="1">
      <alignment horizontal="center"/>
    </xf>
    <xf numFmtId="0" fontId="45" fillId="0" borderId="0" xfId="14" applyFont="1"/>
    <xf numFmtId="3" fontId="16" fillId="0" borderId="0" xfId="14" applyNumberFormat="1" applyFont="1" applyAlignment="1">
      <alignment horizontal="center"/>
    </xf>
    <xf numFmtId="165" fontId="40" fillId="0" borderId="0" xfId="1" applyNumberFormat="1" applyFont="1" applyAlignment="1">
      <alignment horizontal="center"/>
    </xf>
    <xf numFmtId="3" fontId="40" fillId="0" borderId="0" xfId="14" applyNumberFormat="1" applyFont="1" applyAlignment="1">
      <alignment horizontal="center"/>
    </xf>
    <xf numFmtId="0" fontId="46" fillId="0" borderId="0" xfId="14" applyFont="1"/>
    <xf numFmtId="0" fontId="47" fillId="25" borderId="24" xfId="15" applyFont="1" applyFill="1" applyBorder="1" applyAlignment="1" applyProtection="1">
      <alignment vertical="center" wrapText="1"/>
    </xf>
    <xf numFmtId="0" fontId="47" fillId="25" borderId="25" xfId="15" applyFont="1" applyFill="1" applyBorder="1" applyAlignment="1" applyProtection="1">
      <alignment vertical="center" wrapText="1"/>
    </xf>
    <xf numFmtId="177" fontId="47" fillId="25" borderId="25" xfId="16" applyNumberFormat="1" applyFont="1" applyFill="1" applyBorder="1" applyAlignment="1">
      <alignment horizontal="center" vertical="center" wrapText="1"/>
    </xf>
    <xf numFmtId="177" fontId="47" fillId="25" borderId="24" xfId="16" applyNumberFormat="1" applyFont="1" applyFill="1" applyBorder="1" applyAlignment="1">
      <alignment horizontal="center" vertical="center" wrapText="1"/>
    </xf>
    <xf numFmtId="0" fontId="48" fillId="14" borderId="5" xfId="17" applyFont="1" applyFill="1" applyBorder="1" applyAlignment="1">
      <alignment horizontal="center" vertical="center" wrapText="1"/>
    </xf>
    <xf numFmtId="168" fontId="16" fillId="0" borderId="25" xfId="1" applyNumberFormat="1" applyFont="1" applyBorder="1" applyAlignment="1">
      <alignment horizontal="right" vertical="center"/>
    </xf>
    <xf numFmtId="168" fontId="16" fillId="0" borderId="26" xfId="1" applyNumberFormat="1" applyFont="1" applyBorder="1" applyAlignment="1">
      <alignment horizontal="right" vertical="center"/>
    </xf>
    <xf numFmtId="168" fontId="16" fillId="0" borderId="5" xfId="1" applyNumberFormat="1" applyFont="1" applyFill="1" applyBorder="1" applyAlignment="1">
      <alignment horizontal="right" vertical="center"/>
    </xf>
    <xf numFmtId="168" fontId="33" fillId="0" borderId="5" xfId="1" applyNumberFormat="1" applyFont="1" applyFill="1" applyBorder="1" applyAlignment="1">
      <alignment horizontal="right" vertical="center"/>
    </xf>
    <xf numFmtId="0" fontId="41" fillId="14" borderId="5" xfId="12" applyFont="1" applyFill="1" applyBorder="1" applyAlignment="1">
      <alignment horizontal="center"/>
    </xf>
    <xf numFmtId="0" fontId="42" fillId="14" borderId="5" xfId="12" applyFont="1" applyFill="1" applyBorder="1" applyAlignment="1">
      <alignment horizontal="center"/>
    </xf>
    <xf numFmtId="168" fontId="16" fillId="25" borderId="5" xfId="1" applyNumberFormat="1" applyFont="1" applyFill="1" applyBorder="1" applyAlignment="1">
      <alignment horizontal="right" vertical="center"/>
    </xf>
    <xf numFmtId="168" fontId="16" fillId="25" borderId="27" xfId="1" applyNumberFormat="1" applyFont="1" applyFill="1" applyBorder="1" applyAlignment="1">
      <alignment horizontal="right" vertical="center"/>
    </xf>
    <xf numFmtId="168" fontId="16" fillId="25" borderId="25" xfId="1" applyNumberFormat="1" applyFont="1" applyFill="1" applyBorder="1" applyAlignment="1">
      <alignment horizontal="right" vertical="center"/>
    </xf>
    <xf numFmtId="168" fontId="33" fillId="14" borderId="5" xfId="1" applyNumberFormat="1" applyFont="1" applyFill="1" applyBorder="1" applyAlignment="1">
      <alignment horizontal="right" vertical="center"/>
    </xf>
    <xf numFmtId="0" fontId="50" fillId="0" borderId="0" xfId="18" applyFont="1" applyProtection="1"/>
    <xf numFmtId="168" fontId="50" fillId="0" borderId="0" xfId="1" applyNumberFormat="1" applyFont="1" applyFill="1" applyAlignment="1" applyProtection="1">
      <alignment horizontal="right"/>
    </xf>
    <xf numFmtId="168" fontId="51" fillId="0" borderId="0" xfId="1" applyNumberFormat="1" applyFont="1" applyFill="1" applyAlignment="1">
      <alignment horizontal="right"/>
    </xf>
    <xf numFmtId="178" fontId="52" fillId="0" borderId="0" xfId="2" applyNumberFormat="1" applyFont="1" applyFill="1" applyAlignment="1" applyProtection="1">
      <alignment horizontal="right"/>
    </xf>
    <xf numFmtId="168" fontId="40" fillId="0" borderId="0" xfId="1" applyNumberFormat="1" applyFont="1" applyAlignment="1">
      <alignment horizontal="right"/>
    </xf>
    <xf numFmtId="0" fontId="26" fillId="0" borderId="0" xfId="14" applyFont="1" applyAlignment="1">
      <alignment horizontal="center"/>
    </xf>
    <xf numFmtId="0" fontId="53" fillId="0" borderId="0" xfId="0" applyFont="1"/>
    <xf numFmtId="0" fontId="38" fillId="0" borderId="0" xfId="0" applyFont="1" applyAlignment="1">
      <alignment horizontal="center"/>
    </xf>
    <xf numFmtId="3" fontId="6" fillId="0" borderId="16" xfId="11" applyNumberFormat="1" applyFont="1" applyBorder="1" applyAlignment="1">
      <alignment vertical="center"/>
    </xf>
    <xf numFmtId="0" fontId="54" fillId="0" borderId="22" xfId="0" applyFont="1" applyBorder="1" applyAlignment="1">
      <alignment horizontal="center"/>
    </xf>
    <xf numFmtId="0" fontId="54" fillId="0" borderId="28" xfId="0" applyFont="1" applyBorder="1" applyAlignment="1">
      <alignment horizontal="center"/>
    </xf>
    <xf numFmtId="179" fontId="54" fillId="0" borderId="28" xfId="0" applyNumberFormat="1" applyFont="1" applyBorder="1" applyAlignment="1">
      <alignment horizontal="center"/>
    </xf>
    <xf numFmtId="3" fontId="55" fillId="13" borderId="28" xfId="1" applyNumberFormat="1" applyFont="1" applyFill="1" applyBorder="1" applyAlignment="1">
      <alignment horizontal="center"/>
    </xf>
    <xf numFmtId="3" fontId="55" fillId="13" borderId="23" xfId="1" applyNumberFormat="1" applyFont="1" applyFill="1" applyBorder="1" applyAlignment="1">
      <alignment horizontal="center"/>
    </xf>
    <xf numFmtId="0" fontId="11" fillId="26" borderId="5" xfId="0" applyFont="1" applyFill="1" applyBorder="1" applyAlignment="1">
      <alignment horizontal="center" vertical="center" wrapText="1"/>
    </xf>
    <xf numFmtId="0" fontId="41" fillId="26" borderId="5" xfId="8" applyFont="1" applyFill="1" applyBorder="1" applyAlignment="1">
      <alignment horizontal="center" vertical="center" wrapText="1"/>
    </xf>
    <xf numFmtId="0" fontId="38" fillId="0" borderId="0" xfId="0" applyFont="1" applyAlignment="1">
      <alignment wrapText="1"/>
    </xf>
    <xf numFmtId="168" fontId="4" fillId="0" borderId="10" xfId="1" applyNumberFormat="1" applyFont="1" applyFill="1" applyBorder="1" applyAlignment="1">
      <alignment vertical="center"/>
    </xf>
    <xf numFmtId="1" fontId="11" fillId="13" borderId="5" xfId="19" applyNumberFormat="1" applyFont="1" applyFill="1" applyBorder="1" applyAlignment="1">
      <alignment horizontal="center" vertical="center"/>
    </xf>
    <xf numFmtId="168" fontId="11" fillId="0" borderId="5" xfId="1" applyNumberFormat="1" applyFont="1" applyFill="1" applyBorder="1" applyAlignment="1">
      <alignment horizontal="center" vertical="center"/>
    </xf>
    <xf numFmtId="0" fontId="41" fillId="3" borderId="10" xfId="12" applyFont="1" applyFill="1" applyBorder="1"/>
    <xf numFmtId="0" fontId="42" fillId="3" borderId="10" xfId="12" applyFont="1" applyFill="1" applyBorder="1" applyAlignment="1">
      <alignment horizontal="center"/>
    </xf>
    <xf numFmtId="1" fontId="56" fillId="3" borderId="5" xfId="19" applyNumberFormat="1" applyFont="1" applyFill="1" applyBorder="1" applyAlignment="1">
      <alignment horizontal="center"/>
    </xf>
    <xf numFmtId="168" fontId="41" fillId="3" borderId="5" xfId="1" applyNumberFormat="1" applyFont="1" applyFill="1" applyBorder="1" applyAlignment="1">
      <alignment horizontal="center"/>
    </xf>
    <xf numFmtId="168" fontId="41" fillId="3" borderId="5" xfId="1" applyNumberFormat="1" applyFont="1" applyFill="1" applyBorder="1"/>
    <xf numFmtId="168" fontId="11" fillId="3" borderId="5" xfId="1" applyNumberFormat="1" applyFont="1" applyFill="1" applyBorder="1"/>
    <xf numFmtId="0" fontId="57" fillId="0" borderId="0" xfId="19" applyFont="1"/>
    <xf numFmtId="168" fontId="38" fillId="0" borderId="0" xfId="0" applyNumberFormat="1" applyFont="1" applyAlignment="1">
      <alignment horizontal="center"/>
    </xf>
    <xf numFmtId="175" fontId="58" fillId="0" borderId="0" xfId="1" applyNumberFormat="1" applyFont="1" applyFill="1" applyBorder="1"/>
    <xf numFmtId="175" fontId="59" fillId="0" borderId="0" xfId="1" applyNumberFormat="1" applyFont="1" applyFill="1" applyBorder="1" applyAlignment="1">
      <alignment vertical="top"/>
    </xf>
    <xf numFmtId="175" fontId="59" fillId="0" borderId="0" xfId="1" applyNumberFormat="1" applyFont="1" applyFill="1" applyBorder="1" applyAlignment="1">
      <alignment vertical="top" wrapText="1"/>
    </xf>
    <xf numFmtId="175" fontId="59" fillId="0" borderId="0" xfId="1" applyNumberFormat="1" applyFont="1" applyFill="1" applyBorder="1" applyAlignment="1" applyProtection="1">
      <alignment vertical="top" wrapText="1"/>
      <protection locked="0"/>
    </xf>
    <xf numFmtId="175" fontId="59" fillId="0" borderId="0" xfId="1" applyNumberFormat="1" applyFont="1" applyFill="1" applyBorder="1" applyAlignment="1" applyProtection="1">
      <alignment horizontal="center" vertical="top" wrapText="1"/>
      <protection locked="0"/>
    </xf>
    <xf numFmtId="175" fontId="57" fillId="0" borderId="0" xfId="1" applyNumberFormat="1" applyFont="1" applyFill="1" applyBorder="1" applyAlignment="1" applyProtection="1">
      <alignment vertical="top" wrapText="1"/>
      <protection locked="0"/>
    </xf>
    <xf numFmtId="175" fontId="57" fillId="0" borderId="0" xfId="1" applyNumberFormat="1" applyFont="1" applyFill="1" applyBorder="1" applyAlignment="1">
      <alignment horizontal="left" vertical="top" wrapText="1"/>
    </xf>
    <xf numFmtId="180" fontId="60" fillId="0" borderId="0" xfId="0" applyNumberFormat="1" applyFont="1" applyAlignment="1">
      <alignment horizontal="left" wrapText="1"/>
    </xf>
    <xf numFmtId="180" fontId="60" fillId="0" borderId="0" xfId="0" applyNumberFormat="1" applyFont="1" applyAlignment="1">
      <alignment wrapText="1"/>
    </xf>
    <xf numFmtId="180" fontId="61" fillId="0" borderId="0" xfId="0" applyNumberFormat="1" applyFont="1" applyAlignment="1">
      <alignment horizontal="left" wrapText="1"/>
    </xf>
    <xf numFmtId="180" fontId="61" fillId="0" borderId="0" xfId="0" applyNumberFormat="1" applyFont="1" applyAlignment="1">
      <alignment wrapText="1"/>
    </xf>
    <xf numFmtId="180" fontId="62" fillId="0" borderId="0" xfId="0" applyNumberFormat="1" applyFont="1" applyAlignment="1">
      <alignment horizontal="left" wrapText="1"/>
    </xf>
    <xf numFmtId="180" fontId="62" fillId="0" borderId="0" xfId="0" applyNumberFormat="1" applyFont="1" applyAlignment="1">
      <alignment wrapText="1"/>
    </xf>
    <xf numFmtId="180" fontId="63" fillId="0" borderId="0" xfId="0" applyNumberFormat="1" applyFont="1" applyAlignment="1">
      <alignment horizontal="left" wrapText="1"/>
    </xf>
    <xf numFmtId="180" fontId="63" fillId="0" borderId="0" xfId="0" applyNumberFormat="1" applyFont="1" applyAlignment="1">
      <alignment wrapText="1"/>
    </xf>
    <xf numFmtId="0" fontId="63" fillId="0" borderId="0" xfId="0" applyFont="1" applyAlignment="1">
      <alignment horizontal="left" wrapText="1"/>
    </xf>
    <xf numFmtId="1" fontId="63" fillId="0" borderId="0" xfId="0" applyNumberFormat="1" applyFont="1" applyAlignment="1">
      <alignment horizontal="center" wrapText="1"/>
    </xf>
    <xf numFmtId="180" fontId="60" fillId="0" borderId="0" xfId="0" applyNumberFormat="1" applyFont="1" applyAlignment="1">
      <alignment horizontal="center" wrapText="1"/>
    </xf>
    <xf numFmtId="175" fontId="64" fillId="0" borderId="0" xfId="1" applyNumberFormat="1" applyFont="1" applyFill="1" applyBorder="1" applyAlignment="1" applyProtection="1">
      <alignment vertical="top"/>
      <protection locked="0"/>
    </xf>
    <xf numFmtId="175" fontId="64" fillId="0" borderId="0" xfId="1" applyNumberFormat="1" applyFont="1" applyFill="1" applyBorder="1" applyAlignment="1" applyProtection="1">
      <alignment vertical="top" wrapText="1"/>
      <protection locked="0"/>
    </xf>
    <xf numFmtId="175" fontId="53" fillId="0" borderId="0" xfId="1" applyNumberFormat="1" applyFont="1" applyFill="1" applyBorder="1"/>
    <xf numFmtId="175" fontId="65" fillId="0" borderId="0" xfId="1" applyNumberFormat="1" applyFont="1" applyFill="1" applyBorder="1"/>
    <xf numFmtId="175" fontId="64" fillId="0" borderId="0" xfId="1" applyNumberFormat="1" applyFont="1" applyFill="1" applyBorder="1" applyAlignment="1">
      <alignment vertical="top"/>
    </xf>
    <xf numFmtId="3" fontId="55" fillId="13" borderId="22" xfId="1" applyNumberFormat="1" applyFont="1" applyFill="1" applyBorder="1" applyAlignment="1">
      <alignment horizontal="center"/>
    </xf>
    <xf numFmtId="3" fontId="66" fillId="13" borderId="28" xfId="1" applyNumberFormat="1" applyFont="1" applyFill="1" applyBorder="1" applyAlignment="1">
      <alignment horizontal="center"/>
    </xf>
    <xf numFmtId="3" fontId="66" fillId="0" borderId="23" xfId="1" applyNumberFormat="1" applyFont="1" applyFill="1" applyBorder="1" applyAlignment="1">
      <alignment horizontal="center"/>
    </xf>
    <xf numFmtId="3" fontId="35" fillId="13" borderId="0" xfId="1" applyNumberFormat="1" applyFont="1" applyFill="1" applyBorder="1" applyAlignment="1">
      <alignment horizontal="center"/>
    </xf>
    <xf numFmtId="0" fontId="67" fillId="0" borderId="0" xfId="0" applyFont="1"/>
    <xf numFmtId="3" fontId="54" fillId="0" borderId="28" xfId="0" applyNumberFormat="1" applyFont="1" applyBorder="1" applyAlignment="1">
      <alignment horizontal="center"/>
    </xf>
    <xf numFmtId="3" fontId="55" fillId="13" borderId="16" xfId="1" applyNumberFormat="1" applyFont="1" applyFill="1" applyBorder="1" applyAlignment="1">
      <alignment horizontal="center"/>
    </xf>
    <xf numFmtId="0" fontId="68" fillId="0" borderId="0" xfId="0" applyFont="1" applyAlignment="1">
      <alignment horizontal="center"/>
    </xf>
    <xf numFmtId="0" fontId="55" fillId="0" borderId="0" xfId="0" applyFont="1" applyAlignment="1">
      <alignment horizontal="center"/>
    </xf>
    <xf numFmtId="0" fontId="66" fillId="0" borderId="22" xfId="0" applyFont="1" applyBorder="1" applyAlignment="1">
      <alignment horizontal="center"/>
    </xf>
    <xf numFmtId="0" fontId="66" fillId="0" borderId="28" xfId="0" applyFont="1" applyBorder="1" applyAlignment="1">
      <alignment horizontal="center"/>
    </xf>
    <xf numFmtId="3" fontId="66" fillId="13" borderId="23" xfId="1" applyNumberFormat="1" applyFont="1" applyFill="1" applyBorder="1" applyAlignment="1">
      <alignment horizontal="center"/>
    </xf>
    <xf numFmtId="168" fontId="11" fillId="13" borderId="5" xfId="1" applyNumberFormat="1" applyFont="1" applyFill="1" applyBorder="1" applyAlignment="1">
      <alignment horizontal="center" vertical="center"/>
    </xf>
    <xf numFmtId="0" fontId="69" fillId="0" borderId="0" xfId="14" applyFont="1"/>
    <xf numFmtId="165" fontId="40" fillId="0" borderId="29" xfId="1" applyNumberFormat="1" applyFont="1" applyBorder="1" applyAlignment="1">
      <alignment horizontal="center"/>
    </xf>
    <xf numFmtId="3" fontId="70" fillId="0" borderId="30" xfId="1" applyNumberFormat="1" applyFont="1" applyBorder="1" applyAlignment="1">
      <alignment horizontal="center"/>
    </xf>
    <xf numFmtId="3" fontId="70" fillId="0" borderId="31" xfId="1" applyNumberFormat="1" applyFont="1" applyBorder="1" applyAlignment="1">
      <alignment horizontal="center"/>
    </xf>
    <xf numFmtId="177" fontId="47" fillId="25" borderId="32" xfId="16" applyNumberFormat="1" applyFont="1" applyFill="1" applyBorder="1" applyAlignment="1">
      <alignment horizontal="center" vertical="center" wrapText="1"/>
    </xf>
    <xf numFmtId="177" fontId="47" fillId="25" borderId="33" xfId="16" applyNumberFormat="1" applyFont="1" applyFill="1" applyBorder="1" applyAlignment="1">
      <alignment horizontal="center" vertical="center" wrapText="1"/>
    </xf>
    <xf numFmtId="168" fontId="16" fillId="13" borderId="26" xfId="1" applyNumberFormat="1" applyFont="1" applyFill="1" applyBorder="1" applyAlignment="1">
      <alignment horizontal="right" vertical="center"/>
    </xf>
    <xf numFmtId="168" fontId="16" fillId="13" borderId="5" xfId="1" applyNumberFormat="1" applyFont="1" applyFill="1" applyBorder="1" applyAlignment="1">
      <alignment horizontal="right" vertical="center"/>
    </xf>
    <xf numFmtId="168" fontId="33" fillId="13" borderId="5" xfId="1" applyNumberFormat="1" applyFont="1" applyFill="1" applyBorder="1" applyAlignment="1">
      <alignment horizontal="right" vertical="center"/>
    </xf>
    <xf numFmtId="168" fontId="16" fillId="25" borderId="0" xfId="1" applyNumberFormat="1" applyFont="1" applyFill="1" applyBorder="1" applyAlignment="1">
      <alignment horizontal="right" vertical="center"/>
    </xf>
    <xf numFmtId="0" fontId="71" fillId="16" borderId="0" xfId="8" applyFont="1" applyFill="1" applyAlignment="1">
      <alignment horizontal="right" vertical="center"/>
    </xf>
    <xf numFmtId="0" fontId="72" fillId="17" borderId="5" xfId="8" applyFont="1" applyFill="1" applyBorder="1" applyAlignment="1">
      <alignment horizontal="center" vertical="center"/>
    </xf>
    <xf numFmtId="0" fontId="73" fillId="0" borderId="0" xfId="20" applyFont="1"/>
    <xf numFmtId="0" fontId="74" fillId="16" borderId="0" xfId="8" applyFont="1" applyFill="1" applyAlignment="1">
      <alignment horizontal="right" vertical="center"/>
    </xf>
    <xf numFmtId="0" fontId="39" fillId="0" borderId="16" xfId="20" applyFont="1" applyBorder="1" applyAlignment="1">
      <alignment horizontal="left" vertical="center"/>
    </xf>
    <xf numFmtId="0" fontId="8" fillId="12" borderId="5" xfId="20" applyFont="1" applyFill="1" applyBorder="1" applyAlignment="1">
      <alignment horizontal="center" vertical="center"/>
    </xf>
    <xf numFmtId="0" fontId="8" fillId="27" borderId="5" xfId="20" applyFont="1" applyFill="1" applyBorder="1"/>
    <xf numFmtId="168" fontId="8" fillId="27" borderId="10" xfId="1" applyNumberFormat="1" applyFont="1" applyFill="1" applyBorder="1"/>
    <xf numFmtId="3" fontId="75" fillId="0" borderId="0" xfId="20" applyNumberFormat="1" applyFont="1"/>
    <xf numFmtId="0" fontId="76" fillId="27" borderId="5" xfId="20" applyFont="1" applyFill="1" applyBorder="1"/>
    <xf numFmtId="168" fontId="76" fillId="27" borderId="10" xfId="1" applyNumberFormat="1" applyFont="1" applyFill="1" applyBorder="1" applyAlignment="1">
      <alignment horizontal="right"/>
    </xf>
    <xf numFmtId="43" fontId="73" fillId="0" borderId="0" xfId="20" applyNumberFormat="1" applyFont="1"/>
    <xf numFmtId="168" fontId="76" fillId="27" borderId="10" xfId="1" applyNumberFormat="1" applyFont="1" applyFill="1" applyBorder="1"/>
    <xf numFmtId="0" fontId="8" fillId="12" borderId="5" xfId="20" applyFont="1" applyFill="1" applyBorder="1"/>
    <xf numFmtId="168" fontId="8" fillId="12" borderId="5" xfId="1" applyNumberFormat="1" applyFont="1" applyFill="1" applyBorder="1"/>
    <xf numFmtId="168" fontId="73" fillId="0" borderId="0" xfId="1" applyNumberFormat="1" applyFont="1"/>
    <xf numFmtId="0" fontId="8" fillId="28" borderId="5" xfId="20" applyFont="1" applyFill="1" applyBorder="1"/>
    <xf numFmtId="168" fontId="8" fillId="28" borderId="5" xfId="1" applyNumberFormat="1" applyFont="1" applyFill="1" applyBorder="1"/>
    <xf numFmtId="0" fontId="15" fillId="0" borderId="5" xfId="8" applyFont="1" applyBorder="1" applyAlignment="1" applyProtection="1">
      <alignment vertical="center"/>
      <protection locked="0"/>
    </xf>
    <xf numFmtId="175" fontId="30" fillId="21" borderId="5" xfId="10" applyNumberFormat="1" applyFont="1" applyFill="1" applyBorder="1" applyAlignment="1" applyProtection="1">
      <alignment horizontal="left" vertical="center" wrapText="1"/>
      <protection locked="0"/>
    </xf>
    <xf numFmtId="0" fontId="15" fillId="0" borderId="10" xfId="8" applyFont="1" applyBorder="1" applyAlignment="1" applyProtection="1">
      <alignment horizontal="center" vertical="center"/>
      <protection locked="0"/>
    </xf>
    <xf numFmtId="0" fontId="15" fillId="0" borderId="10" xfId="8" applyFont="1" applyBorder="1" applyAlignment="1" applyProtection="1">
      <alignment vertical="center"/>
      <protection locked="0"/>
    </xf>
    <xf numFmtId="0" fontId="31" fillId="16" borderId="0" xfId="8" applyFont="1" applyFill="1"/>
    <xf numFmtId="0" fontId="31" fillId="16" borderId="0" xfId="8" applyFont="1" applyFill="1" applyAlignment="1">
      <alignment horizontal="center"/>
    </xf>
    <xf numFmtId="168" fontId="31" fillId="16" borderId="0" xfId="8" applyNumberFormat="1" applyFont="1" applyFill="1" applyAlignment="1">
      <alignment horizontal="center"/>
    </xf>
    <xf numFmtId="175" fontId="30" fillId="22" borderId="5" xfId="10" applyNumberFormat="1" applyFont="1" applyFill="1" applyBorder="1" applyAlignment="1" applyProtection="1">
      <alignment horizontal="right"/>
    </xf>
    <xf numFmtId="0" fontId="36" fillId="16" borderId="0" xfId="8" applyFont="1" applyFill="1"/>
    <xf numFmtId="175" fontId="41" fillId="0" borderId="5" xfId="13" applyNumberFormat="1" applyFont="1" applyFill="1" applyBorder="1" applyAlignment="1" applyProtection="1">
      <alignment horizontal="center" vertical="center"/>
    </xf>
    <xf numFmtId="175" fontId="41" fillId="0" borderId="5" xfId="13" applyNumberFormat="1" applyFont="1" applyBorder="1" applyAlignment="1" applyProtection="1">
      <alignment horizontal="center" vertical="center"/>
    </xf>
    <xf numFmtId="168" fontId="41" fillId="0" borderId="5" xfId="1" applyNumberFormat="1" applyFont="1" applyFill="1" applyBorder="1" applyAlignment="1" applyProtection="1">
      <alignment horizontal="center" vertical="center"/>
    </xf>
    <xf numFmtId="168" fontId="41" fillId="13" borderId="5" xfId="1" applyNumberFormat="1" applyFont="1" applyFill="1" applyBorder="1" applyAlignment="1" applyProtection="1">
      <alignment horizontal="center" vertical="center"/>
    </xf>
    <xf numFmtId="3" fontId="41" fillId="0" borderId="5" xfId="1" applyNumberFormat="1" applyFont="1" applyFill="1" applyBorder="1" applyAlignment="1" applyProtection="1">
      <alignment horizontal="center" vertical="center"/>
    </xf>
    <xf numFmtId="168" fontId="11" fillId="0" borderId="5" xfId="1" applyNumberFormat="1" applyFont="1" applyFill="1" applyBorder="1" applyAlignment="1" applyProtection="1">
      <alignment horizontal="center" vertical="center"/>
    </xf>
    <xf numFmtId="0" fontId="0" fillId="0" borderId="0" xfId="0" applyProtection="1">
      <protection locked="0"/>
    </xf>
    <xf numFmtId="0" fontId="0" fillId="0" borderId="35" xfId="0" applyBorder="1" applyProtection="1">
      <protection locked="0"/>
    </xf>
    <xf numFmtId="0" fontId="0" fillId="0" borderId="36" xfId="0" applyBorder="1" applyProtection="1">
      <protection locked="0"/>
    </xf>
    <xf numFmtId="0" fontId="4" fillId="11" borderId="34" xfId="0" applyFont="1" applyFill="1" applyBorder="1"/>
    <xf numFmtId="0" fontId="21" fillId="0" borderId="0" xfId="4" applyFont="1" applyProtection="1">
      <protection locked="0"/>
    </xf>
    <xf numFmtId="0" fontId="1" fillId="0" borderId="0" xfId="4" applyFont="1" applyProtection="1">
      <protection locked="0"/>
    </xf>
    <xf numFmtId="0" fontId="22" fillId="0" borderId="0" xfId="4" applyFont="1" applyProtection="1">
      <protection locked="0"/>
    </xf>
    <xf numFmtId="0" fontId="23" fillId="0" borderId="0" xfId="4" applyFont="1" applyProtection="1">
      <protection locked="0"/>
    </xf>
    <xf numFmtId="0" fontId="25" fillId="13" borderId="5" xfId="5" applyFont="1" applyFill="1" applyBorder="1" applyAlignment="1" applyProtection="1">
      <alignment vertical="top"/>
      <protection locked="0"/>
    </xf>
    <xf numFmtId="4" fontId="27" fillId="14" borderId="5" xfId="5" applyNumberFormat="1" applyFont="1" applyFill="1" applyBorder="1" applyAlignment="1" applyProtection="1">
      <alignment vertical="top" wrapText="1"/>
      <protection locked="0"/>
    </xf>
    <xf numFmtId="0" fontId="1" fillId="0" borderId="0" xfId="4" applyFont="1" applyAlignment="1" applyProtection="1">
      <alignment vertical="center"/>
      <protection locked="0"/>
    </xf>
    <xf numFmtId="4" fontId="28" fillId="14" borderId="5" xfId="5" applyNumberFormat="1" applyFont="1" applyFill="1" applyBorder="1" applyAlignment="1" applyProtection="1">
      <alignment vertical="top" wrapText="1"/>
      <protection locked="0"/>
    </xf>
    <xf numFmtId="4" fontId="25" fillId="14" borderId="5" xfId="5" applyNumberFormat="1" applyFont="1" applyFill="1" applyBorder="1" applyAlignment="1" applyProtection="1">
      <alignment vertical="top" wrapText="1"/>
      <protection locked="0"/>
    </xf>
    <xf numFmtId="3" fontId="25" fillId="14" borderId="5" xfId="5" applyNumberFormat="1" applyFont="1" applyFill="1" applyBorder="1" applyAlignment="1" applyProtection="1">
      <alignment vertical="top" wrapText="1"/>
      <protection locked="0"/>
    </xf>
    <xf numFmtId="165" fontId="25" fillId="14" borderId="5" xfId="5" applyNumberFormat="1" applyFont="1" applyFill="1" applyBorder="1" applyAlignment="1" applyProtection="1">
      <alignment horizontal="right" vertical="top" wrapText="1"/>
      <protection locked="0"/>
    </xf>
    <xf numFmtId="0" fontId="25" fillId="0" borderId="5" xfId="4" applyFont="1" applyBorder="1" applyProtection="1">
      <protection locked="0"/>
    </xf>
    <xf numFmtId="4" fontId="28" fillId="13" borderId="5" xfId="5" applyNumberFormat="1" applyFont="1" applyFill="1" applyBorder="1" applyAlignment="1" applyProtection="1">
      <alignment vertical="top" wrapText="1"/>
      <protection locked="0"/>
    </xf>
    <xf numFmtId="0" fontId="25" fillId="13" borderId="0" xfId="6" applyFont="1" applyFill="1" applyAlignment="1" applyProtection="1">
      <alignment horizontal="center"/>
      <protection locked="0"/>
    </xf>
    <xf numFmtId="0" fontId="1" fillId="13" borderId="0" xfId="4" applyFont="1" applyFill="1" applyProtection="1">
      <protection locked="0"/>
    </xf>
    <xf numFmtId="166" fontId="28" fillId="13" borderId="5" xfId="5" applyNumberFormat="1" applyFont="1" applyFill="1" applyBorder="1" applyAlignment="1" applyProtection="1">
      <alignment horizontal="right" vertical="top" wrapText="1"/>
      <protection locked="0"/>
    </xf>
    <xf numFmtId="4" fontId="28" fillId="13" borderId="5" xfId="7" applyNumberFormat="1" applyFont="1" applyFill="1" applyBorder="1" applyAlignment="1" applyProtection="1">
      <alignment vertical="top" wrapText="1"/>
      <protection locked="0"/>
    </xf>
    <xf numFmtId="0" fontId="1" fillId="15" borderId="0" xfId="4" applyFont="1" applyFill="1" applyProtection="1">
      <protection locked="0"/>
    </xf>
    <xf numFmtId="0" fontId="25" fillId="13" borderId="0" xfId="4" applyFont="1" applyFill="1" applyProtection="1">
      <protection locked="0"/>
    </xf>
    <xf numFmtId="0" fontId="25" fillId="0" borderId="0" xfId="4" applyFont="1" applyProtection="1">
      <protection locked="0"/>
    </xf>
    <xf numFmtId="0" fontId="22" fillId="12" borderId="5" xfId="4" applyFont="1" applyFill="1" applyBorder="1" applyAlignment="1">
      <alignment horizontal="center"/>
    </xf>
    <xf numFmtId="0" fontId="26" fillId="14" borderId="11" xfId="4" applyFont="1" applyFill="1" applyBorder="1" applyAlignment="1">
      <alignment vertical="top" wrapText="1"/>
    </xf>
    <xf numFmtId="0" fontId="29" fillId="14" borderId="5" xfId="4" applyFont="1" applyFill="1" applyBorder="1" applyAlignment="1">
      <alignment vertical="top" wrapText="1"/>
    </xf>
    <xf numFmtId="0" fontId="29" fillId="14" borderId="11" xfId="4" applyFont="1" applyFill="1" applyBorder="1" applyAlignment="1">
      <alignment vertical="top" wrapText="1"/>
    </xf>
    <xf numFmtId="0" fontId="26" fillId="13" borderId="11" xfId="4" applyFont="1" applyFill="1" applyBorder="1" applyAlignment="1">
      <alignment vertical="top" wrapText="1"/>
    </xf>
    <xf numFmtId="0" fontId="26" fillId="13" borderId="5" xfId="4" applyFont="1" applyFill="1" applyBorder="1" applyAlignment="1">
      <alignment vertical="top" wrapText="1"/>
    </xf>
    <xf numFmtId="0" fontId="25" fillId="13" borderId="5" xfId="4" applyFont="1" applyFill="1" applyBorder="1" applyAlignment="1">
      <alignment vertical="top" wrapText="1"/>
    </xf>
    <xf numFmtId="0" fontId="25" fillId="0" borderId="5" xfId="5" applyFont="1" applyBorder="1" applyAlignment="1">
      <alignment vertical="top" wrapText="1"/>
    </xf>
    <xf numFmtId="0" fontId="13" fillId="0" borderId="6" xfId="3" applyFont="1" applyBorder="1" applyAlignment="1">
      <alignment horizontal="left"/>
    </xf>
    <xf numFmtId="0" fontId="0" fillId="13" borderId="0" xfId="0" applyFill="1" applyProtection="1">
      <protection locked="0"/>
    </xf>
    <xf numFmtId="1" fontId="7" fillId="0" borderId="5" xfId="0" applyNumberFormat="1" applyFont="1" applyBorder="1" applyAlignment="1">
      <alignment horizontal="left"/>
    </xf>
    <xf numFmtId="0" fontId="0" fillId="0" borderId="8" xfId="0" applyBorder="1" applyAlignment="1">
      <alignment horizontal="left" vertical="top"/>
    </xf>
    <xf numFmtId="0" fontId="12" fillId="0" borderId="5" xfId="3" applyBorder="1" applyAlignment="1">
      <alignment horizontal="left"/>
    </xf>
    <xf numFmtId="0" fontId="17" fillId="18" borderId="1" xfId="8" applyFont="1" applyFill="1" applyBorder="1"/>
    <xf numFmtId="0" fontId="17" fillId="18" borderId="4" xfId="8" applyFont="1" applyFill="1" applyBorder="1"/>
    <xf numFmtId="0" fontId="17" fillId="18" borderId="5" xfId="8" applyFont="1" applyFill="1" applyBorder="1"/>
    <xf numFmtId="0" fontId="17" fillId="18" borderId="5" xfId="8" applyFont="1" applyFill="1" applyBorder="1" applyAlignment="1">
      <alignment horizontal="left"/>
    </xf>
    <xf numFmtId="0" fontId="17" fillId="16" borderId="12" xfId="8" applyFont="1" applyFill="1" applyBorder="1"/>
    <xf numFmtId="0" fontId="15" fillId="22" borderId="5" xfId="8" applyFont="1" applyFill="1" applyBorder="1" applyAlignment="1">
      <alignment horizontal="center" vertical="center"/>
    </xf>
    <xf numFmtId="0" fontId="15" fillId="22" borderId="10" xfId="8" applyFont="1" applyFill="1" applyBorder="1" applyAlignment="1">
      <alignment horizontal="center" vertical="center"/>
    </xf>
    <xf numFmtId="168" fontId="18" fillId="13" borderId="5" xfId="1" applyNumberFormat="1" applyFont="1" applyFill="1" applyBorder="1" applyAlignment="1" applyProtection="1">
      <alignment vertical="center"/>
      <protection locked="0"/>
    </xf>
    <xf numFmtId="0" fontId="15" fillId="0" borderId="0" xfId="8" applyFont="1" applyAlignment="1" applyProtection="1">
      <alignment vertical="center"/>
      <protection locked="0"/>
    </xf>
    <xf numFmtId="181" fontId="18" fillId="0" borderId="5" xfId="2" applyNumberFormat="1" applyFont="1" applyBorder="1" applyAlignment="1" applyProtection="1">
      <alignment horizontal="center"/>
      <protection locked="0"/>
    </xf>
    <xf numFmtId="181" fontId="19" fillId="0" borderId="5" xfId="2" applyNumberFormat="1" applyFont="1" applyBorder="1" applyAlignment="1" applyProtection="1">
      <alignment horizontal="center"/>
      <protection locked="0"/>
    </xf>
    <xf numFmtId="181" fontId="18" fillId="30" borderId="5" xfId="2" applyNumberFormat="1" applyFont="1" applyFill="1" applyBorder="1" applyAlignment="1" applyProtection="1">
      <alignment horizontal="center"/>
      <protection locked="0"/>
    </xf>
    <xf numFmtId="181" fontId="18" fillId="13" borderId="5" xfId="2" applyNumberFormat="1" applyFont="1" applyFill="1" applyBorder="1" applyAlignment="1" applyProtection="1">
      <alignment horizontal="center"/>
      <protection locked="0"/>
    </xf>
    <xf numFmtId="181" fontId="18" fillId="0" borderId="5" xfId="2" quotePrefix="1" applyNumberFormat="1" applyFont="1" applyBorder="1" applyAlignment="1" applyProtection="1">
      <alignment horizontal="center"/>
      <protection locked="0"/>
    </xf>
    <xf numFmtId="181" fontId="19" fillId="0" borderId="5" xfId="2" quotePrefix="1" applyNumberFormat="1" applyFont="1" applyBorder="1" applyAlignment="1" applyProtection="1">
      <alignment horizontal="center"/>
      <protection locked="0"/>
    </xf>
    <xf numFmtId="181" fontId="18" fillId="30" borderId="5" xfId="2" quotePrefix="1" applyNumberFormat="1" applyFont="1" applyFill="1" applyBorder="1" applyAlignment="1" applyProtection="1">
      <alignment horizontal="center"/>
      <protection locked="0"/>
    </xf>
    <xf numFmtId="181" fontId="18" fillId="13" borderId="5" xfId="2" quotePrefix="1" applyNumberFormat="1" applyFont="1" applyFill="1" applyBorder="1" applyAlignment="1" applyProtection="1">
      <alignment horizontal="center"/>
      <protection locked="0"/>
    </xf>
    <xf numFmtId="181" fontId="30" fillId="0" borderId="5" xfId="2" applyNumberFormat="1" applyFont="1" applyBorder="1" applyAlignment="1" applyProtection="1">
      <alignment horizontal="center"/>
      <protection locked="0"/>
    </xf>
    <xf numFmtId="181" fontId="30" fillId="0" borderId="5" xfId="2" quotePrefix="1" applyNumberFormat="1" applyFont="1" applyBorder="1" applyAlignment="1" applyProtection="1">
      <alignment horizontal="center"/>
      <protection locked="0"/>
    </xf>
    <xf numFmtId="181" fontId="30" fillId="0" borderId="5" xfId="2" applyNumberFormat="1" applyFont="1" applyBorder="1" applyAlignment="1" applyProtection="1">
      <alignment horizontal="center" wrapText="1"/>
      <protection locked="0"/>
    </xf>
    <xf numFmtId="181" fontId="30" fillId="0" borderId="5" xfId="2" quotePrefix="1" applyNumberFormat="1" applyFont="1" applyBorder="1" applyAlignment="1" applyProtection="1">
      <alignment horizontal="center" wrapText="1"/>
      <protection locked="0"/>
    </xf>
    <xf numFmtId="0" fontId="18" fillId="0" borderId="5" xfId="0" applyFont="1" applyBorder="1" applyAlignment="1" applyProtection="1">
      <alignment horizontal="center" vertical="center"/>
      <protection locked="0"/>
    </xf>
    <xf numFmtId="181" fontId="30" fillId="30" borderId="5" xfId="2" applyNumberFormat="1" applyFont="1" applyFill="1" applyBorder="1" applyAlignment="1" applyProtection="1">
      <alignment horizontal="center"/>
      <protection locked="0"/>
    </xf>
    <xf numFmtId="181" fontId="30" fillId="30" borderId="5" xfId="2" quotePrefix="1" applyNumberFormat="1" applyFont="1" applyFill="1" applyBorder="1" applyAlignment="1" applyProtection="1">
      <alignment horizontal="center"/>
      <protection locked="0"/>
    </xf>
    <xf numFmtId="0" fontId="18" fillId="0" borderId="5" xfId="0" quotePrefix="1" applyFont="1" applyBorder="1" applyAlignment="1" applyProtection="1">
      <alignment horizontal="center"/>
      <protection locked="0"/>
    </xf>
    <xf numFmtId="182" fontId="18" fillId="0" borderId="5" xfId="0" quotePrefix="1" applyNumberFormat="1" applyFont="1" applyBorder="1" applyAlignment="1" applyProtection="1">
      <alignment horizontal="center"/>
      <protection locked="0"/>
    </xf>
    <xf numFmtId="181" fontId="18" fillId="0" borderId="5" xfId="0" applyNumberFormat="1" applyFont="1" applyBorder="1" applyAlignment="1" applyProtection="1">
      <alignment horizontal="center"/>
      <protection locked="0"/>
    </xf>
    <xf numFmtId="0" fontId="81" fillId="13" borderId="5" xfId="0" applyFont="1" applyFill="1" applyBorder="1" applyAlignment="1" applyProtection="1">
      <alignment wrapText="1"/>
      <protection locked="0"/>
    </xf>
    <xf numFmtId="181" fontId="18" fillId="31" borderId="5" xfId="2" applyNumberFormat="1" applyFont="1" applyFill="1" applyBorder="1" applyAlignment="1" applyProtection="1">
      <alignment horizontal="center"/>
      <protection locked="0"/>
    </xf>
    <xf numFmtId="0" fontId="19" fillId="0" borderId="5" xfId="0" applyFont="1" applyBorder="1" applyAlignment="1" applyProtection="1">
      <alignment wrapText="1"/>
      <protection locked="0"/>
    </xf>
    <xf numFmtId="0" fontId="18" fillId="0" borderId="5" xfId="0" applyFont="1" applyBorder="1" applyAlignment="1" applyProtection="1">
      <alignment horizontal="center"/>
      <protection locked="0"/>
    </xf>
    <xf numFmtId="181" fontId="18" fillId="30" borderId="5" xfId="2" applyNumberFormat="1" applyFont="1" applyFill="1" applyBorder="1" applyAlignment="1" applyProtection="1">
      <alignment horizontal="center" vertical="center"/>
      <protection locked="0"/>
    </xf>
    <xf numFmtId="175" fontId="30" fillId="0" borderId="5" xfId="10" applyNumberFormat="1" applyFont="1" applyFill="1" applyBorder="1" applyAlignment="1" applyProtection="1">
      <alignment horizontal="center" vertical="center"/>
      <protection locked="0"/>
    </xf>
    <xf numFmtId="181" fontId="18" fillId="0" borderId="11" xfId="2" applyNumberFormat="1" applyFont="1" applyBorder="1" applyAlignment="1" applyProtection="1">
      <alignment horizontal="center"/>
      <protection locked="0"/>
    </xf>
    <xf numFmtId="0" fontId="19" fillId="0" borderId="5" xfId="0" applyFont="1" applyBorder="1" applyProtection="1">
      <protection locked="0"/>
    </xf>
    <xf numFmtId="0" fontId="19" fillId="0" borderId="10" xfId="0" applyFont="1" applyBorder="1" applyProtection="1">
      <protection locked="0"/>
    </xf>
    <xf numFmtId="0" fontId="19" fillId="0" borderId="10" xfId="0" applyFont="1" applyBorder="1" applyAlignment="1" applyProtection="1">
      <alignment wrapText="1"/>
      <protection locked="0"/>
    </xf>
    <xf numFmtId="0" fontId="15" fillId="0" borderId="12" xfId="8" applyFont="1" applyBorder="1" applyAlignment="1" applyProtection="1">
      <alignment vertical="center"/>
      <protection locked="0"/>
    </xf>
    <xf numFmtId="0" fontId="15" fillId="0" borderId="14" xfId="8" applyFont="1" applyBorder="1" applyAlignment="1" applyProtection="1">
      <alignment vertical="center"/>
      <protection locked="0"/>
    </xf>
    <xf numFmtId="0" fontId="15" fillId="0" borderId="15" xfId="8" applyFont="1" applyBorder="1" applyAlignment="1" applyProtection="1">
      <alignment vertical="center"/>
      <protection locked="0"/>
    </xf>
    <xf numFmtId="181" fontId="18" fillId="0" borderId="0" xfId="2" applyNumberFormat="1" applyFont="1" applyBorder="1" applyAlignment="1" applyProtection="1">
      <alignment horizontal="center"/>
      <protection locked="0"/>
    </xf>
    <xf numFmtId="181" fontId="18" fillId="30" borderId="0" xfId="2" quotePrefix="1" applyNumberFormat="1" applyFont="1" applyFill="1" applyBorder="1" applyAlignment="1" applyProtection="1">
      <alignment horizontal="center"/>
      <protection locked="0"/>
    </xf>
    <xf numFmtId="0" fontId="15" fillId="0" borderId="14" xfId="8" applyFont="1" applyBorder="1" applyAlignment="1" applyProtection="1">
      <alignment horizontal="left" vertical="center"/>
      <protection locked="0"/>
    </xf>
    <xf numFmtId="0" fontId="15" fillId="0" borderId="15" xfId="8" applyFont="1" applyBorder="1" applyAlignment="1" applyProtection="1">
      <alignment horizontal="left" vertical="center"/>
      <protection locked="0"/>
    </xf>
    <xf numFmtId="0" fontId="15" fillId="0" borderId="40" xfId="8" applyFont="1" applyBorder="1" applyAlignment="1" applyProtection="1">
      <alignment horizontal="left" vertical="center"/>
      <protection locked="0"/>
    </xf>
    <xf numFmtId="0" fontId="15" fillId="0" borderId="15" xfId="8" applyFont="1" applyBorder="1" applyAlignment="1" applyProtection="1">
      <alignment horizontal="center" vertical="center"/>
      <protection locked="0"/>
    </xf>
    <xf numFmtId="0" fontId="15" fillId="0" borderId="14" xfId="8" applyFont="1" applyBorder="1" applyAlignment="1" applyProtection="1">
      <alignment horizontal="center" vertical="center"/>
      <protection locked="0"/>
    </xf>
    <xf numFmtId="0" fontId="15" fillId="0" borderId="39" xfId="8" applyFont="1" applyBorder="1" applyAlignment="1" applyProtection="1">
      <alignment horizontal="center" vertical="center"/>
      <protection locked="0"/>
    </xf>
    <xf numFmtId="0" fontId="15" fillId="0" borderId="5" xfId="8" applyFont="1" applyBorder="1" applyAlignment="1" applyProtection="1">
      <alignment horizontal="center" vertical="center"/>
      <protection locked="0"/>
    </xf>
    <xf numFmtId="0" fontId="15" fillId="0" borderId="12" xfId="8" applyFont="1" applyBorder="1" applyAlignment="1" applyProtection="1">
      <alignment horizontal="center" vertical="center" wrapText="1"/>
      <protection locked="0"/>
    </xf>
    <xf numFmtId="0" fontId="15" fillId="0" borderId="14" xfId="8" applyFont="1" applyBorder="1" applyAlignment="1" applyProtection="1">
      <alignment horizontal="center" vertical="center" wrapText="1"/>
      <protection locked="0"/>
    </xf>
    <xf numFmtId="0" fontId="15" fillId="0" borderId="15" xfId="8" applyFont="1" applyBorder="1" applyAlignment="1" applyProtection="1">
      <alignment horizontal="center" vertical="center" wrapText="1"/>
      <protection locked="0"/>
    </xf>
    <xf numFmtId="0" fontId="18" fillId="0" borderId="12" xfId="8" applyFont="1" applyBorder="1" applyAlignment="1" applyProtection="1">
      <alignment horizontal="center" vertical="center" wrapText="1"/>
      <protection locked="0"/>
    </xf>
    <xf numFmtId="0" fontId="18" fillId="0" borderId="14" xfId="8" applyFont="1" applyBorder="1" applyAlignment="1" applyProtection="1">
      <alignment horizontal="center" vertical="center" wrapText="1"/>
      <protection locked="0"/>
    </xf>
    <xf numFmtId="0" fontId="15" fillId="0" borderId="38" xfId="8" applyFont="1" applyBorder="1" applyAlignment="1" applyProtection="1">
      <alignment horizontal="left" vertical="center"/>
      <protection locked="0"/>
    </xf>
    <xf numFmtId="0" fontId="15" fillId="0" borderId="39" xfId="8" applyFont="1" applyBorder="1" applyAlignment="1" applyProtection="1">
      <alignment horizontal="left" vertical="center"/>
      <protection locked="0"/>
    </xf>
    <xf numFmtId="0" fontId="15" fillId="0" borderId="5" xfId="8" applyFont="1" applyBorder="1" applyAlignment="1" applyProtection="1">
      <alignment horizontal="left" vertical="center"/>
      <protection locked="0"/>
    </xf>
    <xf numFmtId="0" fontId="18" fillId="0" borderId="15" xfId="8" applyFont="1" applyBorder="1" applyAlignment="1" applyProtection="1">
      <alignment horizontal="center" vertical="center" wrapText="1"/>
      <protection locked="0"/>
    </xf>
    <xf numFmtId="175" fontId="30" fillId="0" borderId="5" xfId="10" applyNumberFormat="1" applyFont="1" applyFill="1" applyBorder="1" applyAlignment="1" applyProtection="1">
      <alignment horizontal="left" vertical="center" wrapText="1"/>
      <protection locked="0"/>
    </xf>
    <xf numFmtId="167" fontId="18" fillId="16" borderId="12" xfId="8" applyNumberFormat="1" applyFont="1" applyFill="1" applyBorder="1" applyProtection="1">
      <protection locked="0"/>
    </xf>
    <xf numFmtId="175" fontId="33" fillId="18" borderId="3" xfId="8" applyNumberFormat="1" applyFont="1" applyFill="1" applyBorder="1"/>
    <xf numFmtId="175" fontId="33" fillId="18" borderId="6" xfId="8" applyNumberFormat="1" applyFont="1" applyFill="1" applyBorder="1"/>
    <xf numFmtId="175" fontId="33" fillId="18" borderId="9" xfId="8" applyNumberFormat="1" applyFont="1" applyFill="1" applyBorder="1"/>
    <xf numFmtId="168" fontId="18" fillId="13" borderId="0" xfId="1" applyNumberFormat="1" applyFont="1" applyFill="1" applyBorder="1" applyAlignment="1" applyProtection="1">
      <alignment vertical="center"/>
      <protection locked="0"/>
    </xf>
    <xf numFmtId="0" fontId="15" fillId="0" borderId="5" xfId="0" applyFont="1" applyBorder="1" applyAlignment="1" applyProtection="1">
      <alignment horizontal="center" vertical="center"/>
      <protection locked="0"/>
    </xf>
    <xf numFmtId="0" fontId="15" fillId="0" borderId="11" xfId="8" applyFont="1" applyBorder="1" applyAlignment="1" applyProtection="1">
      <alignment horizontal="center" vertical="center"/>
      <protection locked="0"/>
    </xf>
    <xf numFmtId="0" fontId="15" fillId="0" borderId="5" xfId="0" applyFont="1" applyBorder="1" applyAlignment="1" applyProtection="1">
      <alignment vertical="center" wrapText="1"/>
      <protection locked="0"/>
    </xf>
    <xf numFmtId="0" fontId="18" fillId="0" borderId="5" xfId="0" applyFont="1" applyBorder="1" applyAlignment="1" applyProtection="1">
      <alignment horizontal="left" wrapText="1"/>
      <protection locked="0"/>
    </xf>
    <xf numFmtId="181" fontId="18" fillId="0" borderId="5" xfId="2" quotePrefix="1" applyNumberFormat="1" applyFont="1" applyFill="1" applyBorder="1" applyAlignment="1" applyProtection="1">
      <alignment horizontal="center"/>
      <protection locked="0"/>
    </xf>
    <xf numFmtId="0" fontId="15" fillId="0" borderId="10" xfId="0" applyFont="1" applyBorder="1" applyAlignment="1" applyProtection="1">
      <alignment vertical="center" wrapText="1"/>
      <protection locked="0"/>
    </xf>
    <xf numFmtId="0" fontId="30" fillId="0" borderId="5" xfId="0" applyFont="1" applyBorder="1" applyAlignment="1" applyProtection="1">
      <alignment horizontal="center" vertical="center"/>
      <protection locked="0"/>
    </xf>
    <xf numFmtId="0" fontId="31" fillId="16" borderId="0" xfId="8" applyFont="1" applyFill="1" applyAlignment="1" applyProtection="1">
      <alignment horizontal="center"/>
      <protection locked="0"/>
    </xf>
    <xf numFmtId="167" fontId="32" fillId="18" borderId="5" xfId="8" applyNumberFormat="1" applyFont="1" applyFill="1" applyBorder="1" applyAlignment="1">
      <alignment horizontal="center"/>
    </xf>
    <xf numFmtId="175" fontId="30" fillId="0" borderId="5" xfId="10" applyNumberFormat="1" applyFont="1" applyFill="1" applyBorder="1" applyAlignment="1" applyProtection="1">
      <alignment horizontal="center"/>
      <protection locked="0"/>
    </xf>
    <xf numFmtId="175" fontId="30" fillId="22" borderId="5" xfId="10" applyNumberFormat="1" applyFont="1" applyFill="1" applyBorder="1" applyAlignment="1" applyProtection="1">
      <alignment horizontal="center"/>
    </xf>
    <xf numFmtId="175" fontId="30" fillId="21" borderId="5" xfId="10" applyNumberFormat="1" applyFont="1" applyFill="1" applyBorder="1" applyAlignment="1" applyProtection="1">
      <alignment horizontal="center" vertical="center" wrapText="1"/>
      <protection locked="0"/>
    </xf>
    <xf numFmtId="0" fontId="30" fillId="0" borderId="0" xfId="8" applyProtection="1">
      <protection locked="0"/>
    </xf>
    <xf numFmtId="0" fontId="30" fillId="0" borderId="12" xfId="8" applyBorder="1" applyProtection="1">
      <protection locked="0"/>
    </xf>
    <xf numFmtId="0" fontId="30" fillId="0" borderId="10" xfId="8" applyBorder="1" applyProtection="1">
      <protection locked="0"/>
    </xf>
    <xf numFmtId="0" fontId="30" fillId="0" borderId="5" xfId="8" applyBorder="1" applyProtection="1">
      <protection locked="0"/>
    </xf>
    <xf numFmtId="0" fontId="30" fillId="0" borderId="0" xfId="8" applyAlignment="1" applyProtection="1">
      <alignment horizontal="center"/>
      <protection locked="0"/>
    </xf>
    <xf numFmtId="0" fontId="30" fillId="0" borderId="0" xfId="8"/>
    <xf numFmtId="0" fontId="30" fillId="16" borderId="12" xfId="8" applyFill="1" applyBorder="1" applyProtection="1">
      <protection locked="0"/>
    </xf>
    <xf numFmtId="0" fontId="30" fillId="16" borderId="13" xfId="8" applyFill="1" applyBorder="1" applyProtection="1">
      <protection locked="0"/>
    </xf>
    <xf numFmtId="0" fontId="30" fillId="16" borderId="5" xfId="8" applyFill="1" applyBorder="1" applyProtection="1">
      <protection locked="0"/>
    </xf>
    <xf numFmtId="0" fontId="30" fillId="16" borderId="13" xfId="8" applyFill="1" applyBorder="1" applyAlignment="1" applyProtection="1">
      <alignment horizontal="center"/>
      <protection locked="0"/>
    </xf>
    <xf numFmtId="0" fontId="30" fillId="16" borderId="13" xfId="8" applyFill="1" applyBorder="1"/>
    <xf numFmtId="0" fontId="30" fillId="16" borderId="0" xfId="8" applyFill="1"/>
    <xf numFmtId="0" fontId="18" fillId="16" borderId="14" xfId="8" applyFont="1" applyFill="1" applyBorder="1" applyProtection="1">
      <protection locked="0"/>
    </xf>
    <xf numFmtId="0" fontId="18" fillId="16" borderId="0" xfId="8" applyFont="1" applyFill="1" applyProtection="1">
      <protection locked="0"/>
    </xf>
    <xf numFmtId="0" fontId="30" fillId="33" borderId="0" xfId="8" applyFill="1" applyProtection="1">
      <protection locked="0"/>
    </xf>
    <xf numFmtId="0" fontId="86" fillId="33" borderId="0" xfId="8" applyFont="1" applyFill="1" applyAlignment="1" applyProtection="1">
      <alignment horizontal="right" vertical="center"/>
      <protection locked="0"/>
    </xf>
    <xf numFmtId="0" fontId="86" fillId="33" borderId="12" xfId="8" applyFont="1" applyFill="1" applyBorder="1" applyAlignment="1" applyProtection="1">
      <alignment horizontal="right" vertical="center"/>
      <protection locked="0"/>
    </xf>
    <xf numFmtId="0" fontId="36" fillId="17" borderId="12" xfId="8" applyFont="1" applyFill="1" applyBorder="1" applyAlignment="1" applyProtection="1">
      <alignment horizontal="center" vertical="center"/>
      <protection locked="0"/>
    </xf>
    <xf numFmtId="0" fontId="18" fillId="16" borderId="15" xfId="8" applyFont="1" applyFill="1" applyBorder="1" applyProtection="1">
      <protection locked="0"/>
    </xf>
    <xf numFmtId="0" fontId="18" fillId="16" borderId="16" xfId="8" applyFont="1" applyFill="1" applyBorder="1" applyProtection="1">
      <protection locked="0"/>
    </xf>
    <xf numFmtId="10" fontId="18" fillId="16" borderId="16" xfId="8" applyNumberFormat="1" applyFont="1" applyFill="1" applyBorder="1" applyAlignment="1" applyProtection="1">
      <alignment horizontal="center"/>
      <protection locked="0"/>
    </xf>
    <xf numFmtId="0" fontId="30" fillId="3" borderId="17" xfId="8" applyFill="1" applyBorder="1" applyAlignment="1">
      <alignment wrapText="1"/>
    </xf>
    <xf numFmtId="0" fontId="30" fillId="3" borderId="18" xfId="8" applyFill="1" applyBorder="1" applyAlignment="1">
      <alignment horizontal="center" vertical="center" wrapText="1"/>
    </xf>
    <xf numFmtId="0" fontId="30" fillId="3" borderId="19" xfId="8" applyFill="1" applyBorder="1" applyAlignment="1">
      <alignment horizontal="center" vertical="center" wrapText="1"/>
    </xf>
    <xf numFmtId="0" fontId="30" fillId="3" borderId="5" xfId="8" applyFill="1" applyBorder="1" applyAlignment="1">
      <alignment horizontal="center" vertical="center" wrapText="1"/>
    </xf>
    <xf numFmtId="0" fontId="30" fillId="3" borderId="12" xfId="8" applyFill="1" applyBorder="1" applyAlignment="1">
      <alignment horizontal="center" vertical="center" wrapText="1"/>
    </xf>
    <xf numFmtId="0" fontId="18" fillId="20" borderId="12" xfId="8" applyFont="1" applyFill="1" applyBorder="1" applyAlignment="1">
      <alignment horizontal="center" vertical="center" wrapText="1"/>
    </xf>
    <xf numFmtId="0" fontId="30" fillId="20" borderId="12" xfId="8" applyFill="1" applyBorder="1" applyAlignment="1">
      <alignment horizontal="center" vertical="center" wrapText="1"/>
    </xf>
    <xf numFmtId="0" fontId="18" fillId="3" borderId="12" xfId="8" applyFont="1" applyFill="1" applyBorder="1" applyAlignment="1">
      <alignment horizontal="center" vertical="center" wrapText="1"/>
    </xf>
    <xf numFmtId="171" fontId="18" fillId="20" borderId="5" xfId="8" applyNumberFormat="1" applyFont="1" applyFill="1" applyBorder="1" applyAlignment="1">
      <alignment horizontal="center"/>
    </xf>
    <xf numFmtId="172" fontId="18" fillId="20" borderId="5" xfId="8" applyNumberFormat="1" applyFont="1" applyFill="1" applyBorder="1" applyAlignment="1">
      <alignment horizontal="center"/>
    </xf>
    <xf numFmtId="43" fontId="18" fillId="20" borderId="5" xfId="9" applyNumberFormat="1" applyFont="1" applyFill="1" applyBorder="1" applyAlignment="1">
      <alignment horizontal="center"/>
    </xf>
    <xf numFmtId="171" fontId="18" fillId="0" borderId="5" xfId="9" applyNumberFormat="1" applyFont="1" applyBorder="1" applyAlignment="1" applyProtection="1">
      <alignment vertical="center"/>
      <protection locked="0"/>
    </xf>
    <xf numFmtId="164" fontId="18" fillId="20" borderId="5" xfId="9" applyNumberFormat="1" applyFont="1" applyFill="1" applyBorder="1" applyAlignment="1">
      <alignment vertical="center"/>
    </xf>
    <xf numFmtId="0" fontId="30" fillId="0" borderId="20" xfId="8" applyBorder="1" applyAlignment="1" applyProtection="1">
      <alignment horizontal="center" wrapText="1"/>
      <protection locked="0"/>
    </xf>
    <xf numFmtId="174" fontId="18" fillId="20" borderId="14" xfId="10" applyNumberFormat="1" applyFont="1" applyFill="1" applyBorder="1" applyAlignment="1" applyProtection="1">
      <alignment horizontal="center" vertical="center" wrapText="1"/>
    </xf>
    <xf numFmtId="0" fontId="30" fillId="0" borderId="5" xfId="8" applyBorder="1" applyAlignment="1" applyProtection="1">
      <alignment horizontal="center"/>
      <protection locked="0"/>
    </xf>
    <xf numFmtId="0" fontId="30" fillId="0" borderId="14" xfId="8" applyBorder="1" applyAlignment="1" applyProtection="1">
      <alignment horizontal="left" vertical="center"/>
      <protection locked="0"/>
    </xf>
    <xf numFmtId="43" fontId="18" fillId="0" borderId="5" xfId="9" applyNumberFormat="1" applyFont="1" applyBorder="1" applyAlignment="1" applyProtection="1">
      <alignment vertical="center"/>
      <protection locked="0"/>
    </xf>
    <xf numFmtId="0" fontId="30" fillId="0" borderId="0" xfId="0" applyFont="1" applyAlignment="1" applyProtection="1">
      <alignment horizontal="center" vertical="center"/>
      <protection locked="0"/>
    </xf>
    <xf numFmtId="0" fontId="30" fillId="0" borderId="0" xfId="8" applyAlignment="1" applyProtection="1">
      <alignment horizontal="left"/>
      <protection locked="0"/>
    </xf>
    <xf numFmtId="0" fontId="19" fillId="0" borderId="5" xfId="0" applyFont="1" applyBorder="1" applyAlignment="1" applyProtection="1">
      <alignment vertical="center" wrapText="1"/>
      <protection locked="0"/>
    </xf>
    <xf numFmtId="0" fontId="19" fillId="0" borderId="10" xfId="0" applyFont="1" applyBorder="1" applyAlignment="1" applyProtection="1">
      <alignment vertical="center" wrapText="1"/>
      <protection locked="0"/>
    </xf>
    <xf numFmtId="0" fontId="19" fillId="0" borderId="5" xfId="0" applyFont="1" applyBorder="1" applyAlignment="1" applyProtection="1">
      <alignment horizontal="center" vertical="center"/>
      <protection locked="0"/>
    </xf>
    <xf numFmtId="0" fontId="30" fillId="30" borderId="5" xfId="0" applyFont="1" applyFill="1" applyBorder="1" applyAlignment="1" applyProtection="1">
      <alignment horizontal="center" vertical="center"/>
      <protection locked="0"/>
    </xf>
    <xf numFmtId="0" fontId="19" fillId="30" borderId="5" xfId="0" applyFont="1" applyFill="1" applyBorder="1" applyAlignment="1" applyProtection="1">
      <alignment horizontal="center" vertical="center"/>
      <protection locked="0"/>
    </xf>
    <xf numFmtId="0" fontId="30" fillId="0" borderId="18" xfId="8" applyBorder="1" applyAlignment="1" applyProtection="1">
      <alignment horizontal="center" wrapText="1"/>
      <protection locked="0"/>
    </xf>
    <xf numFmtId="0" fontId="18" fillId="13" borderId="5" xfId="0" applyFont="1" applyFill="1" applyBorder="1" applyAlignment="1" applyProtection="1">
      <alignment horizontal="center" vertical="center"/>
      <protection locked="0"/>
    </xf>
    <xf numFmtId="0" fontId="30" fillId="23" borderId="5" xfId="8" applyFill="1" applyBorder="1"/>
    <xf numFmtId="175" fontId="30" fillId="23" borderId="5" xfId="8" applyNumberFormat="1" applyFill="1" applyBorder="1"/>
    <xf numFmtId="175" fontId="30" fillId="23" borderId="5" xfId="8" applyNumberFormat="1" applyFill="1" applyBorder="1" applyAlignment="1">
      <alignment horizontal="center"/>
    </xf>
    <xf numFmtId="175" fontId="30" fillId="24" borderId="5" xfId="8" applyNumberFormat="1" applyFill="1" applyBorder="1"/>
    <xf numFmtId="0" fontId="30" fillId="0" borderId="14" xfId="8" applyBorder="1" applyProtection="1">
      <protection locked="0"/>
    </xf>
    <xf numFmtId="0" fontId="30" fillId="0" borderId="13" xfId="8" applyBorder="1"/>
    <xf numFmtId="0" fontId="30" fillId="0" borderId="13" xfId="8" applyBorder="1" applyProtection="1">
      <protection locked="0"/>
    </xf>
    <xf numFmtId="0" fontId="86" fillId="16" borderId="0" xfId="8" applyFont="1" applyFill="1" applyAlignment="1" applyProtection="1">
      <alignment horizontal="center" vertical="center"/>
      <protection locked="0"/>
    </xf>
    <xf numFmtId="0" fontId="86" fillId="16" borderId="0" xfId="8" applyFont="1" applyFill="1" applyAlignment="1" applyProtection="1">
      <alignment horizontal="right" vertical="center"/>
      <protection locked="0"/>
    </xf>
    <xf numFmtId="0" fontId="18" fillId="16" borderId="0" xfId="8" applyFont="1" applyFill="1"/>
    <xf numFmtId="0" fontId="18" fillId="16" borderId="0" xfId="8" applyFont="1" applyFill="1" applyAlignment="1" applyProtection="1">
      <alignment horizontal="center"/>
      <protection locked="0"/>
    </xf>
    <xf numFmtId="168" fontId="18" fillId="0" borderId="0" xfId="1" applyNumberFormat="1" applyFont="1" applyFill="1" applyBorder="1" applyAlignment="1" applyProtection="1">
      <alignment horizontal="center"/>
      <protection locked="0"/>
    </xf>
    <xf numFmtId="168" fontId="17" fillId="18" borderId="5" xfId="1" applyNumberFormat="1" applyFont="1" applyFill="1" applyBorder="1" applyAlignment="1" applyProtection="1">
      <alignment horizontal="center"/>
    </xf>
    <xf numFmtId="169" fontId="17" fillId="18" borderId="5" xfId="1" applyNumberFormat="1" applyFont="1" applyFill="1" applyBorder="1" applyAlignment="1" applyProtection="1">
      <alignment horizontal="center"/>
    </xf>
    <xf numFmtId="170" fontId="70" fillId="18" borderId="5" xfId="1" applyNumberFormat="1" applyFont="1" applyFill="1" applyBorder="1" applyAlignment="1" applyProtection="1">
      <alignment horizontal="center"/>
    </xf>
    <xf numFmtId="0" fontId="18" fillId="16" borderId="16" xfId="8" applyFont="1" applyFill="1" applyBorder="1" applyAlignment="1" applyProtection="1">
      <alignment horizontal="center"/>
      <protection locked="0"/>
    </xf>
    <xf numFmtId="0" fontId="36" fillId="16" borderId="16" xfId="8" applyFont="1" applyFill="1" applyBorder="1" applyAlignment="1">
      <alignment horizontal="center"/>
    </xf>
    <xf numFmtId="0" fontId="36" fillId="16" borderId="16" xfId="8" applyFont="1" applyFill="1" applyBorder="1" applyAlignment="1" applyProtection="1">
      <alignment horizontal="center"/>
      <protection locked="0"/>
    </xf>
    <xf numFmtId="0" fontId="36" fillId="19" borderId="16" xfId="0" applyFont="1" applyFill="1" applyBorder="1" applyAlignment="1">
      <alignment horizontal="center"/>
    </xf>
    <xf numFmtId="0" fontId="15" fillId="3" borderId="5" xfId="0" applyFont="1" applyFill="1" applyBorder="1" applyAlignment="1">
      <alignment vertical="center" wrapText="1"/>
    </xf>
    <xf numFmtId="0" fontId="15" fillId="3" borderId="5" xfId="0" applyFont="1" applyFill="1" applyBorder="1" applyAlignment="1">
      <alignment horizontal="center" vertical="center" wrapText="1"/>
    </xf>
    <xf numFmtId="0" fontId="15" fillId="0" borderId="14" xfId="0" applyFont="1" applyBorder="1" applyAlignment="1" applyProtection="1">
      <alignment horizontal="left" vertical="center" wrapText="1"/>
      <protection locked="0"/>
    </xf>
    <xf numFmtId="0" fontId="18" fillId="0" borderId="14" xfId="0" applyFont="1" applyBorder="1" applyAlignment="1" applyProtection="1">
      <alignment horizontal="left" vertical="center" wrapText="1"/>
      <protection locked="0"/>
    </xf>
    <xf numFmtId="0" fontId="15" fillId="0" borderId="15" xfId="0" applyFont="1" applyBorder="1" applyAlignment="1" applyProtection="1">
      <alignment horizontal="left" vertical="center" wrapText="1"/>
      <protection locked="0"/>
    </xf>
    <xf numFmtId="0" fontId="18" fillId="0" borderId="15" xfId="0" applyFont="1" applyBorder="1" applyAlignment="1" applyProtection="1">
      <alignment horizontal="left" vertical="center" wrapText="1"/>
      <protection locked="0"/>
    </xf>
    <xf numFmtId="0" fontId="15" fillId="0" borderId="12" xfId="0" applyFont="1" applyBorder="1" applyAlignment="1" applyProtection="1">
      <alignment vertical="center" wrapText="1"/>
      <protection locked="0"/>
    </xf>
    <xf numFmtId="0" fontId="15" fillId="0" borderId="5" xfId="0" applyFont="1" applyBorder="1" applyAlignment="1" applyProtection="1">
      <alignment horizontal="left" vertical="center" wrapText="1"/>
      <protection locked="0"/>
    </xf>
    <xf numFmtId="0" fontId="15" fillId="0" borderId="12" xfId="0" applyFont="1" applyBorder="1" applyAlignment="1" applyProtection="1">
      <alignment horizontal="left" vertical="center" wrapText="1"/>
      <protection locked="0"/>
    </xf>
    <xf numFmtId="0" fontId="15" fillId="13" borderId="14" xfId="0" applyFont="1" applyFill="1" applyBorder="1" applyAlignment="1" applyProtection="1">
      <alignment horizontal="left" vertical="center" wrapText="1"/>
      <protection locked="0"/>
    </xf>
    <xf numFmtId="0" fontId="18" fillId="0" borderId="14" xfId="0" applyFont="1" applyBorder="1" applyAlignment="1" applyProtection="1">
      <alignment horizontal="left" wrapText="1"/>
      <protection locked="0"/>
    </xf>
    <xf numFmtId="0" fontId="15" fillId="0" borderId="39" xfId="0" applyFont="1" applyBorder="1" applyAlignment="1" applyProtection="1">
      <alignment horizontal="left" vertical="center" wrapText="1"/>
      <protection locked="0"/>
    </xf>
    <xf numFmtId="0" fontId="18" fillId="0" borderId="15" xfId="0" applyFont="1" applyBorder="1" applyAlignment="1" applyProtection="1">
      <alignment horizontal="left" wrapText="1"/>
      <protection locked="0"/>
    </xf>
    <xf numFmtId="0" fontId="15" fillId="0" borderId="38" xfId="0" applyFont="1" applyBorder="1" applyAlignment="1" applyProtection="1">
      <alignment horizontal="left" vertical="center" wrapText="1"/>
      <protection locked="0"/>
    </xf>
    <xf numFmtId="0" fontId="15" fillId="0" borderId="14" xfId="0" applyFont="1" applyBorder="1" applyAlignment="1" applyProtection="1">
      <alignment horizontal="center" vertical="center" wrapText="1"/>
      <protection locked="0"/>
    </xf>
    <xf numFmtId="181" fontId="19" fillId="13" borderId="5" xfId="2" applyNumberFormat="1" applyFont="1" applyFill="1" applyBorder="1" applyAlignment="1" applyProtection="1">
      <alignment horizontal="center"/>
      <protection locked="0"/>
    </xf>
    <xf numFmtId="0" fontId="18" fillId="0" borderId="14" xfId="0" applyFont="1" applyBorder="1" applyAlignment="1" applyProtection="1">
      <alignment horizontal="center" wrapText="1"/>
      <protection locked="0"/>
    </xf>
    <xf numFmtId="0" fontId="15" fillId="13" borderId="5" xfId="0" applyFont="1" applyFill="1" applyBorder="1" applyAlignment="1" applyProtection="1">
      <alignment horizontal="center" vertical="center"/>
      <protection locked="0"/>
    </xf>
    <xf numFmtId="0" fontId="15" fillId="0" borderId="38" xfId="0" applyFont="1" applyBorder="1" applyAlignment="1" applyProtection="1">
      <alignment horizontal="center" vertical="center" wrapText="1"/>
      <protection locked="0"/>
    </xf>
    <xf numFmtId="0" fontId="15" fillId="0" borderId="19" xfId="0" applyFont="1" applyBorder="1" applyAlignment="1" applyProtection="1">
      <alignment horizontal="left" vertical="center" wrapText="1"/>
      <protection locked="0"/>
    </xf>
    <xf numFmtId="0" fontId="18" fillId="0" borderId="0" xfId="0" applyFont="1" applyAlignment="1" applyProtection="1">
      <alignment horizontal="left" wrapText="1"/>
      <protection locked="0"/>
    </xf>
    <xf numFmtId="0" fontId="18" fillId="0" borderId="12" xfId="0" applyFont="1" applyBorder="1" applyAlignment="1" applyProtection="1">
      <alignment horizontal="left" wrapText="1"/>
      <protection locked="0"/>
    </xf>
    <xf numFmtId="0" fontId="18" fillId="0" borderId="10" xfId="0" applyFont="1" applyBorder="1" applyAlignment="1" applyProtection="1">
      <alignment horizontal="left" wrapText="1"/>
      <protection locked="0"/>
    </xf>
    <xf numFmtId="181" fontId="30" fillId="0" borderId="5" xfId="2" quotePrefix="1" applyNumberFormat="1" applyFont="1" applyFill="1" applyBorder="1" applyAlignment="1" applyProtection="1">
      <alignment horizontal="center"/>
      <protection locked="0"/>
    </xf>
    <xf numFmtId="181" fontId="18" fillId="0" borderId="5" xfId="2" applyNumberFormat="1" applyFont="1" applyFill="1" applyBorder="1" applyAlignment="1" applyProtection="1">
      <alignment horizontal="center"/>
      <protection locked="0"/>
    </xf>
    <xf numFmtId="181" fontId="30" fillId="0" borderId="5" xfId="2" applyNumberFormat="1" applyFont="1" applyFill="1" applyBorder="1" applyAlignment="1" applyProtection="1">
      <alignment horizontal="center"/>
      <protection locked="0"/>
    </xf>
    <xf numFmtId="0" fontId="15" fillId="0" borderId="5" xfId="0" applyFont="1" applyBorder="1" applyAlignment="1" applyProtection="1">
      <alignment wrapText="1"/>
      <protection locked="0"/>
    </xf>
    <xf numFmtId="0" fontId="15" fillId="0" borderId="10" xfId="0" applyFont="1" applyBorder="1" applyAlignment="1" applyProtection="1">
      <alignment wrapText="1"/>
      <protection locked="0"/>
    </xf>
    <xf numFmtId="1" fontId="30" fillId="0" borderId="11" xfId="22" applyNumberFormat="1" applyFont="1" applyBorder="1" applyAlignment="1" applyProtection="1">
      <alignment horizontal="left" vertical="center" wrapText="1"/>
      <protection locked="0"/>
    </xf>
    <xf numFmtId="1" fontId="30" fillId="0" borderId="11" xfId="22" applyNumberFormat="1" applyFont="1" applyBorder="1" applyAlignment="1" applyProtection="1">
      <alignment horizontal="center" vertical="center" wrapText="1"/>
      <protection locked="0"/>
    </xf>
    <xf numFmtId="1" fontId="30" fillId="0" borderId="5" xfId="22" applyNumberFormat="1" applyFont="1" applyBorder="1" applyAlignment="1" applyProtection="1">
      <alignment horizontal="left" vertical="center" wrapText="1"/>
      <protection locked="0"/>
    </xf>
    <xf numFmtId="0" fontId="15" fillId="0" borderId="5" xfId="0" applyFont="1" applyBorder="1" applyAlignment="1" applyProtection="1">
      <alignment horizontal="center"/>
      <protection locked="0"/>
    </xf>
    <xf numFmtId="0" fontId="18" fillId="0" borderId="5" xfId="0" applyFont="1" applyBorder="1" applyAlignment="1" applyProtection="1">
      <alignment wrapText="1"/>
      <protection locked="0"/>
    </xf>
    <xf numFmtId="0" fontId="19" fillId="0" borderId="0" xfId="0" applyFont="1" applyAlignment="1">
      <alignment horizontal="center" wrapText="1"/>
    </xf>
    <xf numFmtId="0" fontId="0" fillId="0" borderId="0" xfId="0" applyAlignment="1">
      <alignment wrapText="1"/>
    </xf>
    <xf numFmtId="0" fontId="88" fillId="0" borderId="5" xfId="0" applyFont="1" applyBorder="1" applyAlignment="1" applyProtection="1">
      <alignment vertical="center" wrapText="1"/>
      <protection locked="0"/>
    </xf>
    <xf numFmtId="0" fontId="88" fillId="0" borderId="5" xfId="8" applyFont="1" applyBorder="1" applyAlignment="1" applyProtection="1">
      <alignment vertical="center"/>
      <protection locked="0"/>
    </xf>
    <xf numFmtId="181" fontId="90" fillId="0" borderId="5" xfId="2" applyNumberFormat="1" applyFont="1" applyFill="1" applyBorder="1" applyAlignment="1" applyProtection="1">
      <alignment horizontal="center"/>
      <protection locked="0"/>
    </xf>
    <xf numFmtId="0" fontId="89" fillId="0" borderId="5" xfId="0" applyFont="1" applyBorder="1" applyAlignment="1" applyProtection="1">
      <alignment vertical="center"/>
      <protection locked="0"/>
    </xf>
    <xf numFmtId="171" fontId="90" fillId="34" borderId="5" xfId="8" applyNumberFormat="1" applyFont="1" applyFill="1" applyBorder="1" applyAlignment="1">
      <alignment horizontal="center"/>
    </xf>
    <xf numFmtId="172" fontId="90" fillId="34" borderId="5" xfId="8" applyNumberFormat="1" applyFont="1" applyFill="1" applyBorder="1" applyAlignment="1">
      <alignment horizontal="center"/>
    </xf>
    <xf numFmtId="43" fontId="90" fillId="34" borderId="5" xfId="9" applyNumberFormat="1" applyFont="1" applyFill="1" applyBorder="1" applyAlignment="1">
      <alignment horizontal="center"/>
    </xf>
    <xf numFmtId="43" fontId="90" fillId="0" borderId="5" xfId="9" applyNumberFormat="1" applyFont="1" applyBorder="1" applyAlignment="1" applyProtection="1">
      <alignment vertical="center"/>
      <protection locked="0"/>
    </xf>
    <xf numFmtId="164" fontId="90" fillId="34" borderId="5" xfId="9" applyNumberFormat="1" applyFont="1" applyFill="1" applyBorder="1" applyAlignment="1">
      <alignment vertical="center"/>
    </xf>
    <xf numFmtId="168" fontId="90" fillId="13" borderId="5" xfId="1" applyNumberFormat="1" applyFont="1" applyFill="1" applyBorder="1" applyAlignment="1" applyProtection="1">
      <alignment vertical="center"/>
      <protection locked="0"/>
    </xf>
    <xf numFmtId="174" fontId="90" fillId="34" borderId="14" xfId="10" applyNumberFormat="1" applyFont="1" applyFill="1" applyBorder="1" applyAlignment="1" applyProtection="1">
      <alignment horizontal="center" vertical="center" wrapText="1"/>
    </xf>
    <xf numFmtId="0" fontId="88" fillId="0" borderId="10" xfId="8" applyFont="1" applyBorder="1" applyAlignment="1" applyProtection="1">
      <alignment vertical="center"/>
      <protection locked="0"/>
    </xf>
    <xf numFmtId="0" fontId="88" fillId="0" borderId="5" xfId="8" applyFont="1" applyBorder="1" applyAlignment="1" applyProtection="1">
      <alignment horizontal="left" vertical="center"/>
      <protection locked="0"/>
    </xf>
    <xf numFmtId="0" fontId="88" fillId="0" borderId="5" xfId="8" applyFont="1" applyBorder="1" applyAlignment="1" applyProtection="1">
      <alignment horizontal="center" vertical="center"/>
      <protection locked="0"/>
    </xf>
    <xf numFmtId="175" fontId="89" fillId="0" borderId="5" xfId="10" applyNumberFormat="1" applyFont="1" applyFill="1" applyBorder="1" applyAlignment="1" applyProtection="1">
      <alignment horizontal="left" vertical="center" wrapText="1"/>
      <protection locked="0"/>
    </xf>
    <xf numFmtId="175" fontId="89" fillId="0" borderId="5" xfId="10" applyNumberFormat="1" applyFont="1" applyFill="1" applyBorder="1" applyAlignment="1" applyProtection="1">
      <protection locked="0"/>
    </xf>
    <xf numFmtId="168" fontId="90" fillId="0" borderId="5" xfId="1" applyNumberFormat="1" applyFont="1" applyFill="1" applyBorder="1" applyAlignment="1" applyProtection="1">
      <alignment vertical="center"/>
      <protection locked="0"/>
    </xf>
    <xf numFmtId="0" fontId="88" fillId="0" borderId="10" xfId="8" applyFont="1" applyBorder="1" applyAlignment="1" applyProtection="1">
      <alignment horizontal="center" vertical="center"/>
      <protection locked="0"/>
    </xf>
    <xf numFmtId="0" fontId="90" fillId="0" borderId="5" xfId="0" applyFont="1" applyBorder="1" applyAlignment="1" applyProtection="1">
      <alignment horizontal="left" wrapText="1"/>
      <protection locked="0"/>
    </xf>
    <xf numFmtId="0" fontId="88" fillId="0" borderId="10" xfId="0" applyFont="1" applyBorder="1" applyAlignment="1" applyProtection="1">
      <alignment vertical="center" wrapText="1"/>
      <protection locked="0"/>
    </xf>
    <xf numFmtId="181" fontId="89" fillId="0" borderId="5" xfId="2" applyNumberFormat="1" applyFont="1" applyFill="1" applyBorder="1" applyAlignment="1" applyProtection="1">
      <alignment horizontal="center"/>
      <protection locked="0"/>
    </xf>
    <xf numFmtId="0" fontId="88" fillId="0" borderId="5" xfId="0" applyFont="1" applyBorder="1" applyAlignment="1" applyProtection="1">
      <alignment vertical="center"/>
      <protection locked="0"/>
    </xf>
    <xf numFmtId="0" fontId="90" fillId="0" borderId="10" xfId="0" applyFont="1" applyBorder="1" applyAlignment="1" applyProtection="1">
      <alignment horizontal="left" wrapText="1"/>
      <protection locked="0"/>
    </xf>
    <xf numFmtId="0" fontId="90" fillId="0" borderId="5" xfId="0" applyFont="1" applyBorder="1" applyAlignment="1" applyProtection="1">
      <alignment wrapText="1"/>
      <protection locked="0"/>
    </xf>
    <xf numFmtId="0" fontId="90" fillId="0" borderId="5" xfId="21" applyFont="1" applyFill="1" applyBorder="1" applyAlignment="1" applyProtection="1">
      <alignment horizontal="center" vertical="top" wrapText="1"/>
      <protection locked="0"/>
    </xf>
    <xf numFmtId="181" fontId="88" fillId="0" borderId="5" xfId="2" applyNumberFormat="1" applyFont="1" applyFill="1" applyBorder="1" applyAlignment="1" applyProtection="1">
      <alignment horizontal="center"/>
      <protection locked="0"/>
    </xf>
    <xf numFmtId="43" fontId="90" fillId="0" borderId="0" xfId="9" applyNumberFormat="1" applyFont="1" applyAlignment="1" applyProtection="1">
      <alignment vertical="center"/>
      <protection locked="0"/>
    </xf>
    <xf numFmtId="43" fontId="30" fillId="0" borderId="0" xfId="8" applyNumberFormat="1" applyProtection="1">
      <protection locked="0"/>
    </xf>
    <xf numFmtId="0" fontId="0" fillId="0" borderId="5" xfId="0" applyBorder="1"/>
    <xf numFmtId="181" fontId="18" fillId="30" borderId="5" xfId="2" applyNumberFormat="1" applyFont="1" applyFill="1" applyBorder="1" applyAlignment="1" applyProtection="1">
      <alignment horizontal="left"/>
      <protection locked="0"/>
    </xf>
    <xf numFmtId="181" fontId="18" fillId="30" borderId="5" xfId="2" applyNumberFormat="1" applyFont="1" applyFill="1" applyBorder="1" applyAlignment="1" applyProtection="1">
      <alignment horizontal="left" vertical="center"/>
      <protection locked="0"/>
    </xf>
    <xf numFmtId="0" fontId="15" fillId="0" borderId="0" xfId="8" applyFont="1" applyAlignment="1" applyProtection="1">
      <alignment horizontal="left" vertical="center"/>
      <protection locked="0"/>
    </xf>
    <xf numFmtId="181" fontId="18" fillId="0" borderId="0" xfId="2" applyNumberFormat="1" applyFont="1" applyBorder="1" applyAlignment="1" applyProtection="1">
      <alignment horizontal="left"/>
      <protection locked="0"/>
    </xf>
    <xf numFmtId="181" fontId="18" fillId="0" borderId="5" xfId="2" applyNumberFormat="1" applyFont="1" applyBorder="1" applyAlignment="1" applyProtection="1">
      <alignment horizontal="left"/>
      <protection locked="0"/>
    </xf>
    <xf numFmtId="181" fontId="19" fillId="0" borderId="5" xfId="2" applyNumberFormat="1" applyFont="1" applyBorder="1" applyAlignment="1" applyProtection="1">
      <alignment horizontal="left"/>
      <protection locked="0"/>
    </xf>
    <xf numFmtId="181" fontId="19" fillId="13" borderId="5" xfId="2" applyNumberFormat="1" applyFont="1" applyFill="1" applyBorder="1" applyAlignment="1" applyProtection="1">
      <alignment horizontal="left"/>
      <protection locked="0"/>
    </xf>
    <xf numFmtId="175" fontId="30" fillId="21" borderId="5" xfId="10" applyNumberFormat="1" applyFont="1" applyFill="1" applyBorder="1" applyAlignment="1" applyProtection="1">
      <alignment vertical="center" wrapText="1"/>
      <protection locked="0"/>
    </xf>
    <xf numFmtId="0" fontId="15" fillId="0" borderId="11" xfId="8" applyFont="1" applyBorder="1" applyAlignment="1" applyProtection="1">
      <alignment vertical="center"/>
      <protection locked="0"/>
    </xf>
    <xf numFmtId="181" fontId="18" fillId="0" borderId="11" xfId="2" applyNumberFormat="1" applyFont="1" applyBorder="1" applyAlignment="1" applyProtection="1">
      <protection locked="0"/>
    </xf>
    <xf numFmtId="181" fontId="18" fillId="0" borderId="5" xfId="2" applyNumberFormat="1" applyFont="1" applyBorder="1" applyAlignment="1" applyProtection="1">
      <protection locked="0"/>
    </xf>
    <xf numFmtId="181" fontId="18" fillId="31" borderId="5" xfId="2" applyNumberFormat="1" applyFont="1" applyFill="1" applyBorder="1" applyAlignment="1" applyProtection="1">
      <protection locked="0"/>
    </xf>
    <xf numFmtId="181" fontId="30" fillId="0" borderId="5" xfId="2" applyNumberFormat="1" applyFont="1" applyBorder="1" applyAlignment="1" applyProtection="1">
      <alignment horizontal="left"/>
      <protection locked="0"/>
    </xf>
    <xf numFmtId="181" fontId="18" fillId="0" borderId="5" xfId="2" quotePrefix="1" applyNumberFormat="1" applyFont="1" applyBorder="1" applyAlignment="1" applyProtection="1">
      <alignment horizontal="left"/>
      <protection locked="0"/>
    </xf>
    <xf numFmtId="181" fontId="30" fillId="0" borderId="5" xfId="2" quotePrefix="1" applyNumberFormat="1" applyFont="1" applyBorder="1" applyAlignment="1" applyProtection="1">
      <alignment horizontal="left"/>
      <protection locked="0"/>
    </xf>
    <xf numFmtId="181" fontId="30" fillId="0" borderId="5" xfId="2" applyNumberFormat="1" applyFont="1" applyBorder="1" applyAlignment="1" applyProtection="1">
      <alignment horizontal="left" wrapText="1"/>
      <protection locked="0"/>
    </xf>
    <xf numFmtId="181" fontId="19" fillId="0" borderId="5" xfId="2" quotePrefix="1" applyNumberFormat="1" applyFont="1" applyBorder="1" applyAlignment="1" applyProtection="1">
      <alignment horizontal="left"/>
      <protection locked="0"/>
    </xf>
    <xf numFmtId="0" fontId="15" fillId="0" borderId="5" xfId="0" applyFont="1" applyBorder="1" applyAlignment="1" applyProtection="1">
      <alignment horizontal="left" vertical="center"/>
      <protection locked="0"/>
    </xf>
    <xf numFmtId="0" fontId="15" fillId="0" borderId="5" xfId="0" applyFont="1" applyBorder="1" applyAlignment="1">
      <alignment vertical="center" wrapText="1"/>
    </xf>
    <xf numFmtId="0" fontId="18" fillId="0" borderId="5" xfId="8" applyFont="1" applyBorder="1" applyAlignment="1" applyProtection="1">
      <alignment horizontal="center" vertical="center" wrapText="1"/>
      <protection locked="0"/>
    </xf>
    <xf numFmtId="0" fontId="18" fillId="0" borderId="5" xfId="8" applyFont="1" applyBorder="1" applyAlignment="1" applyProtection="1">
      <alignment horizontal="left" vertical="center" wrapText="1"/>
      <protection locked="0"/>
    </xf>
    <xf numFmtId="0" fontId="15" fillId="0" borderId="12" xfId="8" applyFont="1" applyBorder="1" applyAlignment="1" applyProtection="1">
      <alignment horizontal="left" vertical="center"/>
      <protection locked="0"/>
    </xf>
    <xf numFmtId="0" fontId="18" fillId="0" borderId="12" xfId="0" applyFont="1" applyBorder="1" applyAlignment="1" applyProtection="1">
      <alignment horizontal="left" vertical="center" wrapText="1"/>
      <protection locked="0"/>
    </xf>
    <xf numFmtId="0" fontId="15" fillId="13" borderId="12" xfId="0" applyFont="1" applyFill="1" applyBorder="1" applyAlignment="1" applyProtection="1">
      <alignment horizontal="left" vertical="center" wrapText="1"/>
      <protection locked="0"/>
    </xf>
    <xf numFmtId="0" fontId="0" fillId="0" borderId="5" xfId="0" quotePrefix="1" applyBorder="1" applyAlignment="1" applyProtection="1">
      <alignment horizontal="left" vertical="top" wrapText="1"/>
      <protection locked="0"/>
    </xf>
    <xf numFmtId="0" fontId="0" fillId="0" borderId="0" xfId="0" applyAlignment="1">
      <alignment horizontal="left"/>
    </xf>
    <xf numFmtId="0" fontId="77" fillId="32" borderId="5" xfId="0" applyFont="1" applyFill="1" applyBorder="1" applyAlignment="1" applyProtection="1">
      <alignment horizontal="left" wrapText="1"/>
      <protection locked="0"/>
    </xf>
    <xf numFmtId="181" fontId="18" fillId="13" borderId="5" xfId="2" applyNumberFormat="1" applyFont="1" applyFill="1" applyBorder="1" applyAlignment="1" applyProtection="1">
      <alignment horizontal="left" wrapText="1"/>
      <protection locked="0"/>
    </xf>
    <xf numFmtId="181" fontId="18" fillId="13" borderId="5" xfId="2" quotePrefix="1" applyNumberFormat="1" applyFont="1" applyFill="1" applyBorder="1" applyAlignment="1" applyProtection="1">
      <alignment horizontal="left" wrapText="1"/>
      <protection locked="0"/>
    </xf>
    <xf numFmtId="0" fontId="0" fillId="13" borderId="5" xfId="0" quotePrefix="1" applyFill="1" applyBorder="1" applyAlignment="1" applyProtection="1">
      <alignment horizontal="left" wrapText="1"/>
      <protection locked="0"/>
    </xf>
    <xf numFmtId="0" fontId="0" fillId="0" borderId="5" xfId="0" applyBorder="1" applyAlignment="1">
      <alignment horizontal="left"/>
    </xf>
    <xf numFmtId="0" fontId="15" fillId="0" borderId="5" xfId="0" applyFont="1" applyBorder="1" applyAlignment="1">
      <alignment horizontal="left" vertical="center" wrapText="1"/>
    </xf>
    <xf numFmtId="0" fontId="15" fillId="0" borderId="12" xfId="8" applyFont="1" applyBorder="1" applyAlignment="1" applyProtection="1">
      <alignment horizontal="center" vertical="center"/>
      <protection locked="0"/>
    </xf>
    <xf numFmtId="0" fontId="18" fillId="0" borderId="14" xfId="8" applyFont="1" applyBorder="1" applyAlignment="1" applyProtection="1">
      <alignment vertical="center" wrapText="1"/>
      <protection locked="0"/>
    </xf>
    <xf numFmtId="0" fontId="18" fillId="0" borderId="12" xfId="8" applyFont="1" applyBorder="1" applyAlignment="1" applyProtection="1">
      <alignment vertical="center" wrapText="1"/>
      <protection locked="0"/>
    </xf>
    <xf numFmtId="0" fontId="15" fillId="13" borderId="5" xfId="8" applyFont="1" applyFill="1" applyBorder="1" applyAlignment="1">
      <alignment horizontal="center" vertical="center"/>
    </xf>
    <xf numFmtId="0" fontId="15" fillId="0" borderId="10" xfId="8" applyFont="1" applyBorder="1" applyAlignment="1" applyProtection="1">
      <alignment horizontal="left" vertical="center"/>
      <protection locked="0"/>
    </xf>
    <xf numFmtId="164" fontId="18" fillId="20" borderId="0" xfId="9" applyNumberFormat="1" applyFont="1" applyFill="1" applyAlignment="1">
      <alignment vertical="center"/>
    </xf>
    <xf numFmtId="43" fontId="18" fillId="0" borderId="0" xfId="9" applyNumberFormat="1" applyFont="1" applyAlignment="1" applyProtection="1">
      <alignment vertical="center"/>
      <protection locked="0"/>
    </xf>
    <xf numFmtId="168" fontId="30" fillId="22" borderId="5" xfId="10" applyNumberFormat="1" applyFont="1" applyFill="1" applyBorder="1" applyAlignment="1" applyProtection="1">
      <alignment horizontal="right"/>
    </xf>
    <xf numFmtId="168" fontId="18" fillId="20" borderId="5" xfId="9" applyNumberFormat="1" applyFont="1" applyFill="1" applyBorder="1" applyAlignment="1">
      <alignment vertical="center"/>
    </xf>
    <xf numFmtId="0" fontId="19" fillId="7" borderId="5" xfId="0" applyFont="1" applyFill="1" applyBorder="1" applyAlignment="1">
      <alignment horizontal="left" wrapText="1"/>
    </xf>
    <xf numFmtId="0" fontId="19" fillId="7" borderId="5" xfId="0" applyFont="1" applyFill="1" applyBorder="1" applyAlignment="1">
      <alignment horizontal="center" wrapText="1"/>
    </xf>
    <xf numFmtId="0" fontId="19" fillId="8" borderId="5" xfId="0" applyFont="1" applyFill="1" applyBorder="1" applyAlignment="1">
      <alignment horizontal="left" wrapText="1"/>
    </xf>
    <xf numFmtId="0" fontId="19" fillId="9" borderId="5" xfId="0" applyFont="1" applyFill="1" applyBorder="1" applyAlignment="1">
      <alignment horizontal="center" wrapText="1"/>
    </xf>
    <xf numFmtId="0" fontId="19" fillId="10" borderId="5" xfId="0" applyFont="1" applyFill="1" applyBorder="1" applyAlignment="1">
      <alignment horizontal="center" wrapText="1"/>
    </xf>
    <xf numFmtId="0" fontId="7" fillId="0" borderId="5" xfId="0" applyFont="1" applyBorder="1" applyAlignment="1" applyProtection="1">
      <alignment wrapText="1"/>
      <protection locked="0"/>
    </xf>
    <xf numFmtId="0" fontId="0" fillId="0" borderId="5" xfId="0" applyBorder="1" applyAlignment="1" applyProtection="1">
      <alignment wrapText="1"/>
      <protection locked="0"/>
    </xf>
    <xf numFmtId="0" fontId="0" fillId="0" borderId="5" xfId="0" applyBorder="1" applyAlignment="1" applyProtection="1">
      <alignment horizontal="left" wrapText="1"/>
      <protection locked="0"/>
    </xf>
    <xf numFmtId="181" fontId="77" fillId="13" borderId="5" xfId="2" quotePrefix="1" applyNumberFormat="1" applyFont="1" applyFill="1" applyBorder="1" applyAlignment="1" applyProtection="1">
      <alignment horizontal="left" wrapText="1"/>
      <protection locked="0"/>
    </xf>
    <xf numFmtId="181" fontId="18" fillId="0" borderId="5" xfId="2" quotePrefix="1" applyNumberFormat="1" applyFont="1" applyBorder="1" applyAlignment="1" applyProtection="1">
      <alignment horizontal="left" wrapText="1"/>
      <protection locked="0"/>
    </xf>
    <xf numFmtId="181" fontId="19" fillId="0" borderId="5" xfId="2" quotePrefix="1" applyNumberFormat="1" applyFont="1" applyBorder="1" applyAlignment="1" applyProtection="1">
      <alignment horizontal="left" wrapText="1"/>
      <protection locked="0"/>
    </xf>
    <xf numFmtId="0" fontId="19" fillId="29" borderId="5" xfId="0" applyFont="1" applyFill="1" applyBorder="1" applyAlignment="1">
      <alignment wrapText="1"/>
    </xf>
    <xf numFmtId="181" fontId="18" fillId="30" borderId="5" xfId="2" quotePrefix="1" applyNumberFormat="1" applyFont="1" applyFill="1" applyBorder="1" applyAlignment="1" applyProtection="1">
      <alignment horizontal="left" wrapText="1"/>
      <protection locked="0"/>
    </xf>
    <xf numFmtId="0" fontId="78" fillId="0" borderId="5" xfId="0" applyFont="1" applyBorder="1" applyAlignment="1" applyProtection="1">
      <alignment wrapText="1"/>
      <protection locked="0"/>
    </xf>
    <xf numFmtId="0" fontId="79" fillId="0" borderId="5" xfId="0" applyFont="1" applyBorder="1" applyAlignment="1" applyProtection="1">
      <alignment wrapText="1"/>
      <protection locked="0"/>
    </xf>
    <xf numFmtId="0" fontId="15" fillId="0" borderId="5" xfId="8" applyFont="1" applyBorder="1" applyAlignment="1" applyProtection="1">
      <alignment horizontal="left" vertical="center" wrapText="1"/>
      <protection locked="0"/>
    </xf>
    <xf numFmtId="181" fontId="18" fillId="0" borderId="5" xfId="2" applyNumberFormat="1" applyFont="1" applyFill="1" applyBorder="1" applyAlignment="1" applyProtection="1">
      <alignment horizontal="left" wrapText="1"/>
      <protection locked="0"/>
    </xf>
    <xf numFmtId="181" fontId="18" fillId="0" borderId="5" xfId="2" applyNumberFormat="1" applyFont="1" applyBorder="1" applyAlignment="1" applyProtection="1">
      <alignment horizontal="left" wrapText="1"/>
      <protection locked="0"/>
    </xf>
    <xf numFmtId="181" fontId="18" fillId="31" borderId="5" xfId="2" applyNumberFormat="1" applyFont="1" applyFill="1" applyBorder="1" applyAlignment="1" applyProtection="1">
      <alignment horizontal="left" wrapText="1"/>
      <protection locked="0"/>
    </xf>
    <xf numFmtId="0" fontId="81" fillId="0" borderId="5" xfId="0" applyFont="1" applyBorder="1" applyAlignment="1" applyProtection="1">
      <alignment wrapText="1"/>
      <protection locked="0"/>
    </xf>
    <xf numFmtId="0" fontId="34" fillId="0" borderId="5" xfId="0" applyFont="1" applyBorder="1" applyAlignment="1" applyProtection="1">
      <alignment horizontal="left" wrapText="1"/>
      <protection locked="0"/>
    </xf>
    <xf numFmtId="181" fontId="30" fillId="0" borderId="5" xfId="2" quotePrefix="1" applyNumberFormat="1" applyFont="1" applyBorder="1" applyAlignment="1" applyProtection="1">
      <alignment horizontal="left" wrapText="1"/>
      <protection locked="0"/>
    </xf>
    <xf numFmtId="0" fontId="80" fillId="0" borderId="5" xfId="0" applyFont="1" applyBorder="1" applyAlignment="1" applyProtection="1">
      <alignment wrapText="1"/>
      <protection locked="0"/>
    </xf>
    <xf numFmtId="181" fontId="19" fillId="0" borderId="5" xfId="2" applyNumberFormat="1" applyFont="1" applyBorder="1" applyAlignment="1" applyProtection="1">
      <alignment horizontal="left" wrapText="1"/>
      <protection locked="0"/>
    </xf>
    <xf numFmtId="0" fontId="93" fillId="13" borderId="5" xfId="0" applyFont="1" applyFill="1" applyBorder="1" applyAlignment="1">
      <alignment wrapText="1"/>
    </xf>
    <xf numFmtId="0" fontId="92" fillId="13" borderId="5" xfId="0" applyFont="1" applyFill="1" applyBorder="1" applyAlignment="1">
      <alignment wrapText="1"/>
    </xf>
    <xf numFmtId="0" fontId="93" fillId="13" borderId="5" xfId="0" applyFont="1" applyFill="1" applyBorder="1" applyAlignment="1">
      <alignment horizontal="left" wrapText="1"/>
    </xf>
    <xf numFmtId="0" fontId="81" fillId="30" borderId="5" xfId="0" applyFont="1" applyFill="1" applyBorder="1" applyAlignment="1" applyProtection="1">
      <alignment wrapText="1"/>
      <protection locked="0"/>
    </xf>
    <xf numFmtId="181" fontId="18" fillId="30" borderId="5" xfId="2" applyNumberFormat="1" applyFont="1" applyFill="1" applyBorder="1" applyAlignment="1" applyProtection="1">
      <alignment horizontal="left" wrapText="1"/>
      <protection locked="0"/>
    </xf>
    <xf numFmtId="181" fontId="30" fillId="30" borderId="5" xfId="2" applyNumberFormat="1" applyFont="1" applyFill="1" applyBorder="1" applyAlignment="1" applyProtection="1">
      <alignment horizontal="left" wrapText="1"/>
      <protection locked="0"/>
    </xf>
    <xf numFmtId="181" fontId="30" fillId="30" borderId="5" xfId="2" quotePrefix="1" applyNumberFormat="1" applyFont="1" applyFill="1" applyBorder="1" applyAlignment="1" applyProtection="1">
      <alignment horizontal="left" wrapText="1"/>
      <protection locked="0"/>
    </xf>
    <xf numFmtId="0" fontId="0" fillId="0" borderId="5" xfId="0" applyBorder="1" applyAlignment="1">
      <alignment wrapText="1"/>
    </xf>
    <xf numFmtId="0" fontId="0" fillId="0" borderId="5" xfId="0" applyBorder="1" applyAlignment="1">
      <alignment horizontal="left" wrapText="1"/>
    </xf>
    <xf numFmtId="0" fontId="91" fillId="13" borderId="5" xfId="0" applyFont="1" applyFill="1" applyBorder="1" applyAlignment="1" applyProtection="1">
      <alignment wrapText="1"/>
      <protection locked="0"/>
    </xf>
    <xf numFmtId="181" fontId="91" fillId="13" borderId="5" xfId="2" applyNumberFormat="1" applyFont="1" applyFill="1" applyBorder="1" applyAlignment="1" applyProtection="1">
      <alignment horizontal="left" wrapText="1"/>
      <protection locked="0"/>
    </xf>
    <xf numFmtId="181" fontId="93" fillId="13" borderId="5" xfId="2" quotePrefix="1" applyNumberFormat="1" applyFont="1" applyFill="1" applyBorder="1" applyAlignment="1" applyProtection="1">
      <alignment horizontal="left" wrapText="1"/>
      <protection locked="0"/>
    </xf>
    <xf numFmtId="181" fontId="93" fillId="13" borderId="5" xfId="2" applyNumberFormat="1" applyFont="1" applyFill="1" applyBorder="1" applyAlignment="1" applyProtection="1">
      <alignment horizontal="left" wrapText="1"/>
      <protection locked="0"/>
    </xf>
    <xf numFmtId="181" fontId="91" fillId="13" borderId="5" xfId="2" quotePrefix="1" applyNumberFormat="1" applyFont="1" applyFill="1" applyBorder="1" applyAlignment="1" applyProtection="1">
      <alignment horizontal="left" wrapText="1"/>
      <protection locked="0"/>
    </xf>
    <xf numFmtId="0" fontId="94" fillId="13" borderId="5" xfId="0" applyFont="1" applyFill="1" applyBorder="1" applyAlignment="1" applyProtection="1">
      <alignment wrapText="1"/>
      <protection locked="0"/>
    </xf>
    <xf numFmtId="0" fontId="91" fillId="13" borderId="5" xfId="0" applyFont="1" applyFill="1" applyBorder="1" applyAlignment="1" applyProtection="1">
      <alignment horizontal="left" wrapText="1"/>
      <protection locked="0"/>
    </xf>
    <xf numFmtId="0" fontId="92" fillId="13" borderId="5" xfId="0" applyFont="1" applyFill="1" applyBorder="1" applyAlignment="1">
      <alignment horizontal="left" wrapText="1"/>
    </xf>
    <xf numFmtId="0" fontId="92" fillId="13" borderId="5" xfId="0" applyFont="1" applyFill="1" applyBorder="1" applyAlignment="1">
      <alignment vertical="center" wrapText="1"/>
    </xf>
    <xf numFmtId="0" fontId="92" fillId="13" borderId="5" xfId="0" applyFont="1" applyFill="1" applyBorder="1" applyAlignment="1">
      <alignment horizontal="left" vertical="center" wrapText="1"/>
    </xf>
    <xf numFmtId="0" fontId="0" fillId="13" borderId="5" xfId="0" applyFill="1" applyBorder="1" applyAlignment="1" applyProtection="1">
      <alignment horizontal="left" wrapText="1"/>
      <protection locked="0"/>
    </xf>
    <xf numFmtId="0" fontId="18" fillId="0" borderId="5" xfId="0" quotePrefix="1" applyFont="1" applyBorder="1" applyAlignment="1" applyProtection="1">
      <alignment horizontal="left" wrapText="1"/>
      <protection locked="0"/>
    </xf>
    <xf numFmtId="182" fontId="18" fillId="0" borderId="5" xfId="0" quotePrefix="1" applyNumberFormat="1" applyFont="1" applyBorder="1" applyAlignment="1" applyProtection="1">
      <alignment horizontal="left" wrapText="1"/>
      <protection locked="0"/>
    </xf>
    <xf numFmtId="15" fontId="18" fillId="0" borderId="5" xfId="0" quotePrefix="1" applyNumberFormat="1" applyFont="1" applyBorder="1" applyAlignment="1" applyProtection="1">
      <alignment horizontal="left" wrapText="1"/>
      <protection locked="0"/>
    </xf>
    <xf numFmtId="0" fontId="81" fillId="31" borderId="5" xfId="0" applyFont="1" applyFill="1" applyBorder="1" applyAlignment="1" applyProtection="1">
      <alignment wrapText="1"/>
      <protection locked="0"/>
    </xf>
    <xf numFmtId="181" fontId="18" fillId="0" borderId="5" xfId="0" applyNumberFormat="1" applyFont="1" applyBorder="1" applyAlignment="1" applyProtection="1">
      <alignment horizontal="left" wrapText="1"/>
      <protection locked="0"/>
    </xf>
    <xf numFmtId="181" fontId="19" fillId="0" borderId="5" xfId="0" applyNumberFormat="1" applyFont="1" applyBorder="1" applyAlignment="1" applyProtection="1">
      <alignment horizontal="left" wrapText="1"/>
      <protection locked="0"/>
    </xf>
    <xf numFmtId="0" fontId="79" fillId="32" borderId="5" xfId="0" applyFont="1" applyFill="1" applyBorder="1" applyAlignment="1" applyProtection="1">
      <alignment wrapText="1"/>
      <protection locked="0"/>
    </xf>
    <xf numFmtId="181" fontId="18" fillId="0" borderId="5" xfId="0" quotePrefix="1" applyNumberFormat="1" applyFont="1" applyBorder="1" applyAlignment="1" applyProtection="1">
      <alignment horizontal="left" wrapText="1"/>
      <protection locked="0"/>
    </xf>
    <xf numFmtId="0" fontId="7" fillId="13" borderId="5" xfId="0" applyFont="1" applyFill="1" applyBorder="1" applyAlignment="1" applyProtection="1">
      <alignment wrapText="1"/>
      <protection locked="0"/>
    </xf>
    <xf numFmtId="181" fontId="34" fillId="13" borderId="5" xfId="2" quotePrefix="1" applyNumberFormat="1" applyFont="1" applyFill="1" applyBorder="1" applyAlignment="1" applyProtection="1">
      <alignment horizontal="left" wrapText="1"/>
      <protection locked="0"/>
    </xf>
    <xf numFmtId="181" fontId="34" fillId="13" borderId="5" xfId="2" applyNumberFormat="1" applyFont="1" applyFill="1" applyBorder="1" applyAlignment="1" applyProtection="1">
      <alignment horizontal="left" wrapText="1"/>
      <protection locked="0"/>
    </xf>
    <xf numFmtId="0" fontId="10" fillId="13" borderId="5" xfId="0" applyFont="1" applyFill="1" applyBorder="1" applyAlignment="1" applyProtection="1">
      <alignment wrapText="1"/>
      <protection locked="0"/>
    </xf>
    <xf numFmtId="181" fontId="30" fillId="13" borderId="5" xfId="2" applyNumberFormat="1" applyFont="1" applyFill="1" applyBorder="1" applyAlignment="1" applyProtection="1">
      <alignment horizontal="left" wrapText="1"/>
      <protection locked="0"/>
    </xf>
    <xf numFmtId="0" fontId="78" fillId="13" borderId="5" xfId="0" applyFont="1" applyFill="1" applyBorder="1" applyAlignment="1" applyProtection="1">
      <alignment wrapText="1"/>
      <protection locked="0"/>
    </xf>
    <xf numFmtId="181" fontId="15" fillId="13" borderId="5" xfId="2" applyNumberFormat="1" applyFont="1" applyFill="1" applyBorder="1" applyAlignment="1" applyProtection="1">
      <alignment horizontal="left" wrapText="1"/>
      <protection locked="0"/>
    </xf>
    <xf numFmtId="0" fontId="15" fillId="13" borderId="5" xfId="0" applyFont="1" applyFill="1" applyBorder="1" applyAlignment="1" applyProtection="1">
      <alignment horizontal="left" wrapText="1"/>
      <protection locked="0"/>
    </xf>
    <xf numFmtId="0" fontId="83" fillId="13" borderId="5" xfId="0" applyFont="1" applyFill="1" applyBorder="1" applyAlignment="1" applyProtection="1">
      <alignment wrapText="1"/>
      <protection locked="0"/>
    </xf>
    <xf numFmtId="0" fontId="15" fillId="13" borderId="5" xfId="0" quotePrefix="1" applyFont="1" applyFill="1" applyBorder="1" applyAlignment="1" applyProtection="1">
      <alignment horizontal="left" wrapText="1"/>
      <protection locked="0"/>
    </xf>
    <xf numFmtId="0" fontId="0" fillId="35" borderId="5" xfId="0" applyFill="1" applyBorder="1" applyAlignment="1" applyProtection="1">
      <alignment wrapText="1"/>
      <protection locked="0"/>
    </xf>
    <xf numFmtId="0" fontId="0" fillId="35" borderId="5" xfId="0" applyFill="1" applyBorder="1" applyAlignment="1" applyProtection="1">
      <alignment horizontal="left" wrapText="1"/>
      <protection locked="0"/>
    </xf>
    <xf numFmtId="181" fontId="95" fillId="35" borderId="5" xfId="2" applyNumberFormat="1" applyFont="1" applyFill="1" applyBorder="1" applyAlignment="1" applyProtection="1">
      <alignment wrapText="1"/>
      <protection locked="0"/>
    </xf>
    <xf numFmtId="0" fontId="0" fillId="35" borderId="0" xfId="0" applyFill="1" applyProtection="1">
      <protection locked="0"/>
    </xf>
    <xf numFmtId="181" fontId="95" fillId="13" borderId="5" xfId="2" applyNumberFormat="1" applyFont="1" applyFill="1" applyBorder="1" applyAlignment="1" applyProtection="1">
      <alignment wrapText="1"/>
      <protection locked="0"/>
    </xf>
    <xf numFmtId="181" fontId="95" fillId="0" borderId="5" xfId="2" applyNumberFormat="1" applyFont="1" applyFill="1" applyBorder="1" applyAlignment="1" applyProtection="1">
      <alignment wrapText="1"/>
      <protection locked="0"/>
    </xf>
    <xf numFmtId="0" fontId="0" fillId="0" borderId="5" xfId="0" quotePrefix="1" applyBorder="1" applyAlignment="1" applyProtection="1">
      <alignment horizontal="left" wrapText="1"/>
      <protection locked="0"/>
    </xf>
    <xf numFmtId="0" fontId="99" fillId="0" borderId="5" xfId="0" applyFont="1" applyBorder="1" applyAlignment="1" applyProtection="1">
      <alignment horizontal="left" wrapText="1"/>
      <protection locked="0"/>
    </xf>
    <xf numFmtId="0" fontId="99" fillId="24" borderId="5" xfId="0" quotePrefix="1" applyFont="1" applyFill="1" applyBorder="1" applyAlignment="1" applyProtection="1">
      <alignment horizontal="left" wrapText="1"/>
      <protection locked="0"/>
    </xf>
    <xf numFmtId="0" fontId="99" fillId="24" borderId="5" xfId="0" applyFont="1" applyFill="1" applyBorder="1" applyAlignment="1" applyProtection="1">
      <alignment horizontal="left" wrapText="1"/>
      <protection locked="0"/>
    </xf>
    <xf numFmtId="0" fontId="7" fillId="0" borderId="5" xfId="0" applyFont="1" applyBorder="1" applyAlignment="1" applyProtection="1">
      <alignment vertical="center" wrapText="1"/>
      <protection locked="0"/>
    </xf>
    <xf numFmtId="181" fontId="95" fillId="13" borderId="5" xfId="2" applyNumberFormat="1" applyFont="1" applyFill="1" applyBorder="1" applyAlignment="1" applyProtection="1">
      <alignment horizontal="left" wrapText="1"/>
      <protection locked="0"/>
    </xf>
    <xf numFmtId="181" fontId="96" fillId="13" borderId="5" xfId="2" quotePrefix="1" applyNumberFormat="1" applyFont="1" applyFill="1" applyBorder="1" applyAlignment="1" applyProtection="1">
      <alignment wrapText="1"/>
      <protection locked="0"/>
    </xf>
    <xf numFmtId="181" fontId="96" fillId="13" borderId="5" xfId="2" quotePrefix="1" applyNumberFormat="1" applyFont="1" applyFill="1" applyBorder="1" applyAlignment="1" applyProtection="1">
      <alignment horizontal="left" wrapText="1"/>
      <protection locked="0"/>
    </xf>
    <xf numFmtId="181" fontId="96" fillId="13" borderId="5" xfId="2" applyNumberFormat="1" applyFont="1" applyFill="1" applyBorder="1" applyAlignment="1" applyProtection="1">
      <alignment wrapText="1"/>
      <protection locked="0"/>
    </xf>
    <xf numFmtId="181" fontId="96" fillId="13" borderId="5" xfId="2" applyNumberFormat="1" applyFont="1" applyFill="1" applyBorder="1" applyAlignment="1" applyProtection="1">
      <alignment horizontal="left" wrapText="1"/>
      <protection locked="0"/>
    </xf>
    <xf numFmtId="181" fontId="95" fillId="13" borderId="5" xfId="2" quotePrefix="1" applyNumberFormat="1" applyFont="1" applyFill="1" applyBorder="1" applyAlignment="1" applyProtection="1">
      <alignment wrapText="1"/>
      <protection locked="0"/>
    </xf>
    <xf numFmtId="181" fontId="95" fillId="13" borderId="5" xfId="2" quotePrefix="1" applyNumberFormat="1" applyFont="1" applyFill="1" applyBorder="1" applyAlignment="1" applyProtection="1">
      <alignment horizontal="left" wrapText="1"/>
      <protection locked="0"/>
    </xf>
    <xf numFmtId="0" fontId="95" fillId="13" borderId="5" xfId="0" applyFont="1" applyFill="1" applyBorder="1" applyAlignment="1" applyProtection="1">
      <alignment wrapText="1"/>
      <protection locked="0"/>
    </xf>
    <xf numFmtId="0" fontId="95" fillId="13" borderId="5" xfId="0" applyFont="1" applyFill="1" applyBorder="1" applyAlignment="1" applyProtection="1">
      <alignment horizontal="left" wrapText="1"/>
      <protection locked="0"/>
    </xf>
    <xf numFmtId="0" fontId="97" fillId="13" borderId="5" xfId="0" applyFont="1" applyFill="1" applyBorder="1" applyAlignment="1">
      <alignment wrapText="1"/>
    </xf>
    <xf numFmtId="0" fontId="97" fillId="13" borderId="5" xfId="0" applyFont="1" applyFill="1" applyBorder="1" applyAlignment="1">
      <alignment horizontal="left" wrapText="1"/>
    </xf>
    <xf numFmtId="0" fontId="4" fillId="0" borderId="5" xfId="0" applyFont="1" applyBorder="1" applyAlignment="1" applyProtection="1">
      <alignment horizontal="left" wrapText="1"/>
      <protection locked="0"/>
    </xf>
    <xf numFmtId="0" fontId="4" fillId="0" borderId="5" xfId="0" applyFont="1" applyBorder="1" applyAlignment="1" applyProtection="1">
      <alignment wrapText="1"/>
      <protection locked="0"/>
    </xf>
    <xf numFmtId="0" fontId="98" fillId="13" borderId="5" xfId="0" applyFont="1" applyFill="1" applyBorder="1" applyAlignment="1">
      <alignment vertical="center" wrapText="1"/>
    </xf>
    <xf numFmtId="0" fontId="98" fillId="13" borderId="5" xfId="0" applyFont="1" applyFill="1" applyBorder="1" applyAlignment="1">
      <alignment horizontal="left" vertical="center" wrapText="1"/>
    </xf>
    <xf numFmtId="0" fontId="0" fillId="0" borderId="14" xfId="0" applyBorder="1" applyAlignment="1">
      <alignment wrapText="1"/>
    </xf>
    <xf numFmtId="0" fontId="0" fillId="0" borderId="14" xfId="0" applyBorder="1" applyAlignment="1" applyProtection="1">
      <alignment wrapText="1"/>
      <protection locked="0"/>
    </xf>
    <xf numFmtId="0" fontId="87" fillId="0" borderId="5" xfId="0" applyFont="1" applyBorder="1" applyAlignment="1" applyProtection="1">
      <alignment wrapText="1"/>
      <protection locked="0"/>
    </xf>
    <xf numFmtId="0" fontId="87" fillId="0" borderId="5" xfId="0" applyFont="1" applyBorder="1" applyAlignment="1" applyProtection="1">
      <alignment horizontal="left" wrapText="1"/>
      <protection locked="0"/>
    </xf>
    <xf numFmtId="181" fontId="84" fillId="35" borderId="5" xfId="2" applyNumberFormat="1" applyFont="1" applyFill="1" applyBorder="1" applyAlignment="1" applyProtection="1">
      <alignment horizontal="left" wrapText="1"/>
      <protection locked="0"/>
    </xf>
    <xf numFmtId="181" fontId="84" fillId="13" borderId="5" xfId="2" applyNumberFormat="1" applyFont="1" applyFill="1" applyBorder="1" applyAlignment="1" applyProtection="1">
      <alignment horizontal="left" wrapText="1"/>
      <protection locked="0"/>
    </xf>
    <xf numFmtId="0" fontId="15" fillId="0" borderId="12" xfId="8" applyFont="1" applyBorder="1" applyAlignment="1" applyProtection="1">
      <alignment vertical="center" wrapText="1"/>
      <protection locked="0"/>
    </xf>
    <xf numFmtId="0" fontId="100" fillId="36" borderId="5" xfId="0" applyFont="1" applyFill="1" applyBorder="1" applyAlignment="1" applyProtection="1">
      <alignment horizontal="left" wrapText="1"/>
      <protection locked="0"/>
    </xf>
    <xf numFmtId="0" fontId="100" fillId="0" borderId="5" xfId="0" applyFont="1"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12" xfId="0" applyBorder="1" applyAlignment="1" applyProtection="1">
      <alignment wrapText="1"/>
      <protection locked="0"/>
    </xf>
    <xf numFmtId="0" fontId="19" fillId="9" borderId="5" xfId="0" applyFont="1" applyFill="1" applyBorder="1" applyAlignment="1">
      <alignment horizontal="left" wrapText="1"/>
    </xf>
    <xf numFmtId="0" fontId="7" fillId="6" borderId="5" xfId="0" applyFont="1" applyFill="1" applyBorder="1" applyAlignment="1">
      <alignment horizontal="left" vertical="center"/>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7"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8" fillId="2" borderId="5" xfId="0" applyFont="1" applyFill="1" applyBorder="1" applyAlignment="1">
      <alignment horizontal="center" vertical="center"/>
    </xf>
    <xf numFmtId="0" fontId="9" fillId="4" borderId="5" xfId="0" applyFont="1" applyFill="1" applyBorder="1" applyAlignment="1">
      <alignment horizontal="left" vertical="center"/>
    </xf>
    <xf numFmtId="0" fontId="10" fillId="5" borderId="5" xfId="0" applyFont="1" applyFill="1" applyBorder="1" applyAlignment="1">
      <alignment horizontal="left" vertical="center" wrapText="1"/>
    </xf>
    <xf numFmtId="0" fontId="10" fillId="5" borderId="10" xfId="0" applyFont="1" applyFill="1" applyBorder="1" applyAlignment="1">
      <alignment horizontal="center" vertical="center" wrapText="1"/>
    </xf>
    <xf numFmtId="0" fontId="10" fillId="5" borderId="37" xfId="0" applyFont="1" applyFill="1" applyBorder="1" applyAlignment="1">
      <alignment horizontal="center" vertical="center" wrapText="1"/>
    </xf>
    <xf numFmtId="0" fontId="10" fillId="5" borderId="11" xfId="0" applyFont="1" applyFill="1" applyBorder="1" applyAlignment="1">
      <alignment horizontal="center" vertical="center" wrapText="1"/>
    </xf>
    <xf numFmtId="0" fontId="10" fillId="5" borderId="8" xfId="0" applyFont="1" applyFill="1" applyBorder="1" applyAlignment="1">
      <alignment horizontal="left" vertical="center" wrapText="1"/>
    </xf>
    <xf numFmtId="0" fontId="8" fillId="3" borderId="1"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8" fillId="3" borderId="2" xfId="0" applyFont="1" applyFill="1" applyBorder="1" applyAlignment="1">
      <alignment horizontal="left" vertical="center"/>
    </xf>
    <xf numFmtId="0" fontId="8" fillId="3" borderId="3" xfId="0" applyFont="1" applyFill="1" applyBorder="1" applyAlignment="1">
      <alignment horizontal="left" vertical="center"/>
    </xf>
    <xf numFmtId="0" fontId="12" fillId="0" borderId="5" xfId="3" applyBorder="1" applyAlignment="1">
      <alignment horizontal="left"/>
    </xf>
    <xf numFmtId="0" fontId="13" fillId="0" borderId="6" xfId="3" applyFont="1" applyBorder="1" applyAlignment="1">
      <alignment horizontal="left"/>
    </xf>
    <xf numFmtId="0" fontId="12" fillId="0" borderId="8" xfId="3" applyBorder="1" applyAlignment="1">
      <alignment horizontal="left"/>
    </xf>
    <xf numFmtId="0" fontId="12" fillId="0" borderId="9" xfId="3" applyBorder="1" applyAlignment="1">
      <alignment horizontal="left"/>
    </xf>
    <xf numFmtId="0" fontId="21" fillId="11" borderId="10" xfId="4" applyFont="1" applyFill="1" applyBorder="1" applyAlignment="1">
      <alignment horizontal="center"/>
    </xf>
    <xf numFmtId="0" fontId="21" fillId="11" borderId="11" xfId="4" applyFont="1" applyFill="1" applyBorder="1" applyAlignment="1">
      <alignment horizontal="center"/>
    </xf>
    <xf numFmtId="0" fontId="18" fillId="0" borderId="12" xfId="8" applyFont="1" applyBorder="1" applyAlignment="1" applyProtection="1">
      <alignment horizontal="center" vertical="center" wrapText="1"/>
      <protection locked="0"/>
    </xf>
    <xf numFmtId="0" fontId="18" fillId="0" borderId="14" xfId="8" applyFont="1" applyBorder="1" applyAlignment="1" applyProtection="1">
      <alignment horizontal="center" vertical="center" wrapText="1"/>
      <protection locked="0"/>
    </xf>
    <xf numFmtId="0" fontId="15" fillId="0" borderId="12" xfId="0" applyFont="1" applyBorder="1" applyAlignment="1" applyProtection="1">
      <alignment horizontal="left" vertical="center" wrapText="1"/>
      <protection locked="0"/>
    </xf>
    <xf numFmtId="0" fontId="15" fillId="0" borderId="14" xfId="0" applyFont="1" applyBorder="1" applyAlignment="1" applyProtection="1">
      <alignment horizontal="left" vertical="center" wrapText="1"/>
      <protection locked="0"/>
    </xf>
    <xf numFmtId="0" fontId="15" fillId="0" borderId="15" xfId="0" applyFont="1" applyBorder="1" applyAlignment="1" applyProtection="1">
      <alignment horizontal="left" vertical="center" wrapText="1"/>
      <protection locked="0"/>
    </xf>
    <xf numFmtId="174" fontId="18" fillId="20" borderId="12" xfId="10" applyNumberFormat="1" applyFont="1" applyFill="1" applyBorder="1" applyAlignment="1" applyProtection="1">
      <alignment horizontal="center" vertical="center" wrapText="1"/>
    </xf>
    <xf numFmtId="174" fontId="18" fillId="20" borderId="14" xfId="10" applyNumberFormat="1" applyFont="1" applyFill="1" applyBorder="1" applyAlignment="1" applyProtection="1">
      <alignment horizontal="center" vertical="center" wrapText="1"/>
    </xf>
    <xf numFmtId="174" fontId="90" fillId="34" borderId="12" xfId="10" applyNumberFormat="1" applyFont="1" applyFill="1" applyBorder="1" applyAlignment="1" applyProtection="1">
      <alignment horizontal="center" vertical="center" wrapText="1"/>
    </xf>
    <xf numFmtId="174" fontId="90" fillId="34" borderId="14" xfId="10" applyNumberFormat="1" applyFont="1" applyFill="1" applyBorder="1" applyAlignment="1" applyProtection="1">
      <alignment horizontal="center" vertical="center" wrapText="1"/>
    </xf>
    <xf numFmtId="174" fontId="90" fillId="34" borderId="15" xfId="10" applyNumberFormat="1" applyFont="1" applyFill="1" applyBorder="1" applyAlignment="1" applyProtection="1">
      <alignment horizontal="center" vertical="center" wrapText="1"/>
    </xf>
    <xf numFmtId="0" fontId="30" fillId="0" borderId="12" xfId="8" applyBorder="1" applyAlignment="1" applyProtection="1">
      <alignment horizontal="left"/>
      <protection locked="0"/>
    </xf>
    <xf numFmtId="0" fontId="30" fillId="0" borderId="14" xfId="8" applyBorder="1" applyAlignment="1" applyProtection="1">
      <alignment horizontal="left"/>
      <protection locked="0"/>
    </xf>
    <xf numFmtId="0" fontId="30" fillId="0" borderId="15" xfId="8" applyBorder="1" applyAlignment="1" applyProtection="1">
      <alignment horizontal="left"/>
      <protection locked="0"/>
    </xf>
    <xf numFmtId="0" fontId="18" fillId="0" borderId="12" xfId="0" applyFont="1" applyBorder="1" applyAlignment="1" applyProtection="1">
      <alignment horizontal="left" wrapText="1"/>
      <protection locked="0"/>
    </xf>
    <xf numFmtId="0" fontId="18" fillId="0" borderId="14" xfId="0" applyFont="1" applyBorder="1" applyAlignment="1" applyProtection="1">
      <alignment horizontal="left" wrapText="1"/>
      <protection locked="0"/>
    </xf>
    <xf numFmtId="0" fontId="18" fillId="0" borderId="15" xfId="0" applyFont="1" applyBorder="1" applyAlignment="1" applyProtection="1">
      <alignment horizontal="left" wrapText="1"/>
      <protection locked="0"/>
    </xf>
    <xf numFmtId="0" fontId="15" fillId="0" borderId="12" xfId="8" applyFont="1" applyBorder="1" applyAlignment="1" applyProtection="1">
      <alignment horizontal="center" vertical="center"/>
      <protection locked="0"/>
    </xf>
    <xf numFmtId="0" fontId="15" fillId="0" borderId="14" xfId="8" applyFont="1" applyBorder="1" applyAlignment="1" applyProtection="1">
      <alignment horizontal="center" vertical="center"/>
      <protection locked="0"/>
    </xf>
    <xf numFmtId="0" fontId="15" fillId="0" borderId="15" xfId="8" applyFont="1" applyBorder="1" applyAlignment="1" applyProtection="1">
      <alignment horizontal="center" vertical="center"/>
      <protection locked="0"/>
    </xf>
    <xf numFmtId="0" fontId="15" fillId="0" borderId="12" xfId="8" applyFont="1" applyBorder="1" applyAlignment="1" applyProtection="1">
      <alignment horizontal="left" vertical="center"/>
      <protection locked="0"/>
    </xf>
    <xf numFmtId="0" fontId="15" fillId="0" borderId="15" xfId="8" applyFont="1" applyBorder="1" applyAlignment="1" applyProtection="1">
      <alignment horizontal="left" vertical="center"/>
      <protection locked="0"/>
    </xf>
    <xf numFmtId="0" fontId="30" fillId="0" borderId="12" xfId="8" applyBorder="1" applyAlignment="1" applyProtection="1">
      <alignment horizontal="left" vertical="center"/>
      <protection locked="0"/>
    </xf>
    <xf numFmtId="0" fontId="30" fillId="0" borderId="14" xfId="8" applyBorder="1" applyAlignment="1" applyProtection="1">
      <alignment horizontal="left" vertical="center"/>
      <protection locked="0"/>
    </xf>
    <xf numFmtId="0" fontId="30" fillId="0" borderId="15" xfId="8" applyBorder="1" applyAlignment="1" applyProtection="1">
      <alignment horizontal="left" vertical="center"/>
      <protection locked="0"/>
    </xf>
    <xf numFmtId="0" fontId="18" fillId="0" borderId="12" xfId="0" applyFont="1" applyBorder="1" applyAlignment="1" applyProtection="1">
      <alignment horizontal="left" vertical="center" wrapText="1"/>
      <protection locked="0"/>
    </xf>
    <xf numFmtId="0" fontId="18" fillId="0" borderId="15" xfId="0" applyFont="1" applyBorder="1" applyAlignment="1" applyProtection="1">
      <alignment horizontal="left" vertical="center" wrapText="1"/>
      <protection locked="0"/>
    </xf>
    <xf numFmtId="0" fontId="18" fillId="0" borderId="14" xfId="0" applyFont="1" applyBorder="1" applyAlignment="1" applyProtection="1">
      <alignment horizontal="left" vertical="center" wrapText="1"/>
      <protection locked="0"/>
    </xf>
    <xf numFmtId="0" fontId="15" fillId="0" borderId="5" xfId="0" applyFont="1" applyBorder="1" applyAlignment="1" applyProtection="1">
      <alignment horizontal="left" vertical="center" wrapText="1"/>
      <protection locked="0"/>
    </xf>
    <xf numFmtId="0" fontId="15" fillId="0" borderId="5" xfId="8" applyFont="1" applyBorder="1" applyAlignment="1" applyProtection="1">
      <alignment horizontal="left" vertical="center"/>
      <protection locked="0"/>
    </xf>
    <xf numFmtId="0" fontId="15" fillId="13" borderId="12" xfId="0" applyFont="1" applyFill="1" applyBorder="1" applyAlignment="1" applyProtection="1">
      <alignment horizontal="left" vertical="center" wrapText="1"/>
      <protection locked="0"/>
    </xf>
    <xf numFmtId="0" fontId="15" fillId="13" borderId="14" xfId="0" applyFont="1" applyFill="1" applyBorder="1" applyAlignment="1" applyProtection="1">
      <alignment horizontal="left" vertical="center" wrapText="1"/>
      <protection locked="0"/>
    </xf>
    <xf numFmtId="0" fontId="15" fillId="13" borderId="15" xfId="0" applyFont="1" applyFill="1" applyBorder="1" applyAlignment="1" applyProtection="1">
      <alignment horizontal="left" vertical="center" wrapText="1"/>
      <protection locked="0"/>
    </xf>
    <xf numFmtId="0" fontId="15" fillId="0" borderId="14" xfId="8" applyFont="1" applyBorder="1" applyAlignment="1" applyProtection="1">
      <alignment horizontal="left" vertical="center"/>
      <protection locked="0"/>
    </xf>
    <xf numFmtId="0" fontId="30" fillId="0" borderId="18" xfId="8" applyBorder="1" applyAlignment="1" applyProtection="1">
      <alignment horizontal="center" wrapText="1"/>
      <protection locked="0"/>
    </xf>
    <xf numFmtId="0" fontId="30" fillId="0" borderId="20" xfId="8" applyBorder="1" applyAlignment="1" applyProtection="1">
      <alignment horizontal="center" wrapText="1"/>
      <protection locked="0"/>
    </xf>
    <xf numFmtId="0" fontId="15" fillId="0" borderId="12" xfId="8" applyFont="1" applyBorder="1" applyAlignment="1" applyProtection="1">
      <alignment horizontal="center" vertical="center" wrapText="1"/>
      <protection locked="0"/>
    </xf>
    <xf numFmtId="0" fontId="15" fillId="0" borderId="14" xfId="8" applyFont="1" applyBorder="1" applyAlignment="1" applyProtection="1">
      <alignment horizontal="center" vertical="center" wrapText="1"/>
      <protection locked="0"/>
    </xf>
    <xf numFmtId="168" fontId="18" fillId="0" borderId="0" xfId="1" applyNumberFormat="1" applyFont="1" applyFill="1" applyBorder="1" applyAlignment="1" applyProtection="1">
      <alignment horizontal="center"/>
      <protection locked="0"/>
    </xf>
    <xf numFmtId="0" fontId="17" fillId="3" borderId="0" xfId="8" applyFont="1" applyFill="1" applyAlignment="1" applyProtection="1">
      <alignment horizontal="center" vertical="center" wrapText="1"/>
      <protection locked="0"/>
    </xf>
    <xf numFmtId="0" fontId="17" fillId="3" borderId="16" xfId="8" applyFont="1" applyFill="1" applyBorder="1" applyAlignment="1" applyProtection="1">
      <alignment horizontal="center" vertical="center" wrapText="1"/>
      <protection locked="0"/>
    </xf>
    <xf numFmtId="0" fontId="15" fillId="0" borderId="19" xfId="0" applyFont="1" applyBorder="1" applyAlignment="1" applyProtection="1">
      <alignment horizontal="left" vertical="center" wrapText="1"/>
      <protection locked="0"/>
    </xf>
    <xf numFmtId="0" fontId="15" fillId="0" borderId="38" xfId="0" applyFont="1" applyBorder="1" applyAlignment="1" applyProtection="1">
      <alignment horizontal="left" vertical="center" wrapText="1"/>
      <protection locked="0"/>
    </xf>
    <xf numFmtId="0" fontId="15" fillId="0" borderId="39" xfId="0" applyFont="1" applyBorder="1" applyAlignment="1" applyProtection="1">
      <alignment horizontal="left" vertical="center" wrapText="1"/>
      <protection locked="0"/>
    </xf>
    <xf numFmtId="0" fontId="15" fillId="0" borderId="19" xfId="8" applyFont="1" applyBorder="1" applyAlignment="1" applyProtection="1">
      <alignment horizontal="left" vertical="center"/>
      <protection locked="0"/>
    </xf>
    <xf numFmtId="0" fontId="15" fillId="0" borderId="38" xfId="8" applyFont="1" applyBorder="1" applyAlignment="1" applyProtection="1">
      <alignment horizontal="left" vertical="center"/>
      <protection locked="0"/>
    </xf>
    <xf numFmtId="0" fontId="15" fillId="0" borderId="39" xfId="8" applyFont="1" applyBorder="1" applyAlignment="1" applyProtection="1">
      <alignment horizontal="left" vertical="center"/>
      <protection locked="0"/>
    </xf>
    <xf numFmtId="0" fontId="15" fillId="0" borderId="12" xfId="0" applyFont="1" applyBorder="1" applyAlignment="1" applyProtection="1">
      <alignment horizontal="center" vertical="center" wrapText="1"/>
      <protection locked="0"/>
    </xf>
    <xf numFmtId="0" fontId="15" fillId="0" borderId="14" xfId="0" applyFont="1" applyBorder="1" applyAlignment="1" applyProtection="1">
      <alignment horizontal="center" vertical="center" wrapText="1"/>
      <protection locked="0"/>
    </xf>
    <xf numFmtId="0" fontId="15" fillId="0" borderId="15" xfId="0" applyFont="1" applyBorder="1" applyAlignment="1" applyProtection="1">
      <alignment horizontal="center" vertical="center" wrapText="1"/>
      <protection locked="0"/>
    </xf>
    <xf numFmtId="0" fontId="15" fillId="0" borderId="5" xfId="8" applyFont="1" applyBorder="1" applyAlignment="1" applyProtection="1">
      <alignment horizontal="center" vertical="center"/>
      <protection locked="0"/>
    </xf>
    <xf numFmtId="0" fontId="18" fillId="0" borderId="12" xfId="0" applyFont="1" applyBorder="1" applyAlignment="1" applyProtection="1">
      <alignment horizontal="center" wrapText="1"/>
      <protection locked="0"/>
    </xf>
    <xf numFmtId="0" fontId="18" fillId="0" borderId="14" xfId="0" applyFont="1" applyBorder="1" applyAlignment="1" applyProtection="1">
      <alignment horizontal="center" wrapText="1"/>
      <protection locked="0"/>
    </xf>
    <xf numFmtId="0" fontId="18" fillId="0" borderId="15" xfId="0" applyFont="1" applyBorder="1" applyAlignment="1" applyProtection="1">
      <alignment horizontal="center" wrapText="1"/>
      <protection locked="0"/>
    </xf>
    <xf numFmtId="0" fontId="15" fillId="0" borderId="18" xfId="8" applyFont="1" applyBorder="1" applyAlignment="1" applyProtection="1">
      <alignment horizontal="left" vertical="center"/>
      <protection locked="0"/>
    </xf>
    <xf numFmtId="0" fontId="15" fillId="0" borderId="20" xfId="8" applyFont="1" applyBorder="1" applyAlignment="1" applyProtection="1">
      <alignment horizontal="left" vertical="center"/>
      <protection locked="0"/>
    </xf>
    <xf numFmtId="0" fontId="15" fillId="0" borderId="40" xfId="8" applyFont="1" applyBorder="1" applyAlignment="1" applyProtection="1">
      <alignment horizontal="left" vertical="center"/>
      <protection locked="0"/>
    </xf>
    <xf numFmtId="0" fontId="15" fillId="0" borderId="19" xfId="8" applyFont="1" applyBorder="1" applyAlignment="1" applyProtection="1">
      <alignment horizontal="center" vertical="center"/>
      <protection locked="0"/>
    </xf>
    <xf numFmtId="0" fontId="15" fillId="0" borderId="38" xfId="8" applyFont="1" applyBorder="1" applyAlignment="1" applyProtection="1">
      <alignment horizontal="center" vertical="center"/>
      <protection locked="0"/>
    </xf>
    <xf numFmtId="0" fontId="15" fillId="0" borderId="39" xfId="8" applyFont="1" applyBorder="1" applyAlignment="1" applyProtection="1">
      <alignment horizontal="center" vertical="center"/>
      <protection locked="0"/>
    </xf>
  </cellXfs>
  <cellStyles count="23">
    <cellStyle name="Comma" xfId="1" builtinId="3"/>
    <cellStyle name="Comma 16" xfId="7" xr:uid="{00000000-0005-0000-0000-000001000000}"/>
    <cellStyle name="Comma 2 10" xfId="13" xr:uid="{00000000-0005-0000-0000-000002000000}"/>
    <cellStyle name="Comma 2 10 2" xfId="16" xr:uid="{00000000-0005-0000-0000-000003000000}"/>
    <cellStyle name="Comma 2 2" xfId="10" xr:uid="{00000000-0005-0000-0000-000004000000}"/>
    <cellStyle name="Hyperlink" xfId="3" builtinId="8"/>
    <cellStyle name="Normal" xfId="0" builtinId="0"/>
    <cellStyle name="Normal 14 3 2" xfId="6" xr:uid="{00000000-0005-0000-0000-000007000000}"/>
    <cellStyle name="Normal 16" xfId="11" xr:uid="{00000000-0005-0000-0000-000008000000}"/>
    <cellStyle name="Normal 2" xfId="22" xr:uid="{00000000-0005-0000-0000-000009000000}"/>
    <cellStyle name="Normal 2 10" xfId="19" xr:uid="{00000000-0005-0000-0000-00000A000000}"/>
    <cellStyle name="Normal 2 10 2" xfId="18" xr:uid="{00000000-0005-0000-0000-00000B000000}"/>
    <cellStyle name="Normal 2 4" xfId="8" xr:uid="{00000000-0005-0000-0000-00000C000000}"/>
    <cellStyle name="Normal 2 5" xfId="4" xr:uid="{00000000-0005-0000-0000-00000D000000}"/>
    <cellStyle name="Normal 24 8" xfId="5" xr:uid="{00000000-0005-0000-0000-00000E000000}"/>
    <cellStyle name="Normal 3" xfId="21" xr:uid="{00000000-0005-0000-0000-00000F000000}"/>
    <cellStyle name="Normal 37 2" xfId="17" xr:uid="{00000000-0005-0000-0000-000010000000}"/>
    <cellStyle name="Normal 37 2 2" xfId="20" xr:uid="{00000000-0005-0000-0000-000011000000}"/>
    <cellStyle name="Normal 39 3" xfId="9" xr:uid="{00000000-0005-0000-0000-000012000000}"/>
    <cellStyle name="Normal 41" xfId="14" xr:uid="{00000000-0005-0000-0000-000013000000}"/>
    <cellStyle name="Normal_Feuil1" xfId="12" xr:uid="{00000000-0005-0000-0000-000014000000}"/>
    <cellStyle name="Normal_Feuil1 2" xfId="15" xr:uid="{00000000-0005-0000-0000-000015000000}"/>
    <cellStyle name="Percent" xfId="2" builtinId="5"/>
  </cellStyles>
  <dxfs count="10">
    <dxf>
      <font>
        <color rgb="FF9C0006"/>
      </font>
      <fill>
        <patternFill>
          <bgColor rgb="FFFFC7CE"/>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ont>
        <color rgb="FF9C0006"/>
      </font>
      <fill>
        <patternFill>
          <bgColor rgb="FFFFC7CE"/>
        </patternFill>
      </fill>
    </dxf>
    <dxf>
      <fill>
        <patternFill patternType="solid">
          <fgColor rgb="FFFF0000"/>
          <bgColor rgb="FFFF0000"/>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lazarous.mangazi@mohpiu.com" TargetMode="External"/><Relationship Id="rId2" Type="http://schemas.openxmlformats.org/officeDocument/2006/relationships/hyperlink" Target="mailto:lakalakan@yahoo.com" TargetMode="External"/><Relationship Id="rId1" Type="http://schemas.openxmlformats.org/officeDocument/2006/relationships/hyperlink" Target="mailto:leonard_dandalo@abtassoc.com" TargetMode="External"/><Relationship Id="rId6" Type="http://schemas.openxmlformats.org/officeDocument/2006/relationships/printerSettings" Target="../printerSettings/printerSettings1.bin"/><Relationship Id="rId5" Type="http://schemas.openxmlformats.org/officeDocument/2006/relationships/hyperlink" Target="mailto:trinitasm@gmail.com" TargetMode="External"/><Relationship Id="rId4" Type="http://schemas.openxmlformats.org/officeDocument/2006/relationships/hyperlink" Target="mailto:aagumbo@yahoo.co.uk"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
  <sheetViews>
    <sheetView tabSelected="1" topLeftCell="D1" workbookViewId="0">
      <selection activeCell="E25" sqref="E25:F25"/>
    </sheetView>
  </sheetViews>
  <sheetFormatPr defaultColWidth="11.42578125" defaultRowHeight="15"/>
  <cols>
    <col min="1" max="1" width="28" customWidth="1"/>
    <col min="2" max="2" width="22.42578125" customWidth="1"/>
    <col min="3" max="3" width="31.5703125" customWidth="1"/>
    <col min="4" max="4" width="24.140625" customWidth="1"/>
    <col min="6" max="6" width="20.5703125" customWidth="1"/>
    <col min="7" max="7" width="10.5703125" customWidth="1"/>
    <col min="8" max="8" width="10.140625" customWidth="1"/>
    <col min="9" max="9" width="32.42578125" customWidth="1"/>
  </cols>
  <sheetData>
    <row r="1" spans="1:9">
      <c r="A1" s="555" t="s">
        <v>0</v>
      </c>
      <c r="B1" s="556"/>
      <c r="C1" s="556"/>
      <c r="D1" s="556"/>
      <c r="E1" s="556"/>
      <c r="F1" s="556"/>
      <c r="G1" s="556"/>
      <c r="H1" s="556"/>
      <c r="I1" s="557"/>
    </row>
    <row r="2" spans="1:9">
      <c r="A2" s="558"/>
      <c r="B2" s="559"/>
      <c r="C2" s="559"/>
      <c r="D2" s="559"/>
      <c r="E2" s="559"/>
      <c r="F2" s="559"/>
      <c r="G2" s="559"/>
      <c r="H2" s="559"/>
      <c r="I2" s="560"/>
    </row>
    <row r="3" spans="1:9" s="1" customFormat="1" ht="18.75">
      <c r="A3" s="561" t="s">
        <v>1</v>
      </c>
      <c r="B3" s="562"/>
      <c r="C3" s="562"/>
      <c r="D3" s="562"/>
      <c r="E3" s="562"/>
      <c r="F3" s="562"/>
      <c r="G3" s="562"/>
      <c r="H3" s="562"/>
      <c r="I3" s="563"/>
    </row>
    <row r="4" spans="1:9" s="2" customFormat="1" ht="15.75">
      <c r="A4" s="564" t="s">
        <v>208</v>
      </c>
      <c r="B4" s="565"/>
      <c r="C4" s="565"/>
      <c r="D4" s="565"/>
      <c r="E4" s="565"/>
      <c r="F4" s="565"/>
      <c r="G4" s="565"/>
      <c r="H4" s="565"/>
      <c r="I4" s="566"/>
    </row>
    <row r="5" spans="1:9" ht="15.75">
      <c r="A5" s="3" t="s">
        <v>2</v>
      </c>
      <c r="B5" s="567" t="s">
        <v>3</v>
      </c>
      <c r="C5" s="567"/>
      <c r="D5" s="567"/>
      <c r="E5" s="567"/>
      <c r="F5" s="567"/>
      <c r="G5" s="567"/>
      <c r="H5" s="567"/>
      <c r="I5" s="4" t="s">
        <v>4</v>
      </c>
    </row>
    <row r="6" spans="1:9" ht="24" customHeight="1">
      <c r="A6" s="5" t="s">
        <v>5</v>
      </c>
      <c r="B6" s="568" t="s">
        <v>6</v>
      </c>
      <c r="C6" s="568"/>
      <c r="D6" s="568"/>
      <c r="E6" s="568"/>
      <c r="F6" s="568"/>
      <c r="G6" s="568"/>
      <c r="H6" s="568"/>
      <c r="I6" s="6" t="s">
        <v>7</v>
      </c>
    </row>
    <row r="7" spans="1:9" s="9" customFormat="1" ht="33" customHeight="1">
      <c r="A7" s="7" t="s">
        <v>8</v>
      </c>
      <c r="B7" s="569" t="s">
        <v>9</v>
      </c>
      <c r="C7" s="569"/>
      <c r="D7" s="569"/>
      <c r="E7" s="569"/>
      <c r="F7" s="569"/>
      <c r="G7" s="569"/>
      <c r="H7" s="569"/>
      <c r="I7" s="8" t="s">
        <v>10</v>
      </c>
    </row>
    <row r="8" spans="1:9" s="9" customFormat="1" ht="33" customHeight="1">
      <c r="A8" s="7" t="s">
        <v>212</v>
      </c>
      <c r="B8" s="570" t="s">
        <v>215</v>
      </c>
      <c r="C8" s="571"/>
      <c r="D8" s="571"/>
      <c r="E8" s="571"/>
      <c r="F8" s="571"/>
      <c r="G8" s="571"/>
      <c r="H8" s="572"/>
      <c r="I8" s="8"/>
    </row>
    <row r="9" spans="1:9" s="9" customFormat="1" ht="52.5" customHeight="1">
      <c r="A9" s="7" t="s">
        <v>11</v>
      </c>
      <c r="B9" s="569" t="s">
        <v>12</v>
      </c>
      <c r="C9" s="569"/>
      <c r="D9" s="569"/>
      <c r="E9" s="569"/>
      <c r="F9" s="569"/>
      <c r="G9" s="569"/>
      <c r="H9" s="569"/>
      <c r="I9" s="8" t="s">
        <v>10</v>
      </c>
    </row>
    <row r="10" spans="1:9" ht="15.75">
      <c r="A10" s="10" t="s">
        <v>13</v>
      </c>
      <c r="B10" s="554"/>
      <c r="C10" s="554"/>
      <c r="D10" s="554"/>
      <c r="E10" s="554"/>
      <c r="F10" s="554"/>
      <c r="G10" s="554"/>
      <c r="H10" s="554"/>
      <c r="I10" s="11" t="s">
        <v>7</v>
      </c>
    </row>
    <row r="11" spans="1:9" ht="15.75">
      <c r="A11" s="10" t="s">
        <v>14</v>
      </c>
      <c r="B11" s="554"/>
      <c r="C11" s="554"/>
      <c r="D11" s="554"/>
      <c r="E11" s="554"/>
      <c r="F11" s="554"/>
      <c r="G11" s="554"/>
      <c r="H11" s="554"/>
      <c r="I11" s="11" t="s">
        <v>7</v>
      </c>
    </row>
    <row r="12" spans="1:9" ht="15.75">
      <c r="A12" s="10" t="s">
        <v>15</v>
      </c>
      <c r="B12" s="554"/>
      <c r="C12" s="554"/>
      <c r="D12" s="554"/>
      <c r="E12" s="554"/>
      <c r="F12" s="554"/>
      <c r="G12" s="554"/>
      <c r="H12" s="554"/>
      <c r="I12" s="11" t="s">
        <v>7</v>
      </c>
    </row>
    <row r="13" spans="1:9" ht="15.75">
      <c r="A13" s="10" t="s">
        <v>16</v>
      </c>
      <c r="B13" s="554"/>
      <c r="C13" s="554"/>
      <c r="D13" s="554"/>
      <c r="E13" s="554"/>
      <c r="F13" s="554"/>
      <c r="G13" s="554"/>
      <c r="H13" s="554"/>
      <c r="I13" s="11" t="s">
        <v>7</v>
      </c>
    </row>
    <row r="14" spans="1:9" ht="15.75">
      <c r="A14" s="10" t="s">
        <v>17</v>
      </c>
      <c r="B14" s="554"/>
      <c r="C14" s="554"/>
      <c r="D14" s="554"/>
      <c r="E14" s="554"/>
      <c r="F14" s="554"/>
      <c r="G14" s="554"/>
      <c r="H14" s="554"/>
      <c r="I14" s="11" t="s">
        <v>7</v>
      </c>
    </row>
    <row r="15" spans="1:9" ht="15.75">
      <c r="A15" s="10" t="s">
        <v>18</v>
      </c>
      <c r="B15" s="554" t="s">
        <v>19</v>
      </c>
      <c r="C15" s="554"/>
      <c r="D15" s="554"/>
      <c r="E15" s="554"/>
      <c r="F15" s="554"/>
      <c r="G15" s="554"/>
      <c r="H15" s="554"/>
      <c r="I15" s="11" t="s">
        <v>7</v>
      </c>
    </row>
    <row r="16" spans="1:9" s="9" customFormat="1" ht="16.5" thickBot="1">
      <c r="A16" s="12" t="s">
        <v>20</v>
      </c>
      <c r="B16" s="573" t="s">
        <v>21</v>
      </c>
      <c r="C16" s="573"/>
      <c r="D16" s="573"/>
      <c r="E16" s="573"/>
      <c r="F16" s="573"/>
      <c r="G16" s="573"/>
      <c r="H16" s="573"/>
      <c r="I16" s="13" t="s">
        <v>10</v>
      </c>
    </row>
    <row r="18" spans="1:6" ht="15.75" thickBot="1"/>
    <row r="19" spans="1:6" ht="15.75">
      <c r="A19" s="574" t="s">
        <v>22</v>
      </c>
      <c r="B19" s="14" t="s">
        <v>23</v>
      </c>
      <c r="C19" s="14"/>
      <c r="D19" s="14" t="s">
        <v>24</v>
      </c>
      <c r="E19" s="577" t="s">
        <v>25</v>
      </c>
      <c r="F19" s="578"/>
    </row>
    <row r="20" spans="1:6" ht="15.75">
      <c r="A20" s="575"/>
      <c r="B20" s="15" t="s">
        <v>216</v>
      </c>
      <c r="C20" s="15" t="s">
        <v>26</v>
      </c>
      <c r="D20" s="203">
        <v>885534442</v>
      </c>
      <c r="E20" s="579" t="s">
        <v>224</v>
      </c>
      <c r="F20" s="580"/>
    </row>
    <row r="21" spans="1:6" ht="15.75">
      <c r="A21" s="575"/>
      <c r="B21" s="15" t="s">
        <v>217</v>
      </c>
      <c r="C21" s="15" t="s">
        <v>27</v>
      </c>
      <c r="D21" s="16">
        <v>999402296</v>
      </c>
      <c r="E21" s="579" t="s">
        <v>225</v>
      </c>
      <c r="F21" s="580"/>
    </row>
    <row r="22" spans="1:6" ht="15.75">
      <c r="A22" s="575"/>
      <c r="B22" s="15" t="s">
        <v>220</v>
      </c>
      <c r="C22" s="15" t="s">
        <v>221</v>
      </c>
      <c r="D22" s="16"/>
      <c r="E22" s="205" t="s">
        <v>226</v>
      </c>
      <c r="F22" s="201"/>
    </row>
    <row r="23" spans="1:6" ht="15.75">
      <c r="A23" s="575"/>
      <c r="B23" s="15" t="s">
        <v>222</v>
      </c>
      <c r="C23" s="15" t="s">
        <v>223</v>
      </c>
      <c r="D23" s="16">
        <v>888319504</v>
      </c>
      <c r="E23" s="205" t="s">
        <v>227</v>
      </c>
      <c r="F23" s="201"/>
    </row>
    <row r="24" spans="1:6" ht="15.75">
      <c r="A24" s="575"/>
      <c r="B24" s="15" t="s">
        <v>218</v>
      </c>
      <c r="C24" s="15" t="s">
        <v>28</v>
      </c>
      <c r="D24" s="203">
        <v>999121400</v>
      </c>
      <c r="E24" s="579" t="s">
        <v>228</v>
      </c>
      <c r="F24" s="580"/>
    </row>
    <row r="25" spans="1:6" ht="16.5" thickBot="1">
      <c r="A25" s="576"/>
      <c r="B25" s="17" t="s">
        <v>219</v>
      </c>
      <c r="C25" s="17" t="s">
        <v>29</v>
      </c>
      <c r="D25" s="204">
        <v>991694375</v>
      </c>
      <c r="E25" s="581" t="s">
        <v>229</v>
      </c>
      <c r="F25" s="582"/>
    </row>
    <row r="27" spans="1:6">
      <c r="A27" t="s">
        <v>30</v>
      </c>
    </row>
    <row r="28" spans="1:6" ht="15.75">
      <c r="B28" s="18" t="s">
        <v>31</v>
      </c>
      <c r="C28" s="19" t="s">
        <v>32</v>
      </c>
      <c r="D28" s="18"/>
    </row>
    <row r="29" spans="1:6" ht="15.75">
      <c r="B29" s="18"/>
      <c r="C29" s="19" t="s">
        <v>33</v>
      </c>
      <c r="D29" s="18"/>
    </row>
    <row r="30" spans="1:6">
      <c r="B30" s="18" t="s">
        <v>213</v>
      </c>
      <c r="C30" s="18" t="s">
        <v>214</v>
      </c>
    </row>
  </sheetData>
  <sheetProtection algorithmName="SHA-512" hashValue="F8wisAhQnWWTUx+djCDbwrGOKO80ZSWMro23ACdLVvJlQ2jQef9tZvNLdnaNBPaEIDPiQBQEJzwjp33v7p5ndw==" saltValue="XDsV9GbJ6lQGKZn9lN4kcg==" spinCount="100000" sheet="1" objects="1" scenarios="1"/>
  <mergeCells count="21">
    <mergeCell ref="B15:H15"/>
    <mergeCell ref="B16:H16"/>
    <mergeCell ref="A19:A25"/>
    <mergeCell ref="E19:F19"/>
    <mergeCell ref="E20:F20"/>
    <mergeCell ref="E21:F21"/>
    <mergeCell ref="E24:F24"/>
    <mergeCell ref="E25:F25"/>
    <mergeCell ref="B14:H14"/>
    <mergeCell ref="A1:I2"/>
    <mergeCell ref="A3:I3"/>
    <mergeCell ref="A4:I4"/>
    <mergeCell ref="B5:H5"/>
    <mergeCell ref="B6:H6"/>
    <mergeCell ref="B7:H7"/>
    <mergeCell ref="B9:H9"/>
    <mergeCell ref="B10:H10"/>
    <mergeCell ref="B11:H11"/>
    <mergeCell ref="B12:H12"/>
    <mergeCell ref="B13:H13"/>
    <mergeCell ref="B8:H8"/>
  </mergeCells>
  <hyperlinks>
    <hyperlink ref="E20" r:id="rId1" xr:uid="{00000000-0004-0000-0000-000000000000}"/>
    <hyperlink ref="E21" r:id="rId2" xr:uid="{00000000-0004-0000-0000-000001000000}"/>
    <hyperlink ref="E22" r:id="rId3" xr:uid="{00000000-0004-0000-0000-000002000000}"/>
    <hyperlink ref="E23" r:id="rId4" xr:uid="{00000000-0004-0000-0000-000003000000}"/>
    <hyperlink ref="E24" r:id="rId5" xr:uid="{00000000-0004-0000-0000-000004000000}"/>
  </hyperlinks>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O52"/>
  <sheetViews>
    <sheetView workbookViewId="0"/>
  </sheetViews>
  <sheetFormatPr defaultColWidth="12.42578125" defaultRowHeight="15"/>
  <cols>
    <col min="1" max="1" width="4.5703125" style="174" customWidth="1"/>
    <col min="2" max="2" width="48.42578125" style="174" customWidth="1"/>
    <col min="3" max="3" width="12.140625" style="174" bestFit="1" customWidth="1"/>
    <col min="4" max="256" width="12.42578125" style="174"/>
    <col min="257" max="257" width="4.5703125" style="174" customWidth="1"/>
    <col min="258" max="258" width="48.42578125" style="174" customWidth="1"/>
    <col min="259" max="259" width="12.140625" style="174" bestFit="1" customWidth="1"/>
    <col min="260" max="512" width="12.42578125" style="174"/>
    <col min="513" max="513" width="4.5703125" style="174" customWidth="1"/>
    <col min="514" max="514" width="48.42578125" style="174" customWidth="1"/>
    <col min="515" max="515" width="12.140625" style="174" bestFit="1" customWidth="1"/>
    <col min="516" max="768" width="12.42578125" style="174"/>
    <col min="769" max="769" width="4.5703125" style="174" customWidth="1"/>
    <col min="770" max="770" width="48.42578125" style="174" customWidth="1"/>
    <col min="771" max="771" width="12.140625" style="174" bestFit="1" customWidth="1"/>
    <col min="772" max="1024" width="12.42578125" style="174"/>
    <col min="1025" max="1025" width="4.5703125" style="174" customWidth="1"/>
    <col min="1026" max="1026" width="48.42578125" style="174" customWidth="1"/>
    <col min="1027" max="1027" width="12.140625" style="174" bestFit="1" customWidth="1"/>
    <col min="1028" max="1280" width="12.42578125" style="174"/>
    <col min="1281" max="1281" width="4.5703125" style="174" customWidth="1"/>
    <col min="1282" max="1282" width="48.42578125" style="174" customWidth="1"/>
    <col min="1283" max="1283" width="12.140625" style="174" bestFit="1" customWidth="1"/>
    <col min="1284" max="1536" width="12.42578125" style="174"/>
    <col min="1537" max="1537" width="4.5703125" style="174" customWidth="1"/>
    <col min="1538" max="1538" width="48.42578125" style="174" customWidth="1"/>
    <col min="1539" max="1539" width="12.140625" style="174" bestFit="1" customWidth="1"/>
    <col min="1540" max="1792" width="12.42578125" style="174"/>
    <col min="1793" max="1793" width="4.5703125" style="174" customWidth="1"/>
    <col min="1794" max="1794" width="48.42578125" style="174" customWidth="1"/>
    <col min="1795" max="1795" width="12.140625" style="174" bestFit="1" customWidth="1"/>
    <col min="1796" max="2048" width="12.42578125" style="174"/>
    <col min="2049" max="2049" width="4.5703125" style="174" customWidth="1"/>
    <col min="2050" max="2050" width="48.42578125" style="174" customWidth="1"/>
    <col min="2051" max="2051" width="12.140625" style="174" bestFit="1" customWidth="1"/>
    <col min="2052" max="2304" width="12.42578125" style="174"/>
    <col min="2305" max="2305" width="4.5703125" style="174" customWidth="1"/>
    <col min="2306" max="2306" width="48.42578125" style="174" customWidth="1"/>
    <col min="2307" max="2307" width="12.140625" style="174" bestFit="1" customWidth="1"/>
    <col min="2308" max="2560" width="12.42578125" style="174"/>
    <col min="2561" max="2561" width="4.5703125" style="174" customWidth="1"/>
    <col min="2562" max="2562" width="48.42578125" style="174" customWidth="1"/>
    <col min="2563" max="2563" width="12.140625" style="174" bestFit="1" customWidth="1"/>
    <col min="2564" max="2816" width="12.42578125" style="174"/>
    <col min="2817" max="2817" width="4.5703125" style="174" customWidth="1"/>
    <col min="2818" max="2818" width="48.42578125" style="174" customWidth="1"/>
    <col min="2819" max="2819" width="12.140625" style="174" bestFit="1" customWidth="1"/>
    <col min="2820" max="3072" width="12.42578125" style="174"/>
    <col min="3073" max="3073" width="4.5703125" style="174" customWidth="1"/>
    <col min="3074" max="3074" width="48.42578125" style="174" customWidth="1"/>
    <col min="3075" max="3075" width="12.140625" style="174" bestFit="1" customWidth="1"/>
    <col min="3076" max="3328" width="12.42578125" style="174"/>
    <col min="3329" max="3329" width="4.5703125" style="174" customWidth="1"/>
    <col min="3330" max="3330" width="48.42578125" style="174" customWidth="1"/>
    <col min="3331" max="3331" width="12.140625" style="174" bestFit="1" customWidth="1"/>
    <col min="3332" max="3584" width="12.42578125" style="174"/>
    <col min="3585" max="3585" width="4.5703125" style="174" customWidth="1"/>
    <col min="3586" max="3586" width="48.42578125" style="174" customWidth="1"/>
    <col min="3587" max="3587" width="12.140625" style="174" bestFit="1" customWidth="1"/>
    <col min="3588" max="3840" width="12.42578125" style="174"/>
    <col min="3841" max="3841" width="4.5703125" style="174" customWidth="1"/>
    <col min="3842" max="3842" width="48.42578125" style="174" customWidth="1"/>
    <col min="3843" max="3843" width="12.140625" style="174" bestFit="1" customWidth="1"/>
    <col min="3844" max="4096" width="12.42578125" style="174"/>
    <col min="4097" max="4097" width="4.5703125" style="174" customWidth="1"/>
    <col min="4098" max="4098" width="48.42578125" style="174" customWidth="1"/>
    <col min="4099" max="4099" width="12.140625" style="174" bestFit="1" customWidth="1"/>
    <col min="4100" max="4352" width="12.42578125" style="174"/>
    <col min="4353" max="4353" width="4.5703125" style="174" customWidth="1"/>
    <col min="4354" max="4354" width="48.42578125" style="174" customWidth="1"/>
    <col min="4355" max="4355" width="12.140625" style="174" bestFit="1" customWidth="1"/>
    <col min="4356" max="4608" width="12.42578125" style="174"/>
    <col min="4609" max="4609" width="4.5703125" style="174" customWidth="1"/>
    <col min="4610" max="4610" width="48.42578125" style="174" customWidth="1"/>
    <col min="4611" max="4611" width="12.140625" style="174" bestFit="1" customWidth="1"/>
    <col min="4612" max="4864" width="12.42578125" style="174"/>
    <col min="4865" max="4865" width="4.5703125" style="174" customWidth="1"/>
    <col min="4866" max="4866" width="48.42578125" style="174" customWidth="1"/>
    <col min="4867" max="4867" width="12.140625" style="174" bestFit="1" customWidth="1"/>
    <col min="4868" max="5120" width="12.42578125" style="174"/>
    <col min="5121" max="5121" width="4.5703125" style="174" customWidth="1"/>
    <col min="5122" max="5122" width="48.42578125" style="174" customWidth="1"/>
    <col min="5123" max="5123" width="12.140625" style="174" bestFit="1" customWidth="1"/>
    <col min="5124" max="5376" width="12.42578125" style="174"/>
    <col min="5377" max="5377" width="4.5703125" style="174" customWidth="1"/>
    <col min="5378" max="5378" width="48.42578125" style="174" customWidth="1"/>
    <col min="5379" max="5379" width="12.140625" style="174" bestFit="1" customWidth="1"/>
    <col min="5380" max="5632" width="12.42578125" style="174"/>
    <col min="5633" max="5633" width="4.5703125" style="174" customWidth="1"/>
    <col min="5634" max="5634" width="48.42578125" style="174" customWidth="1"/>
    <col min="5635" max="5635" width="12.140625" style="174" bestFit="1" customWidth="1"/>
    <col min="5636" max="5888" width="12.42578125" style="174"/>
    <col min="5889" max="5889" width="4.5703125" style="174" customWidth="1"/>
    <col min="5890" max="5890" width="48.42578125" style="174" customWidth="1"/>
    <col min="5891" max="5891" width="12.140625" style="174" bestFit="1" customWidth="1"/>
    <col min="5892" max="6144" width="12.42578125" style="174"/>
    <col min="6145" max="6145" width="4.5703125" style="174" customWidth="1"/>
    <col min="6146" max="6146" width="48.42578125" style="174" customWidth="1"/>
    <col min="6147" max="6147" width="12.140625" style="174" bestFit="1" customWidth="1"/>
    <col min="6148" max="6400" width="12.42578125" style="174"/>
    <col min="6401" max="6401" width="4.5703125" style="174" customWidth="1"/>
    <col min="6402" max="6402" width="48.42578125" style="174" customWidth="1"/>
    <col min="6403" max="6403" width="12.140625" style="174" bestFit="1" customWidth="1"/>
    <col min="6404" max="6656" width="12.42578125" style="174"/>
    <col min="6657" max="6657" width="4.5703125" style="174" customWidth="1"/>
    <col min="6658" max="6658" width="48.42578125" style="174" customWidth="1"/>
    <col min="6659" max="6659" width="12.140625" style="174" bestFit="1" customWidth="1"/>
    <col min="6660" max="6912" width="12.42578125" style="174"/>
    <col min="6913" max="6913" width="4.5703125" style="174" customWidth="1"/>
    <col min="6914" max="6914" width="48.42578125" style="174" customWidth="1"/>
    <col min="6915" max="6915" width="12.140625" style="174" bestFit="1" customWidth="1"/>
    <col min="6916" max="7168" width="12.42578125" style="174"/>
    <col min="7169" max="7169" width="4.5703125" style="174" customWidth="1"/>
    <col min="7170" max="7170" width="48.42578125" style="174" customWidth="1"/>
    <col min="7171" max="7171" width="12.140625" style="174" bestFit="1" customWidth="1"/>
    <col min="7172" max="7424" width="12.42578125" style="174"/>
    <col min="7425" max="7425" width="4.5703125" style="174" customWidth="1"/>
    <col min="7426" max="7426" width="48.42578125" style="174" customWidth="1"/>
    <col min="7427" max="7427" width="12.140625" style="174" bestFit="1" customWidth="1"/>
    <col min="7428" max="7680" width="12.42578125" style="174"/>
    <col min="7681" max="7681" width="4.5703125" style="174" customWidth="1"/>
    <col min="7682" max="7682" width="48.42578125" style="174" customWidth="1"/>
    <col min="7683" max="7683" width="12.140625" style="174" bestFit="1" customWidth="1"/>
    <col min="7684" max="7936" width="12.42578125" style="174"/>
    <col min="7937" max="7937" width="4.5703125" style="174" customWidth="1"/>
    <col min="7938" max="7938" width="48.42578125" style="174" customWidth="1"/>
    <col min="7939" max="7939" width="12.140625" style="174" bestFit="1" customWidth="1"/>
    <col min="7940" max="8192" width="12.42578125" style="174"/>
    <col min="8193" max="8193" width="4.5703125" style="174" customWidth="1"/>
    <col min="8194" max="8194" width="48.42578125" style="174" customWidth="1"/>
    <col min="8195" max="8195" width="12.140625" style="174" bestFit="1" customWidth="1"/>
    <col min="8196" max="8448" width="12.42578125" style="174"/>
    <col min="8449" max="8449" width="4.5703125" style="174" customWidth="1"/>
    <col min="8450" max="8450" width="48.42578125" style="174" customWidth="1"/>
    <col min="8451" max="8451" width="12.140625" style="174" bestFit="1" customWidth="1"/>
    <col min="8452" max="8704" width="12.42578125" style="174"/>
    <col min="8705" max="8705" width="4.5703125" style="174" customWidth="1"/>
    <col min="8706" max="8706" width="48.42578125" style="174" customWidth="1"/>
    <col min="8707" max="8707" width="12.140625" style="174" bestFit="1" customWidth="1"/>
    <col min="8708" max="8960" width="12.42578125" style="174"/>
    <col min="8961" max="8961" width="4.5703125" style="174" customWidth="1"/>
    <col min="8962" max="8962" width="48.42578125" style="174" customWidth="1"/>
    <col min="8963" max="8963" width="12.140625" style="174" bestFit="1" customWidth="1"/>
    <col min="8964" max="9216" width="12.42578125" style="174"/>
    <col min="9217" max="9217" width="4.5703125" style="174" customWidth="1"/>
    <col min="9218" max="9218" width="48.42578125" style="174" customWidth="1"/>
    <col min="9219" max="9219" width="12.140625" style="174" bestFit="1" customWidth="1"/>
    <col min="9220" max="9472" width="12.42578125" style="174"/>
    <col min="9473" max="9473" width="4.5703125" style="174" customWidth="1"/>
    <col min="9474" max="9474" width="48.42578125" style="174" customWidth="1"/>
    <col min="9475" max="9475" width="12.140625" style="174" bestFit="1" customWidth="1"/>
    <col min="9476" max="9728" width="12.42578125" style="174"/>
    <col min="9729" max="9729" width="4.5703125" style="174" customWidth="1"/>
    <col min="9730" max="9730" width="48.42578125" style="174" customWidth="1"/>
    <col min="9731" max="9731" width="12.140625" style="174" bestFit="1" customWidth="1"/>
    <col min="9732" max="9984" width="12.42578125" style="174"/>
    <col min="9985" max="9985" width="4.5703125" style="174" customWidth="1"/>
    <col min="9986" max="9986" width="48.42578125" style="174" customWidth="1"/>
    <col min="9987" max="9987" width="12.140625" style="174" bestFit="1" customWidth="1"/>
    <col min="9988" max="10240" width="12.42578125" style="174"/>
    <col min="10241" max="10241" width="4.5703125" style="174" customWidth="1"/>
    <col min="10242" max="10242" width="48.42578125" style="174" customWidth="1"/>
    <col min="10243" max="10243" width="12.140625" style="174" bestFit="1" customWidth="1"/>
    <col min="10244" max="10496" width="12.42578125" style="174"/>
    <col min="10497" max="10497" width="4.5703125" style="174" customWidth="1"/>
    <col min="10498" max="10498" width="48.42578125" style="174" customWidth="1"/>
    <col min="10499" max="10499" width="12.140625" style="174" bestFit="1" customWidth="1"/>
    <col min="10500" max="10752" width="12.42578125" style="174"/>
    <col min="10753" max="10753" width="4.5703125" style="174" customWidth="1"/>
    <col min="10754" max="10754" width="48.42578125" style="174" customWidth="1"/>
    <col min="10755" max="10755" width="12.140625" style="174" bestFit="1" customWidth="1"/>
    <col min="10756" max="11008" width="12.42578125" style="174"/>
    <col min="11009" max="11009" width="4.5703125" style="174" customWidth="1"/>
    <col min="11010" max="11010" width="48.42578125" style="174" customWidth="1"/>
    <col min="11011" max="11011" width="12.140625" style="174" bestFit="1" customWidth="1"/>
    <col min="11012" max="11264" width="12.42578125" style="174"/>
    <col min="11265" max="11265" width="4.5703125" style="174" customWidth="1"/>
    <col min="11266" max="11266" width="48.42578125" style="174" customWidth="1"/>
    <col min="11267" max="11267" width="12.140625" style="174" bestFit="1" customWidth="1"/>
    <col min="11268" max="11520" width="12.42578125" style="174"/>
    <col min="11521" max="11521" width="4.5703125" style="174" customWidth="1"/>
    <col min="11522" max="11522" width="48.42578125" style="174" customWidth="1"/>
    <col min="11523" max="11523" width="12.140625" style="174" bestFit="1" customWidth="1"/>
    <col min="11524" max="11776" width="12.42578125" style="174"/>
    <col min="11777" max="11777" width="4.5703125" style="174" customWidth="1"/>
    <col min="11778" max="11778" width="48.42578125" style="174" customWidth="1"/>
    <col min="11779" max="11779" width="12.140625" style="174" bestFit="1" customWidth="1"/>
    <col min="11780" max="12032" width="12.42578125" style="174"/>
    <col min="12033" max="12033" width="4.5703125" style="174" customWidth="1"/>
    <col min="12034" max="12034" width="48.42578125" style="174" customWidth="1"/>
    <col min="12035" max="12035" width="12.140625" style="174" bestFit="1" customWidth="1"/>
    <col min="12036" max="12288" width="12.42578125" style="174"/>
    <col min="12289" max="12289" width="4.5703125" style="174" customWidth="1"/>
    <col min="12290" max="12290" width="48.42578125" style="174" customWidth="1"/>
    <col min="12291" max="12291" width="12.140625" style="174" bestFit="1" customWidth="1"/>
    <col min="12292" max="12544" width="12.42578125" style="174"/>
    <col min="12545" max="12545" width="4.5703125" style="174" customWidth="1"/>
    <col min="12546" max="12546" width="48.42578125" style="174" customWidth="1"/>
    <col min="12547" max="12547" width="12.140625" style="174" bestFit="1" customWidth="1"/>
    <col min="12548" max="12800" width="12.42578125" style="174"/>
    <col min="12801" max="12801" width="4.5703125" style="174" customWidth="1"/>
    <col min="12802" max="12802" width="48.42578125" style="174" customWidth="1"/>
    <col min="12803" max="12803" width="12.140625" style="174" bestFit="1" customWidth="1"/>
    <col min="12804" max="13056" width="12.42578125" style="174"/>
    <col min="13057" max="13057" width="4.5703125" style="174" customWidth="1"/>
    <col min="13058" max="13058" width="48.42578125" style="174" customWidth="1"/>
    <col min="13059" max="13059" width="12.140625" style="174" bestFit="1" customWidth="1"/>
    <col min="13060" max="13312" width="12.42578125" style="174"/>
    <col min="13313" max="13313" width="4.5703125" style="174" customWidth="1"/>
    <col min="13314" max="13314" width="48.42578125" style="174" customWidth="1"/>
    <col min="13315" max="13315" width="12.140625" style="174" bestFit="1" customWidth="1"/>
    <col min="13316" max="13568" width="12.42578125" style="174"/>
    <col min="13569" max="13569" width="4.5703125" style="174" customWidth="1"/>
    <col min="13570" max="13570" width="48.42578125" style="174" customWidth="1"/>
    <col min="13571" max="13571" width="12.140625" style="174" bestFit="1" customWidth="1"/>
    <col min="13572" max="13824" width="12.42578125" style="174"/>
    <col min="13825" max="13825" width="4.5703125" style="174" customWidth="1"/>
    <col min="13826" max="13826" width="48.42578125" style="174" customWidth="1"/>
    <col min="13827" max="13827" width="12.140625" style="174" bestFit="1" customWidth="1"/>
    <col min="13828" max="14080" width="12.42578125" style="174"/>
    <col min="14081" max="14081" width="4.5703125" style="174" customWidth="1"/>
    <col min="14082" max="14082" width="48.42578125" style="174" customWidth="1"/>
    <col min="14083" max="14083" width="12.140625" style="174" bestFit="1" customWidth="1"/>
    <col min="14084" max="14336" width="12.42578125" style="174"/>
    <col min="14337" max="14337" width="4.5703125" style="174" customWidth="1"/>
    <col min="14338" max="14338" width="48.42578125" style="174" customWidth="1"/>
    <col min="14339" max="14339" width="12.140625" style="174" bestFit="1" customWidth="1"/>
    <col min="14340" max="14592" width="12.42578125" style="174"/>
    <col min="14593" max="14593" width="4.5703125" style="174" customWidth="1"/>
    <col min="14594" max="14594" width="48.42578125" style="174" customWidth="1"/>
    <col min="14595" max="14595" width="12.140625" style="174" bestFit="1" customWidth="1"/>
    <col min="14596" max="14848" width="12.42578125" style="174"/>
    <col min="14849" max="14849" width="4.5703125" style="174" customWidth="1"/>
    <col min="14850" max="14850" width="48.42578125" style="174" customWidth="1"/>
    <col min="14851" max="14851" width="12.140625" style="174" bestFit="1" customWidth="1"/>
    <col min="14852" max="15104" width="12.42578125" style="174"/>
    <col min="15105" max="15105" width="4.5703125" style="174" customWidth="1"/>
    <col min="15106" max="15106" width="48.42578125" style="174" customWidth="1"/>
    <col min="15107" max="15107" width="12.140625" style="174" bestFit="1" customWidth="1"/>
    <col min="15108" max="15360" width="12.42578125" style="174"/>
    <col min="15361" max="15361" width="4.5703125" style="174" customWidth="1"/>
    <col min="15362" max="15362" width="48.42578125" style="174" customWidth="1"/>
    <col min="15363" max="15363" width="12.140625" style="174" bestFit="1" customWidth="1"/>
    <col min="15364" max="15616" width="12.42578125" style="174"/>
    <col min="15617" max="15617" width="4.5703125" style="174" customWidth="1"/>
    <col min="15618" max="15618" width="48.42578125" style="174" customWidth="1"/>
    <col min="15619" max="15619" width="12.140625" style="174" bestFit="1" customWidth="1"/>
    <col min="15620" max="15872" width="12.42578125" style="174"/>
    <col min="15873" max="15873" width="4.5703125" style="174" customWidth="1"/>
    <col min="15874" max="15874" width="48.42578125" style="174" customWidth="1"/>
    <col min="15875" max="15875" width="12.140625" style="174" bestFit="1" customWidth="1"/>
    <col min="15876" max="16128" width="12.42578125" style="174"/>
    <col min="16129" max="16129" width="4.5703125" style="174" customWidth="1"/>
    <col min="16130" max="16130" width="48.42578125" style="174" customWidth="1"/>
    <col min="16131" max="16131" width="12.140625" style="174" bestFit="1" customWidth="1"/>
    <col min="16132" max="16384" width="12.42578125" style="174"/>
  </cols>
  <sheetData>
    <row r="1" spans="1:249" ht="26.25">
      <c r="A1" s="173"/>
      <c r="B1" s="583" t="s">
        <v>40</v>
      </c>
      <c r="C1" s="584"/>
    </row>
    <row r="2" spans="1:249" s="176" customFormat="1" ht="21">
      <c r="A2" s="175"/>
      <c r="B2" s="193" t="s">
        <v>41</v>
      </c>
      <c r="C2" s="193" t="s">
        <v>42</v>
      </c>
    </row>
    <row r="3" spans="1:249" s="179" customFormat="1" ht="15" customHeight="1">
      <c r="A3" s="177"/>
      <c r="B3" s="194" t="s">
        <v>43</v>
      </c>
      <c r="C3" s="178"/>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c r="AP3" s="174"/>
      <c r="AQ3" s="174"/>
      <c r="AR3" s="174"/>
      <c r="AS3" s="174"/>
      <c r="AT3" s="174"/>
      <c r="AU3" s="174"/>
      <c r="AV3" s="174"/>
      <c r="AW3" s="174"/>
      <c r="AX3" s="174"/>
      <c r="AY3" s="174"/>
      <c r="AZ3" s="174"/>
      <c r="BA3" s="174"/>
      <c r="BB3" s="174"/>
      <c r="BC3" s="174"/>
      <c r="BD3" s="174"/>
      <c r="BE3" s="174"/>
      <c r="BF3" s="174"/>
      <c r="BG3" s="174"/>
      <c r="BH3" s="174"/>
      <c r="BI3" s="174"/>
      <c r="BJ3" s="174"/>
      <c r="BK3" s="174"/>
      <c r="BL3" s="174"/>
      <c r="BM3" s="174"/>
      <c r="BN3" s="174"/>
      <c r="BO3" s="174"/>
      <c r="BP3" s="174"/>
      <c r="BQ3" s="174"/>
      <c r="BR3" s="174"/>
      <c r="BS3" s="174"/>
      <c r="BT3" s="174"/>
      <c r="BU3" s="174"/>
      <c r="BV3" s="174"/>
      <c r="BW3" s="174"/>
      <c r="BX3" s="174"/>
      <c r="BY3" s="174"/>
      <c r="BZ3" s="174"/>
      <c r="CA3" s="174"/>
      <c r="CB3" s="174"/>
      <c r="CC3" s="174"/>
      <c r="CD3" s="174"/>
      <c r="CE3" s="174"/>
      <c r="CF3" s="174"/>
      <c r="CG3" s="174"/>
      <c r="CH3" s="174"/>
      <c r="CI3" s="174"/>
      <c r="CJ3" s="174"/>
      <c r="CK3" s="174"/>
      <c r="CL3" s="174"/>
      <c r="CM3" s="174"/>
      <c r="CN3" s="174"/>
      <c r="CO3" s="174"/>
      <c r="CP3" s="174"/>
      <c r="CQ3" s="174"/>
      <c r="CR3" s="174"/>
      <c r="CS3" s="174"/>
      <c r="CT3" s="174"/>
      <c r="CU3" s="174"/>
      <c r="CV3" s="174"/>
      <c r="CW3" s="174"/>
      <c r="CX3" s="174"/>
      <c r="CY3" s="174"/>
      <c r="CZ3" s="174"/>
      <c r="DA3" s="174"/>
      <c r="DB3" s="174"/>
      <c r="DC3" s="174"/>
      <c r="DD3" s="174"/>
      <c r="DE3" s="174"/>
      <c r="DF3" s="174"/>
      <c r="DG3" s="174"/>
      <c r="DH3" s="174"/>
      <c r="DI3" s="174"/>
      <c r="DJ3" s="174"/>
      <c r="DK3" s="174"/>
      <c r="DL3" s="174"/>
      <c r="DM3" s="174"/>
      <c r="DN3" s="174"/>
      <c r="DO3" s="174"/>
      <c r="DP3" s="174"/>
      <c r="DQ3" s="174"/>
      <c r="DR3" s="174"/>
      <c r="DS3" s="174"/>
      <c r="DT3" s="174"/>
      <c r="DU3" s="174"/>
      <c r="DV3" s="174"/>
      <c r="DW3" s="174"/>
      <c r="DX3" s="174"/>
      <c r="DY3" s="174"/>
      <c r="DZ3" s="174"/>
      <c r="EA3" s="174"/>
      <c r="EB3" s="174"/>
      <c r="EC3" s="174"/>
      <c r="ED3" s="174"/>
      <c r="EE3" s="174"/>
      <c r="EF3" s="174"/>
      <c r="EG3" s="174"/>
      <c r="EH3" s="174"/>
      <c r="EI3" s="174"/>
      <c r="EJ3" s="174"/>
      <c r="EK3" s="174"/>
      <c r="EL3" s="174"/>
      <c r="EM3" s="174"/>
      <c r="EN3" s="174"/>
      <c r="EO3" s="174"/>
      <c r="EP3" s="174"/>
      <c r="EQ3" s="174"/>
      <c r="ER3" s="174"/>
      <c r="ES3" s="174"/>
      <c r="ET3" s="174"/>
      <c r="EU3" s="174"/>
      <c r="EV3" s="174"/>
      <c r="EW3" s="174"/>
      <c r="EX3" s="174"/>
      <c r="EY3" s="174"/>
      <c r="EZ3" s="174"/>
      <c r="FA3" s="174"/>
      <c r="FB3" s="174"/>
      <c r="FC3" s="174"/>
      <c r="FD3" s="174"/>
      <c r="FE3" s="174"/>
      <c r="FF3" s="174"/>
      <c r="FG3" s="174"/>
      <c r="FH3" s="174"/>
      <c r="FI3" s="174"/>
      <c r="FJ3" s="174"/>
      <c r="FK3" s="174"/>
      <c r="FL3" s="174"/>
      <c r="FM3" s="174"/>
      <c r="FN3" s="174"/>
      <c r="FO3" s="174"/>
      <c r="FP3" s="174"/>
      <c r="FQ3" s="174"/>
      <c r="FR3" s="174"/>
      <c r="FS3" s="174"/>
      <c r="FT3" s="174"/>
      <c r="FU3" s="174"/>
      <c r="FV3" s="174"/>
      <c r="FW3" s="174"/>
      <c r="FX3" s="174"/>
      <c r="FY3" s="174"/>
      <c r="FZ3" s="174"/>
      <c r="GA3" s="174"/>
      <c r="GB3" s="174"/>
      <c r="GC3" s="174"/>
      <c r="GD3" s="174"/>
      <c r="GE3" s="174"/>
      <c r="GF3" s="174"/>
      <c r="GG3" s="174"/>
      <c r="GH3" s="174"/>
      <c r="GI3" s="174"/>
      <c r="GJ3" s="174"/>
      <c r="GK3" s="174"/>
      <c r="GL3" s="174"/>
      <c r="GM3" s="174"/>
      <c r="GN3" s="174"/>
      <c r="GO3" s="174"/>
      <c r="GP3" s="174"/>
      <c r="GQ3" s="174"/>
      <c r="GR3" s="174"/>
      <c r="GS3" s="174"/>
      <c r="GT3" s="174"/>
      <c r="GU3" s="174"/>
      <c r="GV3" s="174"/>
      <c r="GW3" s="174"/>
      <c r="GX3" s="174"/>
      <c r="GY3" s="174"/>
      <c r="GZ3" s="174"/>
      <c r="HA3" s="174"/>
      <c r="HB3" s="174"/>
      <c r="HC3" s="174"/>
      <c r="HD3" s="174"/>
      <c r="HE3" s="174"/>
      <c r="HF3" s="174"/>
      <c r="HG3" s="174"/>
      <c r="HH3" s="174"/>
      <c r="HI3" s="174"/>
      <c r="HJ3" s="174"/>
      <c r="HK3" s="174"/>
      <c r="HL3" s="174"/>
      <c r="HM3" s="174"/>
      <c r="HN3" s="174"/>
      <c r="HO3" s="174"/>
      <c r="HP3" s="174"/>
      <c r="HQ3" s="174"/>
      <c r="HR3" s="174"/>
      <c r="HS3" s="174"/>
      <c r="HT3" s="174"/>
      <c r="HU3" s="174"/>
      <c r="HV3" s="174"/>
      <c r="HW3" s="174"/>
      <c r="HX3" s="174"/>
      <c r="HY3" s="174"/>
      <c r="HZ3" s="174"/>
      <c r="IA3" s="174"/>
      <c r="IB3" s="174"/>
      <c r="IC3" s="174"/>
      <c r="ID3" s="174"/>
      <c r="IE3" s="174"/>
      <c r="IF3" s="174"/>
      <c r="IG3" s="174"/>
      <c r="IH3" s="174"/>
      <c r="II3" s="174"/>
      <c r="IJ3" s="174"/>
      <c r="IK3" s="174"/>
      <c r="IL3" s="174"/>
      <c r="IM3" s="174"/>
      <c r="IN3" s="174"/>
      <c r="IO3" s="174"/>
    </row>
    <row r="4" spans="1:249" s="179" customFormat="1" ht="15" customHeight="1">
      <c r="A4" s="177"/>
      <c r="B4" s="194" t="s">
        <v>44</v>
      </c>
      <c r="C4" s="180"/>
      <c r="D4" s="174"/>
      <c r="E4" s="174"/>
      <c r="F4" s="174"/>
      <c r="G4" s="174"/>
      <c r="H4" s="174"/>
      <c r="I4" s="174"/>
      <c r="J4" s="174"/>
      <c r="K4" s="174"/>
      <c r="L4" s="174"/>
      <c r="M4" s="174"/>
      <c r="N4" s="174"/>
      <c r="O4" s="174"/>
      <c r="P4" s="174"/>
      <c r="Q4" s="174"/>
      <c r="R4" s="174"/>
      <c r="S4" s="174"/>
      <c r="T4" s="174"/>
      <c r="U4" s="174"/>
      <c r="V4" s="174"/>
      <c r="W4" s="174"/>
      <c r="X4" s="174"/>
      <c r="Y4" s="174"/>
      <c r="Z4" s="174"/>
      <c r="AA4" s="174"/>
      <c r="AB4" s="174"/>
      <c r="AC4" s="174"/>
      <c r="AD4" s="174"/>
      <c r="AE4" s="174"/>
      <c r="AF4" s="174"/>
      <c r="AG4" s="174"/>
      <c r="AH4" s="174"/>
      <c r="AI4" s="174"/>
      <c r="AJ4" s="174"/>
      <c r="AK4" s="174"/>
      <c r="AL4" s="174"/>
      <c r="AM4" s="174"/>
      <c r="AN4" s="174"/>
      <c r="AO4" s="174"/>
      <c r="AP4" s="174"/>
      <c r="AQ4" s="174"/>
      <c r="AR4" s="174"/>
      <c r="AS4" s="174"/>
      <c r="AT4" s="174"/>
      <c r="AU4" s="174"/>
      <c r="AV4" s="174"/>
      <c r="AW4" s="174"/>
      <c r="AX4" s="174"/>
      <c r="AY4" s="174"/>
      <c r="AZ4" s="174"/>
      <c r="BA4" s="174"/>
      <c r="BB4" s="174"/>
      <c r="BC4" s="174"/>
      <c r="BD4" s="174"/>
      <c r="BE4" s="174"/>
      <c r="BF4" s="174"/>
      <c r="BG4" s="174"/>
      <c r="BH4" s="174"/>
      <c r="BI4" s="174"/>
      <c r="BJ4" s="174"/>
      <c r="BK4" s="174"/>
      <c r="BL4" s="174"/>
      <c r="BM4" s="174"/>
      <c r="BN4" s="174"/>
      <c r="BO4" s="174"/>
      <c r="BP4" s="174"/>
      <c r="BQ4" s="174"/>
      <c r="BR4" s="174"/>
      <c r="BS4" s="174"/>
      <c r="BT4" s="174"/>
      <c r="BU4" s="174"/>
      <c r="BV4" s="174"/>
      <c r="BW4" s="174"/>
      <c r="BX4" s="174"/>
      <c r="BY4" s="174"/>
      <c r="BZ4" s="174"/>
      <c r="CA4" s="174"/>
      <c r="CB4" s="174"/>
      <c r="CC4" s="174"/>
      <c r="CD4" s="174"/>
      <c r="CE4" s="174"/>
      <c r="CF4" s="174"/>
      <c r="CG4" s="174"/>
      <c r="CH4" s="174"/>
      <c r="CI4" s="174"/>
      <c r="CJ4" s="174"/>
      <c r="CK4" s="174"/>
      <c r="CL4" s="174"/>
      <c r="CM4" s="174"/>
      <c r="CN4" s="174"/>
      <c r="CO4" s="174"/>
      <c r="CP4" s="174"/>
      <c r="CQ4" s="174"/>
      <c r="CR4" s="174"/>
      <c r="CS4" s="174"/>
      <c r="CT4" s="174"/>
      <c r="CU4" s="174"/>
      <c r="CV4" s="174"/>
      <c r="CW4" s="174"/>
      <c r="CX4" s="174"/>
      <c r="CY4" s="174"/>
      <c r="CZ4" s="174"/>
      <c r="DA4" s="174"/>
      <c r="DB4" s="174"/>
      <c r="DC4" s="174"/>
      <c r="DD4" s="174"/>
      <c r="DE4" s="174"/>
      <c r="DF4" s="174"/>
      <c r="DG4" s="174"/>
      <c r="DH4" s="174"/>
      <c r="DI4" s="174"/>
      <c r="DJ4" s="174"/>
      <c r="DK4" s="174"/>
      <c r="DL4" s="174"/>
      <c r="DM4" s="174"/>
      <c r="DN4" s="174"/>
      <c r="DO4" s="174"/>
      <c r="DP4" s="174"/>
      <c r="DQ4" s="174"/>
      <c r="DR4" s="174"/>
      <c r="DS4" s="174"/>
      <c r="DT4" s="174"/>
      <c r="DU4" s="174"/>
      <c r="DV4" s="174"/>
      <c r="DW4" s="174"/>
      <c r="DX4" s="174"/>
      <c r="DY4" s="174"/>
      <c r="DZ4" s="174"/>
      <c r="EA4" s="174"/>
      <c r="EB4" s="174"/>
      <c r="EC4" s="174"/>
      <c r="ED4" s="174"/>
      <c r="EE4" s="174"/>
      <c r="EF4" s="174"/>
      <c r="EG4" s="174"/>
      <c r="EH4" s="174"/>
      <c r="EI4" s="174"/>
      <c r="EJ4" s="174"/>
      <c r="EK4" s="174"/>
      <c r="EL4" s="174"/>
      <c r="EM4" s="174"/>
      <c r="EN4" s="174"/>
      <c r="EO4" s="174"/>
      <c r="EP4" s="174"/>
      <c r="EQ4" s="174"/>
      <c r="ER4" s="174"/>
      <c r="ES4" s="174"/>
      <c r="ET4" s="174"/>
      <c r="EU4" s="174"/>
      <c r="EV4" s="174"/>
      <c r="EW4" s="174"/>
      <c r="EX4" s="174"/>
      <c r="EY4" s="174"/>
      <c r="EZ4" s="174"/>
      <c r="FA4" s="174"/>
      <c r="FB4" s="174"/>
      <c r="FC4" s="174"/>
      <c r="FD4" s="174"/>
      <c r="FE4" s="174"/>
      <c r="FF4" s="174"/>
      <c r="FG4" s="174"/>
      <c r="FH4" s="174"/>
      <c r="FI4" s="174"/>
      <c r="FJ4" s="174"/>
      <c r="FK4" s="174"/>
      <c r="FL4" s="174"/>
      <c r="FM4" s="174"/>
      <c r="FN4" s="174"/>
      <c r="FO4" s="174"/>
      <c r="FP4" s="174"/>
      <c r="FQ4" s="174"/>
      <c r="FR4" s="174"/>
      <c r="FS4" s="174"/>
      <c r="FT4" s="174"/>
      <c r="FU4" s="174"/>
      <c r="FV4" s="174"/>
      <c r="FW4" s="174"/>
      <c r="FX4" s="174"/>
      <c r="FY4" s="174"/>
      <c r="FZ4" s="174"/>
      <c r="GA4" s="174"/>
      <c r="GB4" s="174"/>
      <c r="GC4" s="174"/>
      <c r="GD4" s="174"/>
      <c r="GE4" s="174"/>
      <c r="GF4" s="174"/>
      <c r="GG4" s="174"/>
      <c r="GH4" s="174"/>
      <c r="GI4" s="174"/>
      <c r="GJ4" s="174"/>
      <c r="GK4" s="174"/>
      <c r="GL4" s="174"/>
      <c r="GM4" s="174"/>
      <c r="GN4" s="174"/>
      <c r="GO4" s="174"/>
      <c r="GP4" s="174"/>
      <c r="GQ4" s="174"/>
      <c r="GR4" s="174"/>
      <c r="GS4" s="174"/>
      <c r="GT4" s="174"/>
      <c r="GU4" s="174"/>
      <c r="GV4" s="174"/>
      <c r="GW4" s="174"/>
      <c r="GX4" s="174"/>
      <c r="GY4" s="174"/>
      <c r="GZ4" s="174"/>
      <c r="HA4" s="174"/>
      <c r="HB4" s="174"/>
      <c r="HC4" s="174"/>
      <c r="HD4" s="174"/>
      <c r="HE4" s="174"/>
      <c r="HF4" s="174"/>
      <c r="HG4" s="174"/>
      <c r="HH4" s="174"/>
      <c r="HI4" s="174"/>
      <c r="HJ4" s="174"/>
      <c r="HK4" s="174"/>
      <c r="HL4" s="174"/>
      <c r="HM4" s="174"/>
      <c r="HN4" s="174"/>
      <c r="HO4" s="174"/>
      <c r="HP4" s="174"/>
      <c r="HQ4" s="174"/>
      <c r="HR4" s="174"/>
      <c r="HS4" s="174"/>
      <c r="HT4" s="174"/>
      <c r="HU4" s="174"/>
      <c r="HV4" s="174"/>
      <c r="HW4" s="174"/>
      <c r="HX4" s="174"/>
      <c r="HY4" s="174"/>
      <c r="HZ4" s="174"/>
      <c r="IA4" s="174"/>
      <c r="IB4" s="174"/>
      <c r="IC4" s="174"/>
      <c r="ID4" s="174"/>
      <c r="IE4" s="174"/>
      <c r="IF4" s="174"/>
      <c r="IG4" s="174"/>
      <c r="IH4" s="174"/>
      <c r="II4" s="174"/>
      <c r="IJ4" s="174"/>
      <c r="IK4" s="174"/>
      <c r="IL4" s="174"/>
      <c r="IM4" s="174"/>
      <c r="IN4" s="174"/>
      <c r="IO4" s="174"/>
    </row>
    <row r="5" spans="1:249" ht="15" customHeight="1">
      <c r="A5" s="177"/>
      <c r="B5" s="195" t="s">
        <v>45</v>
      </c>
      <c r="C5" s="180"/>
    </row>
    <row r="6" spans="1:249" ht="15" customHeight="1">
      <c r="A6" s="177"/>
      <c r="B6" s="195" t="s">
        <v>46</v>
      </c>
      <c r="C6" s="181"/>
    </row>
    <row r="7" spans="1:249" ht="15" customHeight="1">
      <c r="A7" s="177"/>
      <c r="B7" s="195" t="s">
        <v>47</v>
      </c>
      <c r="C7" s="182"/>
    </row>
    <row r="8" spans="1:249" ht="15" customHeight="1">
      <c r="A8" s="177"/>
      <c r="B8" s="195" t="s">
        <v>48</v>
      </c>
      <c r="C8" s="182"/>
    </row>
    <row r="9" spans="1:249" ht="15" customHeight="1">
      <c r="A9" s="177"/>
      <c r="B9" s="195" t="s">
        <v>49</v>
      </c>
      <c r="C9" s="182"/>
    </row>
    <row r="10" spans="1:249" ht="15" customHeight="1">
      <c r="A10" s="177"/>
      <c r="B10" s="195" t="s">
        <v>50</v>
      </c>
      <c r="C10" s="183"/>
    </row>
    <row r="11" spans="1:249" ht="15" customHeight="1">
      <c r="A11" s="177"/>
      <c r="B11" s="195" t="s">
        <v>51</v>
      </c>
      <c r="C11" s="180"/>
    </row>
    <row r="12" spans="1:249" ht="15" customHeight="1">
      <c r="A12" s="177"/>
      <c r="B12" s="196" t="s">
        <v>52</v>
      </c>
      <c r="C12" s="181"/>
    </row>
    <row r="13" spans="1:249" ht="15" customHeight="1">
      <c r="A13" s="177"/>
      <c r="B13" s="196" t="s">
        <v>53</v>
      </c>
      <c r="C13" s="180"/>
    </row>
    <row r="14" spans="1:249" s="179" customFormat="1" ht="15" customHeight="1">
      <c r="A14" s="184"/>
      <c r="B14" s="194" t="s">
        <v>54</v>
      </c>
      <c r="C14" s="180"/>
      <c r="D14" s="174"/>
      <c r="E14" s="174"/>
      <c r="F14" s="174"/>
      <c r="G14" s="174"/>
      <c r="H14" s="174"/>
      <c r="I14" s="174"/>
      <c r="J14" s="174"/>
      <c r="K14" s="174"/>
      <c r="L14" s="174"/>
      <c r="M14" s="174"/>
      <c r="N14" s="174"/>
      <c r="O14" s="174"/>
      <c r="P14" s="174"/>
      <c r="Q14" s="174"/>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4"/>
      <c r="BA14" s="174"/>
      <c r="BB14" s="174"/>
      <c r="BC14" s="174"/>
      <c r="BD14" s="174"/>
      <c r="BE14" s="174"/>
      <c r="BF14" s="174"/>
      <c r="BG14" s="174"/>
      <c r="BH14" s="174"/>
      <c r="BI14" s="174"/>
      <c r="BJ14" s="174"/>
      <c r="BK14" s="174"/>
      <c r="BL14" s="174"/>
      <c r="BM14" s="174"/>
      <c r="BN14" s="174"/>
      <c r="BO14" s="174"/>
      <c r="BP14" s="174"/>
      <c r="BQ14" s="174"/>
      <c r="BR14" s="174"/>
      <c r="BS14" s="174"/>
      <c r="BT14" s="174"/>
      <c r="BU14" s="174"/>
      <c r="BV14" s="174"/>
      <c r="BW14" s="174"/>
      <c r="BX14" s="174"/>
      <c r="BY14" s="174"/>
      <c r="BZ14" s="174"/>
      <c r="CA14" s="174"/>
      <c r="CB14" s="174"/>
      <c r="CC14" s="174"/>
      <c r="CD14" s="174"/>
      <c r="CE14" s="174"/>
      <c r="CF14" s="174"/>
      <c r="CG14" s="174"/>
      <c r="CH14" s="174"/>
      <c r="CI14" s="174"/>
      <c r="CJ14" s="174"/>
      <c r="CK14" s="174"/>
      <c r="CL14" s="174"/>
      <c r="CM14" s="174"/>
      <c r="CN14" s="174"/>
      <c r="CO14" s="174"/>
      <c r="CP14" s="174"/>
      <c r="CQ14" s="174"/>
      <c r="CR14" s="174"/>
      <c r="CS14" s="174"/>
      <c r="CT14" s="174"/>
      <c r="CU14" s="174"/>
      <c r="CV14" s="174"/>
      <c r="CW14" s="174"/>
      <c r="CX14" s="174"/>
      <c r="CY14" s="174"/>
      <c r="CZ14" s="174"/>
      <c r="DA14" s="174"/>
      <c r="DB14" s="174"/>
      <c r="DC14" s="174"/>
      <c r="DD14" s="174"/>
      <c r="DE14" s="174"/>
      <c r="DF14" s="174"/>
      <c r="DG14" s="174"/>
      <c r="DH14" s="174"/>
      <c r="DI14" s="174"/>
      <c r="DJ14" s="174"/>
      <c r="DK14" s="174"/>
      <c r="DL14" s="174"/>
      <c r="DM14" s="174"/>
      <c r="DN14" s="174"/>
      <c r="DO14" s="174"/>
      <c r="DP14" s="174"/>
      <c r="DQ14" s="174"/>
      <c r="DR14" s="174"/>
      <c r="DS14" s="174"/>
      <c r="DT14" s="174"/>
      <c r="DU14" s="174"/>
      <c r="DV14" s="174"/>
      <c r="DW14" s="174"/>
      <c r="DX14" s="174"/>
      <c r="DY14" s="174"/>
      <c r="DZ14" s="174"/>
      <c r="EA14" s="174"/>
      <c r="EB14" s="174"/>
      <c r="EC14" s="174"/>
      <c r="ED14" s="174"/>
      <c r="EE14" s="174"/>
      <c r="EF14" s="174"/>
      <c r="EG14" s="174"/>
      <c r="EH14" s="174"/>
      <c r="EI14" s="174"/>
      <c r="EJ14" s="174"/>
      <c r="EK14" s="174"/>
      <c r="EL14" s="174"/>
      <c r="EM14" s="174"/>
      <c r="EN14" s="174"/>
      <c r="EO14" s="174"/>
      <c r="EP14" s="174"/>
      <c r="EQ14" s="174"/>
      <c r="ER14" s="174"/>
      <c r="ES14" s="174"/>
      <c r="ET14" s="174"/>
      <c r="EU14" s="174"/>
      <c r="EV14" s="174"/>
      <c r="EW14" s="174"/>
      <c r="EX14" s="174"/>
      <c r="EY14" s="174"/>
      <c r="EZ14" s="174"/>
      <c r="FA14" s="174"/>
      <c r="FB14" s="174"/>
      <c r="FC14" s="174"/>
      <c r="FD14" s="174"/>
      <c r="FE14" s="174"/>
      <c r="FF14" s="174"/>
      <c r="FG14" s="174"/>
      <c r="FH14" s="174"/>
      <c r="FI14" s="174"/>
      <c r="FJ14" s="174"/>
      <c r="FK14" s="174"/>
      <c r="FL14" s="174"/>
      <c r="FM14" s="174"/>
      <c r="FN14" s="174"/>
      <c r="FO14" s="174"/>
      <c r="FP14" s="174"/>
      <c r="FQ14" s="174"/>
      <c r="FR14" s="174"/>
      <c r="FS14" s="174"/>
      <c r="FT14" s="174"/>
      <c r="FU14" s="174"/>
      <c r="FV14" s="174"/>
      <c r="FW14" s="174"/>
      <c r="FX14" s="174"/>
      <c r="FY14" s="174"/>
      <c r="FZ14" s="174"/>
      <c r="GA14" s="174"/>
      <c r="GB14" s="174"/>
      <c r="GC14" s="174"/>
      <c r="GD14" s="174"/>
      <c r="GE14" s="174"/>
      <c r="GF14" s="174"/>
      <c r="GG14" s="174"/>
      <c r="GH14" s="174"/>
      <c r="GI14" s="174"/>
      <c r="GJ14" s="174"/>
      <c r="GK14" s="174"/>
      <c r="GL14" s="174"/>
      <c r="GM14" s="174"/>
      <c r="GN14" s="174"/>
      <c r="GO14" s="174"/>
      <c r="GP14" s="174"/>
      <c r="GQ14" s="174"/>
      <c r="GR14" s="174"/>
      <c r="GS14" s="174"/>
      <c r="GT14" s="174"/>
      <c r="GU14" s="174"/>
      <c r="GV14" s="174"/>
      <c r="GW14" s="174"/>
      <c r="GX14" s="174"/>
      <c r="GY14" s="174"/>
      <c r="GZ14" s="174"/>
      <c r="HA14" s="174"/>
      <c r="HB14" s="174"/>
      <c r="HC14" s="174"/>
      <c r="HD14" s="174"/>
      <c r="HE14" s="174"/>
      <c r="HF14" s="174"/>
      <c r="HG14" s="174"/>
      <c r="HH14" s="174"/>
      <c r="HI14" s="174"/>
      <c r="HJ14" s="174"/>
      <c r="HK14" s="174"/>
      <c r="HL14" s="174"/>
      <c r="HM14" s="174"/>
      <c r="HN14" s="174"/>
      <c r="HO14" s="174"/>
      <c r="HP14" s="174"/>
      <c r="HQ14" s="174"/>
      <c r="HR14" s="174"/>
      <c r="HS14" s="174"/>
      <c r="HT14" s="174"/>
      <c r="HU14" s="174"/>
      <c r="HV14" s="174"/>
      <c r="HW14" s="174"/>
      <c r="HX14" s="174"/>
      <c r="HY14" s="174"/>
      <c r="HZ14" s="174"/>
      <c r="IA14" s="174"/>
      <c r="IB14" s="174"/>
      <c r="IC14" s="174"/>
      <c r="ID14" s="174"/>
      <c r="IE14" s="174"/>
      <c r="IF14" s="174"/>
      <c r="IG14" s="174"/>
      <c r="IH14" s="174"/>
      <c r="II14" s="174"/>
      <c r="IJ14" s="174"/>
      <c r="IK14" s="174"/>
      <c r="IL14" s="174"/>
      <c r="IM14" s="174"/>
      <c r="IN14" s="174"/>
      <c r="IO14" s="174"/>
    </row>
    <row r="15" spans="1:249" s="179" customFormat="1" ht="15" customHeight="1">
      <c r="A15" s="184"/>
      <c r="B15" s="194" t="s">
        <v>55</v>
      </c>
      <c r="C15" s="180"/>
      <c r="D15" s="174"/>
      <c r="E15" s="174"/>
      <c r="F15" s="174"/>
      <c r="G15" s="174"/>
      <c r="H15" s="174"/>
      <c r="I15" s="174"/>
      <c r="J15" s="174"/>
      <c r="K15" s="174"/>
      <c r="L15" s="174"/>
      <c r="M15" s="174"/>
      <c r="N15" s="174"/>
      <c r="O15" s="174"/>
      <c r="P15" s="174"/>
      <c r="Q15" s="174"/>
      <c r="R15" s="174"/>
      <c r="S15" s="174"/>
      <c r="T15" s="174"/>
      <c r="U15" s="174"/>
      <c r="V15" s="174"/>
      <c r="W15" s="174"/>
      <c r="X15" s="174"/>
      <c r="Y15" s="174"/>
      <c r="Z15" s="174"/>
      <c r="AA15" s="174"/>
      <c r="AB15" s="174"/>
      <c r="AC15" s="174"/>
      <c r="AD15" s="174"/>
      <c r="AE15" s="174"/>
      <c r="AF15" s="174"/>
      <c r="AG15" s="174"/>
      <c r="AH15" s="174"/>
      <c r="AI15" s="174"/>
      <c r="AJ15" s="174"/>
      <c r="AK15" s="174"/>
      <c r="AL15" s="174"/>
      <c r="AM15" s="174"/>
      <c r="AN15" s="174"/>
      <c r="AO15" s="174"/>
      <c r="AP15" s="174"/>
      <c r="AQ15" s="174"/>
      <c r="AR15" s="174"/>
      <c r="AS15" s="174"/>
      <c r="AT15" s="174"/>
      <c r="AU15" s="174"/>
      <c r="AV15" s="174"/>
      <c r="AW15" s="174"/>
      <c r="AX15" s="174"/>
      <c r="AY15" s="174"/>
      <c r="AZ15" s="174"/>
      <c r="BA15" s="174"/>
      <c r="BB15" s="174"/>
      <c r="BC15" s="174"/>
      <c r="BD15" s="174"/>
      <c r="BE15" s="174"/>
      <c r="BF15" s="174"/>
      <c r="BG15" s="174"/>
      <c r="BH15" s="174"/>
      <c r="BI15" s="174"/>
      <c r="BJ15" s="174"/>
      <c r="BK15" s="174"/>
      <c r="BL15" s="174"/>
      <c r="BM15" s="174"/>
      <c r="BN15" s="174"/>
      <c r="BO15" s="174"/>
      <c r="BP15" s="174"/>
      <c r="BQ15" s="174"/>
      <c r="BR15" s="174"/>
      <c r="BS15" s="174"/>
      <c r="BT15" s="174"/>
      <c r="BU15" s="174"/>
      <c r="BV15" s="174"/>
      <c r="BW15" s="174"/>
      <c r="BX15" s="174"/>
      <c r="BY15" s="174"/>
      <c r="BZ15" s="174"/>
      <c r="CA15" s="174"/>
      <c r="CB15" s="174"/>
      <c r="CC15" s="174"/>
      <c r="CD15" s="174"/>
      <c r="CE15" s="174"/>
      <c r="CF15" s="174"/>
      <c r="CG15" s="174"/>
      <c r="CH15" s="174"/>
      <c r="CI15" s="174"/>
      <c r="CJ15" s="174"/>
      <c r="CK15" s="174"/>
      <c r="CL15" s="174"/>
      <c r="CM15" s="174"/>
      <c r="CN15" s="174"/>
      <c r="CO15" s="174"/>
      <c r="CP15" s="174"/>
      <c r="CQ15" s="174"/>
      <c r="CR15" s="174"/>
      <c r="CS15" s="174"/>
      <c r="CT15" s="174"/>
      <c r="CU15" s="174"/>
      <c r="CV15" s="174"/>
      <c r="CW15" s="174"/>
      <c r="CX15" s="174"/>
      <c r="CY15" s="174"/>
      <c r="CZ15" s="174"/>
      <c r="DA15" s="174"/>
      <c r="DB15" s="174"/>
      <c r="DC15" s="174"/>
      <c r="DD15" s="174"/>
      <c r="DE15" s="174"/>
      <c r="DF15" s="174"/>
      <c r="DG15" s="174"/>
      <c r="DH15" s="174"/>
      <c r="DI15" s="174"/>
      <c r="DJ15" s="174"/>
      <c r="DK15" s="174"/>
      <c r="DL15" s="174"/>
      <c r="DM15" s="174"/>
      <c r="DN15" s="174"/>
      <c r="DO15" s="174"/>
      <c r="DP15" s="174"/>
      <c r="DQ15" s="174"/>
      <c r="DR15" s="174"/>
      <c r="DS15" s="174"/>
      <c r="DT15" s="174"/>
      <c r="DU15" s="174"/>
      <c r="DV15" s="174"/>
      <c r="DW15" s="174"/>
      <c r="DX15" s="174"/>
      <c r="DY15" s="174"/>
      <c r="DZ15" s="174"/>
      <c r="EA15" s="174"/>
      <c r="EB15" s="174"/>
      <c r="EC15" s="174"/>
      <c r="ED15" s="174"/>
      <c r="EE15" s="174"/>
      <c r="EF15" s="174"/>
      <c r="EG15" s="174"/>
      <c r="EH15" s="174"/>
      <c r="EI15" s="174"/>
      <c r="EJ15" s="174"/>
      <c r="EK15" s="174"/>
      <c r="EL15" s="174"/>
      <c r="EM15" s="174"/>
      <c r="EN15" s="174"/>
      <c r="EO15" s="174"/>
      <c r="EP15" s="174"/>
      <c r="EQ15" s="174"/>
      <c r="ER15" s="174"/>
      <c r="ES15" s="174"/>
      <c r="ET15" s="174"/>
      <c r="EU15" s="174"/>
      <c r="EV15" s="174"/>
      <c r="EW15" s="174"/>
      <c r="EX15" s="174"/>
      <c r="EY15" s="174"/>
      <c r="EZ15" s="174"/>
      <c r="FA15" s="174"/>
      <c r="FB15" s="174"/>
      <c r="FC15" s="174"/>
      <c r="FD15" s="174"/>
      <c r="FE15" s="174"/>
      <c r="FF15" s="174"/>
      <c r="FG15" s="174"/>
      <c r="FH15" s="174"/>
      <c r="FI15" s="174"/>
      <c r="FJ15" s="174"/>
      <c r="FK15" s="174"/>
      <c r="FL15" s="174"/>
      <c r="FM15" s="174"/>
      <c r="FN15" s="174"/>
      <c r="FO15" s="174"/>
      <c r="FP15" s="174"/>
      <c r="FQ15" s="174"/>
      <c r="FR15" s="174"/>
      <c r="FS15" s="174"/>
      <c r="FT15" s="174"/>
      <c r="FU15" s="174"/>
      <c r="FV15" s="174"/>
      <c r="FW15" s="174"/>
      <c r="FX15" s="174"/>
      <c r="FY15" s="174"/>
      <c r="FZ15" s="174"/>
      <c r="GA15" s="174"/>
      <c r="GB15" s="174"/>
      <c r="GC15" s="174"/>
      <c r="GD15" s="174"/>
      <c r="GE15" s="174"/>
      <c r="GF15" s="174"/>
      <c r="GG15" s="174"/>
      <c r="GH15" s="174"/>
      <c r="GI15" s="174"/>
      <c r="GJ15" s="174"/>
      <c r="GK15" s="174"/>
      <c r="GL15" s="174"/>
      <c r="GM15" s="174"/>
      <c r="GN15" s="174"/>
      <c r="GO15" s="174"/>
      <c r="GP15" s="174"/>
      <c r="GQ15" s="174"/>
      <c r="GR15" s="174"/>
      <c r="GS15" s="174"/>
      <c r="GT15" s="174"/>
      <c r="GU15" s="174"/>
      <c r="GV15" s="174"/>
      <c r="GW15" s="174"/>
      <c r="GX15" s="174"/>
      <c r="GY15" s="174"/>
      <c r="GZ15" s="174"/>
      <c r="HA15" s="174"/>
      <c r="HB15" s="174"/>
      <c r="HC15" s="174"/>
      <c r="HD15" s="174"/>
      <c r="HE15" s="174"/>
      <c r="HF15" s="174"/>
      <c r="HG15" s="174"/>
      <c r="HH15" s="174"/>
      <c r="HI15" s="174"/>
      <c r="HJ15" s="174"/>
      <c r="HK15" s="174"/>
      <c r="HL15" s="174"/>
      <c r="HM15" s="174"/>
      <c r="HN15" s="174"/>
      <c r="HO15" s="174"/>
      <c r="HP15" s="174"/>
      <c r="HQ15" s="174"/>
      <c r="HR15" s="174"/>
      <c r="HS15" s="174"/>
      <c r="HT15" s="174"/>
      <c r="HU15" s="174"/>
      <c r="HV15" s="174"/>
      <c r="HW15" s="174"/>
      <c r="HX15" s="174"/>
      <c r="HY15" s="174"/>
      <c r="HZ15" s="174"/>
      <c r="IA15" s="174"/>
      <c r="IB15" s="174"/>
      <c r="IC15" s="174"/>
      <c r="ID15" s="174"/>
      <c r="IE15" s="174"/>
      <c r="IF15" s="174"/>
      <c r="IG15" s="174"/>
      <c r="IH15" s="174"/>
      <c r="II15" s="174"/>
      <c r="IJ15" s="174"/>
      <c r="IK15" s="174"/>
      <c r="IL15" s="174"/>
      <c r="IM15" s="174"/>
      <c r="IN15" s="174"/>
      <c r="IO15" s="174"/>
    </row>
    <row r="16" spans="1:249" s="179" customFormat="1" ht="15" customHeight="1">
      <c r="A16" s="184"/>
      <c r="B16" s="194" t="s">
        <v>56</v>
      </c>
      <c r="C16" s="180"/>
      <c r="D16" s="174"/>
      <c r="E16" s="174"/>
      <c r="F16" s="174"/>
      <c r="G16" s="174"/>
      <c r="H16" s="174"/>
      <c r="I16" s="174"/>
      <c r="J16" s="174"/>
      <c r="K16" s="174"/>
      <c r="L16" s="174"/>
      <c r="M16" s="174"/>
      <c r="N16" s="174"/>
      <c r="O16" s="174"/>
      <c r="P16" s="174"/>
      <c r="Q16" s="174"/>
      <c r="R16" s="174"/>
      <c r="S16" s="174"/>
      <c r="T16" s="174"/>
      <c r="U16" s="174"/>
      <c r="V16" s="174"/>
      <c r="W16" s="174"/>
      <c r="X16" s="174"/>
      <c r="Y16" s="174"/>
      <c r="Z16" s="174"/>
      <c r="AA16" s="174"/>
      <c r="AB16" s="174"/>
      <c r="AC16" s="174"/>
      <c r="AD16" s="174"/>
      <c r="AE16" s="174"/>
      <c r="AF16" s="174"/>
      <c r="AG16" s="174"/>
      <c r="AH16" s="174"/>
      <c r="AI16" s="174"/>
      <c r="AJ16" s="174"/>
      <c r="AK16" s="174"/>
      <c r="AL16" s="174"/>
      <c r="AM16" s="174"/>
      <c r="AN16" s="174"/>
      <c r="AO16" s="174"/>
      <c r="AP16" s="174"/>
      <c r="AQ16" s="174"/>
      <c r="AR16" s="174"/>
      <c r="AS16" s="174"/>
      <c r="AT16" s="174"/>
      <c r="AU16" s="174"/>
      <c r="AV16" s="174"/>
      <c r="AW16" s="174"/>
      <c r="AX16" s="174"/>
      <c r="AY16" s="174"/>
      <c r="AZ16" s="174"/>
      <c r="BA16" s="174"/>
      <c r="BB16" s="174"/>
      <c r="BC16" s="174"/>
      <c r="BD16" s="174"/>
      <c r="BE16" s="174"/>
      <c r="BF16" s="174"/>
      <c r="BG16" s="174"/>
      <c r="BH16" s="174"/>
      <c r="BI16" s="174"/>
      <c r="BJ16" s="174"/>
      <c r="BK16" s="174"/>
      <c r="BL16" s="174"/>
      <c r="BM16" s="174"/>
      <c r="BN16" s="174"/>
      <c r="BO16" s="174"/>
      <c r="BP16" s="174"/>
      <c r="BQ16" s="174"/>
      <c r="BR16" s="174"/>
      <c r="BS16" s="174"/>
      <c r="BT16" s="174"/>
      <c r="BU16" s="174"/>
      <c r="BV16" s="174"/>
      <c r="BW16" s="174"/>
      <c r="BX16" s="174"/>
      <c r="BY16" s="174"/>
      <c r="BZ16" s="174"/>
      <c r="CA16" s="174"/>
      <c r="CB16" s="174"/>
      <c r="CC16" s="174"/>
      <c r="CD16" s="174"/>
      <c r="CE16" s="174"/>
      <c r="CF16" s="174"/>
      <c r="CG16" s="174"/>
      <c r="CH16" s="174"/>
      <c r="CI16" s="174"/>
      <c r="CJ16" s="174"/>
      <c r="CK16" s="174"/>
      <c r="CL16" s="174"/>
      <c r="CM16" s="174"/>
      <c r="CN16" s="174"/>
      <c r="CO16" s="174"/>
      <c r="CP16" s="174"/>
      <c r="CQ16" s="174"/>
      <c r="CR16" s="174"/>
      <c r="CS16" s="174"/>
      <c r="CT16" s="174"/>
      <c r="CU16" s="174"/>
      <c r="CV16" s="174"/>
      <c r="CW16" s="174"/>
      <c r="CX16" s="174"/>
      <c r="CY16" s="174"/>
      <c r="CZ16" s="174"/>
      <c r="DA16" s="174"/>
      <c r="DB16" s="174"/>
      <c r="DC16" s="174"/>
      <c r="DD16" s="174"/>
      <c r="DE16" s="174"/>
      <c r="DF16" s="174"/>
      <c r="DG16" s="174"/>
      <c r="DH16" s="174"/>
      <c r="DI16" s="174"/>
      <c r="DJ16" s="174"/>
      <c r="DK16" s="174"/>
      <c r="DL16" s="174"/>
      <c r="DM16" s="174"/>
      <c r="DN16" s="174"/>
      <c r="DO16" s="174"/>
      <c r="DP16" s="174"/>
      <c r="DQ16" s="174"/>
      <c r="DR16" s="174"/>
      <c r="DS16" s="174"/>
      <c r="DT16" s="174"/>
      <c r="DU16" s="174"/>
      <c r="DV16" s="174"/>
      <c r="DW16" s="174"/>
      <c r="DX16" s="174"/>
      <c r="DY16" s="174"/>
      <c r="DZ16" s="174"/>
      <c r="EA16" s="174"/>
      <c r="EB16" s="174"/>
      <c r="EC16" s="174"/>
      <c r="ED16" s="174"/>
      <c r="EE16" s="174"/>
      <c r="EF16" s="174"/>
      <c r="EG16" s="174"/>
      <c r="EH16" s="174"/>
      <c r="EI16" s="174"/>
      <c r="EJ16" s="174"/>
      <c r="EK16" s="174"/>
      <c r="EL16" s="174"/>
      <c r="EM16" s="174"/>
      <c r="EN16" s="174"/>
      <c r="EO16" s="174"/>
      <c r="EP16" s="174"/>
      <c r="EQ16" s="174"/>
      <c r="ER16" s="174"/>
      <c r="ES16" s="174"/>
      <c r="ET16" s="174"/>
      <c r="EU16" s="174"/>
      <c r="EV16" s="174"/>
      <c r="EW16" s="174"/>
      <c r="EX16" s="174"/>
      <c r="EY16" s="174"/>
      <c r="EZ16" s="174"/>
      <c r="FA16" s="174"/>
      <c r="FB16" s="174"/>
      <c r="FC16" s="174"/>
      <c r="FD16" s="174"/>
      <c r="FE16" s="174"/>
      <c r="FF16" s="174"/>
      <c r="FG16" s="174"/>
      <c r="FH16" s="174"/>
      <c r="FI16" s="174"/>
      <c r="FJ16" s="174"/>
      <c r="FK16" s="174"/>
      <c r="FL16" s="174"/>
      <c r="FM16" s="174"/>
      <c r="FN16" s="174"/>
      <c r="FO16" s="174"/>
      <c r="FP16" s="174"/>
      <c r="FQ16" s="174"/>
      <c r="FR16" s="174"/>
      <c r="FS16" s="174"/>
      <c r="FT16" s="174"/>
      <c r="FU16" s="174"/>
      <c r="FV16" s="174"/>
      <c r="FW16" s="174"/>
      <c r="FX16" s="174"/>
      <c r="FY16" s="174"/>
      <c r="FZ16" s="174"/>
      <c r="GA16" s="174"/>
      <c r="GB16" s="174"/>
      <c r="GC16" s="174"/>
      <c r="GD16" s="174"/>
      <c r="GE16" s="174"/>
      <c r="GF16" s="174"/>
      <c r="GG16" s="174"/>
      <c r="GH16" s="174"/>
      <c r="GI16" s="174"/>
      <c r="GJ16" s="174"/>
      <c r="GK16" s="174"/>
      <c r="GL16" s="174"/>
      <c r="GM16" s="174"/>
      <c r="GN16" s="174"/>
      <c r="GO16" s="174"/>
      <c r="GP16" s="174"/>
      <c r="GQ16" s="174"/>
      <c r="GR16" s="174"/>
      <c r="GS16" s="174"/>
      <c r="GT16" s="174"/>
      <c r="GU16" s="174"/>
      <c r="GV16" s="174"/>
      <c r="GW16" s="174"/>
      <c r="GX16" s="174"/>
      <c r="GY16" s="174"/>
      <c r="GZ16" s="174"/>
      <c r="HA16" s="174"/>
      <c r="HB16" s="174"/>
      <c r="HC16" s="174"/>
      <c r="HD16" s="174"/>
      <c r="HE16" s="174"/>
      <c r="HF16" s="174"/>
      <c r="HG16" s="174"/>
      <c r="HH16" s="174"/>
      <c r="HI16" s="174"/>
      <c r="HJ16" s="174"/>
      <c r="HK16" s="174"/>
      <c r="HL16" s="174"/>
      <c r="HM16" s="174"/>
      <c r="HN16" s="174"/>
      <c r="HO16" s="174"/>
      <c r="HP16" s="174"/>
      <c r="HQ16" s="174"/>
      <c r="HR16" s="174"/>
      <c r="HS16" s="174"/>
      <c r="HT16" s="174"/>
      <c r="HU16" s="174"/>
      <c r="HV16" s="174"/>
      <c r="HW16" s="174"/>
      <c r="HX16" s="174"/>
      <c r="HY16" s="174"/>
      <c r="HZ16" s="174"/>
      <c r="IA16" s="174"/>
      <c r="IB16" s="174"/>
      <c r="IC16" s="174"/>
      <c r="ID16" s="174"/>
      <c r="IE16" s="174"/>
      <c r="IF16" s="174"/>
      <c r="IG16" s="174"/>
      <c r="IH16" s="174"/>
      <c r="II16" s="174"/>
      <c r="IJ16" s="174"/>
      <c r="IK16" s="174"/>
      <c r="IL16" s="174"/>
      <c r="IM16" s="174"/>
      <c r="IN16" s="174"/>
      <c r="IO16" s="174"/>
    </row>
    <row r="17" spans="1:249" s="179" customFormat="1" ht="15" customHeight="1">
      <c r="A17" s="184"/>
      <c r="B17" s="194" t="s">
        <v>57</v>
      </c>
      <c r="C17" s="181"/>
      <c r="D17" s="174"/>
      <c r="E17" s="174"/>
      <c r="F17" s="174"/>
      <c r="G17" s="174"/>
      <c r="H17" s="174"/>
      <c r="I17" s="174"/>
      <c r="J17" s="174"/>
      <c r="K17" s="174"/>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74"/>
      <c r="AK17" s="174"/>
      <c r="AL17" s="174"/>
      <c r="AM17" s="174"/>
      <c r="AN17" s="174"/>
      <c r="AO17" s="174"/>
      <c r="AP17" s="174"/>
      <c r="AQ17" s="174"/>
      <c r="AR17" s="174"/>
      <c r="AS17" s="174"/>
      <c r="AT17" s="174"/>
      <c r="AU17" s="174"/>
      <c r="AV17" s="174"/>
      <c r="AW17" s="174"/>
      <c r="AX17" s="174"/>
      <c r="AY17" s="174"/>
      <c r="AZ17" s="174"/>
      <c r="BA17" s="174"/>
      <c r="BB17" s="174"/>
      <c r="BC17" s="174"/>
      <c r="BD17" s="174"/>
      <c r="BE17" s="174"/>
      <c r="BF17" s="174"/>
      <c r="BG17" s="174"/>
      <c r="BH17" s="174"/>
      <c r="BI17" s="174"/>
      <c r="BJ17" s="174"/>
      <c r="BK17" s="174"/>
      <c r="BL17" s="174"/>
      <c r="BM17" s="174"/>
      <c r="BN17" s="174"/>
      <c r="BO17" s="174"/>
      <c r="BP17" s="174"/>
      <c r="BQ17" s="174"/>
      <c r="BR17" s="174"/>
      <c r="BS17" s="174"/>
      <c r="BT17" s="174"/>
      <c r="BU17" s="174"/>
      <c r="BV17" s="174"/>
      <c r="BW17" s="174"/>
      <c r="BX17" s="174"/>
      <c r="BY17" s="174"/>
      <c r="BZ17" s="174"/>
      <c r="CA17" s="174"/>
      <c r="CB17" s="174"/>
      <c r="CC17" s="174"/>
      <c r="CD17" s="174"/>
      <c r="CE17" s="174"/>
      <c r="CF17" s="174"/>
      <c r="CG17" s="174"/>
      <c r="CH17" s="174"/>
      <c r="CI17" s="174"/>
      <c r="CJ17" s="174"/>
      <c r="CK17" s="174"/>
      <c r="CL17" s="174"/>
      <c r="CM17" s="174"/>
      <c r="CN17" s="174"/>
      <c r="CO17" s="174"/>
      <c r="CP17" s="174"/>
      <c r="CQ17" s="174"/>
      <c r="CR17" s="174"/>
      <c r="CS17" s="174"/>
      <c r="CT17" s="174"/>
      <c r="CU17" s="174"/>
      <c r="CV17" s="174"/>
      <c r="CW17" s="174"/>
      <c r="CX17" s="174"/>
      <c r="CY17" s="174"/>
      <c r="CZ17" s="174"/>
      <c r="DA17" s="174"/>
      <c r="DB17" s="174"/>
      <c r="DC17" s="174"/>
      <c r="DD17" s="174"/>
      <c r="DE17" s="174"/>
      <c r="DF17" s="174"/>
      <c r="DG17" s="174"/>
      <c r="DH17" s="174"/>
      <c r="DI17" s="174"/>
      <c r="DJ17" s="174"/>
      <c r="DK17" s="174"/>
      <c r="DL17" s="174"/>
      <c r="DM17" s="174"/>
      <c r="DN17" s="174"/>
      <c r="DO17" s="174"/>
      <c r="DP17" s="174"/>
      <c r="DQ17" s="174"/>
      <c r="DR17" s="174"/>
      <c r="DS17" s="174"/>
      <c r="DT17" s="174"/>
      <c r="DU17" s="174"/>
      <c r="DV17" s="174"/>
      <c r="DW17" s="174"/>
      <c r="DX17" s="174"/>
      <c r="DY17" s="174"/>
      <c r="DZ17" s="174"/>
      <c r="EA17" s="174"/>
      <c r="EB17" s="174"/>
      <c r="EC17" s="174"/>
      <c r="ED17" s="174"/>
      <c r="EE17" s="174"/>
      <c r="EF17" s="174"/>
      <c r="EG17" s="174"/>
      <c r="EH17" s="174"/>
      <c r="EI17" s="174"/>
      <c r="EJ17" s="174"/>
      <c r="EK17" s="174"/>
      <c r="EL17" s="174"/>
      <c r="EM17" s="174"/>
      <c r="EN17" s="174"/>
      <c r="EO17" s="174"/>
      <c r="EP17" s="174"/>
      <c r="EQ17" s="174"/>
      <c r="ER17" s="174"/>
      <c r="ES17" s="174"/>
      <c r="ET17" s="174"/>
      <c r="EU17" s="174"/>
      <c r="EV17" s="174"/>
      <c r="EW17" s="174"/>
      <c r="EX17" s="174"/>
      <c r="EY17" s="174"/>
      <c r="EZ17" s="174"/>
      <c r="FA17" s="174"/>
      <c r="FB17" s="174"/>
      <c r="FC17" s="174"/>
      <c r="FD17" s="174"/>
      <c r="FE17" s="174"/>
      <c r="FF17" s="174"/>
      <c r="FG17" s="174"/>
      <c r="FH17" s="174"/>
      <c r="FI17" s="174"/>
      <c r="FJ17" s="174"/>
      <c r="FK17" s="174"/>
      <c r="FL17" s="174"/>
      <c r="FM17" s="174"/>
      <c r="FN17" s="174"/>
      <c r="FO17" s="174"/>
      <c r="FP17" s="174"/>
      <c r="FQ17" s="174"/>
      <c r="FR17" s="174"/>
      <c r="FS17" s="174"/>
      <c r="FT17" s="174"/>
      <c r="FU17" s="174"/>
      <c r="FV17" s="174"/>
      <c r="FW17" s="174"/>
      <c r="FX17" s="174"/>
      <c r="FY17" s="174"/>
      <c r="FZ17" s="174"/>
      <c r="GA17" s="174"/>
      <c r="GB17" s="174"/>
      <c r="GC17" s="174"/>
      <c r="GD17" s="174"/>
      <c r="GE17" s="174"/>
      <c r="GF17" s="174"/>
      <c r="GG17" s="174"/>
      <c r="GH17" s="174"/>
      <c r="GI17" s="174"/>
      <c r="GJ17" s="174"/>
      <c r="GK17" s="174"/>
      <c r="GL17" s="174"/>
      <c r="GM17" s="174"/>
      <c r="GN17" s="174"/>
      <c r="GO17" s="174"/>
      <c r="GP17" s="174"/>
      <c r="GQ17" s="174"/>
      <c r="GR17" s="174"/>
      <c r="GS17" s="174"/>
      <c r="GT17" s="174"/>
      <c r="GU17" s="174"/>
      <c r="GV17" s="174"/>
      <c r="GW17" s="174"/>
      <c r="GX17" s="174"/>
      <c r="GY17" s="174"/>
      <c r="GZ17" s="174"/>
      <c r="HA17" s="174"/>
      <c r="HB17" s="174"/>
      <c r="HC17" s="174"/>
      <c r="HD17" s="174"/>
      <c r="HE17" s="174"/>
      <c r="HF17" s="174"/>
      <c r="HG17" s="174"/>
      <c r="HH17" s="174"/>
      <c r="HI17" s="174"/>
      <c r="HJ17" s="174"/>
      <c r="HK17" s="174"/>
      <c r="HL17" s="174"/>
      <c r="HM17" s="174"/>
      <c r="HN17" s="174"/>
      <c r="HO17" s="174"/>
      <c r="HP17" s="174"/>
      <c r="HQ17" s="174"/>
      <c r="HR17" s="174"/>
      <c r="HS17" s="174"/>
      <c r="HT17" s="174"/>
      <c r="HU17" s="174"/>
      <c r="HV17" s="174"/>
      <c r="HW17" s="174"/>
      <c r="HX17" s="174"/>
      <c r="HY17" s="174"/>
      <c r="HZ17" s="174"/>
      <c r="IA17" s="174"/>
      <c r="IB17" s="174"/>
      <c r="IC17" s="174"/>
      <c r="ID17" s="174"/>
      <c r="IE17" s="174"/>
      <c r="IF17" s="174"/>
      <c r="IG17" s="174"/>
      <c r="IH17" s="174"/>
      <c r="II17" s="174"/>
      <c r="IJ17" s="174"/>
      <c r="IK17" s="174"/>
      <c r="IL17" s="174"/>
      <c r="IM17" s="174"/>
      <c r="IN17" s="174"/>
      <c r="IO17" s="174"/>
    </row>
    <row r="18" spans="1:249" s="179" customFormat="1" ht="15" customHeight="1">
      <c r="A18" s="184"/>
      <c r="B18" s="194" t="s">
        <v>58</v>
      </c>
      <c r="C18" s="181"/>
      <c r="D18" s="174"/>
      <c r="E18" s="174"/>
      <c r="F18" s="174"/>
      <c r="G18" s="174"/>
      <c r="H18" s="174"/>
      <c r="I18" s="174"/>
      <c r="J18" s="174"/>
      <c r="K18" s="174"/>
      <c r="L18" s="174"/>
      <c r="M18" s="174"/>
      <c r="N18" s="174"/>
      <c r="O18" s="174"/>
      <c r="P18" s="174"/>
      <c r="Q18" s="174"/>
      <c r="R18" s="174"/>
      <c r="S18" s="174"/>
      <c r="T18" s="174"/>
      <c r="U18" s="174"/>
      <c r="V18" s="174"/>
      <c r="W18" s="174"/>
      <c r="X18" s="174"/>
      <c r="Y18" s="174"/>
      <c r="Z18" s="174"/>
      <c r="AA18" s="174"/>
      <c r="AB18" s="174"/>
      <c r="AC18" s="174"/>
      <c r="AD18" s="174"/>
      <c r="AE18" s="174"/>
      <c r="AF18" s="174"/>
      <c r="AG18" s="174"/>
      <c r="AH18" s="174"/>
      <c r="AI18" s="174"/>
      <c r="AJ18" s="174"/>
      <c r="AK18" s="174"/>
      <c r="AL18" s="174"/>
      <c r="AM18" s="174"/>
      <c r="AN18" s="174"/>
      <c r="AO18" s="174"/>
      <c r="AP18" s="174"/>
      <c r="AQ18" s="174"/>
      <c r="AR18" s="174"/>
      <c r="AS18" s="174"/>
      <c r="AT18" s="174"/>
      <c r="AU18" s="174"/>
      <c r="AV18" s="174"/>
      <c r="AW18" s="174"/>
      <c r="AX18" s="174"/>
      <c r="AY18" s="174"/>
      <c r="AZ18" s="174"/>
      <c r="BA18" s="174"/>
      <c r="BB18" s="174"/>
      <c r="BC18" s="174"/>
      <c r="BD18" s="174"/>
      <c r="BE18" s="174"/>
      <c r="BF18" s="174"/>
      <c r="BG18" s="174"/>
      <c r="BH18" s="174"/>
      <c r="BI18" s="174"/>
      <c r="BJ18" s="174"/>
      <c r="BK18" s="174"/>
      <c r="BL18" s="174"/>
      <c r="BM18" s="174"/>
      <c r="BN18" s="174"/>
      <c r="BO18" s="174"/>
      <c r="BP18" s="174"/>
      <c r="BQ18" s="174"/>
      <c r="BR18" s="174"/>
      <c r="BS18" s="174"/>
      <c r="BT18" s="174"/>
      <c r="BU18" s="174"/>
      <c r="BV18" s="174"/>
      <c r="BW18" s="174"/>
      <c r="BX18" s="174"/>
      <c r="BY18" s="174"/>
      <c r="BZ18" s="174"/>
      <c r="CA18" s="174"/>
      <c r="CB18" s="174"/>
      <c r="CC18" s="174"/>
      <c r="CD18" s="174"/>
      <c r="CE18" s="174"/>
      <c r="CF18" s="174"/>
      <c r="CG18" s="174"/>
      <c r="CH18" s="174"/>
      <c r="CI18" s="174"/>
      <c r="CJ18" s="174"/>
      <c r="CK18" s="174"/>
      <c r="CL18" s="174"/>
      <c r="CM18" s="174"/>
      <c r="CN18" s="174"/>
      <c r="CO18" s="174"/>
      <c r="CP18" s="174"/>
      <c r="CQ18" s="174"/>
      <c r="CR18" s="174"/>
      <c r="CS18" s="174"/>
      <c r="CT18" s="174"/>
      <c r="CU18" s="174"/>
      <c r="CV18" s="174"/>
      <c r="CW18" s="174"/>
      <c r="CX18" s="174"/>
      <c r="CY18" s="174"/>
      <c r="CZ18" s="174"/>
      <c r="DA18" s="174"/>
      <c r="DB18" s="174"/>
      <c r="DC18" s="174"/>
      <c r="DD18" s="174"/>
      <c r="DE18" s="174"/>
      <c r="DF18" s="174"/>
      <c r="DG18" s="174"/>
      <c r="DH18" s="174"/>
      <c r="DI18" s="174"/>
      <c r="DJ18" s="174"/>
      <c r="DK18" s="174"/>
      <c r="DL18" s="174"/>
      <c r="DM18" s="174"/>
      <c r="DN18" s="174"/>
      <c r="DO18" s="174"/>
      <c r="DP18" s="174"/>
      <c r="DQ18" s="174"/>
      <c r="DR18" s="174"/>
      <c r="DS18" s="174"/>
      <c r="DT18" s="174"/>
      <c r="DU18" s="174"/>
      <c r="DV18" s="174"/>
      <c r="DW18" s="174"/>
      <c r="DX18" s="174"/>
      <c r="DY18" s="174"/>
      <c r="DZ18" s="174"/>
      <c r="EA18" s="174"/>
      <c r="EB18" s="174"/>
      <c r="EC18" s="174"/>
      <c r="ED18" s="174"/>
      <c r="EE18" s="174"/>
      <c r="EF18" s="174"/>
      <c r="EG18" s="174"/>
      <c r="EH18" s="174"/>
      <c r="EI18" s="174"/>
      <c r="EJ18" s="174"/>
      <c r="EK18" s="174"/>
      <c r="EL18" s="174"/>
      <c r="EM18" s="174"/>
      <c r="EN18" s="174"/>
      <c r="EO18" s="174"/>
      <c r="EP18" s="174"/>
      <c r="EQ18" s="174"/>
      <c r="ER18" s="174"/>
      <c r="ES18" s="174"/>
      <c r="ET18" s="174"/>
      <c r="EU18" s="174"/>
      <c r="EV18" s="174"/>
      <c r="EW18" s="174"/>
      <c r="EX18" s="174"/>
      <c r="EY18" s="174"/>
      <c r="EZ18" s="174"/>
      <c r="FA18" s="174"/>
      <c r="FB18" s="174"/>
      <c r="FC18" s="174"/>
      <c r="FD18" s="174"/>
      <c r="FE18" s="174"/>
      <c r="FF18" s="174"/>
      <c r="FG18" s="174"/>
      <c r="FH18" s="174"/>
      <c r="FI18" s="174"/>
      <c r="FJ18" s="174"/>
      <c r="FK18" s="174"/>
      <c r="FL18" s="174"/>
      <c r="FM18" s="174"/>
      <c r="FN18" s="174"/>
      <c r="FO18" s="174"/>
      <c r="FP18" s="174"/>
      <c r="FQ18" s="174"/>
      <c r="FR18" s="174"/>
      <c r="FS18" s="174"/>
      <c r="FT18" s="174"/>
      <c r="FU18" s="174"/>
      <c r="FV18" s="174"/>
      <c r="FW18" s="174"/>
      <c r="FX18" s="174"/>
      <c r="FY18" s="174"/>
      <c r="FZ18" s="174"/>
      <c r="GA18" s="174"/>
      <c r="GB18" s="174"/>
      <c r="GC18" s="174"/>
      <c r="GD18" s="174"/>
      <c r="GE18" s="174"/>
      <c r="GF18" s="174"/>
      <c r="GG18" s="174"/>
      <c r="GH18" s="174"/>
      <c r="GI18" s="174"/>
      <c r="GJ18" s="174"/>
      <c r="GK18" s="174"/>
      <c r="GL18" s="174"/>
      <c r="GM18" s="174"/>
      <c r="GN18" s="174"/>
      <c r="GO18" s="174"/>
      <c r="GP18" s="174"/>
      <c r="GQ18" s="174"/>
      <c r="GR18" s="174"/>
      <c r="GS18" s="174"/>
      <c r="GT18" s="174"/>
      <c r="GU18" s="174"/>
      <c r="GV18" s="174"/>
      <c r="GW18" s="174"/>
      <c r="GX18" s="174"/>
      <c r="GY18" s="174"/>
      <c r="GZ18" s="174"/>
      <c r="HA18" s="174"/>
      <c r="HB18" s="174"/>
      <c r="HC18" s="174"/>
      <c r="HD18" s="174"/>
      <c r="HE18" s="174"/>
      <c r="HF18" s="174"/>
      <c r="HG18" s="174"/>
      <c r="HH18" s="174"/>
      <c r="HI18" s="174"/>
      <c r="HJ18" s="174"/>
      <c r="HK18" s="174"/>
      <c r="HL18" s="174"/>
      <c r="HM18" s="174"/>
      <c r="HN18" s="174"/>
      <c r="HO18" s="174"/>
      <c r="HP18" s="174"/>
      <c r="HQ18" s="174"/>
      <c r="HR18" s="174"/>
      <c r="HS18" s="174"/>
      <c r="HT18" s="174"/>
      <c r="HU18" s="174"/>
      <c r="HV18" s="174"/>
      <c r="HW18" s="174"/>
      <c r="HX18" s="174"/>
      <c r="HY18" s="174"/>
      <c r="HZ18" s="174"/>
      <c r="IA18" s="174"/>
      <c r="IB18" s="174"/>
      <c r="IC18" s="174"/>
      <c r="ID18" s="174"/>
      <c r="IE18" s="174"/>
      <c r="IF18" s="174"/>
      <c r="IG18" s="174"/>
      <c r="IH18" s="174"/>
      <c r="II18" s="174"/>
      <c r="IJ18" s="174"/>
      <c r="IK18" s="174"/>
      <c r="IL18" s="174"/>
      <c r="IM18" s="174"/>
      <c r="IN18" s="174"/>
      <c r="IO18" s="174"/>
    </row>
    <row r="19" spans="1:249" s="179" customFormat="1" ht="15" customHeight="1">
      <c r="A19" s="184"/>
      <c r="B19" s="194" t="s">
        <v>59</v>
      </c>
      <c r="C19" s="181"/>
      <c r="D19" s="174"/>
      <c r="E19" s="174"/>
      <c r="F19" s="174"/>
      <c r="G19" s="174"/>
      <c r="H19" s="174"/>
      <c r="I19" s="174"/>
      <c r="J19" s="174"/>
      <c r="K19" s="174"/>
      <c r="L19" s="174"/>
      <c r="M19" s="174"/>
      <c r="N19" s="174"/>
      <c r="O19" s="174"/>
      <c r="P19" s="174"/>
      <c r="Q19" s="174"/>
      <c r="R19" s="174"/>
      <c r="S19" s="174"/>
      <c r="T19" s="174"/>
      <c r="U19" s="174"/>
      <c r="V19" s="174"/>
      <c r="W19" s="174"/>
      <c r="X19" s="174"/>
      <c r="Y19" s="174"/>
      <c r="Z19" s="174"/>
      <c r="AA19" s="174"/>
      <c r="AB19" s="174"/>
      <c r="AC19" s="174"/>
      <c r="AD19" s="174"/>
      <c r="AE19" s="174"/>
      <c r="AF19" s="174"/>
      <c r="AG19" s="174"/>
      <c r="AH19" s="174"/>
      <c r="AI19" s="174"/>
      <c r="AJ19" s="174"/>
      <c r="AK19" s="174"/>
      <c r="AL19" s="174"/>
      <c r="AM19" s="174"/>
      <c r="AN19" s="174"/>
      <c r="AO19" s="174"/>
      <c r="AP19" s="174"/>
      <c r="AQ19" s="174"/>
      <c r="AR19" s="174"/>
      <c r="AS19" s="174"/>
      <c r="AT19" s="174"/>
      <c r="AU19" s="174"/>
      <c r="AV19" s="174"/>
      <c r="AW19" s="174"/>
      <c r="AX19" s="174"/>
      <c r="AY19" s="174"/>
      <c r="AZ19" s="174"/>
      <c r="BA19" s="174"/>
      <c r="BB19" s="174"/>
      <c r="BC19" s="174"/>
      <c r="BD19" s="174"/>
      <c r="BE19" s="174"/>
      <c r="BF19" s="174"/>
      <c r="BG19" s="174"/>
      <c r="BH19" s="174"/>
      <c r="BI19" s="174"/>
      <c r="BJ19" s="174"/>
      <c r="BK19" s="174"/>
      <c r="BL19" s="174"/>
      <c r="BM19" s="174"/>
      <c r="BN19" s="174"/>
      <c r="BO19" s="174"/>
      <c r="BP19" s="174"/>
      <c r="BQ19" s="174"/>
      <c r="BR19" s="174"/>
      <c r="BS19" s="174"/>
      <c r="BT19" s="174"/>
      <c r="BU19" s="174"/>
      <c r="BV19" s="174"/>
      <c r="BW19" s="174"/>
      <c r="BX19" s="174"/>
      <c r="BY19" s="174"/>
      <c r="BZ19" s="174"/>
      <c r="CA19" s="174"/>
      <c r="CB19" s="174"/>
      <c r="CC19" s="174"/>
      <c r="CD19" s="174"/>
      <c r="CE19" s="174"/>
      <c r="CF19" s="174"/>
      <c r="CG19" s="174"/>
      <c r="CH19" s="174"/>
      <c r="CI19" s="174"/>
      <c r="CJ19" s="174"/>
      <c r="CK19" s="174"/>
      <c r="CL19" s="174"/>
      <c r="CM19" s="174"/>
      <c r="CN19" s="174"/>
      <c r="CO19" s="174"/>
      <c r="CP19" s="174"/>
      <c r="CQ19" s="174"/>
      <c r="CR19" s="174"/>
      <c r="CS19" s="174"/>
      <c r="CT19" s="174"/>
      <c r="CU19" s="174"/>
      <c r="CV19" s="174"/>
      <c r="CW19" s="174"/>
      <c r="CX19" s="174"/>
      <c r="CY19" s="174"/>
      <c r="CZ19" s="174"/>
      <c r="DA19" s="174"/>
      <c r="DB19" s="174"/>
      <c r="DC19" s="174"/>
      <c r="DD19" s="174"/>
      <c r="DE19" s="174"/>
      <c r="DF19" s="174"/>
      <c r="DG19" s="174"/>
      <c r="DH19" s="174"/>
      <c r="DI19" s="174"/>
      <c r="DJ19" s="174"/>
      <c r="DK19" s="174"/>
      <c r="DL19" s="174"/>
      <c r="DM19" s="174"/>
      <c r="DN19" s="174"/>
      <c r="DO19" s="174"/>
      <c r="DP19" s="174"/>
      <c r="DQ19" s="174"/>
      <c r="DR19" s="174"/>
      <c r="DS19" s="174"/>
      <c r="DT19" s="174"/>
      <c r="DU19" s="174"/>
      <c r="DV19" s="174"/>
      <c r="DW19" s="174"/>
      <c r="DX19" s="174"/>
      <c r="DY19" s="174"/>
      <c r="DZ19" s="174"/>
      <c r="EA19" s="174"/>
      <c r="EB19" s="174"/>
      <c r="EC19" s="174"/>
      <c r="ED19" s="174"/>
      <c r="EE19" s="174"/>
      <c r="EF19" s="174"/>
      <c r="EG19" s="174"/>
      <c r="EH19" s="174"/>
      <c r="EI19" s="174"/>
      <c r="EJ19" s="174"/>
      <c r="EK19" s="174"/>
      <c r="EL19" s="174"/>
      <c r="EM19" s="174"/>
      <c r="EN19" s="174"/>
      <c r="EO19" s="174"/>
      <c r="EP19" s="174"/>
      <c r="EQ19" s="174"/>
      <c r="ER19" s="174"/>
      <c r="ES19" s="174"/>
      <c r="ET19" s="174"/>
      <c r="EU19" s="174"/>
      <c r="EV19" s="174"/>
      <c r="EW19" s="174"/>
      <c r="EX19" s="174"/>
      <c r="EY19" s="174"/>
      <c r="EZ19" s="174"/>
      <c r="FA19" s="174"/>
      <c r="FB19" s="174"/>
      <c r="FC19" s="174"/>
      <c r="FD19" s="174"/>
      <c r="FE19" s="174"/>
      <c r="FF19" s="174"/>
      <c r="FG19" s="174"/>
      <c r="FH19" s="174"/>
      <c r="FI19" s="174"/>
      <c r="FJ19" s="174"/>
      <c r="FK19" s="174"/>
      <c r="FL19" s="174"/>
      <c r="FM19" s="174"/>
      <c r="FN19" s="174"/>
      <c r="FO19" s="174"/>
      <c r="FP19" s="174"/>
      <c r="FQ19" s="174"/>
      <c r="FR19" s="174"/>
      <c r="FS19" s="174"/>
      <c r="FT19" s="174"/>
      <c r="FU19" s="174"/>
      <c r="FV19" s="174"/>
      <c r="FW19" s="174"/>
      <c r="FX19" s="174"/>
      <c r="FY19" s="174"/>
      <c r="FZ19" s="174"/>
      <c r="GA19" s="174"/>
      <c r="GB19" s="174"/>
      <c r="GC19" s="174"/>
      <c r="GD19" s="174"/>
      <c r="GE19" s="174"/>
      <c r="GF19" s="174"/>
      <c r="GG19" s="174"/>
      <c r="GH19" s="174"/>
      <c r="GI19" s="174"/>
      <c r="GJ19" s="174"/>
      <c r="GK19" s="174"/>
      <c r="GL19" s="174"/>
      <c r="GM19" s="174"/>
      <c r="GN19" s="174"/>
      <c r="GO19" s="174"/>
      <c r="GP19" s="174"/>
      <c r="GQ19" s="174"/>
      <c r="GR19" s="174"/>
      <c r="GS19" s="174"/>
      <c r="GT19" s="174"/>
      <c r="GU19" s="174"/>
      <c r="GV19" s="174"/>
      <c r="GW19" s="174"/>
      <c r="GX19" s="174"/>
      <c r="GY19" s="174"/>
      <c r="GZ19" s="174"/>
      <c r="HA19" s="174"/>
      <c r="HB19" s="174"/>
      <c r="HC19" s="174"/>
      <c r="HD19" s="174"/>
      <c r="HE19" s="174"/>
      <c r="HF19" s="174"/>
      <c r="HG19" s="174"/>
      <c r="HH19" s="174"/>
      <c r="HI19" s="174"/>
      <c r="HJ19" s="174"/>
      <c r="HK19" s="174"/>
      <c r="HL19" s="174"/>
      <c r="HM19" s="174"/>
      <c r="HN19" s="174"/>
      <c r="HO19" s="174"/>
      <c r="HP19" s="174"/>
      <c r="HQ19" s="174"/>
      <c r="HR19" s="174"/>
      <c r="HS19" s="174"/>
      <c r="HT19" s="174"/>
      <c r="HU19" s="174"/>
      <c r="HV19" s="174"/>
      <c r="HW19" s="174"/>
      <c r="HX19" s="174"/>
      <c r="HY19" s="174"/>
      <c r="HZ19" s="174"/>
      <c r="IA19" s="174"/>
      <c r="IB19" s="174"/>
      <c r="IC19" s="174"/>
      <c r="ID19" s="174"/>
      <c r="IE19" s="174"/>
      <c r="IF19" s="174"/>
      <c r="IG19" s="174"/>
      <c r="IH19" s="174"/>
      <c r="II19" s="174"/>
      <c r="IJ19" s="174"/>
      <c r="IK19" s="174"/>
      <c r="IL19" s="174"/>
      <c r="IM19" s="174"/>
      <c r="IN19" s="174"/>
      <c r="IO19" s="174"/>
    </row>
    <row r="20" spans="1:249" s="179" customFormat="1" ht="15" customHeight="1">
      <c r="A20" s="184"/>
      <c r="B20" s="194" t="s">
        <v>60</v>
      </c>
      <c r="C20" s="181"/>
      <c r="D20" s="174"/>
      <c r="E20" s="174"/>
      <c r="F20" s="174"/>
      <c r="G20" s="174"/>
      <c r="H20" s="174"/>
      <c r="I20" s="174"/>
      <c r="J20" s="174"/>
      <c r="K20" s="174"/>
      <c r="L20" s="174"/>
      <c r="M20" s="174"/>
      <c r="N20" s="174"/>
      <c r="O20" s="174"/>
      <c r="P20" s="174"/>
      <c r="Q20" s="174"/>
      <c r="R20" s="174"/>
      <c r="S20" s="174"/>
      <c r="T20" s="174"/>
      <c r="U20" s="174"/>
      <c r="V20" s="174"/>
      <c r="W20" s="174"/>
      <c r="X20" s="174"/>
      <c r="Y20" s="174"/>
      <c r="Z20" s="174"/>
      <c r="AA20" s="174"/>
      <c r="AB20" s="174"/>
      <c r="AC20" s="174"/>
      <c r="AD20" s="174"/>
      <c r="AE20" s="174"/>
      <c r="AF20" s="174"/>
      <c r="AG20" s="174"/>
      <c r="AH20" s="174"/>
      <c r="AI20" s="174"/>
      <c r="AJ20" s="174"/>
      <c r="AK20" s="174"/>
      <c r="AL20" s="174"/>
      <c r="AM20" s="174"/>
      <c r="AN20" s="174"/>
      <c r="AO20" s="174"/>
      <c r="AP20" s="174"/>
      <c r="AQ20" s="174"/>
      <c r="AR20" s="174"/>
      <c r="AS20" s="174"/>
      <c r="AT20" s="174"/>
      <c r="AU20" s="174"/>
      <c r="AV20" s="174"/>
      <c r="AW20" s="174"/>
      <c r="AX20" s="174"/>
      <c r="AY20" s="174"/>
      <c r="AZ20" s="174"/>
      <c r="BA20" s="174"/>
      <c r="BB20" s="174"/>
      <c r="BC20" s="174"/>
      <c r="BD20" s="174"/>
      <c r="BE20" s="174"/>
      <c r="BF20" s="174"/>
      <c r="BG20" s="174"/>
      <c r="BH20" s="174"/>
      <c r="BI20" s="174"/>
      <c r="BJ20" s="174"/>
      <c r="BK20" s="174"/>
      <c r="BL20" s="174"/>
      <c r="BM20" s="174"/>
      <c r="BN20" s="174"/>
      <c r="BO20" s="174"/>
      <c r="BP20" s="174"/>
      <c r="BQ20" s="174"/>
      <c r="BR20" s="174"/>
      <c r="BS20" s="174"/>
      <c r="BT20" s="174"/>
      <c r="BU20" s="174"/>
      <c r="BV20" s="174"/>
      <c r="BW20" s="174"/>
      <c r="BX20" s="174"/>
      <c r="BY20" s="174"/>
      <c r="BZ20" s="174"/>
      <c r="CA20" s="174"/>
      <c r="CB20" s="174"/>
      <c r="CC20" s="174"/>
      <c r="CD20" s="174"/>
      <c r="CE20" s="174"/>
      <c r="CF20" s="174"/>
      <c r="CG20" s="174"/>
      <c r="CH20" s="174"/>
      <c r="CI20" s="174"/>
      <c r="CJ20" s="174"/>
      <c r="CK20" s="174"/>
      <c r="CL20" s="174"/>
      <c r="CM20" s="174"/>
      <c r="CN20" s="174"/>
      <c r="CO20" s="174"/>
      <c r="CP20" s="174"/>
      <c r="CQ20" s="174"/>
      <c r="CR20" s="174"/>
      <c r="CS20" s="174"/>
      <c r="CT20" s="174"/>
      <c r="CU20" s="174"/>
      <c r="CV20" s="174"/>
      <c r="CW20" s="174"/>
      <c r="CX20" s="174"/>
      <c r="CY20" s="174"/>
      <c r="CZ20" s="174"/>
      <c r="DA20" s="174"/>
      <c r="DB20" s="174"/>
      <c r="DC20" s="174"/>
      <c r="DD20" s="174"/>
      <c r="DE20" s="174"/>
      <c r="DF20" s="174"/>
      <c r="DG20" s="174"/>
      <c r="DH20" s="174"/>
      <c r="DI20" s="174"/>
      <c r="DJ20" s="174"/>
      <c r="DK20" s="174"/>
      <c r="DL20" s="174"/>
      <c r="DM20" s="174"/>
      <c r="DN20" s="174"/>
      <c r="DO20" s="174"/>
      <c r="DP20" s="174"/>
      <c r="DQ20" s="174"/>
      <c r="DR20" s="174"/>
      <c r="DS20" s="174"/>
      <c r="DT20" s="174"/>
      <c r="DU20" s="174"/>
      <c r="DV20" s="174"/>
      <c r="DW20" s="174"/>
      <c r="DX20" s="174"/>
      <c r="DY20" s="174"/>
      <c r="DZ20" s="174"/>
      <c r="EA20" s="174"/>
      <c r="EB20" s="174"/>
      <c r="EC20" s="174"/>
      <c r="ED20" s="174"/>
      <c r="EE20" s="174"/>
      <c r="EF20" s="174"/>
      <c r="EG20" s="174"/>
      <c r="EH20" s="174"/>
      <c r="EI20" s="174"/>
      <c r="EJ20" s="174"/>
      <c r="EK20" s="174"/>
      <c r="EL20" s="174"/>
      <c r="EM20" s="174"/>
      <c r="EN20" s="174"/>
      <c r="EO20" s="174"/>
      <c r="EP20" s="174"/>
      <c r="EQ20" s="174"/>
      <c r="ER20" s="174"/>
      <c r="ES20" s="174"/>
      <c r="ET20" s="174"/>
      <c r="EU20" s="174"/>
      <c r="EV20" s="174"/>
      <c r="EW20" s="174"/>
      <c r="EX20" s="174"/>
      <c r="EY20" s="174"/>
      <c r="EZ20" s="174"/>
      <c r="FA20" s="174"/>
      <c r="FB20" s="174"/>
      <c r="FC20" s="174"/>
      <c r="FD20" s="174"/>
      <c r="FE20" s="174"/>
      <c r="FF20" s="174"/>
      <c r="FG20" s="174"/>
      <c r="FH20" s="174"/>
      <c r="FI20" s="174"/>
      <c r="FJ20" s="174"/>
      <c r="FK20" s="174"/>
      <c r="FL20" s="174"/>
      <c r="FM20" s="174"/>
      <c r="FN20" s="174"/>
      <c r="FO20" s="174"/>
      <c r="FP20" s="174"/>
      <c r="FQ20" s="174"/>
      <c r="FR20" s="174"/>
      <c r="FS20" s="174"/>
      <c r="FT20" s="174"/>
      <c r="FU20" s="174"/>
      <c r="FV20" s="174"/>
      <c r="FW20" s="174"/>
      <c r="FX20" s="174"/>
      <c r="FY20" s="174"/>
      <c r="FZ20" s="174"/>
      <c r="GA20" s="174"/>
      <c r="GB20" s="174"/>
      <c r="GC20" s="174"/>
      <c r="GD20" s="174"/>
      <c r="GE20" s="174"/>
      <c r="GF20" s="174"/>
      <c r="GG20" s="174"/>
      <c r="GH20" s="174"/>
      <c r="GI20" s="174"/>
      <c r="GJ20" s="174"/>
      <c r="GK20" s="174"/>
      <c r="GL20" s="174"/>
      <c r="GM20" s="174"/>
      <c r="GN20" s="174"/>
      <c r="GO20" s="174"/>
      <c r="GP20" s="174"/>
      <c r="GQ20" s="174"/>
      <c r="GR20" s="174"/>
      <c r="GS20" s="174"/>
      <c r="GT20" s="174"/>
      <c r="GU20" s="174"/>
      <c r="GV20" s="174"/>
      <c r="GW20" s="174"/>
      <c r="GX20" s="174"/>
      <c r="GY20" s="174"/>
      <c r="GZ20" s="174"/>
      <c r="HA20" s="174"/>
      <c r="HB20" s="174"/>
      <c r="HC20" s="174"/>
      <c r="HD20" s="174"/>
      <c r="HE20" s="174"/>
      <c r="HF20" s="174"/>
      <c r="HG20" s="174"/>
      <c r="HH20" s="174"/>
      <c r="HI20" s="174"/>
      <c r="HJ20" s="174"/>
      <c r="HK20" s="174"/>
      <c r="HL20" s="174"/>
      <c r="HM20" s="174"/>
      <c r="HN20" s="174"/>
      <c r="HO20" s="174"/>
      <c r="HP20" s="174"/>
      <c r="HQ20" s="174"/>
      <c r="HR20" s="174"/>
      <c r="HS20" s="174"/>
      <c r="HT20" s="174"/>
      <c r="HU20" s="174"/>
      <c r="HV20" s="174"/>
      <c r="HW20" s="174"/>
      <c r="HX20" s="174"/>
      <c r="HY20" s="174"/>
      <c r="HZ20" s="174"/>
      <c r="IA20" s="174"/>
      <c r="IB20" s="174"/>
      <c r="IC20" s="174"/>
      <c r="ID20" s="174"/>
      <c r="IE20" s="174"/>
      <c r="IF20" s="174"/>
      <c r="IG20" s="174"/>
      <c r="IH20" s="174"/>
      <c r="II20" s="174"/>
      <c r="IJ20" s="174"/>
      <c r="IK20" s="174"/>
      <c r="IL20" s="174"/>
      <c r="IM20" s="174"/>
      <c r="IN20" s="174"/>
      <c r="IO20" s="174"/>
    </row>
    <row r="21" spans="1:249" s="179" customFormat="1" ht="15" customHeight="1">
      <c r="A21" s="184"/>
      <c r="B21" s="197" t="s">
        <v>61</v>
      </c>
      <c r="C21" s="185"/>
      <c r="D21" s="174"/>
      <c r="E21" s="174"/>
      <c r="F21" s="174"/>
      <c r="G21" s="174"/>
      <c r="H21" s="174"/>
      <c r="I21" s="174"/>
      <c r="J21" s="174"/>
      <c r="K21" s="174"/>
      <c r="L21" s="174"/>
      <c r="M21" s="174"/>
      <c r="N21" s="174"/>
      <c r="O21" s="174"/>
      <c r="P21" s="174"/>
      <c r="Q21" s="174"/>
      <c r="R21" s="174"/>
      <c r="S21" s="174"/>
      <c r="T21" s="174"/>
      <c r="U21" s="174"/>
      <c r="V21" s="174"/>
      <c r="W21" s="174"/>
      <c r="X21" s="174"/>
      <c r="Y21" s="174"/>
      <c r="Z21" s="174"/>
      <c r="AA21" s="174"/>
      <c r="AB21" s="174"/>
      <c r="AC21" s="174"/>
      <c r="AD21" s="174"/>
      <c r="AE21" s="174"/>
      <c r="AF21" s="174"/>
      <c r="AG21" s="174"/>
      <c r="AH21" s="174"/>
      <c r="AI21" s="174"/>
      <c r="AJ21" s="174"/>
      <c r="AK21" s="174"/>
      <c r="AL21" s="174"/>
      <c r="AM21" s="174"/>
      <c r="AN21" s="174"/>
      <c r="AO21" s="174"/>
      <c r="AP21" s="174"/>
      <c r="AQ21" s="174"/>
      <c r="AR21" s="174"/>
      <c r="AS21" s="174"/>
      <c r="AT21" s="174"/>
      <c r="AU21" s="174"/>
      <c r="AV21" s="174"/>
      <c r="AW21" s="174"/>
      <c r="AX21" s="174"/>
      <c r="AY21" s="174"/>
      <c r="AZ21" s="174"/>
      <c r="BA21" s="174"/>
      <c r="BB21" s="174"/>
      <c r="BC21" s="174"/>
      <c r="BD21" s="174"/>
      <c r="BE21" s="174"/>
      <c r="BF21" s="174"/>
      <c r="BG21" s="174"/>
      <c r="BH21" s="174"/>
      <c r="BI21" s="174"/>
      <c r="BJ21" s="174"/>
      <c r="BK21" s="174"/>
      <c r="BL21" s="174"/>
      <c r="BM21" s="174"/>
      <c r="BN21" s="174"/>
      <c r="BO21" s="174"/>
      <c r="BP21" s="174"/>
      <c r="BQ21" s="174"/>
      <c r="BR21" s="174"/>
      <c r="BS21" s="174"/>
      <c r="BT21" s="174"/>
      <c r="BU21" s="174"/>
      <c r="BV21" s="174"/>
      <c r="BW21" s="174"/>
      <c r="BX21" s="174"/>
      <c r="BY21" s="174"/>
      <c r="BZ21" s="174"/>
      <c r="CA21" s="174"/>
      <c r="CB21" s="174"/>
      <c r="CC21" s="174"/>
      <c r="CD21" s="174"/>
      <c r="CE21" s="174"/>
      <c r="CF21" s="174"/>
      <c r="CG21" s="174"/>
      <c r="CH21" s="174"/>
      <c r="CI21" s="174"/>
      <c r="CJ21" s="174"/>
      <c r="CK21" s="174"/>
      <c r="CL21" s="174"/>
      <c r="CM21" s="174"/>
      <c r="CN21" s="174"/>
      <c r="CO21" s="174"/>
      <c r="CP21" s="174"/>
      <c r="CQ21" s="174"/>
      <c r="CR21" s="174"/>
      <c r="CS21" s="174"/>
      <c r="CT21" s="174"/>
      <c r="CU21" s="174"/>
      <c r="CV21" s="174"/>
      <c r="CW21" s="174"/>
      <c r="CX21" s="174"/>
      <c r="CY21" s="174"/>
      <c r="CZ21" s="174"/>
      <c r="DA21" s="174"/>
      <c r="DB21" s="174"/>
      <c r="DC21" s="174"/>
      <c r="DD21" s="174"/>
      <c r="DE21" s="174"/>
      <c r="DF21" s="174"/>
      <c r="DG21" s="174"/>
      <c r="DH21" s="174"/>
      <c r="DI21" s="174"/>
      <c r="DJ21" s="174"/>
      <c r="DK21" s="174"/>
      <c r="DL21" s="174"/>
      <c r="DM21" s="174"/>
      <c r="DN21" s="174"/>
      <c r="DO21" s="174"/>
      <c r="DP21" s="174"/>
      <c r="DQ21" s="174"/>
      <c r="DR21" s="174"/>
      <c r="DS21" s="174"/>
      <c r="DT21" s="174"/>
      <c r="DU21" s="174"/>
      <c r="DV21" s="174"/>
      <c r="DW21" s="174"/>
      <c r="DX21" s="174"/>
      <c r="DY21" s="174"/>
      <c r="DZ21" s="174"/>
      <c r="EA21" s="174"/>
      <c r="EB21" s="174"/>
      <c r="EC21" s="174"/>
      <c r="ED21" s="174"/>
      <c r="EE21" s="174"/>
      <c r="EF21" s="174"/>
      <c r="EG21" s="174"/>
      <c r="EH21" s="174"/>
      <c r="EI21" s="174"/>
      <c r="EJ21" s="174"/>
      <c r="EK21" s="174"/>
      <c r="EL21" s="174"/>
      <c r="EM21" s="174"/>
      <c r="EN21" s="174"/>
      <c r="EO21" s="174"/>
      <c r="EP21" s="174"/>
      <c r="EQ21" s="174"/>
      <c r="ER21" s="174"/>
      <c r="ES21" s="174"/>
      <c r="ET21" s="174"/>
      <c r="EU21" s="174"/>
      <c r="EV21" s="174"/>
      <c r="EW21" s="174"/>
      <c r="EX21" s="174"/>
      <c r="EY21" s="174"/>
      <c r="EZ21" s="174"/>
      <c r="FA21" s="174"/>
      <c r="FB21" s="174"/>
      <c r="FC21" s="174"/>
      <c r="FD21" s="174"/>
      <c r="FE21" s="174"/>
      <c r="FF21" s="174"/>
      <c r="FG21" s="174"/>
      <c r="FH21" s="174"/>
      <c r="FI21" s="174"/>
      <c r="FJ21" s="174"/>
      <c r="FK21" s="174"/>
      <c r="FL21" s="174"/>
      <c r="FM21" s="174"/>
      <c r="FN21" s="174"/>
      <c r="FO21" s="174"/>
      <c r="FP21" s="174"/>
      <c r="FQ21" s="174"/>
      <c r="FR21" s="174"/>
      <c r="FS21" s="174"/>
      <c r="FT21" s="174"/>
      <c r="FU21" s="174"/>
      <c r="FV21" s="174"/>
      <c r="FW21" s="174"/>
      <c r="FX21" s="174"/>
      <c r="FY21" s="174"/>
      <c r="FZ21" s="174"/>
      <c r="GA21" s="174"/>
      <c r="GB21" s="174"/>
      <c r="GC21" s="174"/>
      <c r="GD21" s="174"/>
      <c r="GE21" s="174"/>
      <c r="GF21" s="174"/>
      <c r="GG21" s="174"/>
      <c r="GH21" s="174"/>
      <c r="GI21" s="174"/>
      <c r="GJ21" s="174"/>
      <c r="GK21" s="174"/>
      <c r="GL21" s="174"/>
      <c r="GM21" s="174"/>
      <c r="GN21" s="174"/>
      <c r="GO21" s="174"/>
      <c r="GP21" s="174"/>
      <c r="GQ21" s="174"/>
      <c r="GR21" s="174"/>
      <c r="GS21" s="174"/>
      <c r="GT21" s="174"/>
      <c r="GU21" s="174"/>
      <c r="GV21" s="174"/>
      <c r="GW21" s="174"/>
      <c r="GX21" s="174"/>
      <c r="GY21" s="174"/>
      <c r="GZ21" s="174"/>
      <c r="HA21" s="174"/>
      <c r="HB21" s="174"/>
      <c r="HC21" s="174"/>
      <c r="HD21" s="174"/>
      <c r="HE21" s="174"/>
      <c r="HF21" s="174"/>
      <c r="HG21" s="174"/>
      <c r="HH21" s="174"/>
      <c r="HI21" s="174"/>
      <c r="HJ21" s="174"/>
      <c r="HK21" s="174"/>
      <c r="HL21" s="174"/>
      <c r="HM21" s="174"/>
      <c r="HN21" s="174"/>
      <c r="HO21" s="174"/>
      <c r="HP21" s="174"/>
      <c r="HQ21" s="174"/>
      <c r="HR21" s="174"/>
      <c r="HS21" s="174"/>
      <c r="HT21" s="174"/>
      <c r="HU21" s="174"/>
      <c r="HV21" s="174"/>
      <c r="HW21" s="174"/>
      <c r="HX21" s="174"/>
      <c r="HY21" s="174"/>
      <c r="HZ21" s="174"/>
      <c r="IA21" s="174"/>
      <c r="IB21" s="174"/>
      <c r="IC21" s="174"/>
      <c r="ID21" s="174"/>
      <c r="IE21" s="174"/>
      <c r="IF21" s="174"/>
      <c r="IG21" s="174"/>
      <c r="IH21" s="174"/>
      <c r="II21" s="174"/>
      <c r="IJ21" s="174"/>
      <c r="IK21" s="174"/>
      <c r="IL21" s="174"/>
      <c r="IM21" s="174"/>
      <c r="IN21" s="174"/>
      <c r="IO21" s="174"/>
    </row>
    <row r="22" spans="1:249" s="179" customFormat="1" ht="15" customHeight="1">
      <c r="A22" s="184"/>
      <c r="B22" s="194" t="s">
        <v>62</v>
      </c>
      <c r="C22" s="180"/>
      <c r="D22" s="174"/>
      <c r="E22" s="174"/>
      <c r="F22" s="174"/>
      <c r="G22" s="174"/>
      <c r="H22" s="174"/>
      <c r="I22" s="174"/>
      <c r="J22" s="174"/>
      <c r="K22" s="174"/>
      <c r="L22" s="174"/>
      <c r="M22" s="174"/>
      <c r="N22" s="174"/>
      <c r="O22" s="174"/>
      <c r="P22" s="174"/>
      <c r="Q22" s="174"/>
      <c r="R22" s="174"/>
      <c r="S22" s="174"/>
      <c r="T22" s="174"/>
      <c r="U22" s="174"/>
      <c r="V22" s="174"/>
      <c r="W22" s="174"/>
      <c r="X22" s="174"/>
      <c r="Y22" s="174"/>
      <c r="Z22" s="174"/>
      <c r="AA22" s="174"/>
      <c r="AB22" s="174"/>
      <c r="AC22" s="174"/>
      <c r="AD22" s="174"/>
      <c r="AE22" s="174"/>
      <c r="AF22" s="174"/>
      <c r="AG22" s="174"/>
      <c r="AH22" s="174"/>
      <c r="AI22" s="174"/>
      <c r="AJ22" s="174"/>
      <c r="AK22" s="174"/>
      <c r="AL22" s="174"/>
      <c r="AM22" s="174"/>
      <c r="AN22" s="174"/>
      <c r="AO22" s="174"/>
      <c r="AP22" s="174"/>
      <c r="AQ22" s="174"/>
      <c r="AR22" s="174"/>
      <c r="AS22" s="174"/>
      <c r="AT22" s="174"/>
      <c r="AU22" s="174"/>
      <c r="AV22" s="174"/>
      <c r="AW22" s="174"/>
      <c r="AX22" s="174"/>
      <c r="AY22" s="174"/>
      <c r="AZ22" s="174"/>
      <c r="BA22" s="174"/>
      <c r="BB22" s="174"/>
      <c r="BC22" s="174"/>
      <c r="BD22" s="174"/>
      <c r="BE22" s="174"/>
      <c r="BF22" s="174"/>
      <c r="BG22" s="174"/>
      <c r="BH22" s="174"/>
      <c r="BI22" s="174"/>
      <c r="BJ22" s="174"/>
      <c r="BK22" s="174"/>
      <c r="BL22" s="174"/>
      <c r="BM22" s="174"/>
      <c r="BN22" s="174"/>
      <c r="BO22" s="174"/>
      <c r="BP22" s="174"/>
      <c r="BQ22" s="174"/>
      <c r="BR22" s="174"/>
      <c r="BS22" s="174"/>
      <c r="BT22" s="174"/>
      <c r="BU22" s="174"/>
      <c r="BV22" s="174"/>
      <c r="BW22" s="174"/>
      <c r="BX22" s="174"/>
      <c r="BY22" s="174"/>
      <c r="BZ22" s="174"/>
      <c r="CA22" s="174"/>
      <c r="CB22" s="174"/>
      <c r="CC22" s="174"/>
      <c r="CD22" s="174"/>
      <c r="CE22" s="174"/>
      <c r="CF22" s="174"/>
      <c r="CG22" s="174"/>
      <c r="CH22" s="174"/>
      <c r="CI22" s="174"/>
      <c r="CJ22" s="174"/>
      <c r="CK22" s="174"/>
      <c r="CL22" s="174"/>
      <c r="CM22" s="174"/>
      <c r="CN22" s="174"/>
      <c r="CO22" s="174"/>
      <c r="CP22" s="174"/>
      <c r="CQ22" s="174"/>
      <c r="CR22" s="174"/>
      <c r="CS22" s="174"/>
      <c r="CT22" s="174"/>
      <c r="CU22" s="174"/>
      <c r="CV22" s="174"/>
      <c r="CW22" s="174"/>
      <c r="CX22" s="174"/>
      <c r="CY22" s="174"/>
      <c r="CZ22" s="174"/>
      <c r="DA22" s="174"/>
      <c r="DB22" s="174"/>
      <c r="DC22" s="174"/>
      <c r="DD22" s="174"/>
      <c r="DE22" s="174"/>
      <c r="DF22" s="174"/>
      <c r="DG22" s="174"/>
      <c r="DH22" s="174"/>
      <c r="DI22" s="174"/>
      <c r="DJ22" s="174"/>
      <c r="DK22" s="174"/>
      <c r="DL22" s="174"/>
      <c r="DM22" s="174"/>
      <c r="DN22" s="174"/>
      <c r="DO22" s="174"/>
      <c r="DP22" s="174"/>
      <c r="DQ22" s="174"/>
      <c r="DR22" s="174"/>
      <c r="DS22" s="174"/>
      <c r="DT22" s="174"/>
      <c r="DU22" s="174"/>
      <c r="DV22" s="174"/>
      <c r="DW22" s="174"/>
      <c r="DX22" s="174"/>
      <c r="DY22" s="174"/>
      <c r="DZ22" s="174"/>
      <c r="EA22" s="174"/>
      <c r="EB22" s="174"/>
      <c r="EC22" s="174"/>
      <c r="ED22" s="174"/>
      <c r="EE22" s="174"/>
      <c r="EF22" s="174"/>
      <c r="EG22" s="174"/>
      <c r="EH22" s="174"/>
      <c r="EI22" s="174"/>
      <c r="EJ22" s="174"/>
      <c r="EK22" s="174"/>
      <c r="EL22" s="174"/>
      <c r="EM22" s="174"/>
      <c r="EN22" s="174"/>
      <c r="EO22" s="174"/>
      <c r="EP22" s="174"/>
      <c r="EQ22" s="174"/>
      <c r="ER22" s="174"/>
      <c r="ES22" s="174"/>
      <c r="ET22" s="174"/>
      <c r="EU22" s="174"/>
      <c r="EV22" s="174"/>
      <c r="EW22" s="174"/>
      <c r="EX22" s="174"/>
      <c r="EY22" s="174"/>
      <c r="EZ22" s="174"/>
      <c r="FA22" s="174"/>
      <c r="FB22" s="174"/>
      <c r="FC22" s="174"/>
      <c r="FD22" s="174"/>
      <c r="FE22" s="174"/>
      <c r="FF22" s="174"/>
      <c r="FG22" s="174"/>
      <c r="FH22" s="174"/>
      <c r="FI22" s="174"/>
      <c r="FJ22" s="174"/>
      <c r="FK22" s="174"/>
      <c r="FL22" s="174"/>
      <c r="FM22" s="174"/>
      <c r="FN22" s="174"/>
      <c r="FO22" s="174"/>
      <c r="FP22" s="174"/>
      <c r="FQ22" s="174"/>
      <c r="FR22" s="174"/>
      <c r="FS22" s="174"/>
      <c r="FT22" s="174"/>
      <c r="FU22" s="174"/>
      <c r="FV22" s="174"/>
      <c r="FW22" s="174"/>
      <c r="FX22" s="174"/>
      <c r="FY22" s="174"/>
      <c r="FZ22" s="174"/>
      <c r="GA22" s="174"/>
      <c r="GB22" s="174"/>
      <c r="GC22" s="174"/>
      <c r="GD22" s="174"/>
      <c r="GE22" s="174"/>
      <c r="GF22" s="174"/>
      <c r="GG22" s="174"/>
      <c r="GH22" s="174"/>
      <c r="GI22" s="174"/>
      <c r="GJ22" s="174"/>
      <c r="GK22" s="174"/>
      <c r="GL22" s="174"/>
      <c r="GM22" s="174"/>
      <c r="GN22" s="174"/>
      <c r="GO22" s="174"/>
      <c r="GP22" s="174"/>
      <c r="GQ22" s="174"/>
      <c r="GR22" s="174"/>
      <c r="GS22" s="174"/>
      <c r="GT22" s="174"/>
      <c r="GU22" s="174"/>
      <c r="GV22" s="174"/>
      <c r="GW22" s="174"/>
      <c r="GX22" s="174"/>
      <c r="GY22" s="174"/>
      <c r="GZ22" s="174"/>
      <c r="HA22" s="174"/>
      <c r="HB22" s="174"/>
      <c r="HC22" s="174"/>
      <c r="HD22" s="174"/>
      <c r="HE22" s="174"/>
      <c r="HF22" s="174"/>
      <c r="HG22" s="174"/>
      <c r="HH22" s="174"/>
      <c r="HI22" s="174"/>
      <c r="HJ22" s="174"/>
      <c r="HK22" s="174"/>
      <c r="HL22" s="174"/>
      <c r="HM22" s="174"/>
      <c r="HN22" s="174"/>
      <c r="HO22" s="174"/>
      <c r="HP22" s="174"/>
      <c r="HQ22" s="174"/>
      <c r="HR22" s="174"/>
      <c r="HS22" s="174"/>
      <c r="HT22" s="174"/>
      <c r="HU22" s="174"/>
      <c r="HV22" s="174"/>
      <c r="HW22" s="174"/>
      <c r="HX22" s="174"/>
      <c r="HY22" s="174"/>
      <c r="HZ22" s="174"/>
      <c r="IA22" s="174"/>
      <c r="IB22" s="174"/>
      <c r="IC22" s="174"/>
      <c r="ID22" s="174"/>
      <c r="IE22" s="174"/>
      <c r="IF22" s="174"/>
      <c r="IG22" s="174"/>
      <c r="IH22" s="174"/>
      <c r="II22" s="174"/>
      <c r="IJ22" s="174"/>
      <c r="IK22" s="174"/>
      <c r="IL22" s="174"/>
      <c r="IM22" s="174"/>
      <c r="IN22" s="174"/>
      <c r="IO22" s="174"/>
    </row>
    <row r="23" spans="1:249" s="179" customFormat="1" ht="15" customHeight="1">
      <c r="A23" s="184"/>
      <c r="B23" s="194" t="s">
        <v>63</v>
      </c>
      <c r="C23" s="180"/>
      <c r="D23" s="174"/>
      <c r="E23" s="174"/>
      <c r="F23" s="174"/>
      <c r="G23" s="174"/>
      <c r="H23" s="174"/>
      <c r="I23" s="174"/>
      <c r="J23" s="174"/>
      <c r="K23" s="174"/>
      <c r="L23" s="174"/>
      <c r="M23" s="174"/>
      <c r="N23" s="174"/>
      <c r="O23" s="174"/>
      <c r="P23" s="174"/>
      <c r="Q23" s="174"/>
      <c r="R23" s="174"/>
      <c r="S23" s="174"/>
      <c r="T23" s="174"/>
      <c r="U23" s="174"/>
      <c r="V23" s="174"/>
      <c r="W23" s="174"/>
      <c r="X23" s="174"/>
      <c r="Y23" s="174"/>
      <c r="Z23" s="174"/>
      <c r="AA23" s="174"/>
      <c r="AB23" s="174"/>
      <c r="AC23" s="174"/>
      <c r="AD23" s="174"/>
      <c r="AE23" s="174"/>
      <c r="AF23" s="174"/>
      <c r="AG23" s="174"/>
      <c r="AH23" s="174"/>
      <c r="AI23" s="174"/>
      <c r="AJ23" s="174"/>
      <c r="AK23" s="174"/>
      <c r="AL23" s="174"/>
      <c r="AM23" s="174"/>
      <c r="AN23" s="174"/>
      <c r="AO23" s="174"/>
      <c r="AP23" s="174"/>
      <c r="AQ23" s="174"/>
      <c r="AR23" s="174"/>
      <c r="AS23" s="174"/>
      <c r="AT23" s="174"/>
      <c r="AU23" s="174"/>
      <c r="AV23" s="174"/>
      <c r="AW23" s="174"/>
      <c r="AX23" s="174"/>
      <c r="AY23" s="174"/>
      <c r="AZ23" s="174"/>
      <c r="BA23" s="174"/>
      <c r="BB23" s="174"/>
      <c r="BC23" s="174"/>
      <c r="BD23" s="174"/>
      <c r="BE23" s="174"/>
      <c r="BF23" s="174"/>
      <c r="BG23" s="174"/>
      <c r="BH23" s="174"/>
      <c r="BI23" s="174"/>
      <c r="BJ23" s="174"/>
      <c r="BK23" s="174"/>
      <c r="BL23" s="174"/>
      <c r="BM23" s="174"/>
      <c r="BN23" s="174"/>
      <c r="BO23" s="174"/>
      <c r="BP23" s="174"/>
      <c r="BQ23" s="174"/>
      <c r="BR23" s="174"/>
      <c r="BS23" s="174"/>
      <c r="BT23" s="174"/>
      <c r="BU23" s="174"/>
      <c r="BV23" s="174"/>
      <c r="BW23" s="174"/>
      <c r="BX23" s="174"/>
      <c r="BY23" s="174"/>
      <c r="BZ23" s="174"/>
      <c r="CA23" s="174"/>
      <c r="CB23" s="174"/>
      <c r="CC23" s="174"/>
      <c r="CD23" s="174"/>
      <c r="CE23" s="174"/>
      <c r="CF23" s="174"/>
      <c r="CG23" s="174"/>
      <c r="CH23" s="174"/>
      <c r="CI23" s="174"/>
      <c r="CJ23" s="174"/>
      <c r="CK23" s="174"/>
      <c r="CL23" s="174"/>
      <c r="CM23" s="174"/>
      <c r="CN23" s="174"/>
      <c r="CO23" s="174"/>
      <c r="CP23" s="174"/>
      <c r="CQ23" s="174"/>
      <c r="CR23" s="174"/>
      <c r="CS23" s="174"/>
      <c r="CT23" s="174"/>
      <c r="CU23" s="174"/>
      <c r="CV23" s="174"/>
      <c r="CW23" s="174"/>
      <c r="CX23" s="174"/>
      <c r="CY23" s="174"/>
      <c r="CZ23" s="174"/>
      <c r="DA23" s="174"/>
      <c r="DB23" s="174"/>
      <c r="DC23" s="174"/>
      <c r="DD23" s="174"/>
      <c r="DE23" s="174"/>
      <c r="DF23" s="174"/>
      <c r="DG23" s="174"/>
      <c r="DH23" s="174"/>
      <c r="DI23" s="174"/>
      <c r="DJ23" s="174"/>
      <c r="DK23" s="174"/>
      <c r="DL23" s="174"/>
      <c r="DM23" s="174"/>
      <c r="DN23" s="174"/>
      <c r="DO23" s="174"/>
      <c r="DP23" s="174"/>
      <c r="DQ23" s="174"/>
      <c r="DR23" s="174"/>
      <c r="DS23" s="174"/>
      <c r="DT23" s="174"/>
      <c r="DU23" s="174"/>
      <c r="DV23" s="174"/>
      <c r="DW23" s="174"/>
      <c r="DX23" s="174"/>
      <c r="DY23" s="174"/>
      <c r="DZ23" s="174"/>
      <c r="EA23" s="174"/>
      <c r="EB23" s="174"/>
      <c r="EC23" s="174"/>
      <c r="ED23" s="174"/>
      <c r="EE23" s="174"/>
      <c r="EF23" s="174"/>
      <c r="EG23" s="174"/>
      <c r="EH23" s="174"/>
      <c r="EI23" s="174"/>
      <c r="EJ23" s="174"/>
      <c r="EK23" s="174"/>
      <c r="EL23" s="174"/>
      <c r="EM23" s="174"/>
      <c r="EN23" s="174"/>
      <c r="EO23" s="174"/>
      <c r="EP23" s="174"/>
      <c r="EQ23" s="174"/>
      <c r="ER23" s="174"/>
      <c r="ES23" s="174"/>
      <c r="ET23" s="174"/>
      <c r="EU23" s="174"/>
      <c r="EV23" s="174"/>
      <c r="EW23" s="174"/>
      <c r="EX23" s="174"/>
      <c r="EY23" s="174"/>
      <c r="EZ23" s="174"/>
      <c r="FA23" s="174"/>
      <c r="FB23" s="174"/>
      <c r="FC23" s="174"/>
      <c r="FD23" s="174"/>
      <c r="FE23" s="174"/>
      <c r="FF23" s="174"/>
      <c r="FG23" s="174"/>
      <c r="FH23" s="174"/>
      <c r="FI23" s="174"/>
      <c r="FJ23" s="174"/>
      <c r="FK23" s="174"/>
      <c r="FL23" s="174"/>
      <c r="FM23" s="174"/>
      <c r="FN23" s="174"/>
      <c r="FO23" s="174"/>
      <c r="FP23" s="174"/>
      <c r="FQ23" s="174"/>
      <c r="FR23" s="174"/>
      <c r="FS23" s="174"/>
      <c r="FT23" s="174"/>
      <c r="FU23" s="174"/>
      <c r="FV23" s="174"/>
      <c r="FW23" s="174"/>
      <c r="FX23" s="174"/>
      <c r="FY23" s="174"/>
      <c r="FZ23" s="174"/>
      <c r="GA23" s="174"/>
      <c r="GB23" s="174"/>
      <c r="GC23" s="174"/>
      <c r="GD23" s="174"/>
      <c r="GE23" s="174"/>
      <c r="GF23" s="174"/>
      <c r="GG23" s="174"/>
      <c r="GH23" s="174"/>
      <c r="GI23" s="174"/>
      <c r="GJ23" s="174"/>
      <c r="GK23" s="174"/>
      <c r="GL23" s="174"/>
      <c r="GM23" s="174"/>
      <c r="GN23" s="174"/>
      <c r="GO23" s="174"/>
      <c r="GP23" s="174"/>
      <c r="GQ23" s="174"/>
      <c r="GR23" s="174"/>
      <c r="GS23" s="174"/>
      <c r="GT23" s="174"/>
      <c r="GU23" s="174"/>
      <c r="GV23" s="174"/>
      <c r="GW23" s="174"/>
      <c r="GX23" s="174"/>
      <c r="GY23" s="174"/>
      <c r="GZ23" s="174"/>
      <c r="HA23" s="174"/>
      <c r="HB23" s="174"/>
      <c r="HC23" s="174"/>
      <c r="HD23" s="174"/>
      <c r="HE23" s="174"/>
      <c r="HF23" s="174"/>
      <c r="HG23" s="174"/>
      <c r="HH23" s="174"/>
      <c r="HI23" s="174"/>
      <c r="HJ23" s="174"/>
      <c r="HK23" s="174"/>
      <c r="HL23" s="174"/>
      <c r="HM23" s="174"/>
      <c r="HN23" s="174"/>
      <c r="HO23" s="174"/>
      <c r="HP23" s="174"/>
      <c r="HQ23" s="174"/>
      <c r="HR23" s="174"/>
      <c r="HS23" s="174"/>
      <c r="HT23" s="174"/>
      <c r="HU23" s="174"/>
      <c r="HV23" s="174"/>
      <c r="HW23" s="174"/>
      <c r="HX23" s="174"/>
      <c r="HY23" s="174"/>
      <c r="HZ23" s="174"/>
      <c r="IA23" s="174"/>
      <c r="IB23" s="174"/>
      <c r="IC23" s="174"/>
      <c r="ID23" s="174"/>
      <c r="IE23" s="174"/>
      <c r="IF23" s="174"/>
      <c r="IG23" s="174"/>
      <c r="IH23" s="174"/>
      <c r="II23" s="174"/>
      <c r="IJ23" s="174"/>
      <c r="IK23" s="174"/>
      <c r="IL23" s="174"/>
      <c r="IM23" s="174"/>
      <c r="IN23" s="174"/>
      <c r="IO23" s="174"/>
    </row>
    <row r="24" spans="1:249" s="187" customFormat="1" ht="15" customHeight="1">
      <c r="A24" s="186"/>
      <c r="B24" s="198" t="s">
        <v>64</v>
      </c>
      <c r="C24" s="185"/>
      <c r="D24" s="174"/>
      <c r="E24" s="174"/>
      <c r="F24" s="174"/>
      <c r="G24" s="174"/>
      <c r="H24" s="174"/>
      <c r="I24" s="174"/>
      <c r="J24" s="174"/>
      <c r="K24" s="174"/>
      <c r="L24" s="174"/>
      <c r="M24" s="174"/>
      <c r="N24" s="174"/>
      <c r="O24" s="174"/>
      <c r="P24" s="174"/>
      <c r="Q24" s="174"/>
      <c r="R24" s="174"/>
      <c r="S24" s="174"/>
      <c r="T24" s="174"/>
      <c r="U24" s="174"/>
      <c r="V24" s="174"/>
      <c r="W24" s="174"/>
      <c r="X24" s="174"/>
      <c r="Y24" s="174"/>
      <c r="Z24" s="174"/>
      <c r="AA24" s="174"/>
      <c r="AB24" s="174"/>
      <c r="AC24" s="174"/>
      <c r="AD24" s="174"/>
      <c r="AE24" s="174"/>
      <c r="AF24" s="174"/>
      <c r="AG24" s="174"/>
      <c r="AH24" s="174"/>
      <c r="AI24" s="174"/>
      <c r="AJ24" s="174"/>
      <c r="AK24" s="174"/>
      <c r="AL24" s="174"/>
      <c r="AM24" s="174"/>
      <c r="AN24" s="174"/>
      <c r="AO24" s="174"/>
      <c r="AP24" s="174"/>
      <c r="AQ24" s="174"/>
      <c r="AR24" s="174"/>
      <c r="AS24" s="174"/>
      <c r="AT24" s="174"/>
      <c r="AU24" s="174"/>
      <c r="AV24" s="174"/>
      <c r="AW24" s="174"/>
      <c r="AX24" s="174"/>
      <c r="AY24" s="174"/>
      <c r="AZ24" s="174"/>
      <c r="BA24" s="174"/>
      <c r="BB24" s="174"/>
      <c r="BC24" s="174"/>
      <c r="BD24" s="174"/>
      <c r="BE24" s="174"/>
      <c r="BF24" s="174"/>
      <c r="BG24" s="174"/>
      <c r="BH24" s="174"/>
      <c r="BI24" s="174"/>
      <c r="BJ24" s="174"/>
      <c r="BK24" s="174"/>
      <c r="BL24" s="174"/>
      <c r="BM24" s="174"/>
      <c r="BN24" s="174"/>
      <c r="BO24" s="174"/>
      <c r="BP24" s="174"/>
      <c r="BQ24" s="174"/>
      <c r="BR24" s="174"/>
      <c r="BS24" s="174"/>
      <c r="BT24" s="174"/>
      <c r="BU24" s="174"/>
      <c r="BV24" s="174"/>
      <c r="BW24" s="174"/>
      <c r="BX24" s="174"/>
      <c r="BY24" s="174"/>
      <c r="BZ24" s="174"/>
      <c r="CA24" s="174"/>
      <c r="CB24" s="174"/>
      <c r="CC24" s="174"/>
      <c r="CD24" s="174"/>
      <c r="CE24" s="174"/>
      <c r="CF24" s="174"/>
      <c r="CG24" s="174"/>
      <c r="CH24" s="174"/>
      <c r="CI24" s="174"/>
      <c r="CJ24" s="174"/>
      <c r="CK24" s="174"/>
      <c r="CL24" s="174"/>
      <c r="CM24" s="174"/>
      <c r="CN24" s="174"/>
      <c r="CO24" s="174"/>
      <c r="CP24" s="174"/>
      <c r="CQ24" s="174"/>
      <c r="CR24" s="174"/>
      <c r="CS24" s="174"/>
      <c r="CT24" s="174"/>
      <c r="CU24" s="174"/>
      <c r="CV24" s="174"/>
      <c r="CW24" s="174"/>
      <c r="CX24" s="174"/>
      <c r="CY24" s="174"/>
      <c r="CZ24" s="174"/>
      <c r="DA24" s="174"/>
      <c r="DB24" s="174"/>
      <c r="DC24" s="174"/>
      <c r="DD24" s="174"/>
      <c r="DE24" s="174"/>
      <c r="DF24" s="174"/>
      <c r="DG24" s="174"/>
      <c r="DH24" s="174"/>
      <c r="DI24" s="174"/>
      <c r="DJ24" s="174"/>
      <c r="DK24" s="174"/>
      <c r="DL24" s="174"/>
      <c r="DM24" s="174"/>
      <c r="DN24" s="174"/>
      <c r="DO24" s="174"/>
      <c r="DP24" s="174"/>
      <c r="DQ24" s="174"/>
      <c r="DR24" s="174"/>
      <c r="DS24" s="174"/>
      <c r="DT24" s="174"/>
      <c r="DU24" s="174"/>
      <c r="DV24" s="174"/>
      <c r="DW24" s="174"/>
      <c r="DX24" s="174"/>
      <c r="DY24" s="174"/>
      <c r="DZ24" s="174"/>
      <c r="EA24" s="174"/>
      <c r="EB24" s="174"/>
      <c r="EC24" s="174"/>
      <c r="ED24" s="174"/>
      <c r="EE24" s="174"/>
      <c r="EF24" s="174"/>
      <c r="EG24" s="174"/>
      <c r="EH24" s="174"/>
      <c r="EI24" s="174"/>
      <c r="EJ24" s="174"/>
      <c r="EK24" s="174"/>
      <c r="EL24" s="174"/>
      <c r="EM24" s="174"/>
      <c r="EN24" s="174"/>
      <c r="EO24" s="174"/>
      <c r="EP24" s="174"/>
      <c r="EQ24" s="174"/>
      <c r="ER24" s="174"/>
      <c r="ES24" s="174"/>
      <c r="ET24" s="174"/>
      <c r="EU24" s="174"/>
      <c r="EV24" s="174"/>
      <c r="EW24" s="174"/>
      <c r="EX24" s="174"/>
      <c r="EY24" s="174"/>
      <c r="EZ24" s="174"/>
      <c r="FA24" s="174"/>
      <c r="FB24" s="174"/>
      <c r="FC24" s="174"/>
      <c r="FD24" s="174"/>
      <c r="FE24" s="174"/>
      <c r="FF24" s="174"/>
      <c r="FG24" s="174"/>
      <c r="FH24" s="174"/>
      <c r="FI24" s="174"/>
      <c r="FJ24" s="174"/>
      <c r="FK24" s="174"/>
      <c r="FL24" s="174"/>
      <c r="FM24" s="174"/>
      <c r="FN24" s="174"/>
      <c r="FO24" s="174"/>
      <c r="FP24" s="174"/>
      <c r="FQ24" s="174"/>
      <c r="FR24" s="174"/>
      <c r="FS24" s="174"/>
      <c r="FT24" s="174"/>
      <c r="FU24" s="174"/>
      <c r="FV24" s="174"/>
      <c r="FW24" s="174"/>
      <c r="FX24" s="174"/>
      <c r="FY24" s="174"/>
      <c r="FZ24" s="174"/>
      <c r="GA24" s="174"/>
      <c r="GB24" s="174"/>
      <c r="GC24" s="174"/>
      <c r="GD24" s="174"/>
      <c r="GE24" s="174"/>
      <c r="GF24" s="174"/>
      <c r="GG24" s="174"/>
      <c r="GH24" s="174"/>
      <c r="GI24" s="174"/>
      <c r="GJ24" s="174"/>
      <c r="GK24" s="174"/>
      <c r="GL24" s="174"/>
      <c r="GM24" s="174"/>
      <c r="GN24" s="174"/>
      <c r="GO24" s="174"/>
      <c r="GP24" s="174"/>
      <c r="GQ24" s="174"/>
      <c r="GR24" s="174"/>
      <c r="GS24" s="174"/>
      <c r="GT24" s="174"/>
      <c r="GU24" s="174"/>
      <c r="GV24" s="174"/>
      <c r="GW24" s="174"/>
      <c r="GX24" s="174"/>
      <c r="GY24" s="174"/>
      <c r="GZ24" s="174"/>
      <c r="HA24" s="174"/>
      <c r="HB24" s="174"/>
      <c r="HC24" s="174"/>
      <c r="HD24" s="174"/>
      <c r="HE24" s="174"/>
      <c r="HF24" s="174"/>
      <c r="HG24" s="174"/>
      <c r="HH24" s="174"/>
      <c r="HI24" s="174"/>
      <c r="HJ24" s="174"/>
      <c r="HK24" s="174"/>
      <c r="HL24" s="174"/>
      <c r="HM24" s="174"/>
      <c r="HN24" s="174"/>
      <c r="HO24" s="174"/>
      <c r="HP24" s="174"/>
      <c r="HQ24" s="174"/>
      <c r="HR24" s="174"/>
      <c r="HS24" s="174"/>
      <c r="HT24" s="174"/>
      <c r="HU24" s="174"/>
      <c r="HV24" s="174"/>
      <c r="HW24" s="174"/>
      <c r="HX24" s="174"/>
      <c r="HY24" s="174"/>
      <c r="HZ24" s="174"/>
      <c r="IA24" s="174"/>
      <c r="IB24" s="174"/>
      <c r="IC24" s="174"/>
      <c r="ID24" s="174"/>
      <c r="IE24" s="174"/>
      <c r="IF24" s="174"/>
      <c r="IG24" s="174"/>
      <c r="IH24" s="174"/>
      <c r="II24" s="174"/>
      <c r="IJ24" s="174"/>
      <c r="IK24" s="174"/>
      <c r="IL24" s="174"/>
      <c r="IM24" s="174"/>
      <c r="IN24" s="174"/>
      <c r="IO24" s="174"/>
    </row>
    <row r="25" spans="1:249" s="187" customFormat="1" ht="15" customHeight="1">
      <c r="A25" s="186"/>
      <c r="B25" s="198" t="s">
        <v>65</v>
      </c>
      <c r="C25" s="185"/>
      <c r="D25" s="174"/>
      <c r="E25" s="174"/>
      <c r="F25" s="174"/>
      <c r="G25" s="174"/>
      <c r="H25" s="174"/>
      <c r="I25" s="174"/>
      <c r="J25" s="174"/>
      <c r="K25" s="174"/>
      <c r="L25" s="174"/>
      <c r="M25" s="174"/>
      <c r="N25" s="174"/>
      <c r="O25" s="174"/>
      <c r="P25" s="174"/>
      <c r="Q25" s="174"/>
      <c r="R25" s="174"/>
      <c r="S25" s="174"/>
      <c r="T25" s="174"/>
      <c r="U25" s="174"/>
      <c r="V25" s="174"/>
      <c r="W25" s="174"/>
      <c r="X25" s="174"/>
      <c r="Y25" s="174"/>
      <c r="Z25" s="174"/>
      <c r="AA25" s="174"/>
      <c r="AB25" s="174"/>
      <c r="AC25" s="174"/>
      <c r="AD25" s="174"/>
      <c r="AE25" s="174"/>
      <c r="AF25" s="174"/>
      <c r="AG25" s="174"/>
      <c r="AH25" s="174"/>
      <c r="AI25" s="174"/>
      <c r="AJ25" s="174"/>
      <c r="AK25" s="174"/>
      <c r="AL25" s="174"/>
      <c r="AM25" s="174"/>
      <c r="AN25" s="174"/>
      <c r="AO25" s="174"/>
      <c r="AP25" s="174"/>
      <c r="AQ25" s="174"/>
      <c r="AR25" s="174"/>
      <c r="AS25" s="174"/>
      <c r="AT25" s="174"/>
      <c r="AU25" s="174"/>
      <c r="AV25" s="174"/>
      <c r="AW25" s="174"/>
      <c r="AX25" s="174"/>
      <c r="AY25" s="174"/>
      <c r="AZ25" s="174"/>
      <c r="BA25" s="174"/>
      <c r="BB25" s="174"/>
      <c r="BC25" s="174"/>
      <c r="BD25" s="174"/>
      <c r="BE25" s="174"/>
      <c r="BF25" s="174"/>
      <c r="BG25" s="174"/>
      <c r="BH25" s="174"/>
      <c r="BI25" s="174"/>
      <c r="BJ25" s="174"/>
      <c r="BK25" s="174"/>
      <c r="BL25" s="174"/>
      <c r="BM25" s="174"/>
      <c r="BN25" s="174"/>
      <c r="BO25" s="174"/>
      <c r="BP25" s="174"/>
      <c r="BQ25" s="174"/>
      <c r="BR25" s="174"/>
      <c r="BS25" s="174"/>
      <c r="BT25" s="174"/>
      <c r="BU25" s="174"/>
      <c r="BV25" s="174"/>
      <c r="BW25" s="174"/>
      <c r="BX25" s="174"/>
      <c r="BY25" s="174"/>
      <c r="BZ25" s="174"/>
      <c r="CA25" s="174"/>
      <c r="CB25" s="174"/>
      <c r="CC25" s="174"/>
      <c r="CD25" s="174"/>
      <c r="CE25" s="174"/>
      <c r="CF25" s="174"/>
      <c r="CG25" s="174"/>
      <c r="CH25" s="174"/>
      <c r="CI25" s="174"/>
      <c r="CJ25" s="174"/>
      <c r="CK25" s="174"/>
      <c r="CL25" s="174"/>
      <c r="CM25" s="174"/>
      <c r="CN25" s="174"/>
      <c r="CO25" s="174"/>
      <c r="CP25" s="174"/>
      <c r="CQ25" s="174"/>
      <c r="CR25" s="174"/>
      <c r="CS25" s="174"/>
      <c r="CT25" s="174"/>
      <c r="CU25" s="174"/>
      <c r="CV25" s="174"/>
      <c r="CW25" s="174"/>
      <c r="CX25" s="174"/>
      <c r="CY25" s="174"/>
      <c r="CZ25" s="174"/>
      <c r="DA25" s="174"/>
      <c r="DB25" s="174"/>
      <c r="DC25" s="174"/>
      <c r="DD25" s="174"/>
      <c r="DE25" s="174"/>
      <c r="DF25" s="174"/>
      <c r="DG25" s="174"/>
      <c r="DH25" s="174"/>
      <c r="DI25" s="174"/>
      <c r="DJ25" s="174"/>
      <c r="DK25" s="174"/>
      <c r="DL25" s="174"/>
      <c r="DM25" s="174"/>
      <c r="DN25" s="174"/>
      <c r="DO25" s="174"/>
      <c r="DP25" s="174"/>
      <c r="DQ25" s="174"/>
      <c r="DR25" s="174"/>
      <c r="DS25" s="174"/>
      <c r="DT25" s="174"/>
      <c r="DU25" s="174"/>
      <c r="DV25" s="174"/>
      <c r="DW25" s="174"/>
      <c r="DX25" s="174"/>
      <c r="DY25" s="174"/>
      <c r="DZ25" s="174"/>
      <c r="EA25" s="174"/>
      <c r="EB25" s="174"/>
      <c r="EC25" s="174"/>
      <c r="ED25" s="174"/>
      <c r="EE25" s="174"/>
      <c r="EF25" s="174"/>
      <c r="EG25" s="174"/>
      <c r="EH25" s="174"/>
      <c r="EI25" s="174"/>
      <c r="EJ25" s="174"/>
      <c r="EK25" s="174"/>
      <c r="EL25" s="174"/>
      <c r="EM25" s="174"/>
      <c r="EN25" s="174"/>
      <c r="EO25" s="174"/>
      <c r="EP25" s="174"/>
      <c r="EQ25" s="174"/>
      <c r="ER25" s="174"/>
      <c r="ES25" s="174"/>
      <c r="ET25" s="174"/>
      <c r="EU25" s="174"/>
      <c r="EV25" s="174"/>
      <c r="EW25" s="174"/>
      <c r="EX25" s="174"/>
      <c r="EY25" s="174"/>
      <c r="EZ25" s="174"/>
      <c r="FA25" s="174"/>
      <c r="FB25" s="174"/>
      <c r="FC25" s="174"/>
      <c r="FD25" s="174"/>
      <c r="FE25" s="174"/>
      <c r="FF25" s="174"/>
      <c r="FG25" s="174"/>
      <c r="FH25" s="174"/>
      <c r="FI25" s="174"/>
      <c r="FJ25" s="174"/>
      <c r="FK25" s="174"/>
      <c r="FL25" s="174"/>
      <c r="FM25" s="174"/>
      <c r="FN25" s="174"/>
      <c r="FO25" s="174"/>
      <c r="FP25" s="174"/>
      <c r="FQ25" s="174"/>
      <c r="FR25" s="174"/>
      <c r="FS25" s="174"/>
      <c r="FT25" s="174"/>
      <c r="FU25" s="174"/>
      <c r="FV25" s="174"/>
      <c r="FW25" s="174"/>
      <c r="FX25" s="174"/>
      <c r="FY25" s="174"/>
      <c r="FZ25" s="174"/>
      <c r="GA25" s="174"/>
      <c r="GB25" s="174"/>
      <c r="GC25" s="174"/>
      <c r="GD25" s="174"/>
      <c r="GE25" s="174"/>
      <c r="GF25" s="174"/>
      <c r="GG25" s="174"/>
      <c r="GH25" s="174"/>
      <c r="GI25" s="174"/>
      <c r="GJ25" s="174"/>
      <c r="GK25" s="174"/>
      <c r="GL25" s="174"/>
      <c r="GM25" s="174"/>
      <c r="GN25" s="174"/>
      <c r="GO25" s="174"/>
      <c r="GP25" s="174"/>
      <c r="GQ25" s="174"/>
      <c r="GR25" s="174"/>
      <c r="GS25" s="174"/>
      <c r="GT25" s="174"/>
      <c r="GU25" s="174"/>
      <c r="GV25" s="174"/>
      <c r="GW25" s="174"/>
      <c r="GX25" s="174"/>
      <c r="GY25" s="174"/>
      <c r="GZ25" s="174"/>
      <c r="HA25" s="174"/>
      <c r="HB25" s="174"/>
      <c r="HC25" s="174"/>
      <c r="HD25" s="174"/>
      <c r="HE25" s="174"/>
      <c r="HF25" s="174"/>
      <c r="HG25" s="174"/>
      <c r="HH25" s="174"/>
      <c r="HI25" s="174"/>
      <c r="HJ25" s="174"/>
      <c r="HK25" s="174"/>
      <c r="HL25" s="174"/>
      <c r="HM25" s="174"/>
      <c r="HN25" s="174"/>
      <c r="HO25" s="174"/>
      <c r="HP25" s="174"/>
      <c r="HQ25" s="174"/>
      <c r="HR25" s="174"/>
      <c r="HS25" s="174"/>
      <c r="HT25" s="174"/>
      <c r="HU25" s="174"/>
      <c r="HV25" s="174"/>
      <c r="HW25" s="174"/>
      <c r="HX25" s="174"/>
      <c r="HY25" s="174"/>
      <c r="HZ25" s="174"/>
      <c r="IA25" s="174"/>
      <c r="IB25" s="174"/>
      <c r="IC25" s="174"/>
      <c r="ID25" s="174"/>
      <c r="IE25" s="174"/>
      <c r="IF25" s="174"/>
      <c r="IG25" s="174"/>
      <c r="IH25" s="174"/>
      <c r="II25" s="174"/>
      <c r="IJ25" s="174"/>
      <c r="IK25" s="174"/>
      <c r="IL25" s="174"/>
      <c r="IM25" s="174"/>
      <c r="IN25" s="174"/>
      <c r="IO25" s="174"/>
    </row>
    <row r="26" spans="1:249" s="187" customFormat="1" ht="15" customHeight="1">
      <c r="A26" s="186"/>
      <c r="B26" s="198" t="s">
        <v>66</v>
      </c>
      <c r="C26" s="185"/>
      <c r="D26" s="174"/>
      <c r="E26" s="174"/>
      <c r="F26" s="174"/>
      <c r="G26" s="174"/>
      <c r="H26" s="174"/>
      <c r="I26" s="174"/>
      <c r="J26" s="174"/>
      <c r="K26" s="174"/>
      <c r="L26" s="174"/>
      <c r="M26" s="174"/>
      <c r="N26" s="174"/>
      <c r="O26" s="174"/>
      <c r="P26" s="174"/>
      <c r="Q26" s="174"/>
      <c r="R26" s="174"/>
      <c r="S26" s="174"/>
      <c r="T26" s="174"/>
      <c r="U26" s="174"/>
      <c r="V26" s="174"/>
      <c r="W26" s="174"/>
      <c r="X26" s="174"/>
      <c r="Y26" s="174"/>
      <c r="Z26" s="174"/>
      <c r="AA26" s="174"/>
      <c r="AB26" s="174"/>
      <c r="AC26" s="174"/>
      <c r="AD26" s="174"/>
      <c r="AE26" s="174"/>
      <c r="AF26" s="174"/>
      <c r="AG26" s="174"/>
      <c r="AH26" s="174"/>
      <c r="AI26" s="174"/>
      <c r="AJ26" s="174"/>
      <c r="AK26" s="174"/>
      <c r="AL26" s="174"/>
      <c r="AM26" s="174"/>
      <c r="AN26" s="174"/>
      <c r="AO26" s="174"/>
      <c r="AP26" s="174"/>
      <c r="AQ26" s="174"/>
      <c r="AR26" s="174"/>
      <c r="AS26" s="174"/>
      <c r="AT26" s="174"/>
      <c r="AU26" s="174"/>
      <c r="AV26" s="174"/>
      <c r="AW26" s="174"/>
      <c r="AX26" s="174"/>
      <c r="AY26" s="174"/>
      <c r="AZ26" s="174"/>
      <c r="BA26" s="174"/>
      <c r="BB26" s="174"/>
      <c r="BC26" s="174"/>
      <c r="BD26" s="174"/>
      <c r="BE26" s="174"/>
      <c r="BF26" s="174"/>
      <c r="BG26" s="174"/>
      <c r="BH26" s="174"/>
      <c r="BI26" s="174"/>
      <c r="BJ26" s="174"/>
      <c r="BK26" s="174"/>
      <c r="BL26" s="174"/>
      <c r="BM26" s="174"/>
      <c r="BN26" s="174"/>
      <c r="BO26" s="174"/>
      <c r="BP26" s="174"/>
      <c r="BQ26" s="174"/>
      <c r="BR26" s="174"/>
      <c r="BS26" s="174"/>
      <c r="BT26" s="174"/>
      <c r="BU26" s="174"/>
      <c r="BV26" s="174"/>
      <c r="BW26" s="174"/>
      <c r="BX26" s="174"/>
      <c r="BY26" s="174"/>
      <c r="BZ26" s="174"/>
      <c r="CA26" s="174"/>
      <c r="CB26" s="174"/>
      <c r="CC26" s="174"/>
      <c r="CD26" s="174"/>
      <c r="CE26" s="174"/>
      <c r="CF26" s="174"/>
      <c r="CG26" s="174"/>
      <c r="CH26" s="174"/>
      <c r="CI26" s="174"/>
      <c r="CJ26" s="174"/>
      <c r="CK26" s="174"/>
      <c r="CL26" s="174"/>
      <c r="CM26" s="174"/>
      <c r="CN26" s="174"/>
      <c r="CO26" s="174"/>
      <c r="CP26" s="174"/>
      <c r="CQ26" s="174"/>
      <c r="CR26" s="174"/>
      <c r="CS26" s="174"/>
      <c r="CT26" s="174"/>
      <c r="CU26" s="174"/>
      <c r="CV26" s="174"/>
      <c r="CW26" s="174"/>
      <c r="CX26" s="174"/>
      <c r="CY26" s="174"/>
      <c r="CZ26" s="174"/>
      <c r="DA26" s="174"/>
      <c r="DB26" s="174"/>
      <c r="DC26" s="174"/>
      <c r="DD26" s="174"/>
      <c r="DE26" s="174"/>
      <c r="DF26" s="174"/>
      <c r="DG26" s="174"/>
      <c r="DH26" s="174"/>
      <c r="DI26" s="174"/>
      <c r="DJ26" s="174"/>
      <c r="DK26" s="174"/>
      <c r="DL26" s="174"/>
      <c r="DM26" s="174"/>
      <c r="DN26" s="174"/>
      <c r="DO26" s="174"/>
      <c r="DP26" s="174"/>
      <c r="DQ26" s="174"/>
      <c r="DR26" s="174"/>
      <c r="DS26" s="174"/>
      <c r="DT26" s="174"/>
      <c r="DU26" s="174"/>
      <c r="DV26" s="174"/>
      <c r="DW26" s="174"/>
      <c r="DX26" s="174"/>
      <c r="DY26" s="174"/>
      <c r="DZ26" s="174"/>
      <c r="EA26" s="174"/>
      <c r="EB26" s="174"/>
      <c r="EC26" s="174"/>
      <c r="ED26" s="174"/>
      <c r="EE26" s="174"/>
      <c r="EF26" s="174"/>
      <c r="EG26" s="174"/>
      <c r="EH26" s="174"/>
      <c r="EI26" s="174"/>
      <c r="EJ26" s="174"/>
      <c r="EK26" s="174"/>
      <c r="EL26" s="174"/>
      <c r="EM26" s="174"/>
      <c r="EN26" s="174"/>
      <c r="EO26" s="174"/>
      <c r="EP26" s="174"/>
      <c r="EQ26" s="174"/>
      <c r="ER26" s="174"/>
      <c r="ES26" s="174"/>
      <c r="ET26" s="174"/>
      <c r="EU26" s="174"/>
      <c r="EV26" s="174"/>
      <c r="EW26" s="174"/>
      <c r="EX26" s="174"/>
      <c r="EY26" s="174"/>
      <c r="EZ26" s="174"/>
      <c r="FA26" s="174"/>
      <c r="FB26" s="174"/>
      <c r="FC26" s="174"/>
      <c r="FD26" s="174"/>
      <c r="FE26" s="174"/>
      <c r="FF26" s="174"/>
      <c r="FG26" s="174"/>
      <c r="FH26" s="174"/>
      <c r="FI26" s="174"/>
      <c r="FJ26" s="174"/>
      <c r="FK26" s="174"/>
      <c r="FL26" s="174"/>
      <c r="FM26" s="174"/>
      <c r="FN26" s="174"/>
      <c r="FO26" s="174"/>
      <c r="FP26" s="174"/>
      <c r="FQ26" s="174"/>
      <c r="FR26" s="174"/>
      <c r="FS26" s="174"/>
      <c r="FT26" s="174"/>
      <c r="FU26" s="174"/>
      <c r="FV26" s="174"/>
      <c r="FW26" s="174"/>
      <c r="FX26" s="174"/>
      <c r="FY26" s="174"/>
      <c r="FZ26" s="174"/>
      <c r="GA26" s="174"/>
      <c r="GB26" s="174"/>
      <c r="GC26" s="174"/>
      <c r="GD26" s="174"/>
      <c r="GE26" s="174"/>
      <c r="GF26" s="174"/>
      <c r="GG26" s="174"/>
      <c r="GH26" s="174"/>
      <c r="GI26" s="174"/>
      <c r="GJ26" s="174"/>
      <c r="GK26" s="174"/>
      <c r="GL26" s="174"/>
      <c r="GM26" s="174"/>
      <c r="GN26" s="174"/>
      <c r="GO26" s="174"/>
      <c r="GP26" s="174"/>
      <c r="GQ26" s="174"/>
      <c r="GR26" s="174"/>
      <c r="GS26" s="174"/>
      <c r="GT26" s="174"/>
      <c r="GU26" s="174"/>
      <c r="GV26" s="174"/>
      <c r="GW26" s="174"/>
      <c r="GX26" s="174"/>
      <c r="GY26" s="174"/>
      <c r="GZ26" s="174"/>
      <c r="HA26" s="174"/>
      <c r="HB26" s="174"/>
      <c r="HC26" s="174"/>
      <c r="HD26" s="174"/>
      <c r="HE26" s="174"/>
      <c r="HF26" s="174"/>
      <c r="HG26" s="174"/>
      <c r="HH26" s="174"/>
      <c r="HI26" s="174"/>
      <c r="HJ26" s="174"/>
      <c r="HK26" s="174"/>
      <c r="HL26" s="174"/>
      <c r="HM26" s="174"/>
      <c r="HN26" s="174"/>
      <c r="HO26" s="174"/>
      <c r="HP26" s="174"/>
      <c r="HQ26" s="174"/>
      <c r="HR26" s="174"/>
      <c r="HS26" s="174"/>
      <c r="HT26" s="174"/>
      <c r="HU26" s="174"/>
      <c r="HV26" s="174"/>
      <c r="HW26" s="174"/>
      <c r="HX26" s="174"/>
      <c r="HY26" s="174"/>
      <c r="HZ26" s="174"/>
      <c r="IA26" s="174"/>
      <c r="IB26" s="174"/>
      <c r="IC26" s="174"/>
      <c r="ID26" s="174"/>
      <c r="IE26" s="174"/>
      <c r="IF26" s="174"/>
      <c r="IG26" s="174"/>
      <c r="IH26" s="174"/>
      <c r="II26" s="174"/>
      <c r="IJ26" s="174"/>
      <c r="IK26" s="174"/>
      <c r="IL26" s="174"/>
      <c r="IM26" s="174"/>
      <c r="IN26" s="174"/>
      <c r="IO26" s="174"/>
    </row>
    <row r="27" spans="1:249" s="187" customFormat="1" ht="15" customHeight="1">
      <c r="A27" s="186"/>
      <c r="B27" s="198" t="s">
        <v>67</v>
      </c>
      <c r="C27" s="185"/>
      <c r="D27" s="174"/>
      <c r="E27" s="174"/>
      <c r="F27" s="174"/>
      <c r="G27" s="174"/>
      <c r="H27" s="174"/>
      <c r="I27" s="174"/>
      <c r="J27" s="174"/>
      <c r="K27" s="174"/>
      <c r="L27" s="174"/>
      <c r="M27" s="174"/>
      <c r="N27" s="174"/>
      <c r="O27" s="174"/>
      <c r="P27" s="174"/>
      <c r="Q27" s="174"/>
      <c r="R27" s="174"/>
      <c r="S27" s="174"/>
      <c r="T27" s="174"/>
      <c r="U27" s="174"/>
      <c r="V27" s="174"/>
      <c r="W27" s="174"/>
      <c r="X27" s="174"/>
      <c r="Y27" s="174"/>
      <c r="Z27" s="174"/>
      <c r="AA27" s="174"/>
      <c r="AB27" s="174"/>
      <c r="AC27" s="174"/>
      <c r="AD27" s="174"/>
      <c r="AE27" s="174"/>
      <c r="AF27" s="174"/>
      <c r="AG27" s="174"/>
      <c r="AH27" s="174"/>
      <c r="AI27" s="174"/>
      <c r="AJ27" s="174"/>
      <c r="AK27" s="174"/>
      <c r="AL27" s="174"/>
      <c r="AM27" s="174"/>
      <c r="AN27" s="174"/>
      <c r="AO27" s="174"/>
      <c r="AP27" s="174"/>
      <c r="AQ27" s="174"/>
      <c r="AR27" s="174"/>
      <c r="AS27" s="174"/>
      <c r="AT27" s="174"/>
      <c r="AU27" s="174"/>
      <c r="AV27" s="174"/>
      <c r="AW27" s="174"/>
      <c r="AX27" s="174"/>
      <c r="AY27" s="174"/>
      <c r="AZ27" s="174"/>
      <c r="BA27" s="174"/>
      <c r="BB27" s="174"/>
      <c r="BC27" s="174"/>
      <c r="BD27" s="174"/>
      <c r="BE27" s="174"/>
      <c r="BF27" s="174"/>
      <c r="BG27" s="174"/>
      <c r="BH27" s="174"/>
      <c r="BI27" s="174"/>
      <c r="BJ27" s="174"/>
      <c r="BK27" s="174"/>
      <c r="BL27" s="174"/>
      <c r="BM27" s="174"/>
      <c r="BN27" s="174"/>
      <c r="BO27" s="174"/>
      <c r="BP27" s="174"/>
      <c r="BQ27" s="174"/>
      <c r="BR27" s="174"/>
      <c r="BS27" s="174"/>
      <c r="BT27" s="174"/>
      <c r="BU27" s="174"/>
      <c r="BV27" s="174"/>
      <c r="BW27" s="174"/>
      <c r="BX27" s="174"/>
      <c r="BY27" s="174"/>
      <c r="BZ27" s="174"/>
      <c r="CA27" s="174"/>
      <c r="CB27" s="174"/>
      <c r="CC27" s="174"/>
      <c r="CD27" s="174"/>
      <c r="CE27" s="174"/>
      <c r="CF27" s="174"/>
      <c r="CG27" s="174"/>
      <c r="CH27" s="174"/>
      <c r="CI27" s="174"/>
      <c r="CJ27" s="174"/>
      <c r="CK27" s="174"/>
      <c r="CL27" s="174"/>
      <c r="CM27" s="174"/>
      <c r="CN27" s="174"/>
      <c r="CO27" s="174"/>
      <c r="CP27" s="174"/>
      <c r="CQ27" s="174"/>
      <c r="CR27" s="174"/>
      <c r="CS27" s="174"/>
      <c r="CT27" s="174"/>
      <c r="CU27" s="174"/>
      <c r="CV27" s="174"/>
      <c r="CW27" s="174"/>
      <c r="CX27" s="174"/>
      <c r="CY27" s="174"/>
      <c r="CZ27" s="174"/>
      <c r="DA27" s="174"/>
      <c r="DB27" s="174"/>
      <c r="DC27" s="174"/>
      <c r="DD27" s="174"/>
      <c r="DE27" s="174"/>
      <c r="DF27" s="174"/>
      <c r="DG27" s="174"/>
      <c r="DH27" s="174"/>
      <c r="DI27" s="174"/>
      <c r="DJ27" s="174"/>
      <c r="DK27" s="174"/>
      <c r="DL27" s="174"/>
      <c r="DM27" s="174"/>
      <c r="DN27" s="174"/>
      <c r="DO27" s="174"/>
      <c r="DP27" s="174"/>
      <c r="DQ27" s="174"/>
      <c r="DR27" s="174"/>
      <c r="DS27" s="174"/>
      <c r="DT27" s="174"/>
      <c r="DU27" s="174"/>
      <c r="DV27" s="174"/>
      <c r="DW27" s="174"/>
      <c r="DX27" s="174"/>
      <c r="DY27" s="174"/>
      <c r="DZ27" s="174"/>
      <c r="EA27" s="174"/>
      <c r="EB27" s="174"/>
      <c r="EC27" s="174"/>
      <c r="ED27" s="174"/>
      <c r="EE27" s="174"/>
      <c r="EF27" s="174"/>
      <c r="EG27" s="174"/>
      <c r="EH27" s="174"/>
      <c r="EI27" s="174"/>
      <c r="EJ27" s="174"/>
      <c r="EK27" s="174"/>
      <c r="EL27" s="174"/>
      <c r="EM27" s="174"/>
      <c r="EN27" s="174"/>
      <c r="EO27" s="174"/>
      <c r="EP27" s="174"/>
      <c r="EQ27" s="174"/>
      <c r="ER27" s="174"/>
      <c r="ES27" s="174"/>
      <c r="ET27" s="174"/>
      <c r="EU27" s="174"/>
      <c r="EV27" s="174"/>
      <c r="EW27" s="174"/>
      <c r="EX27" s="174"/>
      <c r="EY27" s="174"/>
      <c r="EZ27" s="174"/>
      <c r="FA27" s="174"/>
      <c r="FB27" s="174"/>
      <c r="FC27" s="174"/>
      <c r="FD27" s="174"/>
      <c r="FE27" s="174"/>
      <c r="FF27" s="174"/>
      <c r="FG27" s="174"/>
      <c r="FH27" s="174"/>
      <c r="FI27" s="174"/>
      <c r="FJ27" s="174"/>
      <c r="FK27" s="174"/>
      <c r="FL27" s="174"/>
      <c r="FM27" s="174"/>
      <c r="FN27" s="174"/>
      <c r="FO27" s="174"/>
      <c r="FP27" s="174"/>
      <c r="FQ27" s="174"/>
      <c r="FR27" s="174"/>
      <c r="FS27" s="174"/>
      <c r="FT27" s="174"/>
      <c r="FU27" s="174"/>
      <c r="FV27" s="174"/>
      <c r="FW27" s="174"/>
      <c r="FX27" s="174"/>
      <c r="FY27" s="174"/>
      <c r="FZ27" s="174"/>
      <c r="GA27" s="174"/>
      <c r="GB27" s="174"/>
      <c r="GC27" s="174"/>
      <c r="GD27" s="174"/>
      <c r="GE27" s="174"/>
      <c r="GF27" s="174"/>
      <c r="GG27" s="174"/>
      <c r="GH27" s="174"/>
      <c r="GI27" s="174"/>
      <c r="GJ27" s="174"/>
      <c r="GK27" s="174"/>
      <c r="GL27" s="174"/>
      <c r="GM27" s="174"/>
      <c r="GN27" s="174"/>
      <c r="GO27" s="174"/>
      <c r="GP27" s="174"/>
      <c r="GQ27" s="174"/>
      <c r="GR27" s="174"/>
      <c r="GS27" s="174"/>
      <c r="GT27" s="174"/>
      <c r="GU27" s="174"/>
      <c r="GV27" s="174"/>
      <c r="GW27" s="174"/>
      <c r="GX27" s="174"/>
      <c r="GY27" s="174"/>
      <c r="GZ27" s="174"/>
      <c r="HA27" s="174"/>
      <c r="HB27" s="174"/>
      <c r="HC27" s="174"/>
      <c r="HD27" s="174"/>
      <c r="HE27" s="174"/>
      <c r="HF27" s="174"/>
      <c r="HG27" s="174"/>
      <c r="HH27" s="174"/>
      <c r="HI27" s="174"/>
      <c r="HJ27" s="174"/>
      <c r="HK27" s="174"/>
      <c r="HL27" s="174"/>
      <c r="HM27" s="174"/>
      <c r="HN27" s="174"/>
      <c r="HO27" s="174"/>
      <c r="HP27" s="174"/>
      <c r="HQ27" s="174"/>
      <c r="HR27" s="174"/>
      <c r="HS27" s="174"/>
      <c r="HT27" s="174"/>
      <c r="HU27" s="174"/>
      <c r="HV27" s="174"/>
      <c r="HW27" s="174"/>
      <c r="HX27" s="174"/>
      <c r="HY27" s="174"/>
      <c r="HZ27" s="174"/>
      <c r="IA27" s="174"/>
      <c r="IB27" s="174"/>
      <c r="IC27" s="174"/>
      <c r="ID27" s="174"/>
      <c r="IE27" s="174"/>
      <c r="IF27" s="174"/>
      <c r="IG27" s="174"/>
      <c r="IH27" s="174"/>
      <c r="II27" s="174"/>
      <c r="IJ27" s="174"/>
      <c r="IK27" s="174"/>
      <c r="IL27" s="174"/>
      <c r="IM27" s="174"/>
      <c r="IN27" s="174"/>
      <c r="IO27" s="174"/>
    </row>
    <row r="28" spans="1:249" s="187" customFormat="1" ht="15" customHeight="1">
      <c r="A28" s="186"/>
      <c r="B28" s="198" t="s">
        <v>68</v>
      </c>
      <c r="C28" s="185"/>
      <c r="D28" s="174"/>
      <c r="E28" s="174"/>
      <c r="F28" s="174"/>
      <c r="G28" s="174"/>
      <c r="H28" s="174"/>
      <c r="I28" s="174"/>
      <c r="J28" s="174"/>
      <c r="K28" s="174"/>
      <c r="L28" s="174"/>
      <c r="M28" s="174"/>
      <c r="N28" s="174"/>
      <c r="O28" s="174"/>
      <c r="P28" s="174"/>
      <c r="Q28" s="174"/>
      <c r="R28" s="174"/>
      <c r="S28" s="174"/>
      <c r="T28" s="174"/>
      <c r="U28" s="174"/>
      <c r="V28" s="174"/>
      <c r="W28" s="174"/>
      <c r="X28" s="174"/>
      <c r="Y28" s="174"/>
      <c r="Z28" s="174"/>
      <c r="AA28" s="174"/>
      <c r="AB28" s="174"/>
      <c r="AC28" s="174"/>
      <c r="AD28" s="174"/>
      <c r="AE28" s="174"/>
      <c r="AF28" s="174"/>
      <c r="AG28" s="174"/>
      <c r="AH28" s="174"/>
      <c r="AI28" s="174"/>
      <c r="AJ28" s="174"/>
      <c r="AK28" s="174"/>
      <c r="AL28" s="174"/>
      <c r="AM28" s="174"/>
      <c r="AN28" s="174"/>
      <c r="AO28" s="174"/>
      <c r="AP28" s="174"/>
      <c r="AQ28" s="174"/>
      <c r="AR28" s="174"/>
      <c r="AS28" s="174"/>
      <c r="AT28" s="174"/>
      <c r="AU28" s="174"/>
      <c r="AV28" s="174"/>
      <c r="AW28" s="174"/>
      <c r="AX28" s="174"/>
      <c r="AY28" s="174"/>
      <c r="AZ28" s="174"/>
      <c r="BA28" s="174"/>
      <c r="BB28" s="174"/>
      <c r="BC28" s="174"/>
      <c r="BD28" s="174"/>
      <c r="BE28" s="174"/>
      <c r="BF28" s="174"/>
      <c r="BG28" s="174"/>
      <c r="BH28" s="174"/>
      <c r="BI28" s="174"/>
      <c r="BJ28" s="174"/>
      <c r="BK28" s="174"/>
      <c r="BL28" s="174"/>
      <c r="BM28" s="174"/>
      <c r="BN28" s="174"/>
      <c r="BO28" s="174"/>
      <c r="BP28" s="174"/>
      <c r="BQ28" s="174"/>
      <c r="BR28" s="174"/>
      <c r="BS28" s="174"/>
      <c r="BT28" s="174"/>
      <c r="BU28" s="174"/>
      <c r="BV28" s="174"/>
      <c r="BW28" s="174"/>
      <c r="BX28" s="174"/>
      <c r="BY28" s="174"/>
      <c r="BZ28" s="174"/>
      <c r="CA28" s="174"/>
      <c r="CB28" s="174"/>
      <c r="CC28" s="174"/>
      <c r="CD28" s="174"/>
      <c r="CE28" s="174"/>
      <c r="CF28" s="174"/>
      <c r="CG28" s="174"/>
      <c r="CH28" s="174"/>
      <c r="CI28" s="174"/>
      <c r="CJ28" s="174"/>
      <c r="CK28" s="174"/>
      <c r="CL28" s="174"/>
      <c r="CM28" s="174"/>
      <c r="CN28" s="174"/>
      <c r="CO28" s="174"/>
      <c r="CP28" s="174"/>
      <c r="CQ28" s="174"/>
      <c r="CR28" s="174"/>
      <c r="CS28" s="174"/>
      <c r="CT28" s="174"/>
      <c r="CU28" s="174"/>
      <c r="CV28" s="174"/>
      <c r="CW28" s="174"/>
      <c r="CX28" s="174"/>
      <c r="CY28" s="174"/>
      <c r="CZ28" s="174"/>
      <c r="DA28" s="174"/>
      <c r="DB28" s="174"/>
      <c r="DC28" s="174"/>
      <c r="DD28" s="174"/>
      <c r="DE28" s="174"/>
      <c r="DF28" s="174"/>
      <c r="DG28" s="174"/>
      <c r="DH28" s="174"/>
      <c r="DI28" s="174"/>
      <c r="DJ28" s="174"/>
      <c r="DK28" s="174"/>
      <c r="DL28" s="174"/>
      <c r="DM28" s="174"/>
      <c r="DN28" s="174"/>
      <c r="DO28" s="174"/>
      <c r="DP28" s="174"/>
      <c r="DQ28" s="174"/>
      <c r="DR28" s="174"/>
      <c r="DS28" s="174"/>
      <c r="DT28" s="174"/>
      <c r="DU28" s="174"/>
      <c r="DV28" s="174"/>
      <c r="DW28" s="174"/>
      <c r="DX28" s="174"/>
      <c r="DY28" s="174"/>
      <c r="DZ28" s="174"/>
      <c r="EA28" s="174"/>
      <c r="EB28" s="174"/>
      <c r="EC28" s="174"/>
      <c r="ED28" s="174"/>
      <c r="EE28" s="174"/>
      <c r="EF28" s="174"/>
      <c r="EG28" s="174"/>
      <c r="EH28" s="174"/>
      <c r="EI28" s="174"/>
      <c r="EJ28" s="174"/>
      <c r="EK28" s="174"/>
      <c r="EL28" s="174"/>
      <c r="EM28" s="174"/>
      <c r="EN28" s="174"/>
      <c r="EO28" s="174"/>
      <c r="EP28" s="174"/>
      <c r="EQ28" s="174"/>
      <c r="ER28" s="174"/>
      <c r="ES28" s="174"/>
      <c r="ET28" s="174"/>
      <c r="EU28" s="174"/>
      <c r="EV28" s="174"/>
      <c r="EW28" s="174"/>
      <c r="EX28" s="174"/>
      <c r="EY28" s="174"/>
      <c r="EZ28" s="174"/>
      <c r="FA28" s="174"/>
      <c r="FB28" s="174"/>
      <c r="FC28" s="174"/>
      <c r="FD28" s="174"/>
      <c r="FE28" s="174"/>
      <c r="FF28" s="174"/>
      <c r="FG28" s="174"/>
      <c r="FH28" s="174"/>
      <c r="FI28" s="174"/>
      <c r="FJ28" s="174"/>
      <c r="FK28" s="174"/>
      <c r="FL28" s="174"/>
      <c r="FM28" s="174"/>
      <c r="FN28" s="174"/>
      <c r="FO28" s="174"/>
      <c r="FP28" s="174"/>
      <c r="FQ28" s="174"/>
      <c r="FR28" s="174"/>
      <c r="FS28" s="174"/>
      <c r="FT28" s="174"/>
      <c r="FU28" s="174"/>
      <c r="FV28" s="174"/>
      <c r="FW28" s="174"/>
      <c r="FX28" s="174"/>
      <c r="FY28" s="174"/>
      <c r="FZ28" s="174"/>
      <c r="GA28" s="174"/>
      <c r="GB28" s="174"/>
      <c r="GC28" s="174"/>
      <c r="GD28" s="174"/>
      <c r="GE28" s="174"/>
      <c r="GF28" s="174"/>
      <c r="GG28" s="174"/>
      <c r="GH28" s="174"/>
      <c r="GI28" s="174"/>
      <c r="GJ28" s="174"/>
      <c r="GK28" s="174"/>
      <c r="GL28" s="174"/>
      <c r="GM28" s="174"/>
      <c r="GN28" s="174"/>
      <c r="GO28" s="174"/>
      <c r="GP28" s="174"/>
      <c r="GQ28" s="174"/>
      <c r="GR28" s="174"/>
      <c r="GS28" s="174"/>
      <c r="GT28" s="174"/>
      <c r="GU28" s="174"/>
      <c r="GV28" s="174"/>
      <c r="GW28" s="174"/>
      <c r="GX28" s="174"/>
      <c r="GY28" s="174"/>
      <c r="GZ28" s="174"/>
      <c r="HA28" s="174"/>
      <c r="HB28" s="174"/>
      <c r="HC28" s="174"/>
      <c r="HD28" s="174"/>
      <c r="HE28" s="174"/>
      <c r="HF28" s="174"/>
      <c r="HG28" s="174"/>
      <c r="HH28" s="174"/>
      <c r="HI28" s="174"/>
      <c r="HJ28" s="174"/>
      <c r="HK28" s="174"/>
      <c r="HL28" s="174"/>
      <c r="HM28" s="174"/>
      <c r="HN28" s="174"/>
      <c r="HO28" s="174"/>
      <c r="HP28" s="174"/>
      <c r="HQ28" s="174"/>
      <c r="HR28" s="174"/>
      <c r="HS28" s="174"/>
      <c r="HT28" s="174"/>
      <c r="HU28" s="174"/>
      <c r="HV28" s="174"/>
      <c r="HW28" s="174"/>
      <c r="HX28" s="174"/>
      <c r="HY28" s="174"/>
      <c r="HZ28" s="174"/>
      <c r="IA28" s="174"/>
      <c r="IB28" s="174"/>
      <c r="IC28" s="174"/>
      <c r="ID28" s="174"/>
      <c r="IE28" s="174"/>
      <c r="IF28" s="174"/>
      <c r="IG28" s="174"/>
      <c r="IH28" s="174"/>
      <c r="II28" s="174"/>
      <c r="IJ28" s="174"/>
      <c r="IK28" s="174"/>
      <c r="IL28" s="174"/>
      <c r="IM28" s="174"/>
      <c r="IN28" s="174"/>
      <c r="IO28" s="174"/>
    </row>
    <row r="29" spans="1:249" s="187" customFormat="1" ht="15" customHeight="1">
      <c r="A29" s="186"/>
      <c r="B29" s="198" t="s">
        <v>69</v>
      </c>
      <c r="C29" s="185"/>
      <c r="D29" s="174"/>
      <c r="E29" s="174"/>
      <c r="F29" s="174"/>
      <c r="G29" s="174"/>
      <c r="H29" s="174"/>
      <c r="I29" s="174"/>
      <c r="J29" s="174"/>
      <c r="K29" s="174"/>
      <c r="L29" s="174"/>
      <c r="M29" s="174"/>
      <c r="N29" s="174"/>
      <c r="O29" s="174"/>
      <c r="P29" s="174"/>
      <c r="Q29" s="174"/>
      <c r="R29" s="174"/>
      <c r="S29" s="174"/>
      <c r="T29" s="174"/>
      <c r="U29" s="174"/>
      <c r="V29" s="174"/>
      <c r="W29" s="174"/>
      <c r="X29" s="174"/>
      <c r="Y29" s="174"/>
      <c r="Z29" s="174"/>
      <c r="AA29" s="174"/>
      <c r="AB29" s="174"/>
      <c r="AC29" s="174"/>
      <c r="AD29" s="174"/>
      <c r="AE29" s="174"/>
      <c r="AF29" s="174"/>
      <c r="AG29" s="174"/>
      <c r="AH29" s="174"/>
      <c r="AI29" s="174"/>
      <c r="AJ29" s="174"/>
      <c r="AK29" s="174"/>
      <c r="AL29" s="174"/>
      <c r="AM29" s="174"/>
      <c r="AN29" s="174"/>
      <c r="AO29" s="174"/>
      <c r="AP29" s="174"/>
      <c r="AQ29" s="174"/>
      <c r="AR29" s="174"/>
      <c r="AS29" s="174"/>
      <c r="AT29" s="174"/>
      <c r="AU29" s="174"/>
      <c r="AV29" s="174"/>
      <c r="AW29" s="174"/>
      <c r="AX29" s="174"/>
      <c r="AY29" s="174"/>
      <c r="AZ29" s="174"/>
      <c r="BA29" s="174"/>
      <c r="BB29" s="174"/>
      <c r="BC29" s="174"/>
      <c r="BD29" s="174"/>
      <c r="BE29" s="174"/>
      <c r="BF29" s="174"/>
      <c r="BG29" s="174"/>
      <c r="BH29" s="174"/>
      <c r="BI29" s="174"/>
      <c r="BJ29" s="174"/>
      <c r="BK29" s="174"/>
      <c r="BL29" s="174"/>
      <c r="BM29" s="174"/>
      <c r="BN29" s="174"/>
      <c r="BO29" s="174"/>
      <c r="BP29" s="174"/>
      <c r="BQ29" s="174"/>
      <c r="BR29" s="174"/>
      <c r="BS29" s="174"/>
      <c r="BT29" s="174"/>
      <c r="BU29" s="174"/>
      <c r="BV29" s="174"/>
      <c r="BW29" s="174"/>
      <c r="BX29" s="174"/>
      <c r="BY29" s="174"/>
      <c r="BZ29" s="174"/>
      <c r="CA29" s="174"/>
      <c r="CB29" s="174"/>
      <c r="CC29" s="174"/>
      <c r="CD29" s="174"/>
      <c r="CE29" s="174"/>
      <c r="CF29" s="174"/>
      <c r="CG29" s="174"/>
      <c r="CH29" s="174"/>
      <c r="CI29" s="174"/>
      <c r="CJ29" s="174"/>
      <c r="CK29" s="174"/>
      <c r="CL29" s="174"/>
      <c r="CM29" s="174"/>
      <c r="CN29" s="174"/>
      <c r="CO29" s="174"/>
      <c r="CP29" s="174"/>
      <c r="CQ29" s="174"/>
      <c r="CR29" s="174"/>
      <c r="CS29" s="174"/>
      <c r="CT29" s="174"/>
      <c r="CU29" s="174"/>
      <c r="CV29" s="174"/>
      <c r="CW29" s="174"/>
      <c r="CX29" s="174"/>
      <c r="CY29" s="174"/>
      <c r="CZ29" s="174"/>
      <c r="DA29" s="174"/>
      <c r="DB29" s="174"/>
      <c r="DC29" s="174"/>
      <c r="DD29" s="174"/>
      <c r="DE29" s="174"/>
      <c r="DF29" s="174"/>
      <c r="DG29" s="174"/>
      <c r="DH29" s="174"/>
      <c r="DI29" s="174"/>
      <c r="DJ29" s="174"/>
      <c r="DK29" s="174"/>
      <c r="DL29" s="174"/>
      <c r="DM29" s="174"/>
      <c r="DN29" s="174"/>
      <c r="DO29" s="174"/>
      <c r="DP29" s="174"/>
      <c r="DQ29" s="174"/>
      <c r="DR29" s="174"/>
      <c r="DS29" s="174"/>
      <c r="DT29" s="174"/>
      <c r="DU29" s="174"/>
      <c r="DV29" s="174"/>
      <c r="DW29" s="174"/>
      <c r="DX29" s="174"/>
      <c r="DY29" s="174"/>
      <c r="DZ29" s="174"/>
      <c r="EA29" s="174"/>
      <c r="EB29" s="174"/>
      <c r="EC29" s="174"/>
      <c r="ED29" s="174"/>
      <c r="EE29" s="174"/>
      <c r="EF29" s="174"/>
      <c r="EG29" s="174"/>
      <c r="EH29" s="174"/>
      <c r="EI29" s="174"/>
      <c r="EJ29" s="174"/>
      <c r="EK29" s="174"/>
      <c r="EL29" s="174"/>
      <c r="EM29" s="174"/>
      <c r="EN29" s="174"/>
      <c r="EO29" s="174"/>
      <c r="EP29" s="174"/>
      <c r="EQ29" s="174"/>
      <c r="ER29" s="174"/>
      <c r="ES29" s="174"/>
      <c r="ET29" s="174"/>
      <c r="EU29" s="174"/>
      <c r="EV29" s="174"/>
      <c r="EW29" s="174"/>
      <c r="EX29" s="174"/>
      <c r="EY29" s="174"/>
      <c r="EZ29" s="174"/>
      <c r="FA29" s="174"/>
      <c r="FB29" s="174"/>
      <c r="FC29" s="174"/>
      <c r="FD29" s="174"/>
      <c r="FE29" s="174"/>
      <c r="FF29" s="174"/>
      <c r="FG29" s="174"/>
      <c r="FH29" s="174"/>
      <c r="FI29" s="174"/>
      <c r="FJ29" s="174"/>
      <c r="FK29" s="174"/>
      <c r="FL29" s="174"/>
      <c r="FM29" s="174"/>
      <c r="FN29" s="174"/>
      <c r="FO29" s="174"/>
      <c r="FP29" s="174"/>
      <c r="FQ29" s="174"/>
      <c r="FR29" s="174"/>
      <c r="FS29" s="174"/>
      <c r="FT29" s="174"/>
      <c r="FU29" s="174"/>
      <c r="FV29" s="174"/>
      <c r="FW29" s="174"/>
      <c r="FX29" s="174"/>
      <c r="FY29" s="174"/>
      <c r="FZ29" s="174"/>
      <c r="GA29" s="174"/>
      <c r="GB29" s="174"/>
      <c r="GC29" s="174"/>
      <c r="GD29" s="174"/>
      <c r="GE29" s="174"/>
      <c r="GF29" s="174"/>
      <c r="GG29" s="174"/>
      <c r="GH29" s="174"/>
      <c r="GI29" s="174"/>
      <c r="GJ29" s="174"/>
      <c r="GK29" s="174"/>
      <c r="GL29" s="174"/>
      <c r="GM29" s="174"/>
      <c r="GN29" s="174"/>
      <c r="GO29" s="174"/>
      <c r="GP29" s="174"/>
      <c r="GQ29" s="174"/>
      <c r="GR29" s="174"/>
      <c r="GS29" s="174"/>
      <c r="GT29" s="174"/>
      <c r="GU29" s="174"/>
      <c r="GV29" s="174"/>
      <c r="GW29" s="174"/>
      <c r="GX29" s="174"/>
      <c r="GY29" s="174"/>
      <c r="GZ29" s="174"/>
      <c r="HA29" s="174"/>
      <c r="HB29" s="174"/>
      <c r="HC29" s="174"/>
      <c r="HD29" s="174"/>
      <c r="HE29" s="174"/>
      <c r="HF29" s="174"/>
      <c r="HG29" s="174"/>
      <c r="HH29" s="174"/>
      <c r="HI29" s="174"/>
      <c r="HJ29" s="174"/>
      <c r="HK29" s="174"/>
      <c r="HL29" s="174"/>
      <c r="HM29" s="174"/>
      <c r="HN29" s="174"/>
      <c r="HO29" s="174"/>
      <c r="HP29" s="174"/>
      <c r="HQ29" s="174"/>
      <c r="HR29" s="174"/>
      <c r="HS29" s="174"/>
      <c r="HT29" s="174"/>
      <c r="HU29" s="174"/>
      <c r="HV29" s="174"/>
      <c r="HW29" s="174"/>
      <c r="HX29" s="174"/>
      <c r="HY29" s="174"/>
      <c r="HZ29" s="174"/>
      <c r="IA29" s="174"/>
      <c r="IB29" s="174"/>
      <c r="IC29" s="174"/>
      <c r="ID29" s="174"/>
      <c r="IE29" s="174"/>
      <c r="IF29" s="174"/>
      <c r="IG29" s="174"/>
      <c r="IH29" s="174"/>
      <c r="II29" s="174"/>
      <c r="IJ29" s="174"/>
      <c r="IK29" s="174"/>
      <c r="IL29" s="174"/>
      <c r="IM29" s="174"/>
      <c r="IN29" s="174"/>
      <c r="IO29" s="174"/>
    </row>
    <row r="30" spans="1:249" s="187" customFormat="1" ht="15" customHeight="1">
      <c r="A30" s="186"/>
      <c r="B30" s="198" t="s">
        <v>69</v>
      </c>
      <c r="C30" s="185"/>
      <c r="D30" s="174"/>
      <c r="E30" s="174"/>
      <c r="F30" s="174"/>
      <c r="G30" s="174"/>
      <c r="H30" s="174"/>
      <c r="I30" s="174"/>
      <c r="J30" s="174"/>
      <c r="K30" s="174"/>
      <c r="L30" s="174"/>
      <c r="M30" s="174"/>
      <c r="N30" s="174"/>
      <c r="O30" s="174"/>
      <c r="P30" s="174"/>
      <c r="Q30" s="174"/>
      <c r="R30" s="174"/>
      <c r="S30" s="174"/>
      <c r="T30" s="174"/>
      <c r="U30" s="174"/>
      <c r="V30" s="174"/>
      <c r="W30" s="174"/>
      <c r="X30" s="174"/>
      <c r="Y30" s="174"/>
      <c r="Z30" s="174"/>
      <c r="AA30" s="174"/>
      <c r="AB30" s="174"/>
      <c r="AC30" s="174"/>
      <c r="AD30" s="174"/>
      <c r="AE30" s="174"/>
      <c r="AF30" s="174"/>
      <c r="AG30" s="174"/>
      <c r="AH30" s="174"/>
      <c r="AI30" s="174"/>
      <c r="AJ30" s="174"/>
      <c r="AK30" s="174"/>
      <c r="AL30" s="174"/>
      <c r="AM30" s="174"/>
      <c r="AN30" s="174"/>
      <c r="AO30" s="174"/>
      <c r="AP30" s="174"/>
      <c r="AQ30" s="174"/>
      <c r="AR30" s="174"/>
      <c r="AS30" s="174"/>
      <c r="AT30" s="174"/>
      <c r="AU30" s="174"/>
      <c r="AV30" s="174"/>
      <c r="AW30" s="174"/>
      <c r="AX30" s="174"/>
      <c r="AY30" s="174"/>
      <c r="AZ30" s="174"/>
      <c r="BA30" s="174"/>
      <c r="BB30" s="174"/>
      <c r="BC30" s="174"/>
      <c r="BD30" s="174"/>
      <c r="BE30" s="174"/>
      <c r="BF30" s="174"/>
      <c r="BG30" s="174"/>
      <c r="BH30" s="174"/>
      <c r="BI30" s="174"/>
      <c r="BJ30" s="174"/>
      <c r="BK30" s="174"/>
      <c r="BL30" s="174"/>
      <c r="BM30" s="174"/>
      <c r="BN30" s="174"/>
      <c r="BO30" s="174"/>
      <c r="BP30" s="174"/>
      <c r="BQ30" s="174"/>
      <c r="BR30" s="174"/>
      <c r="BS30" s="174"/>
      <c r="BT30" s="174"/>
      <c r="BU30" s="174"/>
      <c r="BV30" s="174"/>
      <c r="BW30" s="174"/>
      <c r="BX30" s="174"/>
      <c r="BY30" s="174"/>
      <c r="BZ30" s="174"/>
      <c r="CA30" s="174"/>
      <c r="CB30" s="174"/>
      <c r="CC30" s="174"/>
      <c r="CD30" s="174"/>
      <c r="CE30" s="174"/>
      <c r="CF30" s="174"/>
      <c r="CG30" s="174"/>
      <c r="CH30" s="174"/>
      <c r="CI30" s="174"/>
      <c r="CJ30" s="174"/>
      <c r="CK30" s="174"/>
      <c r="CL30" s="174"/>
      <c r="CM30" s="174"/>
      <c r="CN30" s="174"/>
      <c r="CO30" s="174"/>
      <c r="CP30" s="174"/>
      <c r="CQ30" s="174"/>
      <c r="CR30" s="174"/>
      <c r="CS30" s="174"/>
      <c r="CT30" s="174"/>
      <c r="CU30" s="174"/>
      <c r="CV30" s="174"/>
      <c r="CW30" s="174"/>
      <c r="CX30" s="174"/>
      <c r="CY30" s="174"/>
      <c r="CZ30" s="174"/>
      <c r="DA30" s="174"/>
      <c r="DB30" s="174"/>
      <c r="DC30" s="174"/>
      <c r="DD30" s="174"/>
      <c r="DE30" s="174"/>
      <c r="DF30" s="174"/>
      <c r="DG30" s="174"/>
      <c r="DH30" s="174"/>
      <c r="DI30" s="174"/>
      <c r="DJ30" s="174"/>
      <c r="DK30" s="174"/>
      <c r="DL30" s="174"/>
      <c r="DM30" s="174"/>
      <c r="DN30" s="174"/>
      <c r="DO30" s="174"/>
      <c r="DP30" s="174"/>
      <c r="DQ30" s="174"/>
      <c r="DR30" s="174"/>
      <c r="DS30" s="174"/>
      <c r="DT30" s="174"/>
      <c r="DU30" s="174"/>
      <c r="DV30" s="174"/>
      <c r="DW30" s="174"/>
      <c r="DX30" s="174"/>
      <c r="DY30" s="174"/>
      <c r="DZ30" s="174"/>
      <c r="EA30" s="174"/>
      <c r="EB30" s="174"/>
      <c r="EC30" s="174"/>
      <c r="ED30" s="174"/>
      <c r="EE30" s="174"/>
      <c r="EF30" s="174"/>
      <c r="EG30" s="174"/>
      <c r="EH30" s="174"/>
      <c r="EI30" s="174"/>
      <c r="EJ30" s="174"/>
      <c r="EK30" s="174"/>
      <c r="EL30" s="174"/>
      <c r="EM30" s="174"/>
      <c r="EN30" s="174"/>
      <c r="EO30" s="174"/>
      <c r="EP30" s="174"/>
      <c r="EQ30" s="174"/>
      <c r="ER30" s="174"/>
      <c r="ES30" s="174"/>
      <c r="ET30" s="174"/>
      <c r="EU30" s="174"/>
      <c r="EV30" s="174"/>
      <c r="EW30" s="174"/>
      <c r="EX30" s="174"/>
      <c r="EY30" s="174"/>
      <c r="EZ30" s="174"/>
      <c r="FA30" s="174"/>
      <c r="FB30" s="174"/>
      <c r="FC30" s="174"/>
      <c r="FD30" s="174"/>
      <c r="FE30" s="174"/>
      <c r="FF30" s="174"/>
      <c r="FG30" s="174"/>
      <c r="FH30" s="174"/>
      <c r="FI30" s="174"/>
      <c r="FJ30" s="174"/>
      <c r="FK30" s="174"/>
      <c r="FL30" s="174"/>
      <c r="FM30" s="174"/>
      <c r="FN30" s="174"/>
      <c r="FO30" s="174"/>
      <c r="FP30" s="174"/>
      <c r="FQ30" s="174"/>
      <c r="FR30" s="174"/>
      <c r="FS30" s="174"/>
      <c r="FT30" s="174"/>
      <c r="FU30" s="174"/>
      <c r="FV30" s="174"/>
      <c r="FW30" s="174"/>
      <c r="FX30" s="174"/>
      <c r="FY30" s="174"/>
      <c r="FZ30" s="174"/>
      <c r="GA30" s="174"/>
      <c r="GB30" s="174"/>
      <c r="GC30" s="174"/>
      <c r="GD30" s="174"/>
      <c r="GE30" s="174"/>
      <c r="GF30" s="174"/>
      <c r="GG30" s="174"/>
      <c r="GH30" s="174"/>
      <c r="GI30" s="174"/>
      <c r="GJ30" s="174"/>
      <c r="GK30" s="174"/>
      <c r="GL30" s="174"/>
      <c r="GM30" s="174"/>
      <c r="GN30" s="174"/>
      <c r="GO30" s="174"/>
      <c r="GP30" s="174"/>
      <c r="GQ30" s="174"/>
      <c r="GR30" s="174"/>
      <c r="GS30" s="174"/>
      <c r="GT30" s="174"/>
      <c r="GU30" s="174"/>
      <c r="GV30" s="174"/>
      <c r="GW30" s="174"/>
      <c r="GX30" s="174"/>
      <c r="GY30" s="174"/>
      <c r="GZ30" s="174"/>
      <c r="HA30" s="174"/>
      <c r="HB30" s="174"/>
      <c r="HC30" s="174"/>
      <c r="HD30" s="174"/>
      <c r="HE30" s="174"/>
      <c r="HF30" s="174"/>
      <c r="HG30" s="174"/>
      <c r="HH30" s="174"/>
      <c r="HI30" s="174"/>
      <c r="HJ30" s="174"/>
      <c r="HK30" s="174"/>
      <c r="HL30" s="174"/>
      <c r="HM30" s="174"/>
      <c r="HN30" s="174"/>
      <c r="HO30" s="174"/>
      <c r="HP30" s="174"/>
      <c r="HQ30" s="174"/>
      <c r="HR30" s="174"/>
      <c r="HS30" s="174"/>
      <c r="HT30" s="174"/>
      <c r="HU30" s="174"/>
      <c r="HV30" s="174"/>
      <c r="HW30" s="174"/>
      <c r="HX30" s="174"/>
      <c r="HY30" s="174"/>
      <c r="HZ30" s="174"/>
      <c r="IA30" s="174"/>
      <c r="IB30" s="174"/>
      <c r="IC30" s="174"/>
      <c r="ID30" s="174"/>
      <c r="IE30" s="174"/>
      <c r="IF30" s="174"/>
      <c r="IG30" s="174"/>
      <c r="IH30" s="174"/>
      <c r="II30" s="174"/>
      <c r="IJ30" s="174"/>
      <c r="IK30" s="174"/>
      <c r="IL30" s="174"/>
      <c r="IM30" s="174"/>
      <c r="IN30" s="174"/>
      <c r="IO30" s="174"/>
    </row>
    <row r="31" spans="1:249" s="187" customFormat="1" ht="15" customHeight="1">
      <c r="A31" s="186"/>
      <c r="B31" s="198" t="s">
        <v>69</v>
      </c>
      <c r="C31" s="185"/>
      <c r="D31" s="174"/>
      <c r="E31" s="174"/>
      <c r="F31" s="174"/>
      <c r="G31" s="174"/>
      <c r="H31" s="174"/>
      <c r="I31" s="174"/>
      <c r="J31" s="174"/>
      <c r="K31" s="174"/>
      <c r="L31" s="174"/>
      <c r="M31" s="174"/>
      <c r="N31" s="174"/>
      <c r="O31" s="174"/>
      <c r="P31" s="174"/>
      <c r="Q31" s="174"/>
      <c r="R31" s="174"/>
      <c r="S31" s="174"/>
      <c r="T31" s="174"/>
      <c r="U31" s="174"/>
      <c r="V31" s="174"/>
      <c r="W31" s="174"/>
      <c r="X31" s="174"/>
      <c r="Y31" s="174"/>
      <c r="Z31" s="174"/>
      <c r="AA31" s="174"/>
      <c r="AB31" s="174"/>
      <c r="AC31" s="174"/>
      <c r="AD31" s="174"/>
      <c r="AE31" s="174"/>
      <c r="AF31" s="174"/>
      <c r="AG31" s="174"/>
      <c r="AH31" s="174"/>
      <c r="AI31" s="174"/>
      <c r="AJ31" s="174"/>
      <c r="AK31" s="174"/>
      <c r="AL31" s="174"/>
      <c r="AM31" s="174"/>
      <c r="AN31" s="174"/>
      <c r="AO31" s="174"/>
      <c r="AP31" s="174"/>
      <c r="AQ31" s="174"/>
      <c r="AR31" s="174"/>
      <c r="AS31" s="174"/>
      <c r="AT31" s="174"/>
      <c r="AU31" s="174"/>
      <c r="AV31" s="174"/>
      <c r="AW31" s="174"/>
      <c r="AX31" s="174"/>
      <c r="AY31" s="174"/>
      <c r="AZ31" s="174"/>
      <c r="BA31" s="174"/>
      <c r="BB31" s="174"/>
      <c r="BC31" s="174"/>
      <c r="BD31" s="174"/>
      <c r="BE31" s="174"/>
      <c r="BF31" s="174"/>
      <c r="BG31" s="174"/>
      <c r="BH31" s="174"/>
      <c r="BI31" s="174"/>
      <c r="BJ31" s="174"/>
      <c r="BK31" s="174"/>
      <c r="BL31" s="174"/>
      <c r="BM31" s="174"/>
      <c r="BN31" s="174"/>
      <c r="BO31" s="174"/>
      <c r="BP31" s="174"/>
      <c r="BQ31" s="174"/>
      <c r="BR31" s="174"/>
      <c r="BS31" s="174"/>
      <c r="BT31" s="174"/>
      <c r="BU31" s="174"/>
      <c r="BV31" s="174"/>
      <c r="BW31" s="174"/>
      <c r="BX31" s="174"/>
      <c r="BY31" s="174"/>
      <c r="BZ31" s="174"/>
      <c r="CA31" s="174"/>
      <c r="CB31" s="174"/>
      <c r="CC31" s="174"/>
      <c r="CD31" s="174"/>
      <c r="CE31" s="174"/>
      <c r="CF31" s="174"/>
      <c r="CG31" s="174"/>
      <c r="CH31" s="174"/>
      <c r="CI31" s="174"/>
      <c r="CJ31" s="174"/>
      <c r="CK31" s="174"/>
      <c r="CL31" s="174"/>
      <c r="CM31" s="174"/>
      <c r="CN31" s="174"/>
      <c r="CO31" s="174"/>
      <c r="CP31" s="174"/>
      <c r="CQ31" s="174"/>
      <c r="CR31" s="174"/>
      <c r="CS31" s="174"/>
      <c r="CT31" s="174"/>
      <c r="CU31" s="174"/>
      <c r="CV31" s="174"/>
      <c r="CW31" s="174"/>
      <c r="CX31" s="174"/>
      <c r="CY31" s="174"/>
      <c r="CZ31" s="174"/>
      <c r="DA31" s="174"/>
      <c r="DB31" s="174"/>
      <c r="DC31" s="174"/>
      <c r="DD31" s="174"/>
      <c r="DE31" s="174"/>
      <c r="DF31" s="174"/>
      <c r="DG31" s="174"/>
      <c r="DH31" s="174"/>
      <c r="DI31" s="174"/>
      <c r="DJ31" s="174"/>
      <c r="DK31" s="174"/>
      <c r="DL31" s="174"/>
      <c r="DM31" s="174"/>
      <c r="DN31" s="174"/>
      <c r="DO31" s="174"/>
      <c r="DP31" s="174"/>
      <c r="DQ31" s="174"/>
      <c r="DR31" s="174"/>
      <c r="DS31" s="174"/>
      <c r="DT31" s="174"/>
      <c r="DU31" s="174"/>
      <c r="DV31" s="174"/>
      <c r="DW31" s="174"/>
      <c r="DX31" s="174"/>
      <c r="DY31" s="174"/>
      <c r="DZ31" s="174"/>
      <c r="EA31" s="174"/>
      <c r="EB31" s="174"/>
      <c r="EC31" s="174"/>
      <c r="ED31" s="174"/>
      <c r="EE31" s="174"/>
      <c r="EF31" s="174"/>
      <c r="EG31" s="174"/>
      <c r="EH31" s="174"/>
      <c r="EI31" s="174"/>
      <c r="EJ31" s="174"/>
      <c r="EK31" s="174"/>
      <c r="EL31" s="174"/>
      <c r="EM31" s="174"/>
      <c r="EN31" s="174"/>
      <c r="EO31" s="174"/>
      <c r="EP31" s="174"/>
      <c r="EQ31" s="174"/>
      <c r="ER31" s="174"/>
      <c r="ES31" s="174"/>
      <c r="ET31" s="174"/>
      <c r="EU31" s="174"/>
      <c r="EV31" s="174"/>
      <c r="EW31" s="174"/>
      <c r="EX31" s="174"/>
      <c r="EY31" s="174"/>
      <c r="EZ31" s="174"/>
      <c r="FA31" s="174"/>
      <c r="FB31" s="174"/>
      <c r="FC31" s="174"/>
      <c r="FD31" s="174"/>
      <c r="FE31" s="174"/>
      <c r="FF31" s="174"/>
      <c r="FG31" s="174"/>
      <c r="FH31" s="174"/>
      <c r="FI31" s="174"/>
      <c r="FJ31" s="174"/>
      <c r="FK31" s="174"/>
      <c r="FL31" s="174"/>
      <c r="FM31" s="174"/>
      <c r="FN31" s="174"/>
      <c r="FO31" s="174"/>
      <c r="FP31" s="174"/>
      <c r="FQ31" s="174"/>
      <c r="FR31" s="174"/>
      <c r="FS31" s="174"/>
      <c r="FT31" s="174"/>
      <c r="FU31" s="174"/>
      <c r="FV31" s="174"/>
      <c r="FW31" s="174"/>
      <c r="FX31" s="174"/>
      <c r="FY31" s="174"/>
      <c r="FZ31" s="174"/>
      <c r="GA31" s="174"/>
      <c r="GB31" s="174"/>
      <c r="GC31" s="174"/>
      <c r="GD31" s="174"/>
      <c r="GE31" s="174"/>
      <c r="GF31" s="174"/>
      <c r="GG31" s="174"/>
      <c r="GH31" s="174"/>
      <c r="GI31" s="174"/>
      <c r="GJ31" s="174"/>
      <c r="GK31" s="174"/>
      <c r="GL31" s="174"/>
      <c r="GM31" s="174"/>
      <c r="GN31" s="174"/>
      <c r="GO31" s="174"/>
      <c r="GP31" s="174"/>
      <c r="GQ31" s="174"/>
      <c r="GR31" s="174"/>
      <c r="GS31" s="174"/>
      <c r="GT31" s="174"/>
      <c r="GU31" s="174"/>
      <c r="GV31" s="174"/>
      <c r="GW31" s="174"/>
      <c r="GX31" s="174"/>
      <c r="GY31" s="174"/>
      <c r="GZ31" s="174"/>
      <c r="HA31" s="174"/>
      <c r="HB31" s="174"/>
      <c r="HC31" s="174"/>
      <c r="HD31" s="174"/>
      <c r="HE31" s="174"/>
      <c r="HF31" s="174"/>
      <c r="HG31" s="174"/>
      <c r="HH31" s="174"/>
      <c r="HI31" s="174"/>
      <c r="HJ31" s="174"/>
      <c r="HK31" s="174"/>
      <c r="HL31" s="174"/>
      <c r="HM31" s="174"/>
      <c r="HN31" s="174"/>
      <c r="HO31" s="174"/>
      <c r="HP31" s="174"/>
      <c r="HQ31" s="174"/>
      <c r="HR31" s="174"/>
      <c r="HS31" s="174"/>
      <c r="HT31" s="174"/>
      <c r="HU31" s="174"/>
      <c r="HV31" s="174"/>
      <c r="HW31" s="174"/>
      <c r="HX31" s="174"/>
      <c r="HY31" s="174"/>
      <c r="HZ31" s="174"/>
      <c r="IA31" s="174"/>
      <c r="IB31" s="174"/>
      <c r="IC31" s="174"/>
      <c r="ID31" s="174"/>
      <c r="IE31" s="174"/>
      <c r="IF31" s="174"/>
      <c r="IG31" s="174"/>
      <c r="IH31" s="174"/>
      <c r="II31" s="174"/>
      <c r="IJ31" s="174"/>
      <c r="IK31" s="174"/>
      <c r="IL31" s="174"/>
      <c r="IM31" s="174"/>
      <c r="IN31" s="174"/>
      <c r="IO31" s="174"/>
    </row>
    <row r="32" spans="1:249" s="187" customFormat="1" ht="15" customHeight="1">
      <c r="A32" s="186"/>
      <c r="B32" s="198" t="s">
        <v>68</v>
      </c>
      <c r="C32" s="185"/>
      <c r="D32" s="174"/>
      <c r="E32" s="174"/>
      <c r="F32" s="174"/>
      <c r="G32" s="174"/>
      <c r="H32" s="174"/>
      <c r="I32" s="174"/>
      <c r="J32" s="174"/>
      <c r="K32" s="174"/>
      <c r="L32" s="174"/>
      <c r="M32" s="174"/>
      <c r="N32" s="174"/>
      <c r="O32" s="174"/>
      <c r="P32" s="174"/>
      <c r="Q32" s="174"/>
      <c r="R32" s="174"/>
      <c r="S32" s="174"/>
      <c r="T32" s="174"/>
      <c r="U32" s="174"/>
      <c r="V32" s="174"/>
      <c r="W32" s="174"/>
      <c r="X32" s="174"/>
      <c r="Y32" s="174"/>
      <c r="Z32" s="174"/>
      <c r="AA32" s="174"/>
      <c r="AB32" s="174"/>
      <c r="AC32" s="174"/>
      <c r="AD32" s="174"/>
      <c r="AE32" s="174"/>
      <c r="AF32" s="174"/>
      <c r="AG32" s="174"/>
      <c r="AH32" s="174"/>
      <c r="AI32" s="174"/>
      <c r="AJ32" s="174"/>
      <c r="AK32" s="174"/>
      <c r="AL32" s="174"/>
      <c r="AM32" s="174"/>
      <c r="AN32" s="174"/>
      <c r="AO32" s="174"/>
      <c r="AP32" s="174"/>
      <c r="AQ32" s="174"/>
      <c r="AR32" s="174"/>
      <c r="AS32" s="174"/>
      <c r="AT32" s="174"/>
      <c r="AU32" s="174"/>
      <c r="AV32" s="174"/>
      <c r="AW32" s="174"/>
      <c r="AX32" s="174"/>
      <c r="AY32" s="174"/>
      <c r="AZ32" s="174"/>
      <c r="BA32" s="174"/>
      <c r="BB32" s="174"/>
      <c r="BC32" s="174"/>
      <c r="BD32" s="174"/>
      <c r="BE32" s="174"/>
      <c r="BF32" s="174"/>
      <c r="BG32" s="174"/>
      <c r="BH32" s="174"/>
      <c r="BI32" s="174"/>
      <c r="BJ32" s="174"/>
      <c r="BK32" s="174"/>
      <c r="BL32" s="174"/>
      <c r="BM32" s="174"/>
      <c r="BN32" s="174"/>
      <c r="BO32" s="174"/>
      <c r="BP32" s="174"/>
      <c r="BQ32" s="174"/>
      <c r="BR32" s="174"/>
      <c r="BS32" s="174"/>
      <c r="BT32" s="174"/>
      <c r="BU32" s="174"/>
      <c r="BV32" s="174"/>
      <c r="BW32" s="174"/>
      <c r="BX32" s="174"/>
      <c r="BY32" s="174"/>
      <c r="BZ32" s="174"/>
      <c r="CA32" s="174"/>
      <c r="CB32" s="174"/>
      <c r="CC32" s="174"/>
      <c r="CD32" s="174"/>
      <c r="CE32" s="174"/>
      <c r="CF32" s="174"/>
      <c r="CG32" s="174"/>
      <c r="CH32" s="174"/>
      <c r="CI32" s="174"/>
      <c r="CJ32" s="174"/>
      <c r="CK32" s="174"/>
      <c r="CL32" s="174"/>
      <c r="CM32" s="174"/>
      <c r="CN32" s="174"/>
      <c r="CO32" s="174"/>
      <c r="CP32" s="174"/>
      <c r="CQ32" s="174"/>
      <c r="CR32" s="174"/>
      <c r="CS32" s="174"/>
      <c r="CT32" s="174"/>
      <c r="CU32" s="174"/>
      <c r="CV32" s="174"/>
      <c r="CW32" s="174"/>
      <c r="CX32" s="174"/>
      <c r="CY32" s="174"/>
      <c r="CZ32" s="174"/>
      <c r="DA32" s="174"/>
      <c r="DB32" s="174"/>
      <c r="DC32" s="174"/>
      <c r="DD32" s="174"/>
      <c r="DE32" s="174"/>
      <c r="DF32" s="174"/>
      <c r="DG32" s="174"/>
      <c r="DH32" s="174"/>
      <c r="DI32" s="174"/>
      <c r="DJ32" s="174"/>
      <c r="DK32" s="174"/>
      <c r="DL32" s="174"/>
      <c r="DM32" s="174"/>
      <c r="DN32" s="174"/>
      <c r="DO32" s="174"/>
      <c r="DP32" s="174"/>
      <c r="DQ32" s="174"/>
      <c r="DR32" s="174"/>
      <c r="DS32" s="174"/>
      <c r="DT32" s="174"/>
      <c r="DU32" s="174"/>
      <c r="DV32" s="174"/>
      <c r="DW32" s="174"/>
      <c r="DX32" s="174"/>
      <c r="DY32" s="174"/>
      <c r="DZ32" s="174"/>
      <c r="EA32" s="174"/>
      <c r="EB32" s="174"/>
      <c r="EC32" s="174"/>
      <c r="ED32" s="174"/>
      <c r="EE32" s="174"/>
      <c r="EF32" s="174"/>
      <c r="EG32" s="174"/>
      <c r="EH32" s="174"/>
      <c r="EI32" s="174"/>
      <c r="EJ32" s="174"/>
      <c r="EK32" s="174"/>
      <c r="EL32" s="174"/>
      <c r="EM32" s="174"/>
      <c r="EN32" s="174"/>
      <c r="EO32" s="174"/>
      <c r="EP32" s="174"/>
      <c r="EQ32" s="174"/>
      <c r="ER32" s="174"/>
      <c r="ES32" s="174"/>
      <c r="ET32" s="174"/>
      <c r="EU32" s="174"/>
      <c r="EV32" s="174"/>
      <c r="EW32" s="174"/>
      <c r="EX32" s="174"/>
      <c r="EY32" s="174"/>
      <c r="EZ32" s="174"/>
      <c r="FA32" s="174"/>
      <c r="FB32" s="174"/>
      <c r="FC32" s="174"/>
      <c r="FD32" s="174"/>
      <c r="FE32" s="174"/>
      <c r="FF32" s="174"/>
      <c r="FG32" s="174"/>
      <c r="FH32" s="174"/>
      <c r="FI32" s="174"/>
      <c r="FJ32" s="174"/>
      <c r="FK32" s="174"/>
      <c r="FL32" s="174"/>
      <c r="FM32" s="174"/>
      <c r="FN32" s="174"/>
      <c r="FO32" s="174"/>
      <c r="FP32" s="174"/>
      <c r="FQ32" s="174"/>
      <c r="FR32" s="174"/>
      <c r="FS32" s="174"/>
      <c r="FT32" s="174"/>
      <c r="FU32" s="174"/>
      <c r="FV32" s="174"/>
      <c r="FW32" s="174"/>
      <c r="FX32" s="174"/>
      <c r="FY32" s="174"/>
      <c r="FZ32" s="174"/>
      <c r="GA32" s="174"/>
      <c r="GB32" s="174"/>
      <c r="GC32" s="174"/>
      <c r="GD32" s="174"/>
      <c r="GE32" s="174"/>
      <c r="GF32" s="174"/>
      <c r="GG32" s="174"/>
      <c r="GH32" s="174"/>
      <c r="GI32" s="174"/>
      <c r="GJ32" s="174"/>
      <c r="GK32" s="174"/>
      <c r="GL32" s="174"/>
      <c r="GM32" s="174"/>
      <c r="GN32" s="174"/>
      <c r="GO32" s="174"/>
      <c r="GP32" s="174"/>
      <c r="GQ32" s="174"/>
      <c r="GR32" s="174"/>
      <c r="GS32" s="174"/>
      <c r="GT32" s="174"/>
      <c r="GU32" s="174"/>
      <c r="GV32" s="174"/>
      <c r="GW32" s="174"/>
      <c r="GX32" s="174"/>
      <c r="GY32" s="174"/>
      <c r="GZ32" s="174"/>
      <c r="HA32" s="174"/>
      <c r="HB32" s="174"/>
      <c r="HC32" s="174"/>
      <c r="HD32" s="174"/>
      <c r="HE32" s="174"/>
      <c r="HF32" s="174"/>
      <c r="HG32" s="174"/>
      <c r="HH32" s="174"/>
      <c r="HI32" s="174"/>
      <c r="HJ32" s="174"/>
      <c r="HK32" s="174"/>
      <c r="HL32" s="174"/>
      <c r="HM32" s="174"/>
      <c r="HN32" s="174"/>
      <c r="HO32" s="174"/>
      <c r="HP32" s="174"/>
      <c r="HQ32" s="174"/>
      <c r="HR32" s="174"/>
      <c r="HS32" s="174"/>
      <c r="HT32" s="174"/>
      <c r="HU32" s="174"/>
      <c r="HV32" s="174"/>
      <c r="HW32" s="174"/>
      <c r="HX32" s="174"/>
      <c r="HY32" s="174"/>
      <c r="HZ32" s="174"/>
      <c r="IA32" s="174"/>
      <c r="IB32" s="174"/>
      <c r="IC32" s="174"/>
      <c r="ID32" s="174"/>
      <c r="IE32" s="174"/>
      <c r="IF32" s="174"/>
      <c r="IG32" s="174"/>
      <c r="IH32" s="174"/>
      <c r="II32" s="174"/>
      <c r="IJ32" s="174"/>
      <c r="IK32" s="174"/>
      <c r="IL32" s="174"/>
      <c r="IM32" s="174"/>
      <c r="IN32" s="174"/>
      <c r="IO32" s="174"/>
    </row>
    <row r="33" spans="1:249" s="187" customFormat="1" ht="15" customHeight="1">
      <c r="A33" s="186"/>
      <c r="B33" s="198" t="s">
        <v>70</v>
      </c>
      <c r="C33" s="185"/>
      <c r="D33" s="174"/>
      <c r="E33" s="174"/>
      <c r="F33" s="174"/>
      <c r="G33" s="174"/>
      <c r="H33" s="174"/>
      <c r="I33" s="174"/>
      <c r="J33" s="174"/>
      <c r="K33" s="174"/>
      <c r="L33" s="174"/>
      <c r="M33" s="174"/>
      <c r="N33" s="174"/>
      <c r="O33" s="174"/>
      <c r="P33" s="174"/>
      <c r="Q33" s="174"/>
      <c r="R33" s="174"/>
      <c r="S33" s="174"/>
      <c r="T33" s="174"/>
      <c r="U33" s="174"/>
      <c r="V33" s="174"/>
      <c r="W33" s="174"/>
      <c r="X33" s="174"/>
      <c r="Y33" s="174"/>
      <c r="Z33" s="174"/>
      <c r="AA33" s="174"/>
      <c r="AB33" s="174"/>
      <c r="AC33" s="174"/>
      <c r="AD33" s="174"/>
      <c r="AE33" s="174"/>
      <c r="AF33" s="174"/>
      <c r="AG33" s="174"/>
      <c r="AH33" s="174"/>
      <c r="AI33" s="174"/>
      <c r="AJ33" s="174"/>
      <c r="AK33" s="174"/>
      <c r="AL33" s="174"/>
      <c r="AM33" s="174"/>
      <c r="AN33" s="174"/>
      <c r="AO33" s="174"/>
      <c r="AP33" s="174"/>
      <c r="AQ33" s="174"/>
      <c r="AR33" s="174"/>
      <c r="AS33" s="174"/>
      <c r="AT33" s="174"/>
      <c r="AU33" s="174"/>
      <c r="AV33" s="174"/>
      <c r="AW33" s="174"/>
      <c r="AX33" s="174"/>
      <c r="AY33" s="174"/>
      <c r="AZ33" s="174"/>
      <c r="BA33" s="174"/>
      <c r="BB33" s="174"/>
      <c r="BC33" s="174"/>
      <c r="BD33" s="174"/>
      <c r="BE33" s="174"/>
      <c r="BF33" s="174"/>
      <c r="BG33" s="174"/>
      <c r="BH33" s="174"/>
      <c r="BI33" s="174"/>
      <c r="BJ33" s="174"/>
      <c r="BK33" s="174"/>
      <c r="BL33" s="174"/>
      <c r="BM33" s="174"/>
      <c r="BN33" s="174"/>
      <c r="BO33" s="174"/>
      <c r="BP33" s="174"/>
      <c r="BQ33" s="174"/>
      <c r="BR33" s="174"/>
      <c r="BS33" s="174"/>
      <c r="BT33" s="174"/>
      <c r="BU33" s="174"/>
      <c r="BV33" s="174"/>
      <c r="BW33" s="174"/>
      <c r="BX33" s="174"/>
      <c r="BY33" s="174"/>
      <c r="BZ33" s="174"/>
      <c r="CA33" s="174"/>
      <c r="CB33" s="174"/>
      <c r="CC33" s="174"/>
      <c r="CD33" s="174"/>
      <c r="CE33" s="174"/>
      <c r="CF33" s="174"/>
      <c r="CG33" s="174"/>
      <c r="CH33" s="174"/>
      <c r="CI33" s="174"/>
      <c r="CJ33" s="174"/>
      <c r="CK33" s="174"/>
      <c r="CL33" s="174"/>
      <c r="CM33" s="174"/>
      <c r="CN33" s="174"/>
      <c r="CO33" s="174"/>
      <c r="CP33" s="174"/>
      <c r="CQ33" s="174"/>
      <c r="CR33" s="174"/>
      <c r="CS33" s="174"/>
      <c r="CT33" s="174"/>
      <c r="CU33" s="174"/>
      <c r="CV33" s="174"/>
      <c r="CW33" s="174"/>
      <c r="CX33" s="174"/>
      <c r="CY33" s="174"/>
      <c r="CZ33" s="174"/>
      <c r="DA33" s="174"/>
      <c r="DB33" s="174"/>
      <c r="DC33" s="174"/>
      <c r="DD33" s="174"/>
      <c r="DE33" s="174"/>
      <c r="DF33" s="174"/>
      <c r="DG33" s="174"/>
      <c r="DH33" s="174"/>
      <c r="DI33" s="174"/>
      <c r="DJ33" s="174"/>
      <c r="DK33" s="174"/>
      <c r="DL33" s="174"/>
      <c r="DM33" s="174"/>
      <c r="DN33" s="174"/>
      <c r="DO33" s="174"/>
      <c r="DP33" s="174"/>
      <c r="DQ33" s="174"/>
      <c r="DR33" s="174"/>
      <c r="DS33" s="174"/>
      <c r="DT33" s="174"/>
      <c r="DU33" s="174"/>
      <c r="DV33" s="174"/>
      <c r="DW33" s="174"/>
      <c r="DX33" s="174"/>
      <c r="DY33" s="174"/>
      <c r="DZ33" s="174"/>
      <c r="EA33" s="174"/>
      <c r="EB33" s="174"/>
      <c r="EC33" s="174"/>
      <c r="ED33" s="174"/>
      <c r="EE33" s="174"/>
      <c r="EF33" s="174"/>
      <c r="EG33" s="174"/>
      <c r="EH33" s="174"/>
      <c r="EI33" s="174"/>
      <c r="EJ33" s="174"/>
      <c r="EK33" s="174"/>
      <c r="EL33" s="174"/>
      <c r="EM33" s="174"/>
      <c r="EN33" s="174"/>
      <c r="EO33" s="174"/>
      <c r="EP33" s="174"/>
      <c r="EQ33" s="174"/>
      <c r="ER33" s="174"/>
      <c r="ES33" s="174"/>
      <c r="ET33" s="174"/>
      <c r="EU33" s="174"/>
      <c r="EV33" s="174"/>
      <c r="EW33" s="174"/>
      <c r="EX33" s="174"/>
      <c r="EY33" s="174"/>
      <c r="EZ33" s="174"/>
      <c r="FA33" s="174"/>
      <c r="FB33" s="174"/>
      <c r="FC33" s="174"/>
      <c r="FD33" s="174"/>
      <c r="FE33" s="174"/>
      <c r="FF33" s="174"/>
      <c r="FG33" s="174"/>
      <c r="FH33" s="174"/>
      <c r="FI33" s="174"/>
      <c r="FJ33" s="174"/>
      <c r="FK33" s="174"/>
      <c r="FL33" s="174"/>
      <c r="FM33" s="174"/>
      <c r="FN33" s="174"/>
      <c r="FO33" s="174"/>
      <c r="FP33" s="174"/>
      <c r="FQ33" s="174"/>
      <c r="FR33" s="174"/>
      <c r="FS33" s="174"/>
      <c r="FT33" s="174"/>
      <c r="FU33" s="174"/>
      <c r="FV33" s="174"/>
      <c r="FW33" s="174"/>
      <c r="FX33" s="174"/>
      <c r="FY33" s="174"/>
      <c r="FZ33" s="174"/>
      <c r="GA33" s="174"/>
      <c r="GB33" s="174"/>
      <c r="GC33" s="174"/>
      <c r="GD33" s="174"/>
      <c r="GE33" s="174"/>
      <c r="GF33" s="174"/>
      <c r="GG33" s="174"/>
      <c r="GH33" s="174"/>
      <c r="GI33" s="174"/>
      <c r="GJ33" s="174"/>
      <c r="GK33" s="174"/>
      <c r="GL33" s="174"/>
      <c r="GM33" s="174"/>
      <c r="GN33" s="174"/>
      <c r="GO33" s="174"/>
      <c r="GP33" s="174"/>
      <c r="GQ33" s="174"/>
      <c r="GR33" s="174"/>
      <c r="GS33" s="174"/>
      <c r="GT33" s="174"/>
      <c r="GU33" s="174"/>
      <c r="GV33" s="174"/>
      <c r="GW33" s="174"/>
      <c r="GX33" s="174"/>
      <c r="GY33" s="174"/>
      <c r="GZ33" s="174"/>
      <c r="HA33" s="174"/>
      <c r="HB33" s="174"/>
      <c r="HC33" s="174"/>
      <c r="HD33" s="174"/>
      <c r="HE33" s="174"/>
      <c r="HF33" s="174"/>
      <c r="HG33" s="174"/>
      <c r="HH33" s="174"/>
      <c r="HI33" s="174"/>
      <c r="HJ33" s="174"/>
      <c r="HK33" s="174"/>
      <c r="HL33" s="174"/>
      <c r="HM33" s="174"/>
      <c r="HN33" s="174"/>
      <c r="HO33" s="174"/>
      <c r="HP33" s="174"/>
      <c r="HQ33" s="174"/>
      <c r="HR33" s="174"/>
      <c r="HS33" s="174"/>
      <c r="HT33" s="174"/>
      <c r="HU33" s="174"/>
      <c r="HV33" s="174"/>
      <c r="HW33" s="174"/>
      <c r="HX33" s="174"/>
      <c r="HY33" s="174"/>
      <c r="HZ33" s="174"/>
      <c r="IA33" s="174"/>
      <c r="IB33" s="174"/>
      <c r="IC33" s="174"/>
      <c r="ID33" s="174"/>
      <c r="IE33" s="174"/>
      <c r="IF33" s="174"/>
      <c r="IG33" s="174"/>
      <c r="IH33" s="174"/>
      <c r="II33" s="174"/>
      <c r="IJ33" s="174"/>
      <c r="IK33" s="174"/>
      <c r="IL33" s="174"/>
      <c r="IM33" s="174"/>
      <c r="IN33" s="174"/>
      <c r="IO33" s="174"/>
    </row>
    <row r="34" spans="1:249" s="187" customFormat="1" ht="15" customHeight="1">
      <c r="A34" s="186"/>
      <c r="B34" s="198" t="s">
        <v>71</v>
      </c>
      <c r="C34" s="185"/>
      <c r="D34" s="174"/>
      <c r="E34" s="174"/>
      <c r="F34" s="174"/>
      <c r="G34" s="174"/>
      <c r="H34" s="174"/>
      <c r="I34" s="174"/>
      <c r="J34" s="174"/>
      <c r="K34" s="174"/>
      <c r="L34" s="174"/>
      <c r="M34" s="174"/>
      <c r="N34" s="174"/>
      <c r="O34" s="174"/>
      <c r="P34" s="174"/>
      <c r="Q34" s="174"/>
      <c r="R34" s="174"/>
      <c r="S34" s="174"/>
      <c r="T34" s="174"/>
      <c r="U34" s="174"/>
      <c r="V34" s="174"/>
      <c r="W34" s="174"/>
      <c r="X34" s="174"/>
      <c r="Y34" s="174"/>
      <c r="Z34" s="174"/>
      <c r="AA34" s="174"/>
      <c r="AB34" s="174"/>
      <c r="AC34" s="174"/>
      <c r="AD34" s="174"/>
      <c r="AE34" s="174"/>
      <c r="AF34" s="174"/>
      <c r="AG34" s="174"/>
      <c r="AH34" s="174"/>
      <c r="AI34" s="174"/>
      <c r="AJ34" s="174"/>
      <c r="AK34" s="174"/>
      <c r="AL34" s="174"/>
      <c r="AM34" s="174"/>
      <c r="AN34" s="174"/>
      <c r="AO34" s="174"/>
      <c r="AP34" s="174"/>
      <c r="AQ34" s="174"/>
      <c r="AR34" s="174"/>
      <c r="AS34" s="174"/>
      <c r="AT34" s="174"/>
      <c r="AU34" s="174"/>
      <c r="AV34" s="174"/>
      <c r="AW34" s="174"/>
      <c r="AX34" s="174"/>
      <c r="AY34" s="174"/>
      <c r="AZ34" s="174"/>
      <c r="BA34" s="174"/>
      <c r="BB34" s="174"/>
      <c r="BC34" s="174"/>
      <c r="BD34" s="174"/>
      <c r="BE34" s="174"/>
      <c r="BF34" s="174"/>
      <c r="BG34" s="174"/>
      <c r="BH34" s="174"/>
      <c r="BI34" s="174"/>
      <c r="BJ34" s="174"/>
      <c r="BK34" s="174"/>
      <c r="BL34" s="174"/>
      <c r="BM34" s="174"/>
      <c r="BN34" s="174"/>
      <c r="BO34" s="174"/>
      <c r="BP34" s="174"/>
      <c r="BQ34" s="174"/>
      <c r="BR34" s="174"/>
      <c r="BS34" s="174"/>
      <c r="BT34" s="174"/>
      <c r="BU34" s="174"/>
      <c r="BV34" s="174"/>
      <c r="BW34" s="174"/>
      <c r="BX34" s="174"/>
      <c r="BY34" s="174"/>
      <c r="BZ34" s="174"/>
      <c r="CA34" s="174"/>
      <c r="CB34" s="174"/>
      <c r="CC34" s="174"/>
      <c r="CD34" s="174"/>
      <c r="CE34" s="174"/>
      <c r="CF34" s="174"/>
      <c r="CG34" s="174"/>
      <c r="CH34" s="174"/>
      <c r="CI34" s="174"/>
      <c r="CJ34" s="174"/>
      <c r="CK34" s="174"/>
      <c r="CL34" s="174"/>
      <c r="CM34" s="174"/>
      <c r="CN34" s="174"/>
      <c r="CO34" s="174"/>
      <c r="CP34" s="174"/>
      <c r="CQ34" s="174"/>
      <c r="CR34" s="174"/>
      <c r="CS34" s="174"/>
      <c r="CT34" s="174"/>
      <c r="CU34" s="174"/>
      <c r="CV34" s="174"/>
      <c r="CW34" s="174"/>
      <c r="CX34" s="174"/>
      <c r="CY34" s="174"/>
      <c r="CZ34" s="174"/>
      <c r="DA34" s="174"/>
      <c r="DB34" s="174"/>
      <c r="DC34" s="174"/>
      <c r="DD34" s="174"/>
      <c r="DE34" s="174"/>
      <c r="DF34" s="174"/>
      <c r="DG34" s="174"/>
      <c r="DH34" s="174"/>
      <c r="DI34" s="174"/>
      <c r="DJ34" s="174"/>
      <c r="DK34" s="174"/>
      <c r="DL34" s="174"/>
      <c r="DM34" s="174"/>
      <c r="DN34" s="174"/>
      <c r="DO34" s="174"/>
      <c r="DP34" s="174"/>
      <c r="DQ34" s="174"/>
      <c r="DR34" s="174"/>
      <c r="DS34" s="174"/>
      <c r="DT34" s="174"/>
      <c r="DU34" s="174"/>
      <c r="DV34" s="174"/>
      <c r="DW34" s="174"/>
      <c r="DX34" s="174"/>
      <c r="DY34" s="174"/>
      <c r="DZ34" s="174"/>
      <c r="EA34" s="174"/>
      <c r="EB34" s="174"/>
      <c r="EC34" s="174"/>
      <c r="ED34" s="174"/>
      <c r="EE34" s="174"/>
      <c r="EF34" s="174"/>
      <c r="EG34" s="174"/>
      <c r="EH34" s="174"/>
      <c r="EI34" s="174"/>
      <c r="EJ34" s="174"/>
      <c r="EK34" s="174"/>
      <c r="EL34" s="174"/>
      <c r="EM34" s="174"/>
      <c r="EN34" s="174"/>
      <c r="EO34" s="174"/>
      <c r="EP34" s="174"/>
      <c r="EQ34" s="174"/>
      <c r="ER34" s="174"/>
      <c r="ES34" s="174"/>
      <c r="ET34" s="174"/>
      <c r="EU34" s="174"/>
      <c r="EV34" s="174"/>
      <c r="EW34" s="174"/>
      <c r="EX34" s="174"/>
      <c r="EY34" s="174"/>
      <c r="EZ34" s="174"/>
      <c r="FA34" s="174"/>
      <c r="FB34" s="174"/>
      <c r="FC34" s="174"/>
      <c r="FD34" s="174"/>
      <c r="FE34" s="174"/>
      <c r="FF34" s="174"/>
      <c r="FG34" s="174"/>
      <c r="FH34" s="174"/>
      <c r="FI34" s="174"/>
      <c r="FJ34" s="174"/>
      <c r="FK34" s="174"/>
      <c r="FL34" s="174"/>
      <c r="FM34" s="174"/>
      <c r="FN34" s="174"/>
      <c r="FO34" s="174"/>
      <c r="FP34" s="174"/>
      <c r="FQ34" s="174"/>
      <c r="FR34" s="174"/>
      <c r="FS34" s="174"/>
      <c r="FT34" s="174"/>
      <c r="FU34" s="174"/>
      <c r="FV34" s="174"/>
      <c r="FW34" s="174"/>
      <c r="FX34" s="174"/>
      <c r="FY34" s="174"/>
      <c r="FZ34" s="174"/>
      <c r="GA34" s="174"/>
      <c r="GB34" s="174"/>
      <c r="GC34" s="174"/>
      <c r="GD34" s="174"/>
      <c r="GE34" s="174"/>
      <c r="GF34" s="174"/>
      <c r="GG34" s="174"/>
      <c r="GH34" s="174"/>
      <c r="GI34" s="174"/>
      <c r="GJ34" s="174"/>
      <c r="GK34" s="174"/>
      <c r="GL34" s="174"/>
      <c r="GM34" s="174"/>
      <c r="GN34" s="174"/>
      <c r="GO34" s="174"/>
      <c r="GP34" s="174"/>
      <c r="GQ34" s="174"/>
      <c r="GR34" s="174"/>
      <c r="GS34" s="174"/>
      <c r="GT34" s="174"/>
      <c r="GU34" s="174"/>
      <c r="GV34" s="174"/>
      <c r="GW34" s="174"/>
      <c r="GX34" s="174"/>
      <c r="GY34" s="174"/>
      <c r="GZ34" s="174"/>
      <c r="HA34" s="174"/>
      <c r="HB34" s="174"/>
      <c r="HC34" s="174"/>
      <c r="HD34" s="174"/>
      <c r="HE34" s="174"/>
      <c r="HF34" s="174"/>
      <c r="HG34" s="174"/>
      <c r="HH34" s="174"/>
      <c r="HI34" s="174"/>
      <c r="HJ34" s="174"/>
      <c r="HK34" s="174"/>
      <c r="HL34" s="174"/>
      <c r="HM34" s="174"/>
      <c r="HN34" s="174"/>
      <c r="HO34" s="174"/>
      <c r="HP34" s="174"/>
      <c r="HQ34" s="174"/>
      <c r="HR34" s="174"/>
      <c r="HS34" s="174"/>
      <c r="HT34" s="174"/>
      <c r="HU34" s="174"/>
      <c r="HV34" s="174"/>
      <c r="HW34" s="174"/>
      <c r="HX34" s="174"/>
      <c r="HY34" s="174"/>
      <c r="HZ34" s="174"/>
      <c r="IA34" s="174"/>
      <c r="IB34" s="174"/>
      <c r="IC34" s="174"/>
      <c r="ID34" s="174"/>
      <c r="IE34" s="174"/>
      <c r="IF34" s="174"/>
      <c r="IG34" s="174"/>
      <c r="IH34" s="174"/>
      <c r="II34" s="174"/>
      <c r="IJ34" s="174"/>
      <c r="IK34" s="174"/>
      <c r="IL34" s="174"/>
      <c r="IM34" s="174"/>
      <c r="IN34" s="174"/>
      <c r="IO34" s="174"/>
    </row>
    <row r="35" spans="1:249" s="187" customFormat="1" ht="15" customHeight="1">
      <c r="A35" s="186"/>
      <c r="B35" s="198" t="s">
        <v>72</v>
      </c>
      <c r="C35" s="188"/>
      <c r="D35" s="174"/>
      <c r="E35" s="174"/>
      <c r="F35" s="174"/>
      <c r="G35" s="174"/>
      <c r="H35" s="174"/>
      <c r="I35" s="174"/>
      <c r="J35" s="174"/>
      <c r="K35" s="174"/>
      <c r="L35" s="174"/>
      <c r="M35" s="174"/>
      <c r="N35" s="174"/>
      <c r="O35" s="174"/>
      <c r="P35" s="174"/>
      <c r="Q35" s="174"/>
      <c r="R35" s="174"/>
      <c r="S35" s="174"/>
      <c r="T35" s="174"/>
      <c r="U35" s="174"/>
      <c r="V35" s="174"/>
      <c r="W35" s="174"/>
      <c r="X35" s="174"/>
      <c r="Y35" s="174"/>
      <c r="Z35" s="174"/>
      <c r="AA35" s="174"/>
      <c r="AB35" s="174"/>
      <c r="AC35" s="174"/>
      <c r="AD35" s="174"/>
      <c r="AE35" s="174"/>
      <c r="AF35" s="174"/>
      <c r="AG35" s="174"/>
      <c r="AH35" s="174"/>
      <c r="AI35" s="174"/>
      <c r="AJ35" s="174"/>
      <c r="AK35" s="174"/>
      <c r="AL35" s="174"/>
      <c r="AM35" s="174"/>
      <c r="AN35" s="174"/>
      <c r="AO35" s="174"/>
      <c r="AP35" s="174"/>
      <c r="AQ35" s="174"/>
      <c r="AR35" s="174"/>
      <c r="AS35" s="174"/>
      <c r="AT35" s="174"/>
      <c r="AU35" s="174"/>
      <c r="AV35" s="174"/>
      <c r="AW35" s="174"/>
      <c r="AX35" s="174"/>
      <c r="AY35" s="174"/>
      <c r="AZ35" s="174"/>
      <c r="BA35" s="174"/>
      <c r="BB35" s="174"/>
      <c r="BC35" s="174"/>
      <c r="BD35" s="174"/>
      <c r="BE35" s="174"/>
      <c r="BF35" s="174"/>
      <c r="BG35" s="174"/>
      <c r="BH35" s="174"/>
      <c r="BI35" s="174"/>
      <c r="BJ35" s="174"/>
      <c r="BK35" s="174"/>
      <c r="BL35" s="174"/>
      <c r="BM35" s="174"/>
      <c r="BN35" s="174"/>
      <c r="BO35" s="174"/>
      <c r="BP35" s="174"/>
      <c r="BQ35" s="174"/>
      <c r="BR35" s="174"/>
      <c r="BS35" s="174"/>
      <c r="BT35" s="174"/>
      <c r="BU35" s="174"/>
      <c r="BV35" s="174"/>
      <c r="BW35" s="174"/>
      <c r="BX35" s="174"/>
      <c r="BY35" s="174"/>
      <c r="BZ35" s="174"/>
      <c r="CA35" s="174"/>
      <c r="CB35" s="174"/>
      <c r="CC35" s="174"/>
      <c r="CD35" s="174"/>
      <c r="CE35" s="174"/>
      <c r="CF35" s="174"/>
      <c r="CG35" s="174"/>
      <c r="CH35" s="174"/>
      <c r="CI35" s="174"/>
      <c r="CJ35" s="174"/>
      <c r="CK35" s="174"/>
      <c r="CL35" s="174"/>
      <c r="CM35" s="174"/>
      <c r="CN35" s="174"/>
      <c r="CO35" s="174"/>
      <c r="CP35" s="174"/>
      <c r="CQ35" s="174"/>
      <c r="CR35" s="174"/>
      <c r="CS35" s="174"/>
      <c r="CT35" s="174"/>
      <c r="CU35" s="174"/>
      <c r="CV35" s="174"/>
      <c r="CW35" s="174"/>
      <c r="CX35" s="174"/>
      <c r="CY35" s="174"/>
      <c r="CZ35" s="174"/>
      <c r="DA35" s="174"/>
      <c r="DB35" s="174"/>
      <c r="DC35" s="174"/>
      <c r="DD35" s="174"/>
      <c r="DE35" s="174"/>
      <c r="DF35" s="174"/>
      <c r="DG35" s="174"/>
      <c r="DH35" s="174"/>
      <c r="DI35" s="174"/>
      <c r="DJ35" s="174"/>
      <c r="DK35" s="174"/>
      <c r="DL35" s="174"/>
      <c r="DM35" s="174"/>
      <c r="DN35" s="174"/>
      <c r="DO35" s="174"/>
      <c r="DP35" s="174"/>
      <c r="DQ35" s="174"/>
      <c r="DR35" s="174"/>
      <c r="DS35" s="174"/>
      <c r="DT35" s="174"/>
      <c r="DU35" s="174"/>
      <c r="DV35" s="174"/>
      <c r="DW35" s="174"/>
      <c r="DX35" s="174"/>
      <c r="DY35" s="174"/>
      <c r="DZ35" s="174"/>
      <c r="EA35" s="174"/>
      <c r="EB35" s="174"/>
      <c r="EC35" s="174"/>
      <c r="ED35" s="174"/>
      <c r="EE35" s="174"/>
      <c r="EF35" s="174"/>
      <c r="EG35" s="174"/>
      <c r="EH35" s="174"/>
      <c r="EI35" s="174"/>
      <c r="EJ35" s="174"/>
      <c r="EK35" s="174"/>
      <c r="EL35" s="174"/>
      <c r="EM35" s="174"/>
      <c r="EN35" s="174"/>
      <c r="EO35" s="174"/>
      <c r="EP35" s="174"/>
      <c r="EQ35" s="174"/>
      <c r="ER35" s="174"/>
      <c r="ES35" s="174"/>
      <c r="ET35" s="174"/>
      <c r="EU35" s="174"/>
      <c r="EV35" s="174"/>
      <c r="EW35" s="174"/>
      <c r="EX35" s="174"/>
      <c r="EY35" s="174"/>
      <c r="EZ35" s="174"/>
      <c r="FA35" s="174"/>
      <c r="FB35" s="174"/>
      <c r="FC35" s="174"/>
      <c r="FD35" s="174"/>
      <c r="FE35" s="174"/>
      <c r="FF35" s="174"/>
      <c r="FG35" s="174"/>
      <c r="FH35" s="174"/>
      <c r="FI35" s="174"/>
      <c r="FJ35" s="174"/>
      <c r="FK35" s="174"/>
      <c r="FL35" s="174"/>
      <c r="FM35" s="174"/>
      <c r="FN35" s="174"/>
      <c r="FO35" s="174"/>
      <c r="FP35" s="174"/>
      <c r="FQ35" s="174"/>
      <c r="FR35" s="174"/>
      <c r="FS35" s="174"/>
      <c r="FT35" s="174"/>
      <c r="FU35" s="174"/>
      <c r="FV35" s="174"/>
      <c r="FW35" s="174"/>
      <c r="FX35" s="174"/>
      <c r="FY35" s="174"/>
      <c r="FZ35" s="174"/>
      <c r="GA35" s="174"/>
      <c r="GB35" s="174"/>
      <c r="GC35" s="174"/>
      <c r="GD35" s="174"/>
      <c r="GE35" s="174"/>
      <c r="GF35" s="174"/>
      <c r="GG35" s="174"/>
      <c r="GH35" s="174"/>
      <c r="GI35" s="174"/>
      <c r="GJ35" s="174"/>
      <c r="GK35" s="174"/>
      <c r="GL35" s="174"/>
      <c r="GM35" s="174"/>
      <c r="GN35" s="174"/>
      <c r="GO35" s="174"/>
      <c r="GP35" s="174"/>
      <c r="GQ35" s="174"/>
      <c r="GR35" s="174"/>
      <c r="GS35" s="174"/>
      <c r="GT35" s="174"/>
      <c r="GU35" s="174"/>
      <c r="GV35" s="174"/>
      <c r="GW35" s="174"/>
      <c r="GX35" s="174"/>
      <c r="GY35" s="174"/>
      <c r="GZ35" s="174"/>
      <c r="HA35" s="174"/>
      <c r="HB35" s="174"/>
      <c r="HC35" s="174"/>
      <c r="HD35" s="174"/>
      <c r="HE35" s="174"/>
      <c r="HF35" s="174"/>
      <c r="HG35" s="174"/>
      <c r="HH35" s="174"/>
      <c r="HI35" s="174"/>
      <c r="HJ35" s="174"/>
      <c r="HK35" s="174"/>
      <c r="HL35" s="174"/>
      <c r="HM35" s="174"/>
      <c r="HN35" s="174"/>
      <c r="HO35" s="174"/>
      <c r="HP35" s="174"/>
      <c r="HQ35" s="174"/>
      <c r="HR35" s="174"/>
      <c r="HS35" s="174"/>
      <c r="HT35" s="174"/>
      <c r="HU35" s="174"/>
      <c r="HV35" s="174"/>
      <c r="HW35" s="174"/>
      <c r="HX35" s="174"/>
      <c r="HY35" s="174"/>
      <c r="HZ35" s="174"/>
      <c r="IA35" s="174"/>
      <c r="IB35" s="174"/>
      <c r="IC35" s="174"/>
      <c r="ID35" s="174"/>
      <c r="IE35" s="174"/>
      <c r="IF35" s="174"/>
      <c r="IG35" s="174"/>
      <c r="IH35" s="174"/>
      <c r="II35" s="174"/>
      <c r="IJ35" s="174"/>
      <c r="IK35" s="174"/>
      <c r="IL35" s="174"/>
      <c r="IM35" s="174"/>
      <c r="IN35" s="174"/>
      <c r="IO35" s="174"/>
    </row>
    <row r="36" spans="1:249" ht="15" customHeight="1">
      <c r="A36" s="186"/>
      <c r="B36" s="198" t="s">
        <v>73</v>
      </c>
      <c r="C36" s="185"/>
    </row>
    <row r="37" spans="1:249" ht="15" customHeight="1">
      <c r="A37" s="186"/>
      <c r="B37" s="198" t="s">
        <v>74</v>
      </c>
      <c r="C37" s="185"/>
    </row>
    <row r="38" spans="1:249" ht="15" customHeight="1">
      <c r="A38" s="186"/>
      <c r="B38" s="198" t="s">
        <v>75</v>
      </c>
      <c r="C38" s="185"/>
    </row>
    <row r="39" spans="1:249" ht="15" customHeight="1">
      <c r="A39" s="186"/>
      <c r="B39" s="198" t="s">
        <v>76</v>
      </c>
      <c r="C39" s="185"/>
    </row>
    <row r="40" spans="1:249" ht="15" customHeight="1">
      <c r="A40" s="186"/>
      <c r="B40" s="198" t="s">
        <v>77</v>
      </c>
      <c r="C40" s="185"/>
    </row>
    <row r="41" spans="1:249" ht="15" customHeight="1">
      <c r="A41" s="186"/>
      <c r="B41" s="198" t="s">
        <v>78</v>
      </c>
      <c r="C41" s="185"/>
    </row>
    <row r="42" spans="1:249" ht="15" customHeight="1">
      <c r="A42" s="186"/>
      <c r="B42" s="198" t="s">
        <v>79</v>
      </c>
      <c r="C42" s="185"/>
    </row>
    <row r="43" spans="1:249" s="190" customFormat="1" ht="15" customHeight="1">
      <c r="A43" s="186"/>
      <c r="B43" s="199" t="s">
        <v>80</v>
      </c>
      <c r="C43" s="189"/>
      <c r="D43" s="174"/>
      <c r="E43" s="174"/>
      <c r="F43" s="174"/>
      <c r="G43" s="174"/>
      <c r="H43" s="174"/>
      <c r="I43" s="174"/>
      <c r="J43" s="174"/>
      <c r="K43" s="174"/>
      <c r="L43" s="174"/>
      <c r="M43" s="174"/>
      <c r="N43" s="174"/>
      <c r="O43" s="174"/>
      <c r="P43" s="174"/>
      <c r="Q43" s="174"/>
      <c r="R43" s="174"/>
      <c r="S43" s="174"/>
      <c r="T43" s="174"/>
      <c r="U43" s="174"/>
      <c r="V43" s="174"/>
      <c r="W43" s="174"/>
      <c r="X43" s="174"/>
      <c r="Y43" s="174"/>
      <c r="Z43" s="174"/>
      <c r="AA43" s="174"/>
      <c r="AB43" s="174"/>
      <c r="AC43" s="174"/>
      <c r="AD43" s="174"/>
      <c r="AE43" s="174"/>
      <c r="AF43" s="174"/>
      <c r="AG43" s="174"/>
      <c r="AH43" s="174"/>
      <c r="AI43" s="174"/>
      <c r="AJ43" s="174"/>
      <c r="AK43" s="174"/>
      <c r="AL43" s="174"/>
      <c r="AM43" s="174"/>
      <c r="AN43" s="174"/>
      <c r="AO43" s="174"/>
      <c r="AP43" s="174"/>
      <c r="AQ43" s="174"/>
      <c r="AR43" s="174"/>
      <c r="AS43" s="174"/>
      <c r="AT43" s="174"/>
      <c r="AU43" s="174"/>
      <c r="AV43" s="174"/>
      <c r="AW43" s="174"/>
      <c r="AX43" s="174"/>
      <c r="AY43" s="174"/>
      <c r="AZ43" s="174"/>
      <c r="BA43" s="174"/>
      <c r="BB43" s="174"/>
      <c r="BC43" s="174"/>
      <c r="BD43" s="174"/>
      <c r="BE43" s="174"/>
      <c r="BF43" s="174"/>
      <c r="BG43" s="174"/>
      <c r="BH43" s="174"/>
      <c r="BI43" s="174"/>
      <c r="BJ43" s="174"/>
      <c r="BK43" s="174"/>
      <c r="BL43" s="174"/>
      <c r="BM43" s="174"/>
      <c r="BN43" s="174"/>
      <c r="BO43" s="174"/>
      <c r="BP43" s="174"/>
      <c r="BQ43" s="174"/>
      <c r="BR43" s="174"/>
      <c r="BS43" s="174"/>
      <c r="BT43" s="174"/>
      <c r="BU43" s="174"/>
      <c r="BV43" s="174"/>
      <c r="BW43" s="174"/>
      <c r="BX43" s="174"/>
      <c r="BY43" s="174"/>
      <c r="BZ43" s="174"/>
      <c r="CA43" s="174"/>
      <c r="CB43" s="174"/>
      <c r="CC43" s="174"/>
      <c r="CD43" s="174"/>
      <c r="CE43" s="174"/>
      <c r="CF43" s="174"/>
      <c r="CG43" s="174"/>
      <c r="CH43" s="174"/>
      <c r="CI43" s="174"/>
      <c r="CJ43" s="174"/>
      <c r="CK43" s="174"/>
      <c r="CL43" s="174"/>
      <c r="CM43" s="174"/>
      <c r="CN43" s="174"/>
      <c r="CO43" s="174"/>
      <c r="CP43" s="174"/>
      <c r="CQ43" s="174"/>
      <c r="CR43" s="174"/>
      <c r="CS43" s="174"/>
      <c r="CT43" s="174"/>
      <c r="CU43" s="174"/>
      <c r="CV43" s="174"/>
      <c r="CW43" s="174"/>
      <c r="CX43" s="174"/>
      <c r="CY43" s="174"/>
      <c r="CZ43" s="174"/>
      <c r="DA43" s="174"/>
      <c r="DB43" s="174"/>
      <c r="DC43" s="174"/>
      <c r="DD43" s="174"/>
      <c r="DE43" s="174"/>
      <c r="DF43" s="174"/>
      <c r="DG43" s="174"/>
      <c r="DH43" s="174"/>
      <c r="DI43" s="174"/>
      <c r="DJ43" s="174"/>
      <c r="DK43" s="174"/>
      <c r="DL43" s="174"/>
      <c r="DM43" s="174"/>
      <c r="DN43" s="174"/>
      <c r="DO43" s="174"/>
      <c r="DP43" s="174"/>
      <c r="DQ43" s="174"/>
      <c r="DR43" s="174"/>
      <c r="DS43" s="174"/>
      <c r="DT43" s="174"/>
      <c r="DU43" s="174"/>
      <c r="DV43" s="174"/>
      <c r="DW43" s="174"/>
      <c r="DX43" s="174"/>
      <c r="DY43" s="174"/>
      <c r="DZ43" s="174"/>
      <c r="EA43" s="174"/>
      <c r="EB43" s="174"/>
      <c r="EC43" s="174"/>
      <c r="ED43" s="174"/>
      <c r="EE43" s="174"/>
      <c r="EF43" s="174"/>
      <c r="EG43" s="174"/>
      <c r="EH43" s="174"/>
      <c r="EI43" s="174"/>
      <c r="EJ43" s="174"/>
      <c r="EK43" s="174"/>
      <c r="EL43" s="174"/>
      <c r="EM43" s="174"/>
      <c r="EN43" s="174"/>
      <c r="EO43" s="174"/>
      <c r="EP43" s="174"/>
      <c r="EQ43" s="174"/>
      <c r="ER43" s="174"/>
      <c r="ES43" s="174"/>
      <c r="ET43" s="174"/>
      <c r="EU43" s="174"/>
      <c r="EV43" s="174"/>
      <c r="EW43" s="174"/>
      <c r="EX43" s="174"/>
      <c r="EY43" s="174"/>
      <c r="EZ43" s="174"/>
      <c r="FA43" s="174"/>
      <c r="FB43" s="174"/>
      <c r="FC43" s="174"/>
      <c r="FD43" s="174"/>
      <c r="FE43" s="174"/>
      <c r="FF43" s="174"/>
      <c r="FG43" s="174"/>
      <c r="FH43" s="174"/>
      <c r="FI43" s="174"/>
      <c r="FJ43" s="174"/>
      <c r="FK43" s="174"/>
      <c r="FL43" s="174"/>
      <c r="FM43" s="174"/>
      <c r="FN43" s="174"/>
      <c r="FO43" s="174"/>
      <c r="FP43" s="174"/>
      <c r="FQ43" s="174"/>
      <c r="FR43" s="174"/>
      <c r="FS43" s="174"/>
      <c r="FT43" s="174"/>
      <c r="FU43" s="174"/>
      <c r="FV43" s="174"/>
      <c r="FW43" s="174"/>
      <c r="FX43" s="174"/>
      <c r="FY43" s="174"/>
      <c r="FZ43" s="174"/>
      <c r="GA43" s="174"/>
      <c r="GB43" s="174"/>
      <c r="GC43" s="174"/>
      <c r="GD43" s="174"/>
      <c r="GE43" s="174"/>
      <c r="GF43" s="174"/>
      <c r="GG43" s="174"/>
      <c r="GH43" s="174"/>
      <c r="GI43" s="174"/>
      <c r="GJ43" s="174"/>
      <c r="GK43" s="174"/>
      <c r="GL43" s="174"/>
      <c r="GM43" s="174"/>
      <c r="GN43" s="174"/>
      <c r="GO43" s="174"/>
      <c r="GP43" s="174"/>
      <c r="GQ43" s="174"/>
      <c r="GR43" s="174"/>
      <c r="GS43" s="174"/>
      <c r="GT43" s="174"/>
      <c r="GU43" s="174"/>
      <c r="GV43" s="174"/>
      <c r="GW43" s="174"/>
      <c r="GX43" s="174"/>
      <c r="GY43" s="174"/>
      <c r="GZ43" s="174"/>
      <c r="HA43" s="174"/>
      <c r="HB43" s="174"/>
      <c r="HC43" s="174"/>
      <c r="HD43" s="174"/>
      <c r="HE43" s="174"/>
      <c r="HF43" s="174"/>
      <c r="HG43" s="174"/>
      <c r="HH43" s="174"/>
      <c r="HI43" s="174"/>
      <c r="HJ43" s="174"/>
      <c r="HK43" s="174"/>
      <c r="HL43" s="174"/>
      <c r="HM43" s="174"/>
      <c r="HN43" s="174"/>
      <c r="HO43" s="174"/>
      <c r="HP43" s="174"/>
      <c r="HQ43" s="174"/>
      <c r="HR43" s="174"/>
      <c r="HS43" s="174"/>
      <c r="HT43" s="174"/>
      <c r="HU43" s="174"/>
      <c r="HV43" s="174"/>
      <c r="HW43" s="174"/>
      <c r="HX43" s="174"/>
      <c r="HY43" s="174"/>
      <c r="HZ43" s="174"/>
      <c r="IA43" s="174"/>
      <c r="IB43" s="174"/>
      <c r="IC43" s="174"/>
      <c r="ID43" s="174"/>
      <c r="IE43" s="174"/>
      <c r="IF43" s="174"/>
      <c r="IG43" s="174"/>
      <c r="IH43" s="174"/>
      <c r="II43" s="174"/>
      <c r="IJ43" s="174"/>
      <c r="IK43" s="174"/>
      <c r="IL43" s="174"/>
      <c r="IM43" s="174"/>
      <c r="IN43" s="174"/>
      <c r="IO43" s="174"/>
    </row>
    <row r="44" spans="1:249" s="187" customFormat="1" ht="15" customHeight="1">
      <c r="A44" s="191"/>
      <c r="B44" s="199" t="s">
        <v>81</v>
      </c>
      <c r="C44" s="189"/>
      <c r="D44" s="174"/>
      <c r="E44" s="174"/>
      <c r="F44" s="174"/>
      <c r="G44" s="174"/>
      <c r="H44" s="174"/>
      <c r="I44" s="174"/>
      <c r="J44" s="174"/>
      <c r="K44" s="174"/>
      <c r="L44" s="174"/>
      <c r="M44" s="174"/>
      <c r="N44" s="174"/>
      <c r="O44" s="174"/>
      <c r="P44" s="174"/>
      <c r="Q44" s="174"/>
      <c r="R44" s="174"/>
      <c r="S44" s="174"/>
      <c r="T44" s="174"/>
      <c r="U44" s="174"/>
      <c r="V44" s="174"/>
      <c r="W44" s="174"/>
      <c r="X44" s="174"/>
      <c r="Y44" s="174"/>
      <c r="Z44" s="174"/>
      <c r="AA44" s="174"/>
      <c r="AB44" s="174"/>
      <c r="AC44" s="174"/>
      <c r="AD44" s="174"/>
      <c r="AE44" s="174"/>
      <c r="AF44" s="174"/>
      <c r="AG44" s="174"/>
      <c r="AH44" s="174"/>
      <c r="AI44" s="174"/>
      <c r="AJ44" s="174"/>
      <c r="AK44" s="174"/>
      <c r="AL44" s="174"/>
      <c r="AM44" s="174"/>
      <c r="AN44" s="174"/>
      <c r="AO44" s="174"/>
      <c r="AP44" s="174"/>
      <c r="AQ44" s="174"/>
      <c r="AR44" s="174"/>
      <c r="AS44" s="174"/>
      <c r="AT44" s="174"/>
      <c r="AU44" s="174"/>
      <c r="AV44" s="174"/>
      <c r="AW44" s="174"/>
      <c r="AX44" s="174"/>
      <c r="AY44" s="174"/>
      <c r="AZ44" s="174"/>
      <c r="BA44" s="174"/>
      <c r="BB44" s="174"/>
      <c r="BC44" s="174"/>
      <c r="BD44" s="174"/>
      <c r="BE44" s="174"/>
      <c r="BF44" s="174"/>
      <c r="BG44" s="174"/>
      <c r="BH44" s="174"/>
      <c r="BI44" s="174"/>
      <c r="BJ44" s="174"/>
      <c r="BK44" s="174"/>
      <c r="BL44" s="174"/>
      <c r="BM44" s="174"/>
      <c r="BN44" s="174"/>
      <c r="BO44" s="174"/>
      <c r="BP44" s="174"/>
      <c r="BQ44" s="174"/>
      <c r="BR44" s="174"/>
      <c r="BS44" s="174"/>
      <c r="BT44" s="174"/>
      <c r="BU44" s="174"/>
      <c r="BV44" s="174"/>
      <c r="BW44" s="174"/>
      <c r="BX44" s="174"/>
      <c r="BY44" s="174"/>
      <c r="BZ44" s="174"/>
      <c r="CA44" s="174"/>
      <c r="CB44" s="174"/>
      <c r="CC44" s="174"/>
      <c r="CD44" s="174"/>
      <c r="CE44" s="174"/>
      <c r="CF44" s="174"/>
      <c r="CG44" s="174"/>
      <c r="CH44" s="174"/>
      <c r="CI44" s="174"/>
      <c r="CJ44" s="174"/>
      <c r="CK44" s="174"/>
      <c r="CL44" s="174"/>
      <c r="CM44" s="174"/>
      <c r="CN44" s="174"/>
      <c r="CO44" s="174"/>
      <c r="CP44" s="174"/>
      <c r="CQ44" s="174"/>
      <c r="CR44" s="174"/>
      <c r="CS44" s="174"/>
      <c r="CT44" s="174"/>
      <c r="CU44" s="174"/>
      <c r="CV44" s="174"/>
      <c r="CW44" s="174"/>
      <c r="CX44" s="174"/>
      <c r="CY44" s="174"/>
      <c r="CZ44" s="174"/>
      <c r="DA44" s="174"/>
      <c r="DB44" s="174"/>
      <c r="DC44" s="174"/>
      <c r="DD44" s="174"/>
      <c r="DE44" s="174"/>
      <c r="DF44" s="174"/>
      <c r="DG44" s="174"/>
      <c r="DH44" s="174"/>
      <c r="DI44" s="174"/>
      <c r="DJ44" s="174"/>
      <c r="DK44" s="174"/>
      <c r="DL44" s="174"/>
      <c r="DM44" s="174"/>
      <c r="DN44" s="174"/>
      <c r="DO44" s="174"/>
      <c r="DP44" s="174"/>
      <c r="DQ44" s="174"/>
      <c r="DR44" s="174"/>
      <c r="DS44" s="174"/>
      <c r="DT44" s="174"/>
      <c r="DU44" s="174"/>
      <c r="DV44" s="174"/>
      <c r="DW44" s="174"/>
      <c r="DX44" s="174"/>
      <c r="DY44" s="174"/>
      <c r="DZ44" s="174"/>
      <c r="EA44" s="174"/>
      <c r="EB44" s="174"/>
      <c r="EC44" s="174"/>
      <c r="ED44" s="174"/>
      <c r="EE44" s="174"/>
      <c r="EF44" s="174"/>
      <c r="EG44" s="174"/>
      <c r="EH44" s="174"/>
      <c r="EI44" s="174"/>
      <c r="EJ44" s="174"/>
      <c r="EK44" s="174"/>
      <c r="EL44" s="174"/>
      <c r="EM44" s="174"/>
      <c r="EN44" s="174"/>
      <c r="EO44" s="174"/>
      <c r="EP44" s="174"/>
      <c r="EQ44" s="174"/>
      <c r="ER44" s="174"/>
      <c r="ES44" s="174"/>
      <c r="ET44" s="174"/>
      <c r="EU44" s="174"/>
      <c r="EV44" s="174"/>
      <c r="EW44" s="174"/>
      <c r="EX44" s="174"/>
      <c r="EY44" s="174"/>
      <c r="EZ44" s="174"/>
      <c r="FA44" s="174"/>
      <c r="FB44" s="174"/>
      <c r="FC44" s="174"/>
      <c r="FD44" s="174"/>
      <c r="FE44" s="174"/>
      <c r="FF44" s="174"/>
      <c r="FG44" s="174"/>
      <c r="FH44" s="174"/>
      <c r="FI44" s="174"/>
      <c r="FJ44" s="174"/>
      <c r="FK44" s="174"/>
      <c r="FL44" s="174"/>
      <c r="FM44" s="174"/>
      <c r="FN44" s="174"/>
      <c r="FO44" s="174"/>
      <c r="FP44" s="174"/>
      <c r="FQ44" s="174"/>
      <c r="FR44" s="174"/>
      <c r="FS44" s="174"/>
      <c r="FT44" s="174"/>
      <c r="FU44" s="174"/>
      <c r="FV44" s="174"/>
      <c r="FW44" s="174"/>
      <c r="FX44" s="174"/>
      <c r="FY44" s="174"/>
      <c r="FZ44" s="174"/>
      <c r="GA44" s="174"/>
      <c r="GB44" s="174"/>
      <c r="GC44" s="174"/>
      <c r="GD44" s="174"/>
      <c r="GE44" s="174"/>
      <c r="GF44" s="174"/>
      <c r="GG44" s="174"/>
      <c r="GH44" s="174"/>
      <c r="GI44" s="174"/>
      <c r="GJ44" s="174"/>
      <c r="GK44" s="174"/>
      <c r="GL44" s="174"/>
      <c r="GM44" s="174"/>
      <c r="GN44" s="174"/>
      <c r="GO44" s="174"/>
      <c r="GP44" s="174"/>
      <c r="GQ44" s="174"/>
      <c r="GR44" s="174"/>
      <c r="GS44" s="174"/>
      <c r="GT44" s="174"/>
      <c r="GU44" s="174"/>
      <c r="GV44" s="174"/>
      <c r="GW44" s="174"/>
      <c r="GX44" s="174"/>
      <c r="GY44" s="174"/>
      <c r="GZ44" s="174"/>
      <c r="HA44" s="174"/>
      <c r="HB44" s="174"/>
      <c r="HC44" s="174"/>
      <c r="HD44" s="174"/>
      <c r="HE44" s="174"/>
      <c r="HF44" s="174"/>
      <c r="HG44" s="174"/>
      <c r="HH44" s="174"/>
      <c r="HI44" s="174"/>
      <c r="HJ44" s="174"/>
      <c r="HK44" s="174"/>
      <c r="HL44" s="174"/>
      <c r="HM44" s="174"/>
      <c r="HN44" s="174"/>
      <c r="HO44" s="174"/>
      <c r="HP44" s="174"/>
      <c r="HQ44" s="174"/>
      <c r="HR44" s="174"/>
      <c r="HS44" s="174"/>
      <c r="HT44" s="174"/>
      <c r="HU44" s="174"/>
      <c r="HV44" s="174"/>
      <c r="HW44" s="174"/>
      <c r="HX44" s="174"/>
      <c r="HY44" s="174"/>
      <c r="HZ44" s="174"/>
      <c r="IA44" s="174"/>
      <c r="IB44" s="174"/>
      <c r="IC44" s="174"/>
      <c r="ID44" s="174"/>
      <c r="IE44" s="174"/>
      <c r="IF44" s="174"/>
      <c r="IG44" s="174"/>
      <c r="IH44" s="174"/>
      <c r="II44" s="174"/>
      <c r="IJ44" s="174"/>
      <c r="IK44" s="174"/>
      <c r="IL44" s="174"/>
      <c r="IM44" s="174"/>
      <c r="IN44" s="174"/>
      <c r="IO44" s="174"/>
    </row>
    <row r="45" spans="1:249" s="187" customFormat="1" ht="15" customHeight="1">
      <c r="A45" s="191"/>
      <c r="B45" s="199" t="s">
        <v>82</v>
      </c>
      <c r="C45" s="189"/>
      <c r="D45" s="174"/>
      <c r="E45" s="174"/>
      <c r="F45" s="174"/>
      <c r="G45" s="174"/>
      <c r="H45" s="174"/>
      <c r="I45" s="174"/>
      <c r="J45" s="174"/>
      <c r="K45" s="174"/>
      <c r="L45" s="174"/>
      <c r="M45" s="174"/>
      <c r="N45" s="174"/>
      <c r="O45" s="174"/>
      <c r="P45" s="174"/>
      <c r="Q45" s="174"/>
      <c r="R45" s="174"/>
      <c r="S45" s="174"/>
      <c r="T45" s="174"/>
      <c r="U45" s="174"/>
      <c r="V45" s="174"/>
      <c r="W45" s="174"/>
      <c r="X45" s="174"/>
      <c r="Y45" s="174"/>
      <c r="Z45" s="174"/>
      <c r="AA45" s="174"/>
      <c r="AB45" s="174"/>
      <c r="AC45" s="174"/>
      <c r="AD45" s="174"/>
      <c r="AE45" s="174"/>
      <c r="AF45" s="174"/>
      <c r="AG45" s="174"/>
      <c r="AH45" s="174"/>
      <c r="AI45" s="174"/>
      <c r="AJ45" s="174"/>
      <c r="AK45" s="174"/>
      <c r="AL45" s="174"/>
      <c r="AM45" s="174"/>
      <c r="AN45" s="174"/>
      <c r="AO45" s="174"/>
      <c r="AP45" s="174"/>
      <c r="AQ45" s="174"/>
      <c r="AR45" s="174"/>
      <c r="AS45" s="174"/>
      <c r="AT45" s="174"/>
      <c r="AU45" s="174"/>
      <c r="AV45" s="174"/>
      <c r="AW45" s="174"/>
      <c r="AX45" s="174"/>
      <c r="AY45" s="174"/>
      <c r="AZ45" s="174"/>
      <c r="BA45" s="174"/>
      <c r="BB45" s="174"/>
      <c r="BC45" s="174"/>
      <c r="BD45" s="174"/>
      <c r="BE45" s="174"/>
      <c r="BF45" s="174"/>
      <c r="BG45" s="174"/>
      <c r="BH45" s="174"/>
      <c r="BI45" s="174"/>
      <c r="BJ45" s="174"/>
      <c r="BK45" s="174"/>
      <c r="BL45" s="174"/>
      <c r="BM45" s="174"/>
      <c r="BN45" s="174"/>
      <c r="BO45" s="174"/>
      <c r="BP45" s="174"/>
      <c r="BQ45" s="174"/>
      <c r="BR45" s="174"/>
      <c r="BS45" s="174"/>
      <c r="BT45" s="174"/>
      <c r="BU45" s="174"/>
      <c r="BV45" s="174"/>
      <c r="BW45" s="174"/>
      <c r="BX45" s="174"/>
      <c r="BY45" s="174"/>
      <c r="BZ45" s="174"/>
      <c r="CA45" s="174"/>
      <c r="CB45" s="174"/>
      <c r="CC45" s="174"/>
      <c r="CD45" s="174"/>
      <c r="CE45" s="174"/>
      <c r="CF45" s="174"/>
      <c r="CG45" s="174"/>
      <c r="CH45" s="174"/>
      <c r="CI45" s="174"/>
      <c r="CJ45" s="174"/>
      <c r="CK45" s="174"/>
      <c r="CL45" s="174"/>
      <c r="CM45" s="174"/>
      <c r="CN45" s="174"/>
      <c r="CO45" s="174"/>
      <c r="CP45" s="174"/>
      <c r="CQ45" s="174"/>
      <c r="CR45" s="174"/>
      <c r="CS45" s="174"/>
      <c r="CT45" s="174"/>
      <c r="CU45" s="174"/>
      <c r="CV45" s="174"/>
      <c r="CW45" s="174"/>
      <c r="CX45" s="174"/>
      <c r="CY45" s="174"/>
      <c r="CZ45" s="174"/>
      <c r="DA45" s="174"/>
      <c r="DB45" s="174"/>
      <c r="DC45" s="174"/>
      <c r="DD45" s="174"/>
      <c r="DE45" s="174"/>
      <c r="DF45" s="174"/>
      <c r="DG45" s="174"/>
      <c r="DH45" s="174"/>
      <c r="DI45" s="174"/>
      <c r="DJ45" s="174"/>
      <c r="DK45" s="174"/>
      <c r="DL45" s="174"/>
      <c r="DM45" s="174"/>
      <c r="DN45" s="174"/>
      <c r="DO45" s="174"/>
      <c r="DP45" s="174"/>
      <c r="DQ45" s="174"/>
      <c r="DR45" s="174"/>
      <c r="DS45" s="174"/>
      <c r="DT45" s="174"/>
      <c r="DU45" s="174"/>
      <c r="DV45" s="174"/>
      <c r="DW45" s="174"/>
      <c r="DX45" s="174"/>
      <c r="DY45" s="174"/>
      <c r="DZ45" s="174"/>
      <c r="EA45" s="174"/>
      <c r="EB45" s="174"/>
      <c r="EC45" s="174"/>
      <c r="ED45" s="174"/>
      <c r="EE45" s="174"/>
      <c r="EF45" s="174"/>
      <c r="EG45" s="174"/>
      <c r="EH45" s="174"/>
      <c r="EI45" s="174"/>
      <c r="EJ45" s="174"/>
      <c r="EK45" s="174"/>
      <c r="EL45" s="174"/>
      <c r="EM45" s="174"/>
      <c r="EN45" s="174"/>
      <c r="EO45" s="174"/>
      <c r="EP45" s="174"/>
      <c r="EQ45" s="174"/>
      <c r="ER45" s="174"/>
      <c r="ES45" s="174"/>
      <c r="ET45" s="174"/>
      <c r="EU45" s="174"/>
      <c r="EV45" s="174"/>
      <c r="EW45" s="174"/>
      <c r="EX45" s="174"/>
      <c r="EY45" s="174"/>
      <c r="EZ45" s="174"/>
      <c r="FA45" s="174"/>
      <c r="FB45" s="174"/>
      <c r="FC45" s="174"/>
      <c r="FD45" s="174"/>
      <c r="FE45" s="174"/>
      <c r="FF45" s="174"/>
      <c r="FG45" s="174"/>
      <c r="FH45" s="174"/>
      <c r="FI45" s="174"/>
      <c r="FJ45" s="174"/>
      <c r="FK45" s="174"/>
      <c r="FL45" s="174"/>
      <c r="FM45" s="174"/>
      <c r="FN45" s="174"/>
      <c r="FO45" s="174"/>
      <c r="FP45" s="174"/>
      <c r="FQ45" s="174"/>
      <c r="FR45" s="174"/>
      <c r="FS45" s="174"/>
      <c r="FT45" s="174"/>
      <c r="FU45" s="174"/>
      <c r="FV45" s="174"/>
      <c r="FW45" s="174"/>
      <c r="FX45" s="174"/>
      <c r="FY45" s="174"/>
      <c r="FZ45" s="174"/>
      <c r="GA45" s="174"/>
      <c r="GB45" s="174"/>
      <c r="GC45" s="174"/>
      <c r="GD45" s="174"/>
      <c r="GE45" s="174"/>
      <c r="GF45" s="174"/>
      <c r="GG45" s="174"/>
      <c r="GH45" s="174"/>
      <c r="GI45" s="174"/>
      <c r="GJ45" s="174"/>
      <c r="GK45" s="174"/>
      <c r="GL45" s="174"/>
      <c r="GM45" s="174"/>
      <c r="GN45" s="174"/>
      <c r="GO45" s="174"/>
      <c r="GP45" s="174"/>
      <c r="GQ45" s="174"/>
      <c r="GR45" s="174"/>
      <c r="GS45" s="174"/>
      <c r="GT45" s="174"/>
      <c r="GU45" s="174"/>
      <c r="GV45" s="174"/>
      <c r="GW45" s="174"/>
      <c r="GX45" s="174"/>
      <c r="GY45" s="174"/>
      <c r="GZ45" s="174"/>
      <c r="HA45" s="174"/>
      <c r="HB45" s="174"/>
      <c r="HC45" s="174"/>
      <c r="HD45" s="174"/>
      <c r="HE45" s="174"/>
      <c r="HF45" s="174"/>
      <c r="HG45" s="174"/>
      <c r="HH45" s="174"/>
      <c r="HI45" s="174"/>
      <c r="HJ45" s="174"/>
      <c r="HK45" s="174"/>
      <c r="HL45" s="174"/>
      <c r="HM45" s="174"/>
      <c r="HN45" s="174"/>
      <c r="HO45" s="174"/>
      <c r="HP45" s="174"/>
      <c r="HQ45" s="174"/>
      <c r="HR45" s="174"/>
      <c r="HS45" s="174"/>
      <c r="HT45" s="174"/>
      <c r="HU45" s="174"/>
      <c r="HV45" s="174"/>
      <c r="HW45" s="174"/>
      <c r="HX45" s="174"/>
      <c r="HY45" s="174"/>
      <c r="HZ45" s="174"/>
      <c r="IA45" s="174"/>
      <c r="IB45" s="174"/>
      <c r="IC45" s="174"/>
      <c r="ID45" s="174"/>
      <c r="IE45" s="174"/>
      <c r="IF45" s="174"/>
      <c r="IG45" s="174"/>
      <c r="IH45" s="174"/>
      <c r="II45" s="174"/>
      <c r="IJ45" s="174"/>
      <c r="IK45" s="174"/>
      <c r="IL45" s="174"/>
      <c r="IM45" s="174"/>
      <c r="IN45" s="174"/>
      <c r="IO45" s="174"/>
    </row>
    <row r="46" spans="1:249" s="190" customFormat="1" ht="15" customHeight="1">
      <c r="A46" s="186"/>
      <c r="B46" s="200" t="s">
        <v>83</v>
      </c>
      <c r="C46" s="189"/>
      <c r="D46" s="174"/>
      <c r="E46" s="174"/>
      <c r="F46" s="174"/>
      <c r="G46" s="174"/>
      <c r="H46" s="174"/>
      <c r="I46" s="174"/>
      <c r="J46" s="174"/>
      <c r="K46" s="174"/>
      <c r="L46" s="174"/>
      <c r="M46" s="174"/>
      <c r="N46" s="174"/>
      <c r="O46" s="174"/>
      <c r="P46" s="174"/>
      <c r="Q46" s="174"/>
      <c r="R46" s="174"/>
      <c r="S46" s="174"/>
      <c r="T46" s="174"/>
      <c r="U46" s="174"/>
      <c r="V46" s="174"/>
      <c r="W46" s="174"/>
      <c r="X46" s="174"/>
      <c r="Y46" s="174"/>
      <c r="Z46" s="174"/>
      <c r="AA46" s="174"/>
      <c r="AB46" s="174"/>
      <c r="AC46" s="174"/>
      <c r="AD46" s="174"/>
      <c r="AE46" s="174"/>
      <c r="AF46" s="174"/>
      <c r="AG46" s="174"/>
      <c r="AH46" s="174"/>
      <c r="AI46" s="174"/>
      <c r="AJ46" s="174"/>
      <c r="AK46" s="174"/>
      <c r="AL46" s="174"/>
      <c r="AM46" s="174"/>
      <c r="AN46" s="174"/>
      <c r="AO46" s="174"/>
      <c r="AP46" s="174"/>
      <c r="AQ46" s="174"/>
      <c r="AR46" s="174"/>
      <c r="AS46" s="174"/>
      <c r="AT46" s="174"/>
      <c r="AU46" s="174"/>
      <c r="AV46" s="174"/>
      <c r="AW46" s="174"/>
      <c r="AX46" s="174"/>
      <c r="AY46" s="174"/>
      <c r="AZ46" s="174"/>
      <c r="BA46" s="174"/>
      <c r="BB46" s="174"/>
      <c r="BC46" s="174"/>
      <c r="BD46" s="174"/>
      <c r="BE46" s="174"/>
      <c r="BF46" s="174"/>
      <c r="BG46" s="174"/>
      <c r="BH46" s="174"/>
      <c r="BI46" s="174"/>
      <c r="BJ46" s="174"/>
      <c r="BK46" s="174"/>
      <c r="BL46" s="174"/>
      <c r="BM46" s="174"/>
      <c r="BN46" s="174"/>
      <c r="BO46" s="174"/>
      <c r="BP46" s="174"/>
      <c r="BQ46" s="174"/>
      <c r="BR46" s="174"/>
      <c r="BS46" s="174"/>
      <c r="BT46" s="174"/>
      <c r="BU46" s="174"/>
      <c r="BV46" s="174"/>
      <c r="BW46" s="174"/>
      <c r="BX46" s="174"/>
      <c r="BY46" s="174"/>
      <c r="BZ46" s="174"/>
      <c r="CA46" s="174"/>
      <c r="CB46" s="174"/>
      <c r="CC46" s="174"/>
      <c r="CD46" s="174"/>
      <c r="CE46" s="174"/>
      <c r="CF46" s="174"/>
      <c r="CG46" s="174"/>
      <c r="CH46" s="174"/>
      <c r="CI46" s="174"/>
      <c r="CJ46" s="174"/>
      <c r="CK46" s="174"/>
      <c r="CL46" s="174"/>
      <c r="CM46" s="174"/>
      <c r="CN46" s="174"/>
      <c r="CO46" s="174"/>
      <c r="CP46" s="174"/>
      <c r="CQ46" s="174"/>
      <c r="CR46" s="174"/>
      <c r="CS46" s="174"/>
      <c r="CT46" s="174"/>
      <c r="CU46" s="174"/>
      <c r="CV46" s="174"/>
      <c r="CW46" s="174"/>
      <c r="CX46" s="174"/>
      <c r="CY46" s="174"/>
      <c r="CZ46" s="174"/>
      <c r="DA46" s="174"/>
      <c r="DB46" s="174"/>
      <c r="DC46" s="174"/>
      <c r="DD46" s="174"/>
      <c r="DE46" s="174"/>
      <c r="DF46" s="174"/>
      <c r="DG46" s="174"/>
      <c r="DH46" s="174"/>
      <c r="DI46" s="174"/>
      <c r="DJ46" s="174"/>
      <c r="DK46" s="174"/>
      <c r="DL46" s="174"/>
      <c r="DM46" s="174"/>
      <c r="DN46" s="174"/>
      <c r="DO46" s="174"/>
      <c r="DP46" s="174"/>
      <c r="DQ46" s="174"/>
      <c r="DR46" s="174"/>
      <c r="DS46" s="174"/>
      <c r="DT46" s="174"/>
      <c r="DU46" s="174"/>
      <c r="DV46" s="174"/>
      <c r="DW46" s="174"/>
      <c r="DX46" s="174"/>
      <c r="DY46" s="174"/>
      <c r="DZ46" s="174"/>
      <c r="EA46" s="174"/>
      <c r="EB46" s="174"/>
      <c r="EC46" s="174"/>
      <c r="ED46" s="174"/>
      <c r="EE46" s="174"/>
      <c r="EF46" s="174"/>
      <c r="EG46" s="174"/>
      <c r="EH46" s="174"/>
      <c r="EI46" s="174"/>
      <c r="EJ46" s="174"/>
      <c r="EK46" s="174"/>
      <c r="EL46" s="174"/>
      <c r="EM46" s="174"/>
      <c r="EN46" s="174"/>
      <c r="EO46" s="174"/>
      <c r="EP46" s="174"/>
      <c r="EQ46" s="174"/>
      <c r="ER46" s="174"/>
      <c r="ES46" s="174"/>
      <c r="ET46" s="174"/>
      <c r="EU46" s="174"/>
      <c r="EV46" s="174"/>
      <c r="EW46" s="174"/>
      <c r="EX46" s="174"/>
      <c r="EY46" s="174"/>
      <c r="EZ46" s="174"/>
      <c r="FA46" s="174"/>
      <c r="FB46" s="174"/>
      <c r="FC46" s="174"/>
      <c r="FD46" s="174"/>
      <c r="FE46" s="174"/>
      <c r="FF46" s="174"/>
      <c r="FG46" s="174"/>
      <c r="FH46" s="174"/>
      <c r="FI46" s="174"/>
      <c r="FJ46" s="174"/>
      <c r="FK46" s="174"/>
      <c r="FL46" s="174"/>
      <c r="FM46" s="174"/>
      <c r="FN46" s="174"/>
      <c r="FO46" s="174"/>
      <c r="FP46" s="174"/>
      <c r="FQ46" s="174"/>
      <c r="FR46" s="174"/>
      <c r="FS46" s="174"/>
      <c r="FT46" s="174"/>
      <c r="FU46" s="174"/>
      <c r="FV46" s="174"/>
      <c r="FW46" s="174"/>
      <c r="FX46" s="174"/>
      <c r="FY46" s="174"/>
      <c r="FZ46" s="174"/>
      <c r="GA46" s="174"/>
      <c r="GB46" s="174"/>
      <c r="GC46" s="174"/>
      <c r="GD46" s="174"/>
      <c r="GE46" s="174"/>
      <c r="GF46" s="174"/>
      <c r="GG46" s="174"/>
      <c r="GH46" s="174"/>
      <c r="GI46" s="174"/>
      <c r="GJ46" s="174"/>
      <c r="GK46" s="174"/>
      <c r="GL46" s="174"/>
      <c r="GM46" s="174"/>
      <c r="GN46" s="174"/>
      <c r="GO46" s="174"/>
      <c r="GP46" s="174"/>
      <c r="GQ46" s="174"/>
      <c r="GR46" s="174"/>
      <c r="GS46" s="174"/>
      <c r="GT46" s="174"/>
      <c r="GU46" s="174"/>
      <c r="GV46" s="174"/>
      <c r="GW46" s="174"/>
      <c r="GX46" s="174"/>
      <c r="GY46" s="174"/>
      <c r="GZ46" s="174"/>
      <c r="HA46" s="174"/>
      <c r="HB46" s="174"/>
      <c r="HC46" s="174"/>
      <c r="HD46" s="174"/>
      <c r="HE46" s="174"/>
      <c r="HF46" s="174"/>
      <c r="HG46" s="174"/>
      <c r="HH46" s="174"/>
      <c r="HI46" s="174"/>
      <c r="HJ46" s="174"/>
      <c r="HK46" s="174"/>
      <c r="HL46" s="174"/>
      <c r="HM46" s="174"/>
      <c r="HN46" s="174"/>
      <c r="HO46" s="174"/>
      <c r="HP46" s="174"/>
      <c r="HQ46" s="174"/>
      <c r="HR46" s="174"/>
      <c r="HS46" s="174"/>
      <c r="HT46" s="174"/>
      <c r="HU46" s="174"/>
      <c r="HV46" s="174"/>
      <c r="HW46" s="174"/>
      <c r="HX46" s="174"/>
      <c r="HY46" s="174"/>
      <c r="HZ46" s="174"/>
      <c r="IA46" s="174"/>
      <c r="IB46" s="174"/>
      <c r="IC46" s="174"/>
      <c r="ID46" s="174"/>
      <c r="IE46" s="174"/>
      <c r="IF46" s="174"/>
      <c r="IG46" s="174"/>
      <c r="IH46" s="174"/>
      <c r="II46" s="174"/>
      <c r="IJ46" s="174"/>
      <c r="IK46" s="174"/>
      <c r="IL46" s="174"/>
      <c r="IM46" s="174"/>
      <c r="IN46" s="174"/>
      <c r="IO46" s="174"/>
    </row>
    <row r="47" spans="1:249" s="187" customFormat="1" ht="15" customHeight="1">
      <c r="A47" s="186"/>
      <c r="B47" s="198" t="s">
        <v>84</v>
      </c>
      <c r="C47" s="189"/>
      <c r="D47" s="174"/>
      <c r="E47" s="174"/>
      <c r="F47" s="174"/>
      <c r="G47" s="174"/>
      <c r="H47" s="174"/>
      <c r="I47" s="174"/>
      <c r="J47" s="174"/>
      <c r="K47" s="174"/>
      <c r="L47" s="174"/>
      <c r="M47" s="174"/>
      <c r="N47" s="174"/>
      <c r="O47" s="174"/>
      <c r="P47" s="174"/>
      <c r="Q47" s="174"/>
      <c r="R47" s="174"/>
      <c r="S47" s="174"/>
      <c r="T47" s="174"/>
      <c r="U47" s="174"/>
      <c r="V47" s="174"/>
      <c r="W47" s="174"/>
      <c r="X47" s="174"/>
      <c r="Y47" s="174"/>
      <c r="Z47" s="174"/>
      <c r="AA47" s="174"/>
      <c r="AB47" s="174"/>
      <c r="AC47" s="174"/>
      <c r="AD47" s="174"/>
      <c r="AE47" s="174"/>
      <c r="AF47" s="174"/>
      <c r="AG47" s="174"/>
      <c r="AH47" s="174"/>
      <c r="AI47" s="174"/>
      <c r="AJ47" s="174"/>
      <c r="AK47" s="174"/>
      <c r="AL47" s="174"/>
      <c r="AM47" s="174"/>
      <c r="AN47" s="174"/>
      <c r="AO47" s="174"/>
      <c r="AP47" s="174"/>
      <c r="AQ47" s="174"/>
      <c r="AR47" s="174"/>
      <c r="AS47" s="174"/>
      <c r="AT47" s="174"/>
      <c r="AU47" s="174"/>
      <c r="AV47" s="174"/>
      <c r="AW47" s="174"/>
      <c r="AX47" s="174"/>
      <c r="AY47" s="174"/>
      <c r="AZ47" s="174"/>
      <c r="BA47" s="174"/>
      <c r="BB47" s="174"/>
      <c r="BC47" s="174"/>
      <c r="BD47" s="174"/>
      <c r="BE47" s="174"/>
      <c r="BF47" s="174"/>
      <c r="BG47" s="174"/>
      <c r="BH47" s="174"/>
      <c r="BI47" s="174"/>
      <c r="BJ47" s="174"/>
      <c r="BK47" s="174"/>
      <c r="BL47" s="174"/>
      <c r="BM47" s="174"/>
      <c r="BN47" s="174"/>
      <c r="BO47" s="174"/>
      <c r="BP47" s="174"/>
      <c r="BQ47" s="174"/>
      <c r="BR47" s="174"/>
      <c r="BS47" s="174"/>
      <c r="BT47" s="174"/>
      <c r="BU47" s="174"/>
      <c r="BV47" s="174"/>
      <c r="BW47" s="174"/>
      <c r="BX47" s="174"/>
      <c r="BY47" s="174"/>
      <c r="BZ47" s="174"/>
      <c r="CA47" s="174"/>
      <c r="CB47" s="174"/>
      <c r="CC47" s="174"/>
      <c r="CD47" s="174"/>
      <c r="CE47" s="174"/>
      <c r="CF47" s="174"/>
      <c r="CG47" s="174"/>
      <c r="CH47" s="174"/>
      <c r="CI47" s="174"/>
      <c r="CJ47" s="174"/>
      <c r="CK47" s="174"/>
      <c r="CL47" s="174"/>
      <c r="CM47" s="174"/>
      <c r="CN47" s="174"/>
      <c r="CO47" s="174"/>
      <c r="CP47" s="174"/>
      <c r="CQ47" s="174"/>
      <c r="CR47" s="174"/>
      <c r="CS47" s="174"/>
      <c r="CT47" s="174"/>
      <c r="CU47" s="174"/>
      <c r="CV47" s="174"/>
      <c r="CW47" s="174"/>
      <c r="CX47" s="174"/>
      <c r="CY47" s="174"/>
      <c r="CZ47" s="174"/>
      <c r="DA47" s="174"/>
      <c r="DB47" s="174"/>
      <c r="DC47" s="174"/>
      <c r="DD47" s="174"/>
      <c r="DE47" s="174"/>
      <c r="DF47" s="174"/>
      <c r="DG47" s="174"/>
      <c r="DH47" s="174"/>
      <c r="DI47" s="174"/>
      <c r="DJ47" s="174"/>
      <c r="DK47" s="174"/>
      <c r="DL47" s="174"/>
      <c r="DM47" s="174"/>
      <c r="DN47" s="174"/>
      <c r="DO47" s="174"/>
      <c r="DP47" s="174"/>
      <c r="DQ47" s="174"/>
      <c r="DR47" s="174"/>
      <c r="DS47" s="174"/>
      <c r="DT47" s="174"/>
      <c r="DU47" s="174"/>
      <c r="DV47" s="174"/>
      <c r="DW47" s="174"/>
      <c r="DX47" s="174"/>
      <c r="DY47" s="174"/>
      <c r="DZ47" s="174"/>
      <c r="EA47" s="174"/>
      <c r="EB47" s="174"/>
      <c r="EC47" s="174"/>
      <c r="ED47" s="174"/>
      <c r="EE47" s="174"/>
      <c r="EF47" s="174"/>
      <c r="EG47" s="174"/>
      <c r="EH47" s="174"/>
      <c r="EI47" s="174"/>
      <c r="EJ47" s="174"/>
      <c r="EK47" s="174"/>
      <c r="EL47" s="174"/>
      <c r="EM47" s="174"/>
      <c r="EN47" s="174"/>
      <c r="EO47" s="174"/>
      <c r="EP47" s="174"/>
      <c r="EQ47" s="174"/>
      <c r="ER47" s="174"/>
      <c r="ES47" s="174"/>
      <c r="ET47" s="174"/>
      <c r="EU47" s="174"/>
      <c r="EV47" s="174"/>
      <c r="EW47" s="174"/>
      <c r="EX47" s="174"/>
      <c r="EY47" s="174"/>
      <c r="EZ47" s="174"/>
      <c r="FA47" s="174"/>
      <c r="FB47" s="174"/>
      <c r="FC47" s="174"/>
      <c r="FD47" s="174"/>
      <c r="FE47" s="174"/>
      <c r="FF47" s="174"/>
      <c r="FG47" s="174"/>
      <c r="FH47" s="174"/>
      <c r="FI47" s="174"/>
      <c r="FJ47" s="174"/>
      <c r="FK47" s="174"/>
      <c r="FL47" s="174"/>
      <c r="FM47" s="174"/>
      <c r="FN47" s="174"/>
      <c r="FO47" s="174"/>
      <c r="FP47" s="174"/>
      <c r="FQ47" s="174"/>
      <c r="FR47" s="174"/>
      <c r="FS47" s="174"/>
      <c r="FT47" s="174"/>
      <c r="FU47" s="174"/>
      <c r="FV47" s="174"/>
      <c r="FW47" s="174"/>
      <c r="FX47" s="174"/>
      <c r="FY47" s="174"/>
      <c r="FZ47" s="174"/>
      <c r="GA47" s="174"/>
      <c r="GB47" s="174"/>
      <c r="GC47" s="174"/>
      <c r="GD47" s="174"/>
      <c r="GE47" s="174"/>
      <c r="GF47" s="174"/>
      <c r="GG47" s="174"/>
      <c r="GH47" s="174"/>
      <c r="GI47" s="174"/>
      <c r="GJ47" s="174"/>
      <c r="GK47" s="174"/>
      <c r="GL47" s="174"/>
      <c r="GM47" s="174"/>
      <c r="GN47" s="174"/>
      <c r="GO47" s="174"/>
      <c r="GP47" s="174"/>
      <c r="GQ47" s="174"/>
      <c r="GR47" s="174"/>
      <c r="GS47" s="174"/>
      <c r="GT47" s="174"/>
      <c r="GU47" s="174"/>
      <c r="GV47" s="174"/>
      <c r="GW47" s="174"/>
      <c r="GX47" s="174"/>
      <c r="GY47" s="174"/>
      <c r="GZ47" s="174"/>
      <c r="HA47" s="174"/>
      <c r="HB47" s="174"/>
      <c r="HC47" s="174"/>
      <c r="HD47" s="174"/>
      <c r="HE47" s="174"/>
      <c r="HF47" s="174"/>
      <c r="HG47" s="174"/>
      <c r="HH47" s="174"/>
      <c r="HI47" s="174"/>
      <c r="HJ47" s="174"/>
      <c r="HK47" s="174"/>
      <c r="HL47" s="174"/>
      <c r="HM47" s="174"/>
      <c r="HN47" s="174"/>
      <c r="HO47" s="174"/>
      <c r="HP47" s="174"/>
      <c r="HQ47" s="174"/>
      <c r="HR47" s="174"/>
      <c r="HS47" s="174"/>
      <c r="HT47" s="174"/>
      <c r="HU47" s="174"/>
      <c r="HV47" s="174"/>
      <c r="HW47" s="174"/>
      <c r="HX47" s="174"/>
      <c r="HY47" s="174"/>
      <c r="HZ47" s="174"/>
      <c r="IA47" s="174"/>
      <c r="IB47" s="174"/>
      <c r="IC47" s="174"/>
      <c r="ID47" s="174"/>
      <c r="IE47" s="174"/>
      <c r="IF47" s="174"/>
      <c r="IG47" s="174"/>
      <c r="IH47" s="174"/>
      <c r="II47" s="174"/>
      <c r="IJ47" s="174"/>
      <c r="IK47" s="174"/>
      <c r="IL47" s="174"/>
      <c r="IM47" s="174"/>
      <c r="IN47" s="174"/>
      <c r="IO47" s="174"/>
    </row>
    <row r="48" spans="1:249" s="187" customFormat="1" ht="15" customHeight="1">
      <c r="A48" s="186"/>
      <c r="B48" s="198" t="s">
        <v>85</v>
      </c>
      <c r="C48" s="189"/>
      <c r="D48" s="174"/>
      <c r="E48" s="174"/>
      <c r="F48" s="174"/>
      <c r="G48" s="174"/>
      <c r="H48" s="174"/>
      <c r="I48" s="174"/>
      <c r="J48" s="174"/>
      <c r="K48" s="174"/>
      <c r="L48" s="174"/>
      <c r="M48" s="174"/>
      <c r="N48" s="174"/>
      <c r="O48" s="174"/>
      <c r="P48" s="174"/>
      <c r="Q48" s="174"/>
      <c r="R48" s="174"/>
      <c r="S48" s="174"/>
      <c r="T48" s="174"/>
      <c r="U48" s="174"/>
      <c r="V48" s="174"/>
      <c r="W48" s="174"/>
      <c r="X48" s="174"/>
      <c r="Y48" s="174"/>
      <c r="Z48" s="174"/>
      <c r="AA48" s="174"/>
      <c r="AB48" s="174"/>
      <c r="AC48" s="174"/>
      <c r="AD48" s="174"/>
      <c r="AE48" s="174"/>
      <c r="AF48" s="174"/>
      <c r="AG48" s="174"/>
      <c r="AH48" s="174"/>
      <c r="AI48" s="174"/>
      <c r="AJ48" s="174"/>
      <c r="AK48" s="174"/>
      <c r="AL48" s="174"/>
      <c r="AM48" s="174"/>
      <c r="AN48" s="174"/>
      <c r="AO48" s="174"/>
      <c r="AP48" s="174"/>
      <c r="AQ48" s="174"/>
      <c r="AR48" s="174"/>
      <c r="AS48" s="174"/>
      <c r="AT48" s="174"/>
      <c r="AU48" s="174"/>
      <c r="AV48" s="174"/>
      <c r="AW48" s="174"/>
      <c r="AX48" s="174"/>
      <c r="AY48" s="174"/>
      <c r="AZ48" s="174"/>
      <c r="BA48" s="174"/>
      <c r="BB48" s="174"/>
      <c r="BC48" s="174"/>
      <c r="BD48" s="174"/>
      <c r="BE48" s="174"/>
      <c r="BF48" s="174"/>
      <c r="BG48" s="174"/>
      <c r="BH48" s="174"/>
      <c r="BI48" s="174"/>
      <c r="BJ48" s="174"/>
      <c r="BK48" s="174"/>
      <c r="BL48" s="174"/>
      <c r="BM48" s="174"/>
      <c r="BN48" s="174"/>
      <c r="BO48" s="174"/>
      <c r="BP48" s="174"/>
      <c r="BQ48" s="174"/>
      <c r="BR48" s="174"/>
      <c r="BS48" s="174"/>
      <c r="BT48" s="174"/>
      <c r="BU48" s="174"/>
      <c r="BV48" s="174"/>
      <c r="BW48" s="174"/>
      <c r="BX48" s="174"/>
      <c r="BY48" s="174"/>
      <c r="BZ48" s="174"/>
      <c r="CA48" s="174"/>
      <c r="CB48" s="174"/>
      <c r="CC48" s="174"/>
      <c r="CD48" s="174"/>
      <c r="CE48" s="174"/>
      <c r="CF48" s="174"/>
      <c r="CG48" s="174"/>
      <c r="CH48" s="174"/>
      <c r="CI48" s="174"/>
      <c r="CJ48" s="174"/>
      <c r="CK48" s="174"/>
      <c r="CL48" s="174"/>
      <c r="CM48" s="174"/>
      <c r="CN48" s="174"/>
      <c r="CO48" s="174"/>
      <c r="CP48" s="174"/>
      <c r="CQ48" s="174"/>
      <c r="CR48" s="174"/>
      <c r="CS48" s="174"/>
      <c r="CT48" s="174"/>
      <c r="CU48" s="174"/>
      <c r="CV48" s="174"/>
      <c r="CW48" s="174"/>
      <c r="CX48" s="174"/>
      <c r="CY48" s="174"/>
      <c r="CZ48" s="174"/>
      <c r="DA48" s="174"/>
      <c r="DB48" s="174"/>
      <c r="DC48" s="174"/>
      <c r="DD48" s="174"/>
      <c r="DE48" s="174"/>
      <c r="DF48" s="174"/>
      <c r="DG48" s="174"/>
      <c r="DH48" s="174"/>
      <c r="DI48" s="174"/>
      <c r="DJ48" s="174"/>
      <c r="DK48" s="174"/>
      <c r="DL48" s="174"/>
      <c r="DM48" s="174"/>
      <c r="DN48" s="174"/>
      <c r="DO48" s="174"/>
      <c r="DP48" s="174"/>
      <c r="DQ48" s="174"/>
      <c r="DR48" s="174"/>
      <c r="DS48" s="174"/>
      <c r="DT48" s="174"/>
      <c r="DU48" s="174"/>
      <c r="DV48" s="174"/>
      <c r="DW48" s="174"/>
      <c r="DX48" s="174"/>
      <c r="DY48" s="174"/>
      <c r="DZ48" s="174"/>
      <c r="EA48" s="174"/>
      <c r="EB48" s="174"/>
      <c r="EC48" s="174"/>
      <c r="ED48" s="174"/>
      <c r="EE48" s="174"/>
      <c r="EF48" s="174"/>
      <c r="EG48" s="174"/>
      <c r="EH48" s="174"/>
      <c r="EI48" s="174"/>
      <c r="EJ48" s="174"/>
      <c r="EK48" s="174"/>
      <c r="EL48" s="174"/>
      <c r="EM48" s="174"/>
      <c r="EN48" s="174"/>
      <c r="EO48" s="174"/>
      <c r="EP48" s="174"/>
      <c r="EQ48" s="174"/>
      <c r="ER48" s="174"/>
      <c r="ES48" s="174"/>
      <c r="ET48" s="174"/>
      <c r="EU48" s="174"/>
      <c r="EV48" s="174"/>
      <c r="EW48" s="174"/>
      <c r="EX48" s="174"/>
      <c r="EY48" s="174"/>
      <c r="EZ48" s="174"/>
      <c r="FA48" s="174"/>
      <c r="FB48" s="174"/>
      <c r="FC48" s="174"/>
      <c r="FD48" s="174"/>
      <c r="FE48" s="174"/>
      <c r="FF48" s="174"/>
      <c r="FG48" s="174"/>
      <c r="FH48" s="174"/>
      <c r="FI48" s="174"/>
      <c r="FJ48" s="174"/>
      <c r="FK48" s="174"/>
      <c r="FL48" s="174"/>
      <c r="FM48" s="174"/>
      <c r="FN48" s="174"/>
      <c r="FO48" s="174"/>
      <c r="FP48" s="174"/>
      <c r="FQ48" s="174"/>
      <c r="FR48" s="174"/>
      <c r="FS48" s="174"/>
      <c r="FT48" s="174"/>
      <c r="FU48" s="174"/>
      <c r="FV48" s="174"/>
      <c r="FW48" s="174"/>
      <c r="FX48" s="174"/>
      <c r="FY48" s="174"/>
      <c r="FZ48" s="174"/>
      <c r="GA48" s="174"/>
      <c r="GB48" s="174"/>
      <c r="GC48" s="174"/>
      <c r="GD48" s="174"/>
      <c r="GE48" s="174"/>
      <c r="GF48" s="174"/>
      <c r="GG48" s="174"/>
      <c r="GH48" s="174"/>
      <c r="GI48" s="174"/>
      <c r="GJ48" s="174"/>
      <c r="GK48" s="174"/>
      <c r="GL48" s="174"/>
      <c r="GM48" s="174"/>
      <c r="GN48" s="174"/>
      <c r="GO48" s="174"/>
      <c r="GP48" s="174"/>
      <c r="GQ48" s="174"/>
      <c r="GR48" s="174"/>
      <c r="GS48" s="174"/>
      <c r="GT48" s="174"/>
      <c r="GU48" s="174"/>
      <c r="GV48" s="174"/>
      <c r="GW48" s="174"/>
      <c r="GX48" s="174"/>
      <c r="GY48" s="174"/>
      <c r="GZ48" s="174"/>
      <c r="HA48" s="174"/>
      <c r="HB48" s="174"/>
      <c r="HC48" s="174"/>
      <c r="HD48" s="174"/>
      <c r="HE48" s="174"/>
      <c r="HF48" s="174"/>
      <c r="HG48" s="174"/>
      <c r="HH48" s="174"/>
      <c r="HI48" s="174"/>
      <c r="HJ48" s="174"/>
      <c r="HK48" s="174"/>
      <c r="HL48" s="174"/>
      <c r="HM48" s="174"/>
      <c r="HN48" s="174"/>
      <c r="HO48" s="174"/>
      <c r="HP48" s="174"/>
      <c r="HQ48" s="174"/>
      <c r="HR48" s="174"/>
      <c r="HS48" s="174"/>
      <c r="HT48" s="174"/>
      <c r="HU48" s="174"/>
      <c r="HV48" s="174"/>
      <c r="HW48" s="174"/>
      <c r="HX48" s="174"/>
      <c r="HY48" s="174"/>
      <c r="HZ48" s="174"/>
      <c r="IA48" s="174"/>
      <c r="IB48" s="174"/>
      <c r="IC48" s="174"/>
      <c r="ID48" s="174"/>
      <c r="IE48" s="174"/>
      <c r="IF48" s="174"/>
      <c r="IG48" s="174"/>
      <c r="IH48" s="174"/>
      <c r="II48" s="174"/>
      <c r="IJ48" s="174"/>
      <c r="IK48" s="174"/>
      <c r="IL48" s="174"/>
      <c r="IM48" s="174"/>
      <c r="IN48" s="174"/>
      <c r="IO48" s="174"/>
    </row>
    <row r="49" spans="1:249" ht="15" customHeight="1">
      <c r="A49" s="192"/>
      <c r="B49" s="198" t="s">
        <v>86</v>
      </c>
      <c r="C49" s="189"/>
    </row>
    <row r="50" spans="1:249" s="187" customFormat="1" ht="15" customHeight="1">
      <c r="A50" s="186"/>
      <c r="B50" s="198" t="s">
        <v>87</v>
      </c>
      <c r="C50" s="189"/>
      <c r="D50" s="174"/>
      <c r="E50" s="174"/>
      <c r="F50" s="174"/>
      <c r="G50" s="174"/>
      <c r="H50" s="174"/>
      <c r="I50" s="174"/>
      <c r="J50" s="174"/>
      <c r="K50" s="174"/>
      <c r="L50" s="174"/>
      <c r="M50" s="174"/>
      <c r="N50" s="174"/>
      <c r="O50" s="174"/>
      <c r="P50" s="174"/>
      <c r="Q50" s="174"/>
      <c r="R50" s="174"/>
      <c r="S50" s="174"/>
      <c r="T50" s="174"/>
      <c r="U50" s="174"/>
      <c r="V50" s="174"/>
      <c r="W50" s="174"/>
      <c r="X50" s="174"/>
      <c r="Y50" s="174"/>
      <c r="Z50" s="174"/>
      <c r="AA50" s="174"/>
      <c r="AB50" s="174"/>
      <c r="AC50" s="174"/>
      <c r="AD50" s="174"/>
      <c r="AE50" s="174"/>
      <c r="AF50" s="174"/>
      <c r="AG50" s="174"/>
      <c r="AH50" s="174"/>
      <c r="AI50" s="174"/>
      <c r="AJ50" s="174"/>
      <c r="AK50" s="174"/>
      <c r="AL50" s="174"/>
      <c r="AM50" s="174"/>
      <c r="AN50" s="174"/>
      <c r="AO50" s="174"/>
      <c r="AP50" s="174"/>
      <c r="AQ50" s="174"/>
      <c r="AR50" s="174"/>
      <c r="AS50" s="174"/>
      <c r="AT50" s="174"/>
      <c r="AU50" s="174"/>
      <c r="AV50" s="174"/>
      <c r="AW50" s="174"/>
      <c r="AX50" s="174"/>
      <c r="AY50" s="174"/>
      <c r="AZ50" s="174"/>
      <c r="BA50" s="174"/>
      <c r="BB50" s="174"/>
      <c r="BC50" s="174"/>
      <c r="BD50" s="174"/>
      <c r="BE50" s="174"/>
      <c r="BF50" s="174"/>
      <c r="BG50" s="174"/>
      <c r="BH50" s="174"/>
      <c r="BI50" s="174"/>
      <c r="BJ50" s="174"/>
      <c r="BK50" s="174"/>
      <c r="BL50" s="174"/>
      <c r="BM50" s="174"/>
      <c r="BN50" s="174"/>
      <c r="BO50" s="174"/>
      <c r="BP50" s="174"/>
      <c r="BQ50" s="174"/>
      <c r="BR50" s="174"/>
      <c r="BS50" s="174"/>
      <c r="BT50" s="174"/>
      <c r="BU50" s="174"/>
      <c r="BV50" s="174"/>
      <c r="BW50" s="174"/>
      <c r="BX50" s="174"/>
      <c r="BY50" s="174"/>
      <c r="BZ50" s="174"/>
      <c r="CA50" s="174"/>
      <c r="CB50" s="174"/>
      <c r="CC50" s="174"/>
      <c r="CD50" s="174"/>
      <c r="CE50" s="174"/>
      <c r="CF50" s="174"/>
      <c r="CG50" s="174"/>
      <c r="CH50" s="174"/>
      <c r="CI50" s="174"/>
      <c r="CJ50" s="174"/>
      <c r="CK50" s="174"/>
      <c r="CL50" s="174"/>
      <c r="CM50" s="174"/>
      <c r="CN50" s="174"/>
      <c r="CO50" s="174"/>
      <c r="CP50" s="174"/>
      <c r="CQ50" s="174"/>
      <c r="CR50" s="174"/>
      <c r="CS50" s="174"/>
      <c r="CT50" s="174"/>
      <c r="CU50" s="174"/>
      <c r="CV50" s="174"/>
      <c r="CW50" s="174"/>
      <c r="CX50" s="174"/>
      <c r="CY50" s="174"/>
      <c r="CZ50" s="174"/>
      <c r="DA50" s="174"/>
      <c r="DB50" s="174"/>
      <c r="DC50" s="174"/>
      <c r="DD50" s="174"/>
      <c r="DE50" s="174"/>
      <c r="DF50" s="174"/>
      <c r="DG50" s="174"/>
      <c r="DH50" s="174"/>
      <c r="DI50" s="174"/>
      <c r="DJ50" s="174"/>
      <c r="DK50" s="174"/>
      <c r="DL50" s="174"/>
      <c r="DM50" s="174"/>
      <c r="DN50" s="174"/>
      <c r="DO50" s="174"/>
      <c r="DP50" s="174"/>
      <c r="DQ50" s="174"/>
      <c r="DR50" s="174"/>
      <c r="DS50" s="174"/>
      <c r="DT50" s="174"/>
      <c r="DU50" s="174"/>
      <c r="DV50" s="174"/>
      <c r="DW50" s="174"/>
      <c r="DX50" s="174"/>
      <c r="DY50" s="174"/>
      <c r="DZ50" s="174"/>
      <c r="EA50" s="174"/>
      <c r="EB50" s="174"/>
      <c r="EC50" s="174"/>
      <c r="ED50" s="174"/>
      <c r="EE50" s="174"/>
      <c r="EF50" s="174"/>
      <c r="EG50" s="174"/>
      <c r="EH50" s="174"/>
      <c r="EI50" s="174"/>
      <c r="EJ50" s="174"/>
      <c r="EK50" s="174"/>
      <c r="EL50" s="174"/>
      <c r="EM50" s="174"/>
      <c r="EN50" s="174"/>
      <c r="EO50" s="174"/>
      <c r="EP50" s="174"/>
      <c r="EQ50" s="174"/>
      <c r="ER50" s="174"/>
      <c r="ES50" s="174"/>
      <c r="ET50" s="174"/>
      <c r="EU50" s="174"/>
      <c r="EV50" s="174"/>
      <c r="EW50" s="174"/>
      <c r="EX50" s="174"/>
      <c r="EY50" s="174"/>
      <c r="EZ50" s="174"/>
      <c r="FA50" s="174"/>
      <c r="FB50" s="174"/>
      <c r="FC50" s="174"/>
      <c r="FD50" s="174"/>
      <c r="FE50" s="174"/>
      <c r="FF50" s="174"/>
      <c r="FG50" s="174"/>
      <c r="FH50" s="174"/>
      <c r="FI50" s="174"/>
      <c r="FJ50" s="174"/>
      <c r="FK50" s="174"/>
      <c r="FL50" s="174"/>
      <c r="FM50" s="174"/>
      <c r="FN50" s="174"/>
      <c r="FO50" s="174"/>
      <c r="FP50" s="174"/>
      <c r="FQ50" s="174"/>
      <c r="FR50" s="174"/>
      <c r="FS50" s="174"/>
      <c r="FT50" s="174"/>
      <c r="FU50" s="174"/>
      <c r="FV50" s="174"/>
      <c r="FW50" s="174"/>
      <c r="FX50" s="174"/>
      <c r="FY50" s="174"/>
      <c r="FZ50" s="174"/>
      <c r="GA50" s="174"/>
      <c r="GB50" s="174"/>
      <c r="GC50" s="174"/>
      <c r="GD50" s="174"/>
      <c r="GE50" s="174"/>
      <c r="GF50" s="174"/>
      <c r="GG50" s="174"/>
      <c r="GH50" s="174"/>
      <c r="GI50" s="174"/>
      <c r="GJ50" s="174"/>
      <c r="GK50" s="174"/>
      <c r="GL50" s="174"/>
      <c r="GM50" s="174"/>
      <c r="GN50" s="174"/>
      <c r="GO50" s="174"/>
      <c r="GP50" s="174"/>
      <c r="GQ50" s="174"/>
      <c r="GR50" s="174"/>
      <c r="GS50" s="174"/>
      <c r="GT50" s="174"/>
      <c r="GU50" s="174"/>
      <c r="GV50" s="174"/>
      <c r="GW50" s="174"/>
      <c r="GX50" s="174"/>
      <c r="GY50" s="174"/>
      <c r="GZ50" s="174"/>
      <c r="HA50" s="174"/>
      <c r="HB50" s="174"/>
      <c r="HC50" s="174"/>
      <c r="HD50" s="174"/>
      <c r="HE50" s="174"/>
      <c r="HF50" s="174"/>
      <c r="HG50" s="174"/>
      <c r="HH50" s="174"/>
      <c r="HI50" s="174"/>
      <c r="HJ50" s="174"/>
      <c r="HK50" s="174"/>
      <c r="HL50" s="174"/>
      <c r="HM50" s="174"/>
      <c r="HN50" s="174"/>
      <c r="HO50" s="174"/>
      <c r="HP50" s="174"/>
      <c r="HQ50" s="174"/>
      <c r="HR50" s="174"/>
      <c r="HS50" s="174"/>
      <c r="HT50" s="174"/>
      <c r="HU50" s="174"/>
      <c r="HV50" s="174"/>
      <c r="HW50" s="174"/>
      <c r="HX50" s="174"/>
      <c r="HY50" s="174"/>
      <c r="HZ50" s="174"/>
      <c r="IA50" s="174"/>
      <c r="IB50" s="174"/>
      <c r="IC50" s="174"/>
      <c r="ID50" s="174"/>
      <c r="IE50" s="174"/>
      <c r="IF50" s="174"/>
      <c r="IG50" s="174"/>
      <c r="IH50" s="174"/>
      <c r="II50" s="174"/>
      <c r="IJ50" s="174"/>
      <c r="IK50" s="174"/>
      <c r="IL50" s="174"/>
      <c r="IM50" s="174"/>
      <c r="IN50" s="174"/>
      <c r="IO50" s="174"/>
    </row>
    <row r="51" spans="1:249" s="187" customFormat="1" ht="15" customHeight="1">
      <c r="A51" s="186"/>
      <c r="B51" s="198" t="s">
        <v>88</v>
      </c>
      <c r="C51" s="189"/>
      <c r="D51" s="174"/>
      <c r="E51" s="174"/>
      <c r="F51" s="174"/>
      <c r="G51" s="174"/>
      <c r="H51" s="174"/>
      <c r="I51" s="174"/>
      <c r="J51" s="174"/>
      <c r="K51" s="174"/>
      <c r="L51" s="174"/>
      <c r="M51" s="174"/>
      <c r="N51" s="174"/>
      <c r="O51" s="174"/>
      <c r="P51" s="174"/>
      <c r="Q51" s="174"/>
      <c r="R51" s="174"/>
      <c r="S51" s="174"/>
      <c r="T51" s="174"/>
      <c r="U51" s="174"/>
      <c r="V51" s="174"/>
      <c r="W51" s="174"/>
      <c r="X51" s="174"/>
      <c r="Y51" s="174"/>
      <c r="Z51" s="174"/>
      <c r="AA51" s="174"/>
      <c r="AB51" s="174"/>
      <c r="AC51" s="174"/>
      <c r="AD51" s="174"/>
      <c r="AE51" s="174"/>
      <c r="AF51" s="174"/>
      <c r="AG51" s="174"/>
      <c r="AH51" s="174"/>
      <c r="AI51" s="174"/>
      <c r="AJ51" s="174"/>
      <c r="AK51" s="174"/>
      <c r="AL51" s="174"/>
      <c r="AM51" s="174"/>
      <c r="AN51" s="174"/>
      <c r="AO51" s="174"/>
      <c r="AP51" s="174"/>
      <c r="AQ51" s="174"/>
      <c r="AR51" s="174"/>
      <c r="AS51" s="174"/>
      <c r="AT51" s="174"/>
      <c r="AU51" s="174"/>
      <c r="AV51" s="174"/>
      <c r="AW51" s="174"/>
      <c r="AX51" s="174"/>
      <c r="AY51" s="174"/>
      <c r="AZ51" s="174"/>
      <c r="BA51" s="174"/>
      <c r="BB51" s="174"/>
      <c r="BC51" s="174"/>
      <c r="BD51" s="174"/>
      <c r="BE51" s="174"/>
      <c r="BF51" s="174"/>
      <c r="BG51" s="174"/>
      <c r="BH51" s="174"/>
      <c r="BI51" s="174"/>
      <c r="BJ51" s="174"/>
      <c r="BK51" s="174"/>
      <c r="BL51" s="174"/>
      <c r="BM51" s="174"/>
      <c r="BN51" s="174"/>
      <c r="BO51" s="174"/>
      <c r="BP51" s="174"/>
      <c r="BQ51" s="174"/>
      <c r="BR51" s="174"/>
      <c r="BS51" s="174"/>
      <c r="BT51" s="174"/>
      <c r="BU51" s="174"/>
      <c r="BV51" s="174"/>
      <c r="BW51" s="174"/>
      <c r="BX51" s="174"/>
      <c r="BY51" s="174"/>
      <c r="BZ51" s="174"/>
      <c r="CA51" s="174"/>
      <c r="CB51" s="174"/>
      <c r="CC51" s="174"/>
      <c r="CD51" s="174"/>
      <c r="CE51" s="174"/>
      <c r="CF51" s="174"/>
      <c r="CG51" s="174"/>
      <c r="CH51" s="174"/>
      <c r="CI51" s="174"/>
      <c r="CJ51" s="174"/>
      <c r="CK51" s="174"/>
      <c r="CL51" s="174"/>
      <c r="CM51" s="174"/>
      <c r="CN51" s="174"/>
      <c r="CO51" s="174"/>
      <c r="CP51" s="174"/>
      <c r="CQ51" s="174"/>
      <c r="CR51" s="174"/>
      <c r="CS51" s="174"/>
      <c r="CT51" s="174"/>
      <c r="CU51" s="174"/>
      <c r="CV51" s="174"/>
      <c r="CW51" s="174"/>
      <c r="CX51" s="174"/>
      <c r="CY51" s="174"/>
      <c r="CZ51" s="174"/>
      <c r="DA51" s="174"/>
      <c r="DB51" s="174"/>
      <c r="DC51" s="174"/>
      <c r="DD51" s="174"/>
      <c r="DE51" s="174"/>
      <c r="DF51" s="174"/>
      <c r="DG51" s="174"/>
      <c r="DH51" s="174"/>
      <c r="DI51" s="174"/>
      <c r="DJ51" s="174"/>
      <c r="DK51" s="174"/>
      <c r="DL51" s="174"/>
      <c r="DM51" s="174"/>
      <c r="DN51" s="174"/>
      <c r="DO51" s="174"/>
      <c r="DP51" s="174"/>
      <c r="DQ51" s="174"/>
      <c r="DR51" s="174"/>
      <c r="DS51" s="174"/>
      <c r="DT51" s="174"/>
      <c r="DU51" s="174"/>
      <c r="DV51" s="174"/>
      <c r="DW51" s="174"/>
      <c r="DX51" s="174"/>
      <c r="DY51" s="174"/>
      <c r="DZ51" s="174"/>
      <c r="EA51" s="174"/>
      <c r="EB51" s="174"/>
      <c r="EC51" s="174"/>
      <c r="ED51" s="174"/>
      <c r="EE51" s="174"/>
      <c r="EF51" s="174"/>
      <c r="EG51" s="174"/>
      <c r="EH51" s="174"/>
      <c r="EI51" s="174"/>
      <c r="EJ51" s="174"/>
      <c r="EK51" s="174"/>
      <c r="EL51" s="174"/>
      <c r="EM51" s="174"/>
      <c r="EN51" s="174"/>
      <c r="EO51" s="174"/>
      <c r="EP51" s="174"/>
      <c r="EQ51" s="174"/>
      <c r="ER51" s="174"/>
      <c r="ES51" s="174"/>
      <c r="ET51" s="174"/>
      <c r="EU51" s="174"/>
      <c r="EV51" s="174"/>
      <c r="EW51" s="174"/>
      <c r="EX51" s="174"/>
      <c r="EY51" s="174"/>
      <c r="EZ51" s="174"/>
      <c r="FA51" s="174"/>
      <c r="FB51" s="174"/>
      <c r="FC51" s="174"/>
      <c r="FD51" s="174"/>
      <c r="FE51" s="174"/>
      <c r="FF51" s="174"/>
      <c r="FG51" s="174"/>
      <c r="FH51" s="174"/>
      <c r="FI51" s="174"/>
      <c r="FJ51" s="174"/>
      <c r="FK51" s="174"/>
      <c r="FL51" s="174"/>
      <c r="FM51" s="174"/>
      <c r="FN51" s="174"/>
      <c r="FO51" s="174"/>
      <c r="FP51" s="174"/>
      <c r="FQ51" s="174"/>
      <c r="FR51" s="174"/>
      <c r="FS51" s="174"/>
      <c r="FT51" s="174"/>
      <c r="FU51" s="174"/>
      <c r="FV51" s="174"/>
      <c r="FW51" s="174"/>
      <c r="FX51" s="174"/>
      <c r="FY51" s="174"/>
      <c r="FZ51" s="174"/>
      <c r="GA51" s="174"/>
      <c r="GB51" s="174"/>
      <c r="GC51" s="174"/>
      <c r="GD51" s="174"/>
      <c r="GE51" s="174"/>
      <c r="GF51" s="174"/>
      <c r="GG51" s="174"/>
      <c r="GH51" s="174"/>
      <c r="GI51" s="174"/>
      <c r="GJ51" s="174"/>
      <c r="GK51" s="174"/>
      <c r="GL51" s="174"/>
      <c r="GM51" s="174"/>
      <c r="GN51" s="174"/>
      <c r="GO51" s="174"/>
      <c r="GP51" s="174"/>
      <c r="GQ51" s="174"/>
      <c r="GR51" s="174"/>
      <c r="GS51" s="174"/>
      <c r="GT51" s="174"/>
      <c r="GU51" s="174"/>
      <c r="GV51" s="174"/>
      <c r="GW51" s="174"/>
      <c r="GX51" s="174"/>
      <c r="GY51" s="174"/>
      <c r="GZ51" s="174"/>
      <c r="HA51" s="174"/>
      <c r="HB51" s="174"/>
      <c r="HC51" s="174"/>
      <c r="HD51" s="174"/>
      <c r="HE51" s="174"/>
      <c r="HF51" s="174"/>
      <c r="HG51" s="174"/>
      <c r="HH51" s="174"/>
      <c r="HI51" s="174"/>
      <c r="HJ51" s="174"/>
      <c r="HK51" s="174"/>
      <c r="HL51" s="174"/>
      <c r="HM51" s="174"/>
      <c r="HN51" s="174"/>
      <c r="HO51" s="174"/>
      <c r="HP51" s="174"/>
      <c r="HQ51" s="174"/>
      <c r="HR51" s="174"/>
      <c r="HS51" s="174"/>
      <c r="HT51" s="174"/>
      <c r="HU51" s="174"/>
      <c r="HV51" s="174"/>
      <c r="HW51" s="174"/>
      <c r="HX51" s="174"/>
      <c r="HY51" s="174"/>
      <c r="HZ51" s="174"/>
      <c r="IA51" s="174"/>
      <c r="IB51" s="174"/>
      <c r="IC51" s="174"/>
      <c r="ID51" s="174"/>
      <c r="IE51" s="174"/>
      <c r="IF51" s="174"/>
      <c r="IG51" s="174"/>
      <c r="IH51" s="174"/>
      <c r="II51" s="174"/>
      <c r="IJ51" s="174"/>
      <c r="IK51" s="174"/>
      <c r="IL51" s="174"/>
      <c r="IM51" s="174"/>
      <c r="IN51" s="174"/>
      <c r="IO51" s="174"/>
    </row>
    <row r="52" spans="1:249" ht="15" customHeight="1">
      <c r="A52" s="192"/>
      <c r="B52" s="198" t="s">
        <v>89</v>
      </c>
      <c r="C52" s="189"/>
    </row>
  </sheetData>
  <mergeCells count="1">
    <mergeCell ref="B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B1FE8-55A8-4652-AE52-2894FB4FF74D}">
  <dimension ref="A1:Y897"/>
  <sheetViews>
    <sheetView workbookViewId="0"/>
  </sheetViews>
  <sheetFormatPr defaultColWidth="14.42578125" defaultRowHeight="15"/>
  <cols>
    <col min="1" max="1" width="22.42578125" style="438" customWidth="1"/>
    <col min="2" max="2" width="17.85546875" customWidth="1"/>
    <col min="3" max="3" width="12" customWidth="1"/>
    <col min="4" max="4" width="11.42578125" style="438" customWidth="1"/>
    <col min="5" max="5" width="17.85546875" style="438" customWidth="1"/>
    <col min="6" max="6" width="10.5703125" style="438" customWidth="1"/>
    <col min="7" max="7" width="10.42578125" customWidth="1"/>
    <col min="8" max="8" width="19" style="438" customWidth="1"/>
    <col min="9" max="9" width="25.28515625" customWidth="1"/>
    <col min="10" max="25" width="8.85546875" customWidth="1"/>
  </cols>
  <sheetData>
    <row r="1" spans="1:25" s="383" customFormat="1" ht="30">
      <c r="A1" s="454" t="s">
        <v>34</v>
      </c>
      <c r="B1" s="455" t="s">
        <v>35</v>
      </c>
      <c r="C1" s="455" t="s">
        <v>36</v>
      </c>
      <c r="D1" s="456" t="s">
        <v>211</v>
      </c>
      <c r="E1" s="456" t="s">
        <v>210</v>
      </c>
      <c r="F1" s="456" t="s">
        <v>230</v>
      </c>
      <c r="G1" s="457" t="s">
        <v>37</v>
      </c>
      <c r="H1" s="553" t="s">
        <v>38</v>
      </c>
      <c r="I1" s="458" t="s">
        <v>39</v>
      </c>
      <c r="J1" s="382"/>
      <c r="K1" s="382"/>
      <c r="L1" s="382"/>
      <c r="M1" s="382"/>
      <c r="N1" s="382"/>
      <c r="O1" s="382"/>
      <c r="P1" s="382"/>
      <c r="Q1" s="382"/>
      <c r="R1" s="382"/>
      <c r="S1" s="382"/>
      <c r="T1" s="382"/>
      <c r="U1" s="382"/>
      <c r="V1" s="382"/>
      <c r="W1" s="382"/>
      <c r="X1" s="382"/>
      <c r="Y1" s="382"/>
    </row>
    <row r="2" spans="1:25" s="169" customFormat="1" ht="15.75">
      <c r="A2" s="459"/>
      <c r="B2" s="459"/>
      <c r="C2" s="460"/>
      <c r="D2" s="461"/>
      <c r="E2" s="462"/>
      <c r="F2" s="460"/>
      <c r="G2" s="460"/>
      <c r="H2" s="461"/>
      <c r="I2" s="460"/>
    </row>
    <row r="3" spans="1:25" s="169" customFormat="1" ht="15.75">
      <c r="A3" s="459"/>
      <c r="B3" s="459"/>
      <c r="C3" s="460"/>
      <c r="D3" s="461"/>
      <c r="E3" s="463"/>
      <c r="F3" s="460"/>
      <c r="G3" s="460"/>
      <c r="H3" s="461"/>
      <c r="I3" s="460"/>
    </row>
    <row r="4" spans="1:25" s="169" customFormat="1" ht="15.75">
      <c r="A4" s="459"/>
      <c r="B4" s="459"/>
      <c r="C4" s="460"/>
      <c r="D4" s="461"/>
      <c r="E4" s="464"/>
      <c r="F4" s="460"/>
      <c r="G4" s="460"/>
      <c r="H4" s="461"/>
      <c r="I4" s="460"/>
    </row>
    <row r="5" spans="1:25" s="202" customFormat="1" ht="15.75">
      <c r="A5" s="459"/>
      <c r="B5" s="459"/>
      <c r="C5" s="465"/>
      <c r="D5" s="461"/>
      <c r="E5" s="463"/>
      <c r="F5" s="460"/>
      <c r="G5" s="460"/>
      <c r="H5" s="461"/>
      <c r="I5" s="460"/>
    </row>
    <row r="6" spans="1:25" s="169" customFormat="1" ht="15.75">
      <c r="A6" s="459"/>
      <c r="B6" s="459"/>
      <c r="C6" s="460"/>
      <c r="D6" s="461"/>
      <c r="E6" s="466"/>
      <c r="F6" s="460"/>
      <c r="G6" s="460"/>
      <c r="H6" s="461"/>
      <c r="I6" s="460"/>
    </row>
    <row r="7" spans="1:25" s="169" customFormat="1" ht="15.75">
      <c r="A7" s="459"/>
      <c r="B7" s="459"/>
      <c r="C7" s="460"/>
      <c r="D7" s="461"/>
      <c r="E7" s="441"/>
      <c r="F7" s="460"/>
      <c r="G7" s="460"/>
      <c r="H7" s="461"/>
      <c r="I7" s="460"/>
    </row>
    <row r="8" spans="1:25" s="169" customFormat="1" ht="15.75">
      <c r="A8" s="459"/>
      <c r="B8" s="459"/>
      <c r="C8" s="460"/>
      <c r="D8" s="461"/>
      <c r="E8" s="463"/>
      <c r="F8" s="460"/>
      <c r="G8" s="460"/>
      <c r="H8" s="461"/>
      <c r="I8" s="460"/>
    </row>
    <row r="9" spans="1:25" s="169" customFormat="1" ht="15.75">
      <c r="A9" s="459"/>
      <c r="B9" s="459"/>
      <c r="C9" s="460"/>
      <c r="D9" s="461"/>
      <c r="E9" s="466"/>
      <c r="F9" s="460"/>
      <c r="G9" s="460"/>
      <c r="H9" s="461"/>
      <c r="I9" s="460"/>
    </row>
    <row r="10" spans="1:25" s="169" customFormat="1" ht="15.75">
      <c r="A10" s="459"/>
      <c r="B10" s="459"/>
      <c r="C10" s="460"/>
      <c r="D10" s="461"/>
      <c r="E10" s="466"/>
      <c r="F10" s="460"/>
      <c r="G10" s="460"/>
      <c r="H10" s="461"/>
      <c r="I10" s="460"/>
    </row>
    <row r="11" spans="1:25" s="169" customFormat="1" ht="15.75">
      <c r="A11" s="459"/>
      <c r="B11" s="459"/>
      <c r="C11" s="460"/>
      <c r="D11" s="461"/>
      <c r="E11" s="466"/>
      <c r="F11" s="460"/>
      <c r="G11" s="460"/>
      <c r="H11" s="461"/>
      <c r="I11" s="460"/>
    </row>
    <row r="12" spans="1:25" s="169" customFormat="1" ht="15.75">
      <c r="A12" s="459"/>
      <c r="B12" s="459"/>
      <c r="C12" s="460"/>
      <c r="D12" s="461"/>
      <c r="E12" s="463"/>
      <c r="F12" s="460"/>
      <c r="G12" s="460"/>
      <c r="H12" s="461"/>
      <c r="I12" s="460"/>
    </row>
    <row r="13" spans="1:25" s="169" customFormat="1" ht="15.75">
      <c r="A13" s="459"/>
      <c r="B13" s="459"/>
      <c r="C13" s="460"/>
      <c r="D13" s="461"/>
      <c r="E13" s="466"/>
      <c r="F13" s="460"/>
      <c r="G13" s="460"/>
      <c r="H13" s="461"/>
      <c r="I13" s="460"/>
    </row>
    <row r="14" spans="1:25" s="169" customFormat="1" ht="15.75">
      <c r="A14" s="459"/>
      <c r="B14" s="459"/>
      <c r="C14" s="460"/>
      <c r="D14" s="461"/>
      <c r="E14" s="464"/>
      <c r="F14" s="460"/>
      <c r="G14" s="460"/>
      <c r="H14" s="461"/>
      <c r="I14" s="460"/>
    </row>
    <row r="15" spans="1:25" s="169" customFormat="1" ht="15.75">
      <c r="A15" s="459"/>
      <c r="B15" s="459"/>
      <c r="C15" s="460"/>
      <c r="D15" s="461"/>
      <c r="E15" s="464"/>
      <c r="F15" s="460"/>
      <c r="G15" s="460"/>
      <c r="H15" s="461"/>
      <c r="I15" s="460"/>
    </row>
    <row r="16" spans="1:25" s="169" customFormat="1" ht="15.75">
      <c r="A16" s="459"/>
      <c r="B16" s="459"/>
      <c r="C16" s="460"/>
      <c r="D16" s="461"/>
      <c r="E16" s="466"/>
      <c r="F16" s="460"/>
      <c r="G16" s="460"/>
      <c r="H16" s="461"/>
      <c r="I16" s="460"/>
    </row>
    <row r="17" spans="1:9" s="169" customFormat="1" ht="15.75" customHeight="1">
      <c r="A17" s="459"/>
      <c r="B17" s="459"/>
      <c r="C17" s="460"/>
      <c r="D17" s="461"/>
      <c r="E17" s="463"/>
      <c r="F17" s="460"/>
      <c r="G17" s="460"/>
      <c r="H17" s="461"/>
      <c r="I17" s="460"/>
    </row>
    <row r="18" spans="1:9" s="169" customFormat="1" ht="15.75" customHeight="1">
      <c r="A18" s="459"/>
      <c r="B18" s="459"/>
      <c r="C18" s="460"/>
      <c r="D18" s="461"/>
      <c r="E18" s="466"/>
      <c r="F18" s="460"/>
      <c r="G18" s="460"/>
      <c r="H18" s="461"/>
      <c r="I18" s="460"/>
    </row>
    <row r="19" spans="1:9" s="169" customFormat="1" ht="15.75" customHeight="1">
      <c r="A19" s="467"/>
      <c r="B19" s="467"/>
      <c r="C19" s="460"/>
      <c r="D19" s="461"/>
      <c r="E19" s="463"/>
      <c r="F19" s="460"/>
      <c r="G19" s="460"/>
      <c r="H19" s="461"/>
      <c r="I19" s="460"/>
    </row>
    <row r="20" spans="1:9" s="169" customFormat="1" ht="15.75" customHeight="1">
      <c r="A20" s="467"/>
      <c r="B20" s="467"/>
      <c r="C20" s="460"/>
      <c r="D20" s="461"/>
      <c r="E20" s="463"/>
      <c r="F20" s="460"/>
      <c r="G20" s="460"/>
      <c r="H20" s="461"/>
      <c r="I20" s="460"/>
    </row>
    <row r="21" spans="1:9" s="169" customFormat="1" ht="15.75" customHeight="1">
      <c r="A21" s="467"/>
      <c r="B21" s="467"/>
      <c r="C21" s="460"/>
      <c r="D21" s="461"/>
      <c r="E21" s="466"/>
      <c r="F21" s="460"/>
      <c r="G21" s="460"/>
      <c r="H21" s="461"/>
      <c r="I21" s="460"/>
    </row>
    <row r="22" spans="1:9" s="169" customFormat="1" ht="15.75" customHeight="1">
      <c r="A22" s="467"/>
      <c r="B22" s="467"/>
      <c r="C22" s="460"/>
      <c r="D22" s="461"/>
      <c r="E22" s="466"/>
      <c r="F22" s="460"/>
      <c r="G22" s="460"/>
      <c r="H22" s="461"/>
      <c r="I22" s="460"/>
    </row>
    <row r="23" spans="1:9" s="169" customFormat="1" ht="15.75" customHeight="1">
      <c r="A23" s="467"/>
      <c r="B23" s="467"/>
      <c r="C23" s="460"/>
      <c r="D23" s="461"/>
      <c r="E23" s="466"/>
      <c r="F23" s="460"/>
      <c r="G23" s="460"/>
      <c r="H23" s="461"/>
      <c r="I23" s="460"/>
    </row>
    <row r="24" spans="1:9" s="169" customFormat="1" ht="15.75" customHeight="1">
      <c r="A24" s="467"/>
      <c r="B24" s="467"/>
      <c r="C24" s="460"/>
      <c r="D24" s="461"/>
      <c r="E24" s="463"/>
      <c r="F24" s="460"/>
      <c r="G24" s="460"/>
      <c r="H24" s="461"/>
      <c r="I24" s="460"/>
    </row>
    <row r="25" spans="1:9" s="169" customFormat="1" ht="15.75" customHeight="1">
      <c r="A25" s="467"/>
      <c r="B25" s="467"/>
      <c r="C25" s="460"/>
      <c r="D25" s="461"/>
      <c r="E25" s="466"/>
      <c r="F25" s="460"/>
      <c r="G25" s="460"/>
      <c r="H25" s="461"/>
      <c r="I25" s="460"/>
    </row>
    <row r="26" spans="1:9" s="169" customFormat="1" ht="15.75" customHeight="1">
      <c r="A26" s="468"/>
      <c r="B26" s="468"/>
      <c r="C26" s="460"/>
      <c r="D26" s="461"/>
      <c r="E26" s="469"/>
      <c r="F26" s="460"/>
      <c r="G26" s="460"/>
      <c r="H26" s="461"/>
      <c r="I26" s="460"/>
    </row>
    <row r="27" spans="1:9" s="169" customFormat="1" ht="15.75" customHeight="1">
      <c r="A27" s="467"/>
      <c r="B27" s="467"/>
      <c r="C27" s="460"/>
      <c r="D27" s="461"/>
      <c r="E27" s="466"/>
      <c r="F27" s="460"/>
      <c r="G27" s="460"/>
      <c r="H27" s="461"/>
      <c r="I27" s="460"/>
    </row>
    <row r="28" spans="1:9" s="169" customFormat="1" ht="15.75" customHeight="1">
      <c r="A28" s="467"/>
      <c r="B28" s="467"/>
      <c r="C28" s="460"/>
      <c r="D28" s="461"/>
      <c r="E28" s="470"/>
      <c r="F28" s="460"/>
      <c r="G28" s="460"/>
      <c r="H28" s="461"/>
      <c r="I28" s="460"/>
    </row>
    <row r="29" spans="1:9" s="169" customFormat="1" ht="15.75" customHeight="1">
      <c r="A29" s="467"/>
      <c r="B29" s="467"/>
      <c r="C29" s="460"/>
      <c r="D29" s="461"/>
      <c r="E29" s="471"/>
      <c r="F29" s="460"/>
      <c r="G29" s="460"/>
      <c r="H29" s="461"/>
      <c r="I29" s="460"/>
    </row>
    <row r="30" spans="1:9" s="169" customFormat="1" ht="15.75" customHeight="1">
      <c r="A30" s="467"/>
      <c r="B30" s="467"/>
      <c r="C30" s="460"/>
      <c r="D30" s="461"/>
      <c r="E30" s="472"/>
      <c r="F30" s="460"/>
      <c r="G30" s="460"/>
      <c r="H30" s="461"/>
      <c r="I30" s="460"/>
    </row>
    <row r="31" spans="1:9" s="169" customFormat="1" ht="15.75" customHeight="1">
      <c r="A31" s="467"/>
      <c r="B31" s="467"/>
      <c r="C31" s="460"/>
      <c r="D31" s="461"/>
      <c r="E31" s="472"/>
      <c r="F31" s="460"/>
      <c r="G31" s="460"/>
      <c r="H31" s="461"/>
      <c r="I31" s="460"/>
    </row>
    <row r="32" spans="1:9" s="169" customFormat="1" ht="15.75" customHeight="1">
      <c r="A32" s="467"/>
      <c r="B32" s="467"/>
      <c r="C32" s="460"/>
      <c r="D32" s="461"/>
      <c r="E32" s="471"/>
      <c r="F32" s="460"/>
      <c r="G32" s="460"/>
      <c r="H32" s="461"/>
      <c r="I32" s="460"/>
    </row>
    <row r="33" spans="1:9" s="169" customFormat="1" ht="15.75" customHeight="1">
      <c r="A33" s="467"/>
      <c r="B33" s="467"/>
      <c r="C33" s="460"/>
      <c r="D33" s="461"/>
      <c r="E33" s="472"/>
      <c r="F33" s="460"/>
      <c r="G33" s="460"/>
      <c r="H33" s="461"/>
      <c r="I33" s="460"/>
    </row>
    <row r="34" spans="1:9" s="169" customFormat="1" ht="15.75" customHeight="1">
      <c r="A34" s="467"/>
      <c r="B34" s="467"/>
      <c r="C34" s="460"/>
      <c r="D34" s="461"/>
      <c r="E34" s="472"/>
      <c r="F34" s="460"/>
      <c r="G34" s="460"/>
      <c r="H34" s="461"/>
      <c r="I34" s="460"/>
    </row>
    <row r="35" spans="1:9" s="169" customFormat="1" ht="15.75" customHeight="1">
      <c r="A35" s="467"/>
      <c r="B35" s="467"/>
      <c r="C35" s="460"/>
      <c r="D35" s="461"/>
      <c r="E35" s="472"/>
      <c r="F35" s="460"/>
      <c r="G35" s="460"/>
      <c r="H35" s="461"/>
      <c r="I35" s="460"/>
    </row>
    <row r="36" spans="1:9" s="169" customFormat="1" ht="15.75" customHeight="1">
      <c r="A36" s="467"/>
      <c r="B36" s="467"/>
      <c r="C36" s="460"/>
      <c r="D36" s="461"/>
      <c r="E36" s="472"/>
      <c r="F36" s="460"/>
      <c r="G36" s="460"/>
      <c r="H36" s="461"/>
      <c r="I36" s="460"/>
    </row>
    <row r="37" spans="1:9" s="169" customFormat="1" ht="15.75" customHeight="1">
      <c r="A37" s="467"/>
      <c r="B37" s="467"/>
      <c r="C37" s="460"/>
      <c r="D37" s="461"/>
      <c r="E37" s="471"/>
      <c r="F37" s="460"/>
      <c r="G37" s="460"/>
      <c r="H37" s="461"/>
      <c r="I37" s="460"/>
    </row>
    <row r="38" spans="1:9" s="169" customFormat="1" ht="15.75" customHeight="1">
      <c r="A38" s="467"/>
      <c r="B38" s="467"/>
      <c r="C38" s="460"/>
      <c r="D38" s="461"/>
      <c r="E38" s="472"/>
      <c r="F38" s="460"/>
      <c r="G38" s="460"/>
      <c r="H38" s="461"/>
      <c r="I38" s="460"/>
    </row>
    <row r="39" spans="1:9" s="169" customFormat="1" ht="15.75" customHeight="1">
      <c r="A39" s="467"/>
      <c r="B39" s="467"/>
      <c r="C39" s="460"/>
      <c r="D39" s="461"/>
      <c r="E39" s="428"/>
      <c r="F39" s="460"/>
      <c r="G39" s="460"/>
      <c r="H39" s="461"/>
      <c r="I39" s="460"/>
    </row>
    <row r="40" spans="1:9" s="169" customFormat="1" ht="15.75" customHeight="1">
      <c r="A40" s="467"/>
      <c r="B40" s="467"/>
      <c r="C40" s="460"/>
      <c r="D40" s="461"/>
      <c r="E40" s="471"/>
      <c r="F40" s="460"/>
      <c r="G40" s="460"/>
      <c r="H40" s="461"/>
      <c r="I40" s="460"/>
    </row>
    <row r="41" spans="1:9" s="169" customFormat="1" ht="15.75" customHeight="1">
      <c r="A41" s="467"/>
      <c r="B41" s="467"/>
      <c r="C41" s="460"/>
      <c r="D41" s="461"/>
      <c r="E41" s="428"/>
      <c r="F41" s="460"/>
      <c r="G41" s="460"/>
      <c r="H41" s="461"/>
      <c r="I41" s="460"/>
    </row>
    <row r="42" spans="1:9" s="169" customFormat="1" ht="15.75" customHeight="1">
      <c r="A42" s="467"/>
      <c r="B42" s="467"/>
      <c r="C42" s="460"/>
      <c r="D42" s="461"/>
      <c r="E42" s="471"/>
      <c r="F42" s="460"/>
      <c r="G42" s="460"/>
      <c r="H42" s="461"/>
      <c r="I42" s="460"/>
    </row>
    <row r="43" spans="1:9" s="169" customFormat="1" ht="15.75" customHeight="1">
      <c r="A43" s="467"/>
      <c r="B43" s="467"/>
      <c r="C43" s="460"/>
      <c r="D43" s="461"/>
      <c r="E43" s="472"/>
      <c r="F43" s="460"/>
      <c r="G43" s="460"/>
      <c r="H43" s="461"/>
      <c r="I43" s="460"/>
    </row>
    <row r="44" spans="1:9" s="169" customFormat="1" ht="15.75" customHeight="1">
      <c r="A44" s="467"/>
      <c r="B44" s="467"/>
      <c r="C44" s="460"/>
      <c r="D44" s="461"/>
      <c r="E44" s="472"/>
      <c r="F44" s="460"/>
      <c r="G44" s="460"/>
      <c r="H44" s="461"/>
      <c r="I44" s="460"/>
    </row>
    <row r="45" spans="1:9" s="169" customFormat="1" ht="15.75" customHeight="1">
      <c r="A45" s="467"/>
      <c r="B45" s="467"/>
      <c r="C45" s="460"/>
      <c r="D45" s="461"/>
      <c r="E45" s="471"/>
      <c r="F45" s="460"/>
      <c r="G45" s="460"/>
      <c r="H45" s="461"/>
      <c r="I45" s="460"/>
    </row>
    <row r="46" spans="1:9" s="169" customFormat="1" ht="15.75" customHeight="1">
      <c r="A46" s="467"/>
      <c r="B46" s="467"/>
      <c r="C46" s="460"/>
      <c r="D46" s="461"/>
      <c r="E46" s="471"/>
      <c r="F46" s="460"/>
      <c r="G46" s="460"/>
      <c r="H46" s="461"/>
      <c r="I46" s="460"/>
    </row>
    <row r="47" spans="1:9" s="169" customFormat="1" ht="15.75" customHeight="1">
      <c r="A47" s="467"/>
      <c r="B47" s="467"/>
      <c r="C47" s="460"/>
      <c r="D47" s="461"/>
      <c r="E47" s="471"/>
      <c r="F47" s="460"/>
      <c r="G47" s="460"/>
      <c r="H47" s="461"/>
      <c r="I47" s="460"/>
    </row>
    <row r="48" spans="1:9" s="169" customFormat="1" ht="15.75" customHeight="1">
      <c r="A48" s="467"/>
      <c r="B48" s="467"/>
      <c r="C48" s="460"/>
      <c r="D48" s="461"/>
      <c r="E48" s="437"/>
      <c r="F48" s="460"/>
      <c r="G48" s="460"/>
      <c r="H48" s="461"/>
      <c r="I48" s="460"/>
    </row>
    <row r="49" spans="1:9" s="169" customFormat="1" ht="15.75" customHeight="1">
      <c r="A49" s="467"/>
      <c r="B49" s="467"/>
      <c r="C49" s="460"/>
      <c r="D49" s="461"/>
      <c r="E49" s="471"/>
      <c r="F49" s="460"/>
      <c r="G49" s="460"/>
      <c r="H49" s="461"/>
      <c r="I49" s="460"/>
    </row>
    <row r="50" spans="1:9" s="169" customFormat="1" ht="15.75" customHeight="1">
      <c r="A50" s="467"/>
      <c r="B50" s="467"/>
      <c r="C50" s="460"/>
      <c r="D50" s="461"/>
      <c r="E50" s="471"/>
      <c r="F50" s="460"/>
      <c r="G50" s="460"/>
      <c r="H50" s="461"/>
      <c r="I50" s="460"/>
    </row>
    <row r="51" spans="1:9" s="169" customFormat="1" ht="15.75" customHeight="1">
      <c r="A51" s="467"/>
      <c r="B51" s="467"/>
      <c r="C51" s="460"/>
      <c r="D51" s="461"/>
      <c r="E51" s="471"/>
      <c r="F51" s="460"/>
      <c r="G51" s="460"/>
      <c r="H51" s="461"/>
      <c r="I51" s="460"/>
    </row>
    <row r="52" spans="1:9" s="169" customFormat="1" ht="15.75" customHeight="1">
      <c r="A52" s="467"/>
      <c r="B52" s="467"/>
      <c r="C52" s="460"/>
      <c r="D52" s="461"/>
      <c r="E52" s="471"/>
      <c r="F52" s="460"/>
      <c r="G52" s="460"/>
      <c r="H52" s="461"/>
      <c r="I52" s="460"/>
    </row>
    <row r="53" spans="1:9" s="169" customFormat="1" ht="15.75" customHeight="1">
      <c r="A53" s="467"/>
      <c r="B53" s="467"/>
      <c r="C53" s="460"/>
      <c r="D53" s="461"/>
      <c r="E53" s="471"/>
      <c r="F53" s="460"/>
      <c r="G53" s="460"/>
      <c r="H53" s="461"/>
      <c r="I53" s="460"/>
    </row>
    <row r="54" spans="1:9" s="169" customFormat="1" ht="15.75" customHeight="1">
      <c r="A54" s="467"/>
      <c r="B54" s="467"/>
      <c r="C54" s="460"/>
      <c r="D54" s="461"/>
      <c r="E54" s="471"/>
      <c r="F54" s="460"/>
      <c r="G54" s="460"/>
      <c r="H54" s="461"/>
      <c r="I54" s="460"/>
    </row>
    <row r="55" spans="1:9" s="169" customFormat="1" ht="15.75" customHeight="1">
      <c r="A55" s="473"/>
      <c r="B55" s="473"/>
      <c r="C55" s="460"/>
      <c r="D55" s="461"/>
      <c r="E55" s="474"/>
      <c r="F55" s="460"/>
      <c r="G55" s="460"/>
      <c r="H55" s="461"/>
      <c r="I55" s="460"/>
    </row>
    <row r="56" spans="1:9" s="169" customFormat="1" ht="15.75" customHeight="1">
      <c r="A56" s="460"/>
      <c r="B56" s="460"/>
      <c r="C56" s="460"/>
      <c r="D56" s="461"/>
      <c r="E56" s="461"/>
      <c r="F56" s="460"/>
      <c r="G56" s="460"/>
      <c r="H56" s="461"/>
      <c r="I56" s="460"/>
    </row>
    <row r="57" spans="1:9" s="169" customFormat="1" ht="15.75" customHeight="1">
      <c r="A57" s="460"/>
      <c r="B57" s="460"/>
      <c r="C57" s="460"/>
      <c r="D57" s="461"/>
      <c r="E57" s="254"/>
      <c r="F57" s="460"/>
      <c r="G57" s="460"/>
      <c r="H57" s="461"/>
      <c r="I57" s="460"/>
    </row>
    <row r="58" spans="1:9" s="169" customFormat="1" ht="15.75" customHeight="1">
      <c r="A58" s="468"/>
      <c r="B58" s="468"/>
      <c r="C58" s="460"/>
      <c r="D58" s="461"/>
      <c r="E58" s="428"/>
      <c r="F58" s="460"/>
      <c r="G58" s="460"/>
      <c r="H58" s="461"/>
      <c r="I58" s="460"/>
    </row>
    <row r="59" spans="1:9" s="169" customFormat="1" ht="15.75" customHeight="1">
      <c r="A59" s="467"/>
      <c r="B59" s="467"/>
      <c r="C59" s="460"/>
      <c r="D59" s="461"/>
      <c r="E59" s="475"/>
      <c r="F59" s="460"/>
      <c r="G59" s="460"/>
      <c r="H59" s="461"/>
      <c r="I59" s="460"/>
    </row>
    <row r="60" spans="1:9" s="169" customFormat="1" ht="15.75" customHeight="1">
      <c r="A60" s="468"/>
      <c r="B60" s="468"/>
      <c r="C60" s="460"/>
      <c r="D60" s="461"/>
      <c r="E60" s="428"/>
      <c r="F60" s="460"/>
      <c r="G60" s="460"/>
      <c r="H60" s="461"/>
      <c r="I60" s="460"/>
    </row>
    <row r="61" spans="1:9" s="169" customFormat="1" ht="15.75" customHeight="1">
      <c r="A61" s="467"/>
      <c r="B61" s="467"/>
      <c r="C61" s="460"/>
      <c r="D61" s="461"/>
      <c r="E61" s="428"/>
      <c r="F61" s="460"/>
      <c r="G61" s="460"/>
      <c r="H61" s="461"/>
      <c r="I61" s="460"/>
    </row>
    <row r="62" spans="1:9" s="169" customFormat="1" ht="15.75" customHeight="1">
      <c r="A62" s="467"/>
      <c r="B62" s="467"/>
      <c r="C62" s="460"/>
      <c r="D62" s="461"/>
      <c r="E62" s="428"/>
      <c r="F62" s="460"/>
      <c r="G62" s="460"/>
      <c r="H62" s="461"/>
      <c r="I62" s="460"/>
    </row>
    <row r="63" spans="1:9" s="169" customFormat="1" ht="15.75" customHeight="1">
      <c r="A63" s="476"/>
      <c r="B63" s="476"/>
      <c r="C63" s="460"/>
      <c r="D63" s="461"/>
      <c r="E63" s="428"/>
      <c r="F63" s="460"/>
      <c r="G63" s="460"/>
      <c r="H63" s="461"/>
      <c r="I63" s="460"/>
    </row>
    <row r="64" spans="1:9" s="169" customFormat="1" ht="15.75" customHeight="1">
      <c r="A64" s="467"/>
      <c r="B64" s="467"/>
      <c r="C64" s="460"/>
      <c r="D64" s="461"/>
      <c r="E64" s="428"/>
      <c r="F64" s="460"/>
      <c r="G64" s="460"/>
      <c r="H64" s="461"/>
      <c r="I64" s="460"/>
    </row>
    <row r="65" spans="1:9" s="169" customFormat="1" ht="15.75" customHeight="1">
      <c r="A65" s="467"/>
      <c r="B65" s="467"/>
      <c r="C65" s="460"/>
      <c r="D65" s="461"/>
      <c r="E65" s="428"/>
      <c r="F65" s="460"/>
      <c r="G65" s="460"/>
      <c r="H65" s="461"/>
      <c r="I65" s="460"/>
    </row>
    <row r="66" spans="1:9" s="169" customFormat="1" ht="15.75" customHeight="1">
      <c r="A66" s="467"/>
      <c r="B66" s="467"/>
      <c r="C66" s="460"/>
      <c r="D66" s="461"/>
      <c r="E66" s="428"/>
      <c r="F66" s="460"/>
      <c r="G66" s="460"/>
      <c r="H66" s="461"/>
      <c r="I66" s="460"/>
    </row>
    <row r="67" spans="1:9" s="169" customFormat="1" ht="15.75" customHeight="1">
      <c r="A67" s="467"/>
      <c r="B67" s="467"/>
      <c r="C67" s="460"/>
      <c r="D67" s="461"/>
      <c r="E67" s="428"/>
      <c r="F67" s="460"/>
      <c r="G67" s="460"/>
      <c r="H67" s="461"/>
      <c r="I67" s="460"/>
    </row>
    <row r="68" spans="1:9" s="169" customFormat="1" ht="15.75" customHeight="1">
      <c r="A68" s="467"/>
      <c r="B68" s="467"/>
      <c r="C68" s="460"/>
      <c r="D68" s="461"/>
      <c r="E68" s="428"/>
      <c r="F68" s="460"/>
      <c r="G68" s="460"/>
      <c r="H68" s="461"/>
      <c r="I68" s="460"/>
    </row>
    <row r="69" spans="1:9" s="169" customFormat="1" ht="15.75" customHeight="1">
      <c r="A69" s="467"/>
      <c r="B69" s="467"/>
      <c r="C69" s="460"/>
      <c r="D69" s="461"/>
      <c r="E69" s="428"/>
      <c r="F69" s="460"/>
      <c r="G69" s="460"/>
      <c r="H69" s="461"/>
      <c r="I69" s="460"/>
    </row>
    <row r="70" spans="1:9" s="169" customFormat="1" ht="15.75" customHeight="1">
      <c r="A70" s="467"/>
      <c r="B70" s="467"/>
      <c r="C70" s="460"/>
      <c r="D70" s="461"/>
      <c r="E70" s="463"/>
      <c r="F70" s="460"/>
      <c r="G70" s="460"/>
      <c r="H70" s="461"/>
      <c r="I70" s="460"/>
    </row>
    <row r="71" spans="1:9" s="169" customFormat="1" ht="15.75" customHeight="1">
      <c r="A71" s="467"/>
      <c r="B71" s="154"/>
      <c r="C71" s="460"/>
      <c r="D71" s="461"/>
      <c r="E71" s="223"/>
      <c r="F71" s="460"/>
      <c r="G71" s="460"/>
      <c r="H71" s="461"/>
      <c r="I71" s="460"/>
    </row>
    <row r="72" spans="1:9" s="169" customFormat="1" ht="15.75" customHeight="1">
      <c r="A72" s="467"/>
      <c r="B72" s="154"/>
      <c r="C72" s="460"/>
      <c r="D72" s="461"/>
      <c r="E72" s="254"/>
      <c r="F72" s="460"/>
      <c r="G72" s="460"/>
      <c r="H72" s="461"/>
      <c r="I72" s="460"/>
    </row>
    <row r="73" spans="1:9" s="169" customFormat="1" ht="15.75" customHeight="1">
      <c r="A73" s="467"/>
      <c r="B73" s="467"/>
      <c r="C73" s="460"/>
      <c r="D73" s="461"/>
      <c r="E73" s="463"/>
      <c r="F73" s="460"/>
      <c r="G73" s="460"/>
      <c r="H73" s="461"/>
      <c r="I73" s="460"/>
    </row>
    <row r="74" spans="1:9" s="169" customFormat="1" ht="15.75" customHeight="1">
      <c r="A74" s="467"/>
      <c r="B74" s="467"/>
      <c r="C74" s="460"/>
      <c r="D74" s="461"/>
      <c r="E74" s="477"/>
      <c r="F74" s="460"/>
      <c r="G74" s="460"/>
      <c r="H74" s="461"/>
      <c r="I74" s="460"/>
    </row>
    <row r="75" spans="1:9" s="169" customFormat="1" ht="15.75" customHeight="1">
      <c r="A75" s="467"/>
      <c r="B75" s="467"/>
      <c r="C75" s="460"/>
      <c r="D75" s="461"/>
      <c r="E75" s="463"/>
      <c r="F75" s="460"/>
      <c r="G75" s="460"/>
      <c r="H75" s="461"/>
      <c r="I75" s="460"/>
    </row>
    <row r="76" spans="1:9" s="169" customFormat="1" ht="15.75" customHeight="1">
      <c r="A76" s="467"/>
      <c r="B76" s="467"/>
      <c r="C76" s="460"/>
      <c r="D76" s="461"/>
      <c r="E76" s="463"/>
      <c r="F76" s="460"/>
      <c r="G76" s="460"/>
      <c r="H76" s="461"/>
      <c r="I76" s="460"/>
    </row>
    <row r="77" spans="1:9" s="169" customFormat="1" ht="15.75" customHeight="1">
      <c r="A77" s="467"/>
      <c r="B77" s="467"/>
      <c r="C77" s="460"/>
      <c r="D77" s="461"/>
      <c r="E77" s="463"/>
      <c r="F77" s="460"/>
      <c r="G77" s="460"/>
      <c r="H77" s="461"/>
      <c r="I77" s="460"/>
    </row>
    <row r="78" spans="1:9" s="169" customFormat="1" ht="15.75" customHeight="1">
      <c r="A78" s="467"/>
      <c r="B78" s="467"/>
      <c r="C78" s="460"/>
      <c r="D78" s="461"/>
      <c r="E78" s="477"/>
      <c r="F78" s="460"/>
      <c r="G78" s="460"/>
      <c r="H78" s="461"/>
      <c r="I78" s="460"/>
    </row>
    <row r="79" spans="1:9" s="169" customFormat="1" ht="15.75" customHeight="1">
      <c r="A79" s="467"/>
      <c r="B79" s="467"/>
      <c r="C79" s="460"/>
      <c r="D79" s="461"/>
      <c r="E79" s="477"/>
      <c r="F79" s="460"/>
      <c r="G79" s="460"/>
      <c r="H79" s="461"/>
      <c r="I79" s="460"/>
    </row>
    <row r="80" spans="1:9" s="169" customFormat="1" ht="15.75" customHeight="1">
      <c r="A80" s="467"/>
      <c r="B80" s="467"/>
      <c r="C80" s="460"/>
      <c r="D80" s="461"/>
      <c r="E80" s="477"/>
      <c r="F80" s="460"/>
      <c r="G80" s="460"/>
      <c r="H80" s="461"/>
      <c r="I80" s="460"/>
    </row>
    <row r="81" spans="1:9" s="169" customFormat="1" ht="15.75" customHeight="1">
      <c r="A81" s="467"/>
      <c r="B81" s="467"/>
      <c r="C81" s="460"/>
      <c r="D81" s="461"/>
      <c r="E81" s="477"/>
      <c r="F81" s="460"/>
      <c r="G81" s="460"/>
      <c r="H81" s="461"/>
      <c r="I81" s="460"/>
    </row>
    <row r="82" spans="1:9" s="169" customFormat="1" ht="15.75" customHeight="1">
      <c r="A82" s="467"/>
      <c r="B82" s="467"/>
      <c r="C82" s="460"/>
      <c r="D82" s="461"/>
      <c r="E82" s="477"/>
      <c r="F82" s="460"/>
      <c r="G82" s="460"/>
      <c r="H82" s="461"/>
      <c r="I82" s="460"/>
    </row>
    <row r="83" spans="1:9" s="169" customFormat="1" ht="15.75" customHeight="1">
      <c r="A83" s="467"/>
      <c r="B83" s="467"/>
      <c r="C83" s="460"/>
      <c r="D83" s="461"/>
      <c r="E83" s="463"/>
      <c r="F83" s="460"/>
      <c r="G83" s="460"/>
      <c r="H83" s="461"/>
      <c r="I83" s="460"/>
    </row>
    <row r="84" spans="1:9" s="169" customFormat="1" ht="15.75" customHeight="1">
      <c r="A84" s="478"/>
      <c r="B84" s="479"/>
      <c r="C84" s="479"/>
      <c r="D84" s="461"/>
      <c r="E84" s="480"/>
      <c r="F84" s="460"/>
      <c r="G84" s="460"/>
      <c r="H84" s="494"/>
      <c r="I84" s="460"/>
    </row>
    <row r="85" spans="1:9" s="169" customFormat="1" ht="15.75" customHeight="1">
      <c r="A85" s="478"/>
      <c r="B85" s="479"/>
      <c r="C85" s="479"/>
      <c r="D85" s="461"/>
      <c r="E85" s="480"/>
      <c r="F85" s="460"/>
      <c r="G85" s="460"/>
      <c r="H85" s="494"/>
      <c r="I85" s="460"/>
    </row>
    <row r="86" spans="1:9" s="169" customFormat="1" ht="15.75" customHeight="1">
      <c r="A86" s="478"/>
      <c r="B86" s="479"/>
      <c r="C86" s="479"/>
      <c r="D86" s="461"/>
      <c r="E86" s="480"/>
      <c r="F86" s="460"/>
      <c r="G86" s="460"/>
      <c r="H86" s="494"/>
      <c r="I86" s="460"/>
    </row>
    <row r="87" spans="1:9" s="169" customFormat="1" ht="15.75" customHeight="1">
      <c r="A87" s="478"/>
      <c r="B87" s="479"/>
      <c r="C87" s="479"/>
      <c r="D87" s="461"/>
      <c r="E87" s="480"/>
      <c r="F87" s="460"/>
      <c r="G87" s="460"/>
      <c r="H87" s="494"/>
      <c r="I87" s="460"/>
    </row>
    <row r="88" spans="1:9" s="169" customFormat="1" ht="15.75" customHeight="1">
      <c r="A88" s="478"/>
      <c r="B88" s="479"/>
      <c r="C88" s="479"/>
      <c r="D88" s="461"/>
      <c r="E88" s="480"/>
      <c r="F88" s="460"/>
      <c r="G88" s="460"/>
      <c r="H88" s="494"/>
      <c r="I88" s="460"/>
    </row>
    <row r="89" spans="1:9" s="169" customFormat="1" ht="15.75" customHeight="1">
      <c r="A89" s="478"/>
      <c r="B89" s="479"/>
      <c r="C89" s="479"/>
      <c r="D89" s="461"/>
      <c r="E89" s="480"/>
      <c r="F89" s="460"/>
      <c r="G89" s="460"/>
      <c r="H89" s="494"/>
      <c r="I89" s="460"/>
    </row>
    <row r="90" spans="1:9" s="169" customFormat="1" ht="15.75" customHeight="1">
      <c r="A90" s="478"/>
      <c r="B90" s="479"/>
      <c r="C90" s="479"/>
      <c r="D90" s="461"/>
      <c r="E90" s="480"/>
      <c r="F90" s="460"/>
      <c r="G90" s="460"/>
      <c r="H90" s="494"/>
      <c r="I90" s="460"/>
    </row>
    <row r="91" spans="1:9" s="169" customFormat="1" ht="15.75" customHeight="1">
      <c r="A91" s="478"/>
      <c r="B91" s="479"/>
      <c r="C91" s="479"/>
      <c r="D91" s="461"/>
      <c r="E91" s="480"/>
      <c r="F91" s="460"/>
      <c r="G91" s="460"/>
      <c r="H91" s="494"/>
      <c r="I91" s="460"/>
    </row>
    <row r="92" spans="1:9" s="169" customFormat="1" ht="15.75" customHeight="1">
      <c r="A92" s="478"/>
      <c r="B92" s="479"/>
      <c r="C92" s="479"/>
      <c r="D92" s="461"/>
      <c r="E92" s="480"/>
      <c r="F92" s="460"/>
      <c r="G92" s="460"/>
      <c r="H92" s="494"/>
      <c r="I92" s="460"/>
    </row>
    <row r="93" spans="1:9" s="169" customFormat="1" ht="15.75" customHeight="1">
      <c r="A93" s="478"/>
      <c r="B93" s="479"/>
      <c r="C93" s="479"/>
      <c r="D93" s="461"/>
      <c r="E93" s="480"/>
      <c r="F93" s="460"/>
      <c r="G93" s="460"/>
      <c r="H93" s="494"/>
      <c r="I93" s="460"/>
    </row>
    <row r="94" spans="1:9" s="169" customFormat="1" ht="15.75" customHeight="1">
      <c r="A94" s="478"/>
      <c r="B94" s="479"/>
      <c r="C94" s="479"/>
      <c r="D94" s="461"/>
      <c r="E94" s="480"/>
      <c r="F94" s="460"/>
      <c r="G94" s="460"/>
      <c r="H94" s="494"/>
      <c r="I94" s="460"/>
    </row>
    <row r="95" spans="1:9" s="169" customFormat="1" ht="15.75" customHeight="1">
      <c r="A95" s="478"/>
      <c r="B95" s="479"/>
      <c r="C95" s="479"/>
      <c r="D95" s="461"/>
      <c r="E95" s="480"/>
      <c r="F95" s="460"/>
      <c r="G95" s="460"/>
      <c r="H95" s="494"/>
      <c r="I95" s="460"/>
    </row>
    <row r="96" spans="1:9" s="169" customFormat="1" ht="15.75" customHeight="1">
      <c r="A96" s="478"/>
      <c r="B96" s="479"/>
      <c r="C96" s="479"/>
      <c r="D96" s="461"/>
      <c r="E96" s="480"/>
      <c r="F96" s="460"/>
      <c r="G96" s="460"/>
      <c r="H96" s="494"/>
      <c r="I96" s="460"/>
    </row>
    <row r="97" spans="1:9" s="169" customFormat="1" ht="15.75" customHeight="1">
      <c r="A97" s="478"/>
      <c r="B97" s="479"/>
      <c r="C97" s="479"/>
      <c r="D97" s="461"/>
      <c r="E97" s="480"/>
      <c r="F97" s="460"/>
      <c r="G97" s="460"/>
      <c r="H97" s="494"/>
      <c r="I97" s="460"/>
    </row>
    <row r="98" spans="1:9" s="169" customFormat="1" ht="15.75" customHeight="1">
      <c r="A98" s="478"/>
      <c r="B98" s="479"/>
      <c r="C98" s="479"/>
      <c r="D98" s="461"/>
      <c r="E98" s="480"/>
      <c r="F98" s="460"/>
      <c r="G98" s="460"/>
      <c r="H98" s="494"/>
      <c r="I98" s="460"/>
    </row>
    <row r="99" spans="1:9" s="169" customFormat="1" ht="15.75" customHeight="1">
      <c r="A99" s="478"/>
      <c r="B99" s="479"/>
      <c r="C99" s="479"/>
      <c r="D99" s="461"/>
      <c r="E99" s="480"/>
      <c r="F99" s="460"/>
      <c r="G99" s="460"/>
      <c r="H99" s="494"/>
      <c r="I99" s="460"/>
    </row>
    <row r="100" spans="1:9" s="169" customFormat="1" ht="15.75" customHeight="1">
      <c r="A100" s="478"/>
      <c r="B100" s="479"/>
      <c r="C100" s="479"/>
      <c r="D100" s="461"/>
      <c r="E100" s="480"/>
      <c r="F100" s="460"/>
      <c r="G100" s="460"/>
      <c r="H100" s="494"/>
      <c r="I100" s="460"/>
    </row>
    <row r="101" spans="1:9" s="169" customFormat="1" ht="15.75" customHeight="1">
      <c r="A101" s="478"/>
      <c r="B101" s="479"/>
      <c r="C101" s="479"/>
      <c r="D101" s="461"/>
      <c r="E101" s="480"/>
      <c r="F101" s="460"/>
      <c r="G101" s="460"/>
      <c r="H101" s="494"/>
      <c r="I101" s="460"/>
    </row>
    <row r="102" spans="1:9" s="169" customFormat="1" ht="15.75" customHeight="1">
      <c r="A102" s="478"/>
      <c r="B102" s="479"/>
      <c r="C102" s="479"/>
      <c r="D102" s="461"/>
      <c r="E102" s="480"/>
      <c r="F102" s="460"/>
      <c r="G102" s="460"/>
      <c r="H102" s="494"/>
      <c r="I102" s="460"/>
    </row>
    <row r="103" spans="1:9" s="169" customFormat="1" ht="15.75" customHeight="1">
      <c r="A103" s="478"/>
      <c r="B103" s="479"/>
      <c r="C103" s="479"/>
      <c r="D103" s="461"/>
      <c r="E103" s="480"/>
      <c r="F103" s="460"/>
      <c r="G103" s="460"/>
      <c r="H103" s="494"/>
      <c r="I103" s="460"/>
    </row>
    <row r="104" spans="1:9" s="169" customFormat="1" ht="15.75" customHeight="1">
      <c r="A104" s="478"/>
      <c r="B104" s="479"/>
      <c r="C104" s="479"/>
      <c r="D104" s="461"/>
      <c r="E104" s="480"/>
      <c r="F104" s="460"/>
      <c r="G104" s="460"/>
      <c r="H104" s="494"/>
      <c r="I104" s="460"/>
    </row>
    <row r="105" spans="1:9" s="169" customFormat="1" ht="15.75" customHeight="1">
      <c r="A105" s="478"/>
      <c r="B105" s="479"/>
      <c r="C105" s="479"/>
      <c r="D105" s="461"/>
      <c r="E105" s="480"/>
      <c r="F105" s="460"/>
      <c r="G105" s="460"/>
      <c r="H105" s="494"/>
      <c r="I105" s="460"/>
    </row>
    <row r="106" spans="1:9" s="169" customFormat="1" ht="15.75" customHeight="1">
      <c r="A106" s="478"/>
      <c r="B106" s="479"/>
      <c r="C106" s="479"/>
      <c r="D106" s="461"/>
      <c r="E106" s="480"/>
      <c r="F106" s="460"/>
      <c r="G106" s="460"/>
      <c r="H106" s="494"/>
      <c r="I106" s="460"/>
    </row>
    <row r="107" spans="1:9" s="169" customFormat="1" ht="15.75" customHeight="1">
      <c r="A107" s="481"/>
      <c r="B107" s="481"/>
      <c r="C107" s="460"/>
      <c r="D107" s="461"/>
      <c r="E107" s="466"/>
      <c r="F107" s="460"/>
      <c r="G107" s="460"/>
      <c r="H107" s="461"/>
      <c r="I107" s="460"/>
    </row>
    <row r="108" spans="1:9" s="169" customFormat="1" ht="15.75" customHeight="1">
      <c r="A108" s="481"/>
      <c r="B108" s="481"/>
      <c r="C108" s="460"/>
      <c r="D108" s="461"/>
      <c r="E108" s="482"/>
      <c r="F108" s="460"/>
      <c r="G108" s="460"/>
      <c r="H108" s="461"/>
      <c r="I108" s="460"/>
    </row>
    <row r="109" spans="1:9" s="169" customFormat="1" ht="15.75" customHeight="1">
      <c r="A109" s="481"/>
      <c r="B109" s="481"/>
      <c r="C109" s="460"/>
      <c r="D109" s="461"/>
      <c r="E109" s="482"/>
      <c r="F109" s="460"/>
      <c r="G109" s="460"/>
      <c r="H109" s="461"/>
      <c r="I109" s="460"/>
    </row>
    <row r="110" spans="1:9" s="169" customFormat="1" ht="15.75" customHeight="1">
      <c r="A110" s="481"/>
      <c r="B110" s="481"/>
      <c r="C110" s="460"/>
      <c r="D110" s="461"/>
      <c r="E110" s="483"/>
      <c r="F110" s="460"/>
      <c r="G110" s="460"/>
      <c r="H110" s="461"/>
      <c r="I110" s="460"/>
    </row>
    <row r="111" spans="1:9" s="169" customFormat="1" ht="15.75" customHeight="1">
      <c r="A111" s="481"/>
      <c r="B111" s="481"/>
      <c r="C111" s="460"/>
      <c r="D111" s="461"/>
      <c r="E111" s="483"/>
      <c r="F111" s="460"/>
      <c r="G111" s="460"/>
      <c r="H111" s="461"/>
      <c r="I111" s="460"/>
    </row>
    <row r="112" spans="1:9" s="169" customFormat="1" ht="15.75" customHeight="1">
      <c r="A112" s="481"/>
      <c r="B112" s="481"/>
      <c r="C112" s="460"/>
      <c r="D112" s="461"/>
      <c r="E112" s="484"/>
      <c r="F112" s="460"/>
      <c r="G112" s="460"/>
      <c r="H112" s="461"/>
      <c r="I112" s="460"/>
    </row>
    <row r="113" spans="1:9" s="169" customFormat="1" ht="15.75" customHeight="1">
      <c r="A113" s="481"/>
      <c r="B113" s="481"/>
      <c r="C113" s="460"/>
      <c r="D113" s="461"/>
      <c r="E113" s="483"/>
      <c r="F113" s="460"/>
      <c r="G113" s="460"/>
      <c r="H113" s="461"/>
      <c r="I113" s="460"/>
    </row>
    <row r="114" spans="1:9" s="169" customFormat="1" ht="15.75" customHeight="1">
      <c r="A114" s="481"/>
      <c r="B114" s="481"/>
      <c r="C114" s="460"/>
      <c r="D114" s="461"/>
      <c r="E114" s="483"/>
      <c r="F114" s="460"/>
      <c r="G114" s="460"/>
      <c r="H114" s="461"/>
      <c r="I114" s="460"/>
    </row>
    <row r="115" spans="1:9" s="169" customFormat="1" ht="15.75" customHeight="1">
      <c r="A115" s="481"/>
      <c r="B115" s="481"/>
      <c r="C115" s="460"/>
      <c r="D115" s="461"/>
      <c r="E115" s="484"/>
      <c r="F115" s="460"/>
      <c r="G115" s="460"/>
      <c r="H115" s="461"/>
      <c r="I115" s="460"/>
    </row>
    <row r="116" spans="1:9" s="169" customFormat="1" ht="15.75" customHeight="1">
      <c r="A116" s="481"/>
      <c r="B116" s="481"/>
      <c r="C116" s="460"/>
      <c r="D116" s="461"/>
      <c r="E116" s="484"/>
      <c r="F116" s="460"/>
      <c r="G116" s="460"/>
      <c r="H116" s="461"/>
      <c r="I116" s="460"/>
    </row>
    <row r="117" spans="1:9" s="169" customFormat="1" ht="15.75" customHeight="1">
      <c r="A117" s="481"/>
      <c r="B117" s="481"/>
      <c r="C117" s="460"/>
      <c r="D117" s="461"/>
      <c r="E117" s="483"/>
      <c r="F117" s="460"/>
      <c r="G117" s="460"/>
      <c r="H117" s="461"/>
      <c r="I117" s="460"/>
    </row>
    <row r="118" spans="1:9" s="169" customFormat="1" ht="15.75" customHeight="1">
      <c r="A118" s="481"/>
      <c r="B118" s="481"/>
      <c r="C118" s="460"/>
      <c r="D118" s="461"/>
      <c r="E118" s="483"/>
      <c r="F118" s="460"/>
      <c r="G118" s="460"/>
      <c r="H118" s="461"/>
      <c r="I118" s="460"/>
    </row>
    <row r="119" spans="1:9" s="169" customFormat="1" ht="15.75" customHeight="1">
      <c r="A119" s="481"/>
      <c r="B119" s="481"/>
      <c r="C119" s="460"/>
      <c r="D119" s="461"/>
      <c r="E119" s="466"/>
      <c r="F119" s="460"/>
      <c r="G119" s="460"/>
      <c r="H119" s="461"/>
      <c r="I119" s="460"/>
    </row>
    <row r="120" spans="1:9" s="169" customFormat="1" ht="15.75" customHeight="1">
      <c r="A120" s="481"/>
      <c r="B120" s="481"/>
      <c r="C120" s="460"/>
      <c r="D120" s="461"/>
      <c r="E120" s="482"/>
      <c r="F120" s="460"/>
      <c r="G120" s="460"/>
      <c r="H120" s="461"/>
      <c r="I120" s="460"/>
    </row>
    <row r="121" spans="1:9" s="169" customFormat="1" ht="15.75" customHeight="1">
      <c r="A121" s="481"/>
      <c r="B121" s="481"/>
      <c r="C121" s="460"/>
      <c r="D121" s="461"/>
      <c r="E121" s="482"/>
      <c r="F121" s="460"/>
      <c r="G121" s="460"/>
      <c r="H121" s="461"/>
      <c r="I121" s="460"/>
    </row>
    <row r="122" spans="1:9" s="169" customFormat="1" ht="15.75" customHeight="1">
      <c r="A122" s="481"/>
      <c r="B122" s="481"/>
      <c r="C122" s="460"/>
      <c r="D122" s="461"/>
      <c r="E122" s="482"/>
      <c r="F122" s="460"/>
      <c r="G122" s="460"/>
      <c r="H122" s="461"/>
      <c r="I122" s="460"/>
    </row>
    <row r="123" spans="1:9" s="169" customFormat="1" ht="15.75" customHeight="1">
      <c r="A123" s="481"/>
      <c r="B123" s="481"/>
      <c r="C123" s="460"/>
      <c r="D123" s="461"/>
      <c r="E123" s="477"/>
      <c r="F123" s="460"/>
      <c r="G123" s="460"/>
      <c r="H123" s="461"/>
      <c r="I123" s="460"/>
    </row>
    <row r="124" spans="1:9" s="169" customFormat="1" ht="15.75" customHeight="1">
      <c r="A124" s="481"/>
      <c r="B124" s="481"/>
      <c r="C124" s="460"/>
      <c r="D124" s="461"/>
      <c r="E124" s="466"/>
      <c r="F124" s="460"/>
      <c r="G124" s="460"/>
      <c r="H124" s="461"/>
      <c r="I124" s="460"/>
    </row>
    <row r="125" spans="1:9" s="169" customFormat="1" ht="15.75" customHeight="1">
      <c r="A125" s="481"/>
      <c r="B125" s="481"/>
      <c r="C125" s="460"/>
      <c r="D125" s="461"/>
      <c r="E125" s="483"/>
      <c r="F125" s="460"/>
      <c r="G125" s="460"/>
      <c r="H125" s="461"/>
      <c r="I125" s="460"/>
    </row>
    <row r="126" spans="1:9" s="169" customFormat="1" ht="15.75" customHeight="1">
      <c r="A126" s="481"/>
      <c r="B126" s="481"/>
      <c r="C126" s="460"/>
      <c r="D126" s="461"/>
      <c r="E126" s="484"/>
      <c r="F126" s="460"/>
      <c r="G126" s="460"/>
      <c r="H126" s="461"/>
      <c r="I126" s="460"/>
    </row>
    <row r="127" spans="1:9" s="169" customFormat="1" ht="15.75" customHeight="1">
      <c r="A127" s="481"/>
      <c r="B127" s="481"/>
      <c r="C127" s="460"/>
      <c r="D127" s="461"/>
      <c r="E127" s="483"/>
      <c r="F127" s="460"/>
      <c r="G127" s="460"/>
      <c r="H127" s="461"/>
      <c r="I127" s="460"/>
    </row>
    <row r="128" spans="1:9" s="169" customFormat="1" ht="15.75" customHeight="1">
      <c r="A128" s="481"/>
      <c r="B128" s="481"/>
      <c r="C128" s="460"/>
      <c r="D128" s="461"/>
      <c r="E128" s="466"/>
      <c r="F128" s="460"/>
      <c r="G128" s="460"/>
      <c r="H128" s="461"/>
      <c r="I128" s="460"/>
    </row>
    <row r="129" spans="1:10" s="169" customFormat="1" ht="15.75" customHeight="1">
      <c r="A129" s="481"/>
      <c r="B129" s="481"/>
      <c r="C129" s="460"/>
      <c r="D129" s="461"/>
      <c r="E129" s="482"/>
      <c r="F129" s="460"/>
      <c r="G129" s="460"/>
      <c r="H129" s="461"/>
      <c r="I129" s="460"/>
    </row>
    <row r="130" spans="1:10" s="169" customFormat="1" ht="15.75" customHeight="1">
      <c r="A130" s="481"/>
      <c r="B130" s="481"/>
      <c r="C130" s="460"/>
      <c r="D130" s="461"/>
      <c r="E130" s="466"/>
      <c r="F130" s="460"/>
      <c r="G130" s="460"/>
      <c r="H130" s="461"/>
      <c r="I130" s="460"/>
    </row>
    <row r="131" spans="1:10" s="169" customFormat="1" ht="15.75" customHeight="1">
      <c r="A131" s="481"/>
      <c r="B131" s="481"/>
      <c r="C131" s="460"/>
      <c r="D131" s="461"/>
      <c r="E131" s="483"/>
      <c r="F131" s="460"/>
      <c r="G131" s="460"/>
      <c r="H131" s="461"/>
      <c r="I131" s="460"/>
    </row>
    <row r="132" spans="1:10" s="169" customFormat="1" ht="15.75" customHeight="1">
      <c r="A132" s="481"/>
      <c r="B132" s="481"/>
      <c r="C132" s="460"/>
      <c r="D132" s="461"/>
      <c r="E132" s="483"/>
      <c r="F132" s="460"/>
      <c r="G132" s="460"/>
      <c r="H132" s="461"/>
      <c r="I132" s="460"/>
    </row>
    <row r="133" spans="1:10" s="169" customFormat="1" ht="15.75" customHeight="1">
      <c r="A133" s="481"/>
      <c r="B133" s="481"/>
      <c r="C133" s="460"/>
      <c r="D133" s="461"/>
      <c r="E133" s="483"/>
      <c r="F133" s="460"/>
      <c r="G133" s="460"/>
      <c r="H133" s="461"/>
      <c r="I133" s="460"/>
    </row>
    <row r="134" spans="1:10" s="169" customFormat="1" ht="15.75" customHeight="1">
      <c r="A134" s="481"/>
      <c r="B134" s="481"/>
      <c r="C134" s="460"/>
      <c r="D134" s="461"/>
      <c r="E134" s="483"/>
      <c r="F134" s="460"/>
      <c r="G134" s="460"/>
      <c r="H134" s="461"/>
      <c r="I134" s="460"/>
    </row>
    <row r="135" spans="1:10" s="169" customFormat="1" ht="15.75" customHeight="1">
      <c r="A135" s="481"/>
      <c r="B135" s="481"/>
      <c r="C135" s="460"/>
      <c r="D135" s="461"/>
      <c r="E135" s="483"/>
      <c r="F135" s="460"/>
      <c r="G135" s="460"/>
      <c r="H135" s="461"/>
      <c r="I135" s="460"/>
    </row>
    <row r="136" spans="1:10" s="169" customFormat="1" ht="15.75" customHeight="1">
      <c r="A136" s="481"/>
      <c r="B136" s="481"/>
      <c r="C136" s="460"/>
      <c r="D136" s="461"/>
      <c r="E136" s="483"/>
      <c r="F136" s="460"/>
      <c r="G136" s="460"/>
      <c r="H136" s="461"/>
      <c r="I136" s="460"/>
    </row>
    <row r="137" spans="1:10" s="169" customFormat="1" ht="15.75" customHeight="1">
      <c r="A137" s="481"/>
      <c r="B137" s="481"/>
      <c r="C137" s="460"/>
      <c r="D137" s="461"/>
      <c r="E137" s="483"/>
      <c r="F137" s="460"/>
      <c r="G137" s="460"/>
      <c r="H137" s="461"/>
      <c r="I137" s="460"/>
    </row>
    <row r="138" spans="1:10" s="169" customFormat="1" ht="15.75" customHeight="1">
      <c r="A138" s="481"/>
      <c r="B138" s="481"/>
      <c r="C138" s="460"/>
      <c r="D138" s="461"/>
      <c r="E138" s="483"/>
      <c r="F138" s="460"/>
      <c r="G138" s="460"/>
      <c r="H138" s="461"/>
      <c r="I138" s="460"/>
    </row>
    <row r="139" spans="1:10" s="169" customFormat="1" ht="15.75" customHeight="1">
      <c r="A139" s="481"/>
      <c r="B139" s="481"/>
      <c r="C139" s="460"/>
      <c r="D139" s="461"/>
      <c r="E139" s="483"/>
      <c r="F139" s="460"/>
      <c r="G139" s="460"/>
      <c r="H139" s="461"/>
      <c r="I139" s="460"/>
    </row>
    <row r="140" spans="1:10" s="169" customFormat="1" ht="15.75" customHeight="1">
      <c r="A140" s="481"/>
      <c r="B140" s="481"/>
      <c r="C140" s="460"/>
      <c r="D140" s="461"/>
      <c r="E140" s="483"/>
      <c r="F140" s="460"/>
      <c r="G140" s="460"/>
      <c r="H140" s="461"/>
      <c r="I140" s="460"/>
    </row>
    <row r="141" spans="1:10" s="169" customFormat="1" ht="15.75" customHeight="1">
      <c r="A141" s="481"/>
      <c r="B141" s="481"/>
      <c r="C141" s="460"/>
      <c r="D141" s="461"/>
      <c r="E141" s="484"/>
      <c r="F141" s="460"/>
      <c r="G141" s="460"/>
      <c r="H141" s="461"/>
      <c r="I141" s="460"/>
    </row>
    <row r="142" spans="1:10" s="169" customFormat="1" ht="15.75" customHeight="1">
      <c r="A142" s="460"/>
      <c r="B142" s="460"/>
      <c r="C142" s="460"/>
      <c r="D142" s="461"/>
      <c r="E142" s="461"/>
      <c r="F142" s="460"/>
      <c r="G142" s="460"/>
      <c r="H142" s="461"/>
      <c r="I142" s="460"/>
    </row>
    <row r="143" spans="1:10" s="169" customFormat="1" ht="15.75" customHeight="1">
      <c r="A143" s="485"/>
      <c r="B143" s="485"/>
      <c r="C143" s="485"/>
      <c r="D143" s="461"/>
      <c r="E143" s="486"/>
      <c r="F143" s="460"/>
      <c r="G143" s="485"/>
      <c r="H143" s="486"/>
      <c r="I143" s="485"/>
      <c r="J143"/>
    </row>
    <row r="144" spans="1:10" s="169" customFormat="1" ht="15.75" customHeight="1">
      <c r="A144" s="485"/>
      <c r="B144" s="485"/>
      <c r="C144" s="485"/>
      <c r="D144" s="461"/>
      <c r="E144" s="486"/>
      <c r="F144" s="460"/>
      <c r="G144" s="485"/>
      <c r="H144" s="486"/>
      <c r="I144" s="485"/>
      <c r="J144"/>
    </row>
    <row r="145" spans="1:10" s="169" customFormat="1" ht="15.75" customHeight="1">
      <c r="A145" s="485"/>
      <c r="B145" s="485"/>
      <c r="C145" s="485"/>
      <c r="D145" s="461"/>
      <c r="E145" s="486"/>
      <c r="F145" s="460"/>
      <c r="G145" s="485"/>
      <c r="H145" s="486"/>
      <c r="I145" s="485"/>
      <c r="J145"/>
    </row>
    <row r="146" spans="1:10" s="169" customFormat="1" ht="15.75" customHeight="1">
      <c r="A146" s="485"/>
      <c r="B146" s="485"/>
      <c r="C146" s="485"/>
      <c r="D146" s="461"/>
      <c r="E146" s="486"/>
      <c r="F146" s="460"/>
      <c r="G146" s="485"/>
      <c r="H146" s="486"/>
      <c r="I146" s="485"/>
      <c r="J146"/>
    </row>
    <row r="147" spans="1:10" s="169" customFormat="1" ht="15.75" customHeight="1">
      <c r="A147" s="485"/>
      <c r="B147" s="485"/>
      <c r="C147" s="485"/>
      <c r="D147" s="461"/>
      <c r="E147" s="486"/>
      <c r="F147" s="460"/>
      <c r="G147" s="485"/>
      <c r="H147" s="486"/>
      <c r="I147" s="485"/>
      <c r="J147"/>
    </row>
    <row r="148" spans="1:10" s="169" customFormat="1" ht="15.75" customHeight="1">
      <c r="A148" s="485"/>
      <c r="B148" s="485"/>
      <c r="C148" s="485"/>
      <c r="D148" s="461"/>
      <c r="E148" s="486"/>
      <c r="F148" s="460"/>
      <c r="G148" s="485"/>
      <c r="H148" s="486"/>
      <c r="I148" s="485"/>
      <c r="J148"/>
    </row>
    <row r="149" spans="1:10" s="169" customFormat="1" ht="15.75" customHeight="1">
      <c r="A149" s="485"/>
      <c r="B149" s="485"/>
      <c r="C149" s="485"/>
      <c r="D149" s="461"/>
      <c r="E149" s="486"/>
      <c r="F149" s="460"/>
      <c r="G149" s="485"/>
      <c r="H149" s="486"/>
      <c r="I149" s="485"/>
      <c r="J149"/>
    </row>
    <row r="150" spans="1:10" s="169" customFormat="1" ht="15.75" customHeight="1">
      <c r="A150" s="485"/>
      <c r="B150" s="485"/>
      <c r="C150" s="485"/>
      <c r="D150" s="461"/>
      <c r="E150" s="486"/>
      <c r="F150" s="460"/>
      <c r="G150" s="485"/>
      <c r="H150" s="486"/>
      <c r="I150" s="485"/>
      <c r="J150"/>
    </row>
    <row r="151" spans="1:10" s="169" customFormat="1" ht="15.75" customHeight="1">
      <c r="A151" s="485"/>
      <c r="B151" s="485"/>
      <c r="C151" s="485"/>
      <c r="D151" s="461"/>
      <c r="E151" s="486"/>
      <c r="F151" s="460"/>
      <c r="G151" s="485"/>
      <c r="H151" s="486"/>
      <c r="I151" s="485"/>
      <c r="J151"/>
    </row>
    <row r="152" spans="1:10" s="169" customFormat="1" ht="15.75" customHeight="1">
      <c r="A152" s="485"/>
      <c r="B152" s="485"/>
      <c r="C152" s="485"/>
      <c r="D152" s="461"/>
      <c r="E152" s="486"/>
      <c r="F152" s="460"/>
      <c r="G152" s="485"/>
      <c r="H152" s="486"/>
      <c r="I152" s="485"/>
      <c r="J152"/>
    </row>
    <row r="153" spans="1:10" s="169" customFormat="1" ht="15.75" customHeight="1">
      <c r="A153" s="485"/>
      <c r="B153" s="485"/>
      <c r="C153" s="485"/>
      <c r="D153" s="461"/>
      <c r="E153" s="486"/>
      <c r="F153" s="460"/>
      <c r="G153" s="485"/>
      <c r="H153" s="486"/>
      <c r="I153" s="485"/>
      <c r="J153"/>
    </row>
    <row r="154" spans="1:10" s="169" customFormat="1" ht="15.75" customHeight="1">
      <c r="A154" s="485"/>
      <c r="B154" s="485"/>
      <c r="C154" s="485"/>
      <c r="D154" s="461"/>
      <c r="E154" s="486"/>
      <c r="F154" s="460"/>
      <c r="G154" s="485"/>
      <c r="H154" s="486"/>
      <c r="I154" s="485"/>
      <c r="J154"/>
    </row>
    <row r="155" spans="1:10" s="169" customFormat="1" ht="15.75" customHeight="1">
      <c r="A155" s="485"/>
      <c r="B155" s="485"/>
      <c r="C155" s="485"/>
      <c r="D155" s="461"/>
      <c r="E155" s="486"/>
      <c r="F155" s="460"/>
      <c r="G155" s="485"/>
      <c r="H155" s="486"/>
      <c r="I155" s="485"/>
      <c r="J155"/>
    </row>
    <row r="156" spans="1:10" s="169" customFormat="1" ht="15.75" customHeight="1">
      <c r="A156" s="485"/>
      <c r="B156" s="485"/>
      <c r="C156" s="485"/>
      <c r="D156" s="461"/>
      <c r="E156" s="486"/>
      <c r="F156" s="460"/>
      <c r="G156" s="485"/>
      <c r="H156" s="486"/>
      <c r="I156" s="485"/>
      <c r="J156"/>
    </row>
    <row r="157" spans="1:10" s="169" customFormat="1" ht="15.75" customHeight="1">
      <c r="A157" s="485"/>
      <c r="B157" s="485"/>
      <c r="C157" s="485"/>
      <c r="D157" s="461"/>
      <c r="E157" s="486"/>
      <c r="F157" s="460"/>
      <c r="G157" s="485"/>
      <c r="H157" s="486"/>
      <c r="I157" s="485"/>
      <c r="J157"/>
    </row>
    <row r="158" spans="1:10" s="169" customFormat="1" ht="15.75" customHeight="1">
      <c r="A158" s="485"/>
      <c r="B158" s="485"/>
      <c r="C158" s="485"/>
      <c r="D158" s="461"/>
      <c r="E158" s="486"/>
      <c r="F158" s="460"/>
      <c r="G158" s="485"/>
      <c r="H158" s="486"/>
      <c r="I158" s="485"/>
      <c r="J158"/>
    </row>
    <row r="159" spans="1:10" s="169" customFormat="1" ht="15.75" customHeight="1">
      <c r="A159" s="485"/>
      <c r="B159" s="485"/>
      <c r="C159" s="485"/>
      <c r="D159" s="461"/>
      <c r="E159" s="486"/>
      <c r="F159" s="460"/>
      <c r="G159" s="485"/>
      <c r="H159" s="486"/>
      <c r="I159" s="485"/>
      <c r="J159"/>
    </row>
    <row r="160" spans="1:10" s="169" customFormat="1" ht="15.75" customHeight="1">
      <c r="A160" s="485"/>
      <c r="B160" s="485"/>
      <c r="C160" s="485"/>
      <c r="D160" s="461"/>
      <c r="E160" s="486"/>
      <c r="F160" s="460"/>
      <c r="G160" s="485"/>
      <c r="H160" s="486"/>
      <c r="I160" s="485"/>
      <c r="J160"/>
    </row>
    <row r="161" spans="1:10" s="169" customFormat="1" ht="15.75" customHeight="1">
      <c r="A161" s="485"/>
      <c r="B161" s="485"/>
      <c r="C161" s="485"/>
      <c r="D161" s="461"/>
      <c r="E161" s="486"/>
      <c r="F161" s="460"/>
      <c r="G161" s="485"/>
      <c r="H161" s="486"/>
      <c r="I161" s="485"/>
      <c r="J161"/>
    </row>
    <row r="162" spans="1:10" s="169" customFormat="1" ht="15.75" customHeight="1">
      <c r="A162" s="485"/>
      <c r="B162" s="485"/>
      <c r="C162" s="485"/>
      <c r="D162" s="461"/>
      <c r="E162" s="486"/>
      <c r="F162" s="460"/>
      <c r="G162" s="485"/>
      <c r="H162" s="486"/>
      <c r="I162" s="485"/>
      <c r="J162"/>
    </row>
    <row r="163" spans="1:10" s="169" customFormat="1" ht="15.75" customHeight="1">
      <c r="A163" s="485"/>
      <c r="B163" s="485"/>
      <c r="C163" s="485"/>
      <c r="D163" s="461"/>
      <c r="E163" s="486"/>
      <c r="F163" s="460"/>
      <c r="G163" s="485"/>
      <c r="H163" s="486"/>
      <c r="I163" s="485"/>
      <c r="J163"/>
    </row>
    <row r="164" spans="1:10" s="169" customFormat="1" ht="15.75" customHeight="1">
      <c r="A164" s="485"/>
      <c r="B164" s="485"/>
      <c r="C164" s="485"/>
      <c r="D164" s="461"/>
      <c r="E164" s="486"/>
      <c r="F164" s="460"/>
      <c r="G164" s="485"/>
      <c r="H164" s="486"/>
      <c r="I164" s="485"/>
      <c r="J164"/>
    </row>
    <row r="165" spans="1:10" s="169" customFormat="1" ht="15.75" customHeight="1">
      <c r="A165" s="485"/>
      <c r="B165" s="485"/>
      <c r="C165" s="485"/>
      <c r="D165" s="461"/>
      <c r="E165" s="486"/>
      <c r="F165" s="460"/>
      <c r="G165" s="485"/>
      <c r="H165" s="486"/>
      <c r="I165" s="485"/>
      <c r="J165"/>
    </row>
    <row r="166" spans="1:10" s="169" customFormat="1" ht="15.75" customHeight="1">
      <c r="A166" s="485"/>
      <c r="B166" s="485"/>
      <c r="C166" s="485"/>
      <c r="D166" s="461"/>
      <c r="E166" s="486"/>
      <c r="F166" s="460"/>
      <c r="G166" s="485"/>
      <c r="H166" s="486"/>
      <c r="I166" s="485"/>
      <c r="J166"/>
    </row>
    <row r="167" spans="1:10" s="169" customFormat="1" ht="15.75" customHeight="1">
      <c r="A167" s="485"/>
      <c r="B167" s="485"/>
      <c r="C167" s="485"/>
      <c r="D167" s="461"/>
      <c r="E167" s="486"/>
      <c r="F167" s="460"/>
      <c r="G167" s="485"/>
      <c r="H167" s="486"/>
      <c r="I167" s="485"/>
      <c r="J167"/>
    </row>
    <row r="168" spans="1:10" s="169" customFormat="1" ht="15.75" customHeight="1">
      <c r="A168" s="485"/>
      <c r="B168" s="485"/>
      <c r="C168" s="485"/>
      <c r="D168" s="461"/>
      <c r="E168" s="486"/>
      <c r="F168" s="460"/>
      <c r="G168" s="485"/>
      <c r="H168" s="486"/>
      <c r="I168" s="485"/>
      <c r="J168"/>
    </row>
    <row r="169" spans="1:10" s="169" customFormat="1" ht="15.75" customHeight="1">
      <c r="A169" s="485"/>
      <c r="B169" s="485"/>
      <c r="C169" s="485"/>
      <c r="D169" s="461"/>
      <c r="E169" s="486"/>
      <c r="F169" s="460"/>
      <c r="G169" s="485"/>
      <c r="H169" s="486"/>
      <c r="I169" s="485"/>
      <c r="J169"/>
    </row>
    <row r="170" spans="1:10" s="169" customFormat="1" ht="15.75" customHeight="1">
      <c r="A170" s="485"/>
      <c r="B170" s="485"/>
      <c r="C170" s="485"/>
      <c r="D170" s="461"/>
      <c r="E170" s="486"/>
      <c r="F170" s="460"/>
      <c r="G170" s="485"/>
      <c r="H170" s="486"/>
      <c r="I170" s="485"/>
      <c r="J170"/>
    </row>
    <row r="171" spans="1:10" s="169" customFormat="1" ht="15.75" customHeight="1">
      <c r="A171" s="485"/>
      <c r="B171" s="485"/>
      <c r="C171" s="485"/>
      <c r="D171" s="461"/>
      <c r="E171" s="486"/>
      <c r="F171" s="460"/>
      <c r="G171" s="485"/>
      <c r="H171" s="486"/>
      <c r="I171" s="485"/>
      <c r="J171"/>
    </row>
    <row r="172" spans="1:10" s="169" customFormat="1" ht="15.75" customHeight="1">
      <c r="A172" s="485"/>
      <c r="B172" s="485"/>
      <c r="C172" s="485"/>
      <c r="D172" s="461"/>
      <c r="E172" s="486"/>
      <c r="F172" s="460"/>
      <c r="G172" s="485"/>
      <c r="H172" s="486"/>
      <c r="I172" s="485"/>
      <c r="J172"/>
    </row>
    <row r="173" spans="1:10" s="169" customFormat="1" ht="15.75" customHeight="1">
      <c r="A173" s="485"/>
      <c r="B173" s="485"/>
      <c r="C173" s="485"/>
      <c r="D173" s="461"/>
      <c r="E173" s="486"/>
      <c r="F173" s="460"/>
      <c r="G173" s="485"/>
      <c r="H173" s="486"/>
      <c r="I173" s="485"/>
      <c r="J173"/>
    </row>
    <row r="174" spans="1:10" s="169" customFormat="1" ht="15.75" customHeight="1">
      <c r="A174" s="485"/>
      <c r="B174" s="485"/>
      <c r="C174" s="485"/>
      <c r="D174" s="461"/>
      <c r="E174" s="486"/>
      <c r="F174" s="460"/>
      <c r="G174" s="485"/>
      <c r="H174" s="486"/>
      <c r="I174" s="485"/>
      <c r="J174"/>
    </row>
    <row r="175" spans="1:10" s="169" customFormat="1" ht="15.75" customHeight="1">
      <c r="A175" s="485"/>
      <c r="B175" s="485"/>
      <c r="C175" s="485"/>
      <c r="D175" s="461"/>
      <c r="E175" s="486"/>
      <c r="F175" s="460"/>
      <c r="G175" s="485"/>
      <c r="H175" s="486"/>
      <c r="I175" s="485"/>
      <c r="J175"/>
    </row>
    <row r="176" spans="1:10" s="169" customFormat="1" ht="15.75" customHeight="1">
      <c r="A176" s="485"/>
      <c r="B176" s="485"/>
      <c r="C176" s="485"/>
      <c r="D176" s="461"/>
      <c r="E176" s="486"/>
      <c r="F176" s="460"/>
      <c r="G176" s="485"/>
      <c r="H176" s="486"/>
      <c r="I176" s="485"/>
      <c r="J176"/>
    </row>
    <row r="177" spans="1:10" s="169" customFormat="1" ht="15.75" customHeight="1">
      <c r="A177" s="485"/>
      <c r="B177" s="485"/>
      <c r="C177" s="485"/>
      <c r="D177" s="461"/>
      <c r="E177" s="486"/>
      <c r="F177" s="460"/>
      <c r="G177" s="485"/>
      <c r="H177" s="486"/>
      <c r="I177" s="485"/>
      <c r="J177"/>
    </row>
    <row r="178" spans="1:10" s="169" customFormat="1" ht="15.75" customHeight="1">
      <c r="A178" s="485"/>
      <c r="B178" s="485"/>
      <c r="C178" s="485"/>
      <c r="D178" s="461"/>
      <c r="E178" s="486"/>
      <c r="F178" s="460"/>
      <c r="G178" s="485"/>
      <c r="H178" s="486"/>
      <c r="I178" s="485"/>
      <c r="J178"/>
    </row>
    <row r="179" spans="1:10" s="169" customFormat="1" ht="15.75" customHeight="1">
      <c r="A179" s="485"/>
      <c r="B179" s="485"/>
      <c r="C179" s="485"/>
      <c r="D179" s="461"/>
      <c r="E179" s="486"/>
      <c r="F179" s="460"/>
      <c r="G179" s="485"/>
      <c r="H179" s="486"/>
      <c r="I179" s="485"/>
      <c r="J179"/>
    </row>
    <row r="180" spans="1:10" s="169" customFormat="1" ht="15.75" customHeight="1">
      <c r="A180" s="485"/>
      <c r="B180" s="485"/>
      <c r="C180" s="485"/>
      <c r="D180" s="461"/>
      <c r="E180" s="486"/>
      <c r="F180" s="460"/>
      <c r="G180" s="485"/>
      <c r="H180" s="486"/>
      <c r="I180" s="485"/>
      <c r="J180"/>
    </row>
    <row r="181" spans="1:10" s="169" customFormat="1" ht="15.75" customHeight="1">
      <c r="A181" s="485"/>
      <c r="B181" s="485"/>
      <c r="C181" s="485"/>
      <c r="D181" s="461"/>
      <c r="E181" s="486"/>
      <c r="F181" s="460"/>
      <c r="G181" s="485"/>
      <c r="H181" s="486"/>
      <c r="I181" s="485"/>
      <c r="J181"/>
    </row>
    <row r="182" spans="1:10" s="169" customFormat="1" ht="15.75" customHeight="1">
      <c r="A182" s="485"/>
      <c r="B182" s="485"/>
      <c r="C182" s="485"/>
      <c r="D182" s="461"/>
      <c r="E182" s="486"/>
      <c r="F182" s="460"/>
      <c r="G182" s="485"/>
      <c r="H182" s="486"/>
      <c r="I182" s="485"/>
      <c r="J182"/>
    </row>
    <row r="183" spans="1:10" s="169" customFormat="1" ht="15.75" customHeight="1">
      <c r="A183" s="485"/>
      <c r="B183" s="485"/>
      <c r="C183" s="485"/>
      <c r="D183" s="461"/>
      <c r="E183" s="486"/>
      <c r="F183" s="460"/>
      <c r="G183" s="485"/>
      <c r="H183" s="486"/>
      <c r="I183" s="485"/>
      <c r="J183"/>
    </row>
    <row r="184" spans="1:10" s="169" customFormat="1" ht="15.75" customHeight="1">
      <c r="A184" s="485"/>
      <c r="B184" s="485"/>
      <c r="C184" s="485"/>
      <c r="D184" s="461"/>
      <c r="E184" s="486"/>
      <c r="F184" s="460"/>
      <c r="G184" s="485"/>
      <c r="H184" s="486"/>
      <c r="I184" s="485"/>
      <c r="J184"/>
    </row>
    <row r="185" spans="1:10" s="169" customFormat="1" ht="15.75" customHeight="1">
      <c r="A185" s="485"/>
      <c r="B185" s="485"/>
      <c r="C185" s="485"/>
      <c r="D185" s="461"/>
      <c r="E185" s="486"/>
      <c r="F185" s="460"/>
      <c r="G185" s="485"/>
      <c r="H185" s="486"/>
      <c r="I185" s="485"/>
      <c r="J185"/>
    </row>
    <row r="186" spans="1:10" s="169" customFormat="1" ht="15.75" customHeight="1">
      <c r="A186" s="485"/>
      <c r="B186" s="485"/>
      <c r="C186" s="485"/>
      <c r="D186" s="461"/>
      <c r="E186" s="486"/>
      <c r="F186" s="460"/>
      <c r="G186" s="485"/>
      <c r="H186" s="486"/>
      <c r="I186" s="485"/>
      <c r="J186"/>
    </row>
    <row r="187" spans="1:10" s="169" customFormat="1" ht="15.75" customHeight="1">
      <c r="A187" s="485"/>
      <c r="B187" s="485"/>
      <c r="C187" s="485"/>
      <c r="D187" s="461"/>
      <c r="E187" s="486"/>
      <c r="F187" s="460"/>
      <c r="G187" s="485"/>
      <c r="H187" s="486"/>
      <c r="I187" s="485"/>
      <c r="J187"/>
    </row>
    <row r="188" spans="1:10" s="169" customFormat="1" ht="15.75" customHeight="1">
      <c r="A188" s="485"/>
      <c r="B188" s="485"/>
      <c r="C188" s="485"/>
      <c r="D188" s="461"/>
      <c r="E188" s="486"/>
      <c r="F188" s="460"/>
      <c r="G188" s="485"/>
      <c r="H188" s="486"/>
      <c r="I188" s="485"/>
      <c r="J188"/>
    </row>
    <row r="189" spans="1:10" s="169" customFormat="1" ht="15.75" customHeight="1">
      <c r="A189" s="485"/>
      <c r="B189" s="485"/>
      <c r="C189" s="485"/>
      <c r="D189" s="461"/>
      <c r="E189" s="486"/>
      <c r="F189" s="460"/>
      <c r="G189" s="485"/>
      <c r="H189" s="486"/>
      <c r="I189" s="485"/>
      <c r="J189"/>
    </row>
    <row r="190" spans="1:10" s="169" customFormat="1" ht="15.75" customHeight="1">
      <c r="A190" s="485"/>
      <c r="B190" s="485"/>
      <c r="C190" s="485"/>
      <c r="D190" s="461"/>
      <c r="E190" s="486"/>
      <c r="F190" s="460"/>
      <c r="G190" s="485"/>
      <c r="H190" s="486"/>
      <c r="I190" s="485"/>
      <c r="J190"/>
    </row>
    <row r="191" spans="1:10" s="169" customFormat="1" ht="15.75" customHeight="1">
      <c r="A191" s="485"/>
      <c r="B191" s="485"/>
      <c r="C191" s="485"/>
      <c r="D191" s="461"/>
      <c r="E191" s="486"/>
      <c r="F191" s="460"/>
      <c r="G191" s="485"/>
      <c r="H191" s="486"/>
      <c r="I191" s="485"/>
      <c r="J191"/>
    </row>
    <row r="192" spans="1:10" s="169" customFormat="1" ht="15.75" customHeight="1">
      <c r="A192" s="485"/>
      <c r="B192" s="485"/>
      <c r="C192" s="485"/>
      <c r="D192" s="461"/>
      <c r="E192" s="486"/>
      <c r="F192" s="460"/>
      <c r="G192" s="485"/>
      <c r="H192" s="486"/>
      <c r="I192" s="485"/>
      <c r="J192"/>
    </row>
    <row r="193" spans="1:10" s="169" customFormat="1" ht="15.75" customHeight="1">
      <c r="A193" s="485"/>
      <c r="B193" s="485"/>
      <c r="C193" s="485"/>
      <c r="D193" s="461"/>
      <c r="E193" s="486"/>
      <c r="F193" s="460"/>
      <c r="G193" s="485"/>
      <c r="H193" s="486"/>
      <c r="I193" s="485"/>
      <c r="J193"/>
    </row>
    <row r="194" spans="1:10" s="169" customFormat="1" ht="15.75" customHeight="1">
      <c r="A194" s="485"/>
      <c r="B194" s="485"/>
      <c r="C194" s="485"/>
      <c r="D194" s="461"/>
      <c r="E194" s="486"/>
      <c r="F194" s="460"/>
      <c r="G194" s="485"/>
      <c r="H194" s="486"/>
      <c r="I194" s="485"/>
      <c r="J194"/>
    </row>
    <row r="195" spans="1:10" s="169" customFormat="1" ht="15.75" customHeight="1">
      <c r="A195" s="467"/>
      <c r="B195" s="467"/>
      <c r="C195" s="460"/>
      <c r="D195" s="461"/>
      <c r="E195" s="463"/>
      <c r="F195" s="460"/>
      <c r="G195" s="460"/>
      <c r="H195" s="461"/>
      <c r="I195" s="460"/>
    </row>
    <row r="196" spans="1:10" s="169" customFormat="1" ht="15.75" customHeight="1">
      <c r="A196" s="467"/>
      <c r="B196" s="467"/>
      <c r="C196" s="460"/>
      <c r="D196" s="461"/>
      <c r="E196" s="463"/>
      <c r="F196" s="460"/>
      <c r="G196" s="460"/>
      <c r="H196" s="461"/>
      <c r="I196" s="460"/>
    </row>
    <row r="197" spans="1:10" s="169" customFormat="1" ht="15.75" customHeight="1">
      <c r="A197" s="467"/>
      <c r="B197" s="467"/>
      <c r="C197" s="460"/>
      <c r="D197" s="461"/>
      <c r="E197" s="463"/>
      <c r="F197" s="460"/>
      <c r="G197" s="460"/>
      <c r="H197" s="461"/>
      <c r="I197" s="460"/>
    </row>
    <row r="198" spans="1:10" s="169" customFormat="1" ht="15.75" customHeight="1">
      <c r="A198" s="467"/>
      <c r="B198" s="467"/>
      <c r="C198" s="460"/>
      <c r="D198" s="461"/>
      <c r="E198" s="477"/>
      <c r="F198" s="460"/>
      <c r="G198" s="460"/>
      <c r="H198" s="461"/>
      <c r="I198" s="460"/>
    </row>
    <row r="199" spans="1:10" s="169" customFormat="1" ht="15.75" customHeight="1">
      <c r="A199" s="467"/>
      <c r="B199" s="467"/>
      <c r="C199" s="460"/>
      <c r="D199" s="461"/>
      <c r="E199" s="477"/>
      <c r="F199" s="460"/>
      <c r="G199" s="460"/>
      <c r="H199" s="461"/>
      <c r="I199" s="460"/>
    </row>
    <row r="200" spans="1:10" s="169" customFormat="1" ht="15.75" customHeight="1">
      <c r="A200" s="467"/>
      <c r="B200" s="467"/>
      <c r="C200" s="460"/>
      <c r="D200" s="461"/>
      <c r="E200" s="477"/>
      <c r="F200" s="460"/>
      <c r="G200" s="460"/>
      <c r="H200" s="461"/>
      <c r="I200" s="460"/>
    </row>
    <row r="201" spans="1:10" s="169" customFormat="1" ht="15.75" customHeight="1">
      <c r="A201" s="467"/>
      <c r="B201" s="467"/>
      <c r="C201" s="460"/>
      <c r="D201" s="461"/>
      <c r="E201" s="463"/>
      <c r="F201" s="460"/>
      <c r="G201" s="460"/>
      <c r="H201" s="461"/>
      <c r="I201" s="460"/>
    </row>
    <row r="202" spans="1:10" s="169" customFormat="1" ht="15.75" customHeight="1">
      <c r="A202" s="467"/>
      <c r="B202" s="467"/>
      <c r="C202" s="460"/>
      <c r="D202" s="461"/>
      <c r="E202" s="463"/>
      <c r="F202" s="460"/>
      <c r="G202" s="460"/>
      <c r="H202" s="461"/>
      <c r="I202" s="460"/>
    </row>
    <row r="203" spans="1:10" s="169" customFormat="1" ht="15.75" customHeight="1">
      <c r="A203" s="467"/>
      <c r="B203" s="467"/>
      <c r="C203" s="460"/>
      <c r="D203" s="461"/>
      <c r="E203" s="428"/>
      <c r="F203" s="460"/>
      <c r="G203" s="460"/>
      <c r="H203" s="461"/>
      <c r="I203" s="460"/>
    </row>
    <row r="204" spans="1:10" s="169" customFormat="1" ht="15.75" customHeight="1">
      <c r="A204" s="467"/>
      <c r="B204" s="467"/>
      <c r="C204" s="460"/>
      <c r="D204" s="461"/>
      <c r="E204" s="477"/>
      <c r="F204" s="460"/>
      <c r="G204" s="460"/>
      <c r="H204" s="461"/>
      <c r="I204" s="460"/>
    </row>
    <row r="205" spans="1:10" s="169" customFormat="1" ht="15.75" customHeight="1">
      <c r="A205" s="467"/>
      <c r="B205" s="467"/>
      <c r="C205" s="460"/>
      <c r="D205" s="461"/>
      <c r="E205" s="471"/>
      <c r="F205" s="460"/>
      <c r="G205" s="460"/>
      <c r="H205" s="461"/>
      <c r="I205" s="460"/>
    </row>
    <row r="206" spans="1:10" s="169" customFormat="1" ht="15.75" customHeight="1">
      <c r="A206" s="467"/>
      <c r="B206" s="467"/>
      <c r="C206" s="460"/>
      <c r="D206" s="461"/>
      <c r="E206" s="463"/>
      <c r="F206" s="460"/>
      <c r="G206" s="460"/>
      <c r="H206" s="461"/>
      <c r="I206" s="460"/>
    </row>
    <row r="207" spans="1:10" s="169" customFormat="1" ht="15.75" customHeight="1">
      <c r="A207" s="467"/>
      <c r="B207" s="467"/>
      <c r="C207" s="460"/>
      <c r="D207" s="461"/>
      <c r="E207" s="477"/>
      <c r="F207" s="460"/>
      <c r="G207" s="460"/>
      <c r="H207" s="461"/>
      <c r="I207" s="460"/>
    </row>
    <row r="208" spans="1:10" s="169" customFormat="1" ht="15.75" customHeight="1">
      <c r="A208" s="467"/>
      <c r="B208" s="467"/>
      <c r="C208" s="460"/>
      <c r="D208" s="461"/>
      <c r="E208" s="463"/>
      <c r="F208" s="460"/>
      <c r="G208" s="460"/>
      <c r="H208" s="461"/>
      <c r="I208" s="460"/>
    </row>
    <row r="209" spans="1:9" s="169" customFormat="1" ht="15.75" customHeight="1">
      <c r="A209" s="460"/>
      <c r="B209" s="460"/>
      <c r="C209" s="460"/>
      <c r="D209" s="461"/>
      <c r="E209" s="461"/>
      <c r="F209" s="460"/>
      <c r="G209" s="460"/>
      <c r="H209" s="461"/>
      <c r="I209" s="460"/>
    </row>
    <row r="210" spans="1:9" s="169" customFormat="1" ht="15.75" customHeight="1">
      <c r="A210" s="460"/>
      <c r="B210" s="460"/>
      <c r="C210" s="460"/>
      <c r="D210" s="461"/>
      <c r="E210" s="461"/>
      <c r="F210" s="460"/>
      <c r="G210" s="460"/>
      <c r="H210" s="461"/>
      <c r="I210" s="460"/>
    </row>
    <row r="211" spans="1:9" s="169" customFormat="1" ht="15.75" customHeight="1">
      <c r="A211" s="487"/>
      <c r="B211" s="479"/>
      <c r="C211" s="479"/>
      <c r="D211" s="461"/>
      <c r="E211" s="488"/>
      <c r="F211" s="460"/>
      <c r="G211" s="460"/>
      <c r="H211" s="494"/>
      <c r="I211" s="460"/>
    </row>
    <row r="212" spans="1:9" s="169" customFormat="1" ht="15.75" customHeight="1">
      <c r="A212" s="487"/>
      <c r="B212" s="479"/>
      <c r="C212" s="479"/>
      <c r="D212" s="461"/>
      <c r="E212" s="489"/>
      <c r="F212" s="460"/>
      <c r="G212" s="460"/>
      <c r="H212" s="494"/>
      <c r="I212" s="460"/>
    </row>
    <row r="213" spans="1:9" s="169" customFormat="1" ht="15.75" customHeight="1">
      <c r="A213" s="487"/>
      <c r="B213" s="479"/>
      <c r="C213" s="479"/>
      <c r="D213" s="461"/>
      <c r="E213" s="489"/>
      <c r="F213" s="460"/>
      <c r="G213" s="460"/>
      <c r="H213" s="494"/>
      <c r="I213" s="460"/>
    </row>
    <row r="214" spans="1:9" s="169" customFormat="1" ht="15.75" customHeight="1">
      <c r="A214" s="487"/>
      <c r="B214" s="479"/>
      <c r="C214" s="479"/>
      <c r="D214" s="461"/>
      <c r="E214" s="490"/>
      <c r="F214" s="460"/>
      <c r="G214" s="460"/>
      <c r="H214" s="494"/>
      <c r="I214" s="460"/>
    </row>
    <row r="215" spans="1:9" s="169" customFormat="1" ht="15.75" customHeight="1">
      <c r="A215" s="487"/>
      <c r="B215" s="479"/>
      <c r="C215" s="479"/>
      <c r="D215" s="461"/>
      <c r="E215" s="489"/>
      <c r="F215" s="460"/>
      <c r="G215" s="460"/>
      <c r="H215" s="494"/>
      <c r="I215" s="460"/>
    </row>
    <row r="216" spans="1:9" s="169" customFormat="1" ht="15.75" customHeight="1">
      <c r="A216" s="487"/>
      <c r="B216" s="479"/>
      <c r="C216" s="479"/>
      <c r="D216" s="461"/>
      <c r="E216" s="489"/>
      <c r="F216" s="460"/>
      <c r="G216" s="460"/>
      <c r="H216" s="494"/>
      <c r="I216" s="460"/>
    </row>
    <row r="217" spans="1:9" s="169" customFormat="1" ht="15.75" customHeight="1">
      <c r="A217" s="487"/>
      <c r="B217" s="479"/>
      <c r="C217" s="479"/>
      <c r="D217" s="461"/>
      <c r="E217" s="489"/>
      <c r="F217" s="460"/>
      <c r="G217" s="460"/>
      <c r="H217" s="494"/>
      <c r="I217" s="460"/>
    </row>
    <row r="218" spans="1:9" s="169" customFormat="1" ht="15.75" customHeight="1">
      <c r="A218" s="487"/>
      <c r="B218" s="479"/>
      <c r="C218" s="479"/>
      <c r="D218" s="461"/>
      <c r="E218" s="489"/>
      <c r="F218" s="460"/>
      <c r="G218" s="460"/>
      <c r="H218" s="494"/>
      <c r="I218" s="460"/>
    </row>
    <row r="219" spans="1:9" s="169" customFormat="1" ht="15.75" customHeight="1">
      <c r="A219" s="487"/>
      <c r="B219" s="479"/>
      <c r="C219" s="479"/>
      <c r="D219" s="461"/>
      <c r="E219" s="489"/>
      <c r="F219" s="460"/>
      <c r="G219" s="460"/>
      <c r="H219" s="494"/>
      <c r="I219" s="460"/>
    </row>
    <row r="220" spans="1:9" s="169" customFormat="1" ht="15.75" customHeight="1">
      <c r="A220" s="487"/>
      <c r="B220" s="479"/>
      <c r="C220" s="479"/>
      <c r="D220" s="461"/>
      <c r="E220" s="489"/>
      <c r="F220" s="460"/>
      <c r="G220" s="460"/>
      <c r="H220" s="494"/>
      <c r="I220" s="460"/>
    </row>
    <row r="221" spans="1:9" s="169" customFormat="1" ht="15.75" customHeight="1">
      <c r="A221" s="487"/>
      <c r="B221" s="479"/>
      <c r="C221" s="479"/>
      <c r="D221" s="461"/>
      <c r="E221" s="489"/>
      <c r="F221" s="460"/>
      <c r="G221" s="460"/>
      <c r="H221" s="494"/>
      <c r="I221" s="460"/>
    </row>
    <row r="222" spans="1:9" s="169" customFormat="1" ht="15.75" customHeight="1">
      <c r="A222" s="487"/>
      <c r="B222" s="479"/>
      <c r="C222" s="479"/>
      <c r="D222" s="461"/>
      <c r="E222" s="489"/>
      <c r="F222" s="460"/>
      <c r="G222" s="460"/>
      <c r="H222" s="494"/>
      <c r="I222" s="460"/>
    </row>
    <row r="223" spans="1:9" s="169" customFormat="1" ht="15.75" customHeight="1">
      <c r="A223" s="487"/>
      <c r="B223" s="479"/>
      <c r="C223" s="479"/>
      <c r="D223" s="461"/>
      <c r="E223" s="489"/>
      <c r="F223" s="460"/>
      <c r="G223" s="460"/>
      <c r="H223" s="494"/>
      <c r="I223" s="460"/>
    </row>
    <row r="224" spans="1:9" s="169" customFormat="1" ht="15.75" customHeight="1">
      <c r="A224" s="487"/>
      <c r="B224" s="479"/>
      <c r="C224" s="479"/>
      <c r="D224" s="461"/>
      <c r="E224" s="489"/>
      <c r="F224" s="460"/>
      <c r="G224" s="460"/>
      <c r="H224" s="494"/>
      <c r="I224" s="460"/>
    </row>
    <row r="225" spans="1:9" s="169" customFormat="1" ht="15.75" customHeight="1">
      <c r="A225" s="487"/>
      <c r="B225" s="479"/>
      <c r="C225" s="479"/>
      <c r="D225" s="461"/>
      <c r="E225" s="490"/>
      <c r="F225" s="460"/>
      <c r="G225" s="460"/>
      <c r="H225" s="494"/>
      <c r="I225" s="460"/>
    </row>
    <row r="226" spans="1:9" s="169" customFormat="1" ht="15.75" customHeight="1">
      <c r="A226" s="487"/>
      <c r="B226" s="479"/>
      <c r="C226" s="479"/>
      <c r="D226" s="461"/>
      <c r="E226" s="489"/>
      <c r="F226" s="460"/>
      <c r="G226" s="460"/>
      <c r="H226" s="494"/>
      <c r="I226" s="460"/>
    </row>
    <row r="227" spans="1:9" s="169" customFormat="1" ht="15.75" customHeight="1">
      <c r="A227" s="487"/>
      <c r="B227" s="479"/>
      <c r="C227" s="479"/>
      <c r="D227" s="461"/>
      <c r="E227" s="490"/>
      <c r="F227" s="460"/>
      <c r="G227" s="460"/>
      <c r="H227" s="494"/>
      <c r="I227" s="460"/>
    </row>
    <row r="228" spans="1:9" s="169" customFormat="1" ht="15.75" customHeight="1">
      <c r="A228" s="487"/>
      <c r="B228" s="479"/>
      <c r="C228" s="479"/>
      <c r="D228" s="461"/>
      <c r="E228" s="488"/>
      <c r="F228" s="460"/>
      <c r="G228" s="460"/>
      <c r="H228" s="494"/>
      <c r="I228" s="460"/>
    </row>
    <row r="229" spans="1:9" s="169" customFormat="1" ht="15.75" customHeight="1">
      <c r="A229" s="487"/>
      <c r="B229" s="479"/>
      <c r="C229" s="479"/>
      <c r="D229" s="461"/>
      <c r="E229" s="491"/>
      <c r="F229" s="460"/>
      <c r="G229" s="460"/>
      <c r="H229" s="494"/>
      <c r="I229" s="460"/>
    </row>
    <row r="230" spans="1:9" s="169" customFormat="1" ht="15.75" customHeight="1">
      <c r="A230" s="487"/>
      <c r="B230" s="479"/>
      <c r="C230" s="479"/>
      <c r="D230" s="461"/>
      <c r="E230" s="491"/>
      <c r="F230" s="460"/>
      <c r="G230" s="460"/>
      <c r="H230" s="494"/>
      <c r="I230" s="460"/>
    </row>
    <row r="231" spans="1:9" s="169" customFormat="1" ht="15.75" customHeight="1">
      <c r="A231" s="487"/>
      <c r="B231" s="479"/>
      <c r="C231" s="479"/>
      <c r="D231" s="461"/>
      <c r="E231" s="488"/>
      <c r="F231" s="460"/>
      <c r="G231" s="460"/>
      <c r="H231" s="494"/>
      <c r="I231" s="460"/>
    </row>
    <row r="232" spans="1:9" s="169" customFormat="1" ht="15.75" customHeight="1">
      <c r="A232" s="492"/>
      <c r="B232" s="479"/>
      <c r="C232" s="479"/>
      <c r="D232" s="461"/>
      <c r="E232" s="493"/>
      <c r="F232" s="460"/>
      <c r="G232" s="460"/>
      <c r="H232" s="494"/>
      <c r="I232" s="460"/>
    </row>
    <row r="233" spans="1:9" s="169" customFormat="1" ht="15.75" customHeight="1">
      <c r="A233" s="487"/>
      <c r="B233" s="479"/>
      <c r="C233" s="479"/>
      <c r="D233" s="461"/>
      <c r="E233" s="494"/>
      <c r="F233" s="460"/>
      <c r="G233" s="460"/>
      <c r="H233" s="494"/>
      <c r="I233" s="460"/>
    </row>
    <row r="234" spans="1:9" s="169" customFormat="1" ht="15.75" customHeight="1">
      <c r="A234" s="487"/>
      <c r="B234" s="479"/>
      <c r="C234" s="479"/>
      <c r="D234" s="461"/>
      <c r="E234" s="494"/>
      <c r="F234" s="460"/>
      <c r="G234" s="460"/>
      <c r="H234" s="494"/>
      <c r="I234" s="460"/>
    </row>
    <row r="235" spans="1:9" s="169" customFormat="1" ht="15.75" customHeight="1">
      <c r="A235" s="495"/>
      <c r="B235" s="479"/>
      <c r="C235" s="479"/>
      <c r="D235" s="461"/>
      <c r="E235" s="496"/>
      <c r="F235" s="460"/>
      <c r="G235" s="460"/>
      <c r="H235" s="489"/>
      <c r="I235" s="460"/>
    </row>
    <row r="236" spans="1:9" s="169" customFormat="1" ht="15.75" customHeight="1">
      <c r="A236" s="495"/>
      <c r="B236" s="479"/>
      <c r="C236" s="479"/>
      <c r="D236" s="461"/>
      <c r="E236" s="496"/>
      <c r="F236" s="460"/>
      <c r="G236" s="460"/>
      <c r="H236" s="489"/>
      <c r="I236" s="460"/>
    </row>
    <row r="237" spans="1:9" s="169" customFormat="1" ht="15.75" customHeight="1">
      <c r="A237" s="495"/>
      <c r="B237" s="479"/>
      <c r="C237" s="479"/>
      <c r="D237" s="461"/>
      <c r="E237" s="496"/>
      <c r="F237" s="460"/>
      <c r="G237" s="460"/>
      <c r="H237" s="489"/>
      <c r="I237" s="460"/>
    </row>
    <row r="238" spans="1:9" s="169" customFormat="1" ht="15.75" customHeight="1">
      <c r="A238" s="495"/>
      <c r="B238" s="479"/>
      <c r="C238" s="479"/>
      <c r="D238" s="461"/>
      <c r="E238" s="496"/>
      <c r="F238" s="460"/>
      <c r="G238" s="460"/>
      <c r="H238" s="489"/>
      <c r="I238" s="460"/>
    </row>
    <row r="239" spans="1:9" s="169" customFormat="1" ht="15.75" customHeight="1">
      <c r="A239" s="495"/>
      <c r="B239" s="479"/>
      <c r="C239" s="479"/>
      <c r="D239" s="461"/>
      <c r="E239" s="496"/>
      <c r="F239" s="460"/>
      <c r="G239" s="460"/>
      <c r="H239" s="489"/>
      <c r="I239" s="460"/>
    </row>
    <row r="240" spans="1:9" s="169" customFormat="1" ht="15.75" customHeight="1">
      <c r="A240" s="495"/>
      <c r="B240" s="479"/>
      <c r="C240" s="479"/>
      <c r="D240" s="461"/>
      <c r="E240" s="496"/>
      <c r="F240" s="460"/>
      <c r="G240" s="460"/>
      <c r="H240" s="489"/>
      <c r="I240" s="460"/>
    </row>
    <row r="241" spans="1:9" s="169" customFormat="1" ht="15.75" customHeight="1">
      <c r="A241" s="495"/>
      <c r="B241" s="479"/>
      <c r="C241" s="479"/>
      <c r="D241" s="461"/>
      <c r="E241" s="496"/>
      <c r="F241" s="460"/>
      <c r="G241" s="460"/>
      <c r="H241" s="489"/>
      <c r="I241" s="460"/>
    </row>
    <row r="242" spans="1:9" s="169" customFormat="1" ht="15.75" customHeight="1">
      <c r="A242" s="495"/>
      <c r="B242" s="479"/>
      <c r="C242" s="479"/>
      <c r="D242" s="461"/>
      <c r="E242" s="496"/>
      <c r="F242" s="460"/>
      <c r="G242" s="460"/>
      <c r="H242" s="489"/>
      <c r="I242" s="460"/>
    </row>
    <row r="243" spans="1:9" s="169" customFormat="1" ht="15.75" customHeight="1">
      <c r="A243" s="495"/>
      <c r="B243" s="479"/>
      <c r="C243" s="479"/>
      <c r="D243" s="461"/>
      <c r="E243" s="496"/>
      <c r="F243" s="460"/>
      <c r="G243" s="460"/>
      <c r="H243" s="489"/>
      <c r="I243" s="460"/>
    </row>
    <row r="244" spans="1:9" s="169" customFormat="1" ht="15.75" customHeight="1">
      <c r="A244" s="495"/>
      <c r="B244" s="479"/>
      <c r="C244" s="479"/>
      <c r="D244" s="461"/>
      <c r="E244" s="496"/>
      <c r="F244" s="460"/>
      <c r="G244" s="460"/>
      <c r="H244" s="489"/>
      <c r="I244" s="460"/>
    </row>
    <row r="245" spans="1:9" s="169" customFormat="1" ht="15.75" customHeight="1">
      <c r="A245" s="495"/>
      <c r="B245" s="479"/>
      <c r="C245" s="479"/>
      <c r="D245" s="461"/>
      <c r="E245" s="496"/>
      <c r="F245" s="460"/>
      <c r="G245" s="460"/>
      <c r="H245" s="489"/>
      <c r="I245" s="460"/>
    </row>
    <row r="246" spans="1:9" s="169" customFormat="1" ht="15.75" customHeight="1">
      <c r="A246" s="495"/>
      <c r="B246" s="479"/>
      <c r="C246" s="479"/>
      <c r="D246" s="461"/>
      <c r="E246" s="496"/>
      <c r="F246" s="460"/>
      <c r="G246" s="460"/>
      <c r="H246" s="489"/>
      <c r="I246" s="460"/>
    </row>
    <row r="247" spans="1:9" s="169" customFormat="1" ht="15.75" customHeight="1">
      <c r="A247" s="495"/>
      <c r="B247" s="479"/>
      <c r="C247" s="479"/>
      <c r="D247" s="461"/>
      <c r="E247" s="496"/>
      <c r="F247" s="460"/>
      <c r="G247" s="460"/>
      <c r="H247" s="489"/>
      <c r="I247" s="460"/>
    </row>
    <row r="248" spans="1:9" s="169" customFormat="1" ht="15.75" customHeight="1">
      <c r="A248" s="495"/>
      <c r="B248" s="479"/>
      <c r="C248" s="479"/>
      <c r="D248" s="461"/>
      <c r="E248" s="496"/>
      <c r="F248" s="460"/>
      <c r="G248" s="460"/>
      <c r="H248" s="489"/>
      <c r="I248" s="460"/>
    </row>
    <row r="249" spans="1:9" s="169" customFormat="1" ht="15.75" customHeight="1">
      <c r="A249" s="495"/>
      <c r="B249" s="479"/>
      <c r="C249" s="479"/>
      <c r="D249" s="461"/>
      <c r="E249" s="496"/>
      <c r="F249" s="460"/>
      <c r="G249" s="460"/>
      <c r="H249" s="489"/>
      <c r="I249" s="460"/>
    </row>
    <row r="250" spans="1:9" s="169" customFormat="1" ht="15.75" customHeight="1">
      <c r="A250" s="495"/>
      <c r="B250" s="479"/>
      <c r="C250" s="479"/>
      <c r="D250" s="461"/>
      <c r="E250" s="496"/>
      <c r="F250" s="460"/>
      <c r="G250" s="460"/>
      <c r="H250" s="489"/>
      <c r="I250" s="460"/>
    </row>
    <row r="251" spans="1:9" s="169" customFormat="1" ht="15.75" customHeight="1">
      <c r="A251" s="495"/>
      <c r="B251" s="479"/>
      <c r="C251" s="479"/>
      <c r="D251" s="461"/>
      <c r="E251" s="496"/>
      <c r="F251" s="460"/>
      <c r="G251" s="460"/>
      <c r="H251" s="489"/>
      <c r="I251" s="460"/>
    </row>
    <row r="252" spans="1:9" s="169" customFormat="1" ht="15.75" customHeight="1">
      <c r="A252" s="495"/>
      <c r="B252" s="479"/>
      <c r="C252" s="479"/>
      <c r="D252" s="461"/>
      <c r="E252" s="496"/>
      <c r="F252" s="460"/>
      <c r="G252" s="460"/>
      <c r="H252" s="489"/>
      <c r="I252" s="460"/>
    </row>
    <row r="253" spans="1:9" s="169" customFormat="1" ht="15.75" customHeight="1">
      <c r="A253" s="495"/>
      <c r="B253" s="479"/>
      <c r="C253" s="479"/>
      <c r="D253" s="461"/>
      <c r="E253" s="496"/>
      <c r="F253" s="460"/>
      <c r="G253" s="460"/>
      <c r="H253" s="489"/>
      <c r="I253" s="460"/>
    </row>
    <row r="254" spans="1:9" s="169" customFormat="1" ht="15.75" customHeight="1">
      <c r="A254" s="495"/>
      <c r="B254" s="479"/>
      <c r="C254" s="479"/>
      <c r="D254" s="461"/>
      <c r="E254" s="496"/>
      <c r="F254" s="460"/>
      <c r="G254" s="460"/>
      <c r="H254" s="489"/>
      <c r="I254" s="460"/>
    </row>
    <row r="255" spans="1:9" s="169" customFormat="1" ht="15.75" customHeight="1">
      <c r="A255" s="495"/>
      <c r="B255" s="479"/>
      <c r="C255" s="479"/>
      <c r="D255" s="461"/>
      <c r="E255" s="496"/>
      <c r="F255" s="460"/>
      <c r="G255" s="460"/>
      <c r="H255" s="489"/>
      <c r="I255" s="460"/>
    </row>
    <row r="256" spans="1:9" s="169" customFormat="1" ht="15.75" customHeight="1">
      <c r="A256" s="467"/>
      <c r="B256" s="467"/>
      <c r="C256" s="460"/>
      <c r="D256" s="461"/>
      <c r="E256" s="475"/>
      <c r="F256" s="460"/>
      <c r="G256" s="460"/>
      <c r="H256" s="461"/>
      <c r="I256" s="460"/>
    </row>
    <row r="257" spans="1:9" s="169" customFormat="1" ht="15.75" customHeight="1">
      <c r="A257" s="233"/>
      <c r="B257" s="233"/>
      <c r="C257" s="460"/>
      <c r="D257" s="461"/>
      <c r="E257" s="441"/>
      <c r="F257" s="460"/>
      <c r="G257" s="460"/>
      <c r="H257" s="461"/>
      <c r="I257" s="460"/>
    </row>
    <row r="258" spans="1:9" s="169" customFormat="1" ht="15.75" customHeight="1">
      <c r="A258" s="233"/>
      <c r="B258" s="233"/>
      <c r="C258" s="460"/>
      <c r="D258" s="461"/>
      <c r="E258" s="441"/>
      <c r="F258" s="460"/>
      <c r="G258" s="460"/>
      <c r="H258" s="461"/>
      <c r="I258" s="460"/>
    </row>
    <row r="259" spans="1:9" s="169" customFormat="1" ht="15.75" customHeight="1">
      <c r="A259" s="233"/>
      <c r="B259" s="233"/>
      <c r="C259" s="460"/>
      <c r="D259" s="461"/>
      <c r="E259" s="441"/>
      <c r="F259" s="460"/>
      <c r="G259" s="460"/>
      <c r="H259" s="461"/>
      <c r="I259" s="460"/>
    </row>
    <row r="260" spans="1:9" s="169" customFormat="1" ht="15.75" customHeight="1">
      <c r="A260" s="233"/>
      <c r="B260" s="233"/>
      <c r="C260" s="460"/>
      <c r="D260" s="461"/>
      <c r="E260" s="441"/>
      <c r="F260" s="460"/>
      <c r="G260" s="460"/>
      <c r="H260" s="461"/>
      <c r="I260" s="460"/>
    </row>
    <row r="261" spans="1:9" s="169" customFormat="1" ht="15.75" customHeight="1">
      <c r="A261" s="233"/>
      <c r="B261" s="233"/>
      <c r="C261" s="460"/>
      <c r="D261" s="461"/>
      <c r="E261" s="441"/>
      <c r="F261" s="460"/>
      <c r="G261" s="460"/>
      <c r="H261" s="461"/>
      <c r="I261" s="460"/>
    </row>
    <row r="262" spans="1:9" s="169" customFormat="1" ht="15.75" customHeight="1">
      <c r="A262" s="233"/>
      <c r="B262" s="233"/>
      <c r="C262" s="460"/>
      <c r="D262" s="461"/>
      <c r="E262" s="441"/>
      <c r="F262" s="460"/>
      <c r="G262" s="460"/>
      <c r="H262" s="461"/>
      <c r="I262" s="460"/>
    </row>
    <row r="263" spans="1:9" s="169" customFormat="1" ht="15.75" customHeight="1">
      <c r="A263" s="233"/>
      <c r="B263" s="233"/>
      <c r="C263" s="460"/>
      <c r="D263" s="461"/>
      <c r="E263" s="441"/>
      <c r="F263" s="460"/>
      <c r="G263" s="460"/>
      <c r="H263" s="461"/>
      <c r="I263" s="460"/>
    </row>
    <row r="264" spans="1:9" s="169" customFormat="1" ht="15.75" customHeight="1">
      <c r="A264" s="233"/>
      <c r="B264" s="233"/>
      <c r="C264" s="460"/>
      <c r="D264" s="461"/>
      <c r="E264" s="441"/>
      <c r="F264" s="460"/>
      <c r="G264" s="460"/>
      <c r="H264" s="461"/>
      <c r="I264" s="460"/>
    </row>
    <row r="265" spans="1:9" s="169" customFormat="1" ht="15.75" customHeight="1">
      <c r="A265" s="233"/>
      <c r="B265" s="233"/>
      <c r="C265" s="460"/>
      <c r="D265" s="461"/>
      <c r="E265" s="441"/>
      <c r="F265" s="460"/>
      <c r="G265" s="460"/>
      <c r="H265" s="461"/>
      <c r="I265" s="460"/>
    </row>
    <row r="266" spans="1:9" s="169" customFormat="1" ht="15.75" customHeight="1">
      <c r="A266" s="233"/>
      <c r="B266" s="233"/>
      <c r="C266" s="460"/>
      <c r="D266" s="461"/>
      <c r="E266" s="441"/>
      <c r="F266" s="460"/>
      <c r="G266" s="460"/>
      <c r="H266" s="461"/>
      <c r="I266" s="460"/>
    </row>
    <row r="267" spans="1:9" s="169" customFormat="1" ht="15.75" customHeight="1">
      <c r="A267" s="460"/>
      <c r="B267" s="460"/>
      <c r="C267" s="460"/>
      <c r="D267" s="461"/>
      <c r="E267" s="461"/>
      <c r="F267" s="460"/>
      <c r="G267" s="460"/>
      <c r="H267" s="461"/>
      <c r="I267" s="460"/>
    </row>
    <row r="268" spans="1:9" s="169" customFormat="1" ht="15.75" customHeight="1">
      <c r="A268" s="460"/>
      <c r="B268" s="460"/>
      <c r="C268" s="460"/>
      <c r="D268" s="461"/>
      <c r="E268" s="461"/>
      <c r="F268" s="460"/>
      <c r="G268" s="460"/>
      <c r="H268" s="461"/>
      <c r="I268" s="460"/>
    </row>
    <row r="269" spans="1:9" s="169" customFormat="1" ht="15.75" customHeight="1">
      <c r="A269" s="460"/>
      <c r="B269" s="460"/>
      <c r="C269" s="460"/>
      <c r="D269" s="461"/>
      <c r="E269" s="461"/>
      <c r="F269" s="460"/>
      <c r="G269" s="460"/>
      <c r="H269" s="461"/>
      <c r="I269" s="460"/>
    </row>
    <row r="270" spans="1:9" s="169" customFormat="1" ht="15.75" customHeight="1">
      <c r="A270" s="233"/>
      <c r="B270" s="233"/>
      <c r="C270" s="460"/>
      <c r="D270" s="461"/>
      <c r="E270" s="440"/>
      <c r="F270" s="460"/>
      <c r="G270" s="460"/>
      <c r="H270" s="461"/>
      <c r="I270" s="460"/>
    </row>
    <row r="271" spans="1:9" s="169" customFormat="1" ht="15.75" customHeight="1">
      <c r="A271" s="233"/>
      <c r="B271" s="233"/>
      <c r="C271" s="460"/>
      <c r="D271" s="461"/>
      <c r="E271" s="441"/>
      <c r="F271" s="460"/>
      <c r="G271" s="460"/>
      <c r="H271" s="461"/>
      <c r="I271" s="460"/>
    </row>
    <row r="272" spans="1:9" s="169" customFormat="1" ht="15.75" customHeight="1">
      <c r="A272" s="233"/>
      <c r="B272" s="233"/>
      <c r="C272" s="460"/>
      <c r="D272" s="461"/>
      <c r="E272" s="441"/>
      <c r="F272" s="460"/>
      <c r="G272" s="460"/>
      <c r="H272" s="461"/>
      <c r="I272" s="460"/>
    </row>
    <row r="273" spans="1:9" s="169" customFormat="1" ht="15.75" customHeight="1">
      <c r="A273" s="233"/>
      <c r="B273" s="233"/>
      <c r="C273" s="460"/>
      <c r="D273" s="461"/>
      <c r="E273" s="441"/>
      <c r="F273" s="460"/>
      <c r="G273" s="460"/>
      <c r="H273" s="461"/>
      <c r="I273" s="460"/>
    </row>
    <row r="274" spans="1:9" s="169" customFormat="1" ht="15.75" customHeight="1">
      <c r="A274" s="233"/>
      <c r="B274" s="233"/>
      <c r="C274" s="460"/>
      <c r="D274" s="461"/>
      <c r="E274" s="441"/>
      <c r="F274" s="460"/>
      <c r="G274" s="460"/>
      <c r="H274" s="461"/>
      <c r="I274" s="460"/>
    </row>
    <row r="275" spans="1:9" s="169" customFormat="1" ht="15.75" customHeight="1">
      <c r="A275" s="233"/>
      <c r="B275" s="233"/>
      <c r="C275" s="460"/>
      <c r="D275" s="461"/>
      <c r="E275" s="441"/>
      <c r="F275" s="460"/>
      <c r="G275" s="460"/>
      <c r="H275" s="461"/>
      <c r="I275" s="460"/>
    </row>
    <row r="276" spans="1:9" s="169" customFormat="1" ht="15.75" customHeight="1">
      <c r="A276" s="233"/>
      <c r="B276" s="233"/>
      <c r="C276" s="460"/>
      <c r="D276" s="461"/>
      <c r="E276" s="441"/>
      <c r="F276" s="460"/>
      <c r="G276" s="460"/>
      <c r="H276" s="461"/>
      <c r="I276" s="460"/>
    </row>
    <row r="277" spans="1:9" s="169" customFormat="1" ht="15.75" customHeight="1">
      <c r="A277" s="233"/>
      <c r="B277" s="233"/>
      <c r="C277" s="460"/>
      <c r="D277" s="461"/>
      <c r="E277" s="441"/>
      <c r="F277" s="460"/>
      <c r="G277" s="460"/>
      <c r="H277" s="461"/>
      <c r="I277" s="460"/>
    </row>
    <row r="278" spans="1:9" s="169" customFormat="1" ht="15.75" customHeight="1">
      <c r="A278" s="233"/>
      <c r="B278" s="233"/>
      <c r="C278" s="460"/>
      <c r="D278" s="461"/>
      <c r="E278" s="441"/>
      <c r="F278" s="460"/>
      <c r="G278" s="460"/>
      <c r="H278" s="461"/>
      <c r="I278" s="460"/>
    </row>
    <row r="279" spans="1:9" s="169" customFormat="1" ht="15.75" customHeight="1">
      <c r="A279" s="233"/>
      <c r="B279" s="233"/>
      <c r="C279" s="460"/>
      <c r="D279" s="461"/>
      <c r="E279" s="440"/>
      <c r="F279" s="460"/>
      <c r="G279" s="460"/>
      <c r="H279" s="461"/>
      <c r="I279" s="460"/>
    </row>
    <row r="280" spans="1:9" s="169" customFormat="1" ht="15.75" customHeight="1">
      <c r="A280" s="233"/>
      <c r="B280" s="233"/>
      <c r="C280" s="460"/>
      <c r="D280" s="461"/>
      <c r="E280" s="441"/>
      <c r="F280" s="460"/>
      <c r="G280" s="460"/>
      <c r="H280" s="461"/>
      <c r="I280" s="460"/>
    </row>
    <row r="281" spans="1:9" s="169" customFormat="1" ht="15.75" customHeight="1">
      <c r="A281" s="233"/>
      <c r="B281" s="233"/>
      <c r="C281" s="460"/>
      <c r="D281" s="461"/>
      <c r="E281" s="441"/>
      <c r="F281" s="460"/>
      <c r="G281" s="460"/>
      <c r="H281" s="461"/>
      <c r="I281" s="460"/>
    </row>
    <row r="282" spans="1:9" s="169" customFormat="1" ht="15.75" customHeight="1">
      <c r="A282" s="233"/>
      <c r="B282" s="233"/>
      <c r="C282" s="460"/>
      <c r="D282" s="461"/>
      <c r="E282" s="440"/>
      <c r="F282" s="460"/>
      <c r="G282" s="460"/>
      <c r="H282" s="461"/>
      <c r="I282" s="460"/>
    </row>
    <row r="283" spans="1:9" s="169" customFormat="1" ht="15.75" customHeight="1">
      <c r="A283" s="233"/>
      <c r="B283" s="233"/>
      <c r="C283" s="460"/>
      <c r="D283" s="461"/>
      <c r="E283" s="440"/>
      <c r="F283" s="460"/>
      <c r="G283" s="460"/>
      <c r="H283" s="461"/>
      <c r="I283" s="460"/>
    </row>
    <row r="284" spans="1:9" s="169" customFormat="1" ht="15.75" customHeight="1">
      <c r="A284" s="233"/>
      <c r="B284" s="233"/>
      <c r="C284" s="460"/>
      <c r="D284" s="461"/>
      <c r="E284" s="497"/>
      <c r="F284" s="460"/>
      <c r="G284" s="460"/>
      <c r="H284" s="461"/>
      <c r="I284" s="460"/>
    </row>
    <row r="285" spans="1:9" s="169" customFormat="1" ht="15.75" customHeight="1">
      <c r="A285" s="473"/>
      <c r="B285" s="473"/>
      <c r="C285" s="460"/>
      <c r="D285" s="461"/>
      <c r="E285" s="498"/>
      <c r="F285" s="460"/>
      <c r="G285" s="460"/>
      <c r="H285" s="461"/>
      <c r="I285" s="460"/>
    </row>
    <row r="286" spans="1:9" s="169" customFormat="1" ht="15.75" customHeight="1">
      <c r="A286" s="473"/>
      <c r="B286" s="473"/>
      <c r="C286" s="460"/>
      <c r="D286" s="461"/>
      <c r="E286" s="499"/>
      <c r="F286" s="460"/>
      <c r="G286" s="460"/>
      <c r="H286" s="461"/>
      <c r="I286" s="460"/>
    </row>
    <row r="287" spans="1:9" s="169" customFormat="1" ht="15.75" customHeight="1">
      <c r="A287" s="473"/>
      <c r="B287" s="473"/>
      <c r="C287" s="460"/>
      <c r="D287" s="461"/>
      <c r="E287" s="499"/>
      <c r="F287" s="460"/>
      <c r="G287" s="460"/>
      <c r="H287" s="461"/>
      <c r="I287" s="460"/>
    </row>
    <row r="288" spans="1:9" s="169" customFormat="1" ht="15.75" customHeight="1">
      <c r="A288" s="473"/>
      <c r="B288" s="473"/>
      <c r="C288" s="460"/>
      <c r="D288" s="461"/>
      <c r="E288" s="499"/>
      <c r="F288" s="460"/>
      <c r="G288" s="460"/>
      <c r="H288" s="461"/>
      <c r="I288" s="460"/>
    </row>
    <row r="289" spans="1:9" s="169" customFormat="1" ht="15.75" customHeight="1">
      <c r="A289" s="473"/>
      <c r="B289" s="473"/>
      <c r="C289" s="460"/>
      <c r="D289" s="461"/>
      <c r="E289" s="499"/>
      <c r="F289" s="460"/>
      <c r="G289" s="460"/>
      <c r="H289" s="461"/>
      <c r="I289" s="460"/>
    </row>
    <row r="290" spans="1:9" s="169" customFormat="1" ht="15.75" customHeight="1">
      <c r="A290" s="473"/>
      <c r="B290" s="473"/>
      <c r="C290" s="460"/>
      <c r="D290" s="461"/>
      <c r="E290" s="499"/>
      <c r="F290" s="460"/>
      <c r="G290" s="460"/>
      <c r="H290" s="461"/>
      <c r="I290" s="460"/>
    </row>
    <row r="291" spans="1:9" s="169" customFormat="1" ht="15.75" customHeight="1">
      <c r="A291" s="473"/>
      <c r="B291" s="473"/>
      <c r="C291" s="460"/>
      <c r="D291" s="461"/>
      <c r="E291" s="499"/>
      <c r="F291" s="460"/>
      <c r="G291" s="460"/>
      <c r="H291" s="461"/>
      <c r="I291" s="460"/>
    </row>
    <row r="292" spans="1:9" s="169" customFormat="1" ht="15.75" customHeight="1">
      <c r="A292" s="473"/>
      <c r="B292" s="473"/>
      <c r="C292" s="460"/>
      <c r="D292" s="461"/>
      <c r="E292" s="499"/>
      <c r="F292" s="460"/>
      <c r="G292" s="460"/>
      <c r="H292" s="461"/>
      <c r="I292" s="460"/>
    </row>
    <row r="293" spans="1:9" s="169" customFormat="1" ht="15.75" customHeight="1">
      <c r="A293" s="473"/>
      <c r="B293" s="473"/>
      <c r="C293" s="460"/>
      <c r="D293" s="461"/>
      <c r="E293" s="499"/>
      <c r="F293" s="460"/>
      <c r="G293" s="460"/>
      <c r="H293" s="461"/>
      <c r="I293" s="460"/>
    </row>
    <row r="294" spans="1:9" s="169" customFormat="1" ht="15.75" customHeight="1">
      <c r="A294" s="473"/>
      <c r="B294" s="473"/>
      <c r="C294" s="460"/>
      <c r="D294" s="461"/>
      <c r="E294" s="499"/>
      <c r="F294" s="460"/>
      <c r="G294" s="460"/>
      <c r="H294" s="461"/>
      <c r="I294" s="460"/>
    </row>
    <row r="295" spans="1:9" s="169" customFormat="1" ht="15.75" customHeight="1">
      <c r="A295" s="473"/>
      <c r="B295" s="473"/>
      <c r="C295" s="460"/>
      <c r="D295" s="461"/>
      <c r="E295" s="499"/>
      <c r="F295" s="460"/>
      <c r="G295" s="460"/>
      <c r="H295" s="461"/>
      <c r="I295" s="460"/>
    </row>
    <row r="296" spans="1:9" s="169" customFormat="1" ht="15.75" customHeight="1">
      <c r="A296" s="473"/>
      <c r="B296" s="473"/>
      <c r="C296" s="460"/>
      <c r="D296" s="461"/>
      <c r="E296" s="499"/>
      <c r="F296" s="460"/>
      <c r="G296" s="460"/>
      <c r="H296" s="461"/>
      <c r="I296" s="460"/>
    </row>
    <row r="297" spans="1:9" s="169" customFormat="1" ht="15.75" customHeight="1">
      <c r="A297" s="473"/>
      <c r="B297" s="473"/>
      <c r="C297" s="460"/>
      <c r="D297" s="461"/>
      <c r="E297" s="498"/>
      <c r="F297" s="460"/>
      <c r="G297" s="460"/>
      <c r="H297" s="461"/>
      <c r="I297" s="460"/>
    </row>
    <row r="298" spans="1:9" s="169" customFormat="1" ht="15.75" customHeight="1">
      <c r="A298" s="473"/>
      <c r="B298" s="473"/>
      <c r="C298" s="460"/>
      <c r="D298" s="461"/>
      <c r="E298" s="500"/>
      <c r="F298" s="460"/>
      <c r="G298" s="460"/>
      <c r="H298" s="461"/>
      <c r="I298" s="460"/>
    </row>
    <row r="299" spans="1:9" s="169" customFormat="1" ht="15.75" customHeight="1">
      <c r="A299" s="473"/>
      <c r="B299" s="473"/>
      <c r="C299" s="460"/>
      <c r="D299" s="461"/>
      <c r="E299" s="499"/>
      <c r="F299" s="460"/>
      <c r="G299" s="460"/>
      <c r="H299" s="461"/>
      <c r="I299" s="460"/>
    </row>
    <row r="300" spans="1:9" s="169" customFormat="1" ht="15.75" customHeight="1">
      <c r="A300" s="473"/>
      <c r="B300" s="473"/>
      <c r="C300" s="460"/>
      <c r="D300" s="461"/>
      <c r="E300" s="499"/>
      <c r="F300" s="460"/>
      <c r="G300" s="460"/>
      <c r="H300" s="461"/>
      <c r="I300" s="460"/>
    </row>
    <row r="301" spans="1:9" s="169" customFormat="1" ht="15.75" customHeight="1">
      <c r="A301" s="473"/>
      <c r="B301" s="473"/>
      <c r="C301" s="460"/>
      <c r="D301" s="461"/>
      <c r="E301" s="498"/>
      <c r="F301" s="460"/>
      <c r="G301" s="460"/>
      <c r="H301" s="461"/>
      <c r="I301" s="460"/>
    </row>
    <row r="302" spans="1:9" s="169" customFormat="1" ht="15.75" customHeight="1">
      <c r="A302" s="473"/>
      <c r="B302" s="473"/>
      <c r="C302" s="460"/>
      <c r="D302" s="461"/>
      <c r="E302" s="498"/>
      <c r="F302" s="460"/>
      <c r="G302" s="460"/>
      <c r="H302" s="461"/>
      <c r="I302" s="460"/>
    </row>
    <row r="303" spans="1:9" s="169" customFormat="1" ht="15.75" customHeight="1">
      <c r="A303" s="473"/>
      <c r="B303" s="473"/>
      <c r="C303" s="460"/>
      <c r="D303" s="461"/>
      <c r="E303" s="498"/>
      <c r="F303" s="460"/>
      <c r="G303" s="460"/>
      <c r="H303" s="461"/>
      <c r="I303" s="460"/>
    </row>
    <row r="304" spans="1:9" s="169" customFormat="1" ht="15.75" customHeight="1">
      <c r="A304" s="473"/>
      <c r="B304" s="473"/>
      <c r="C304" s="460"/>
      <c r="D304" s="461"/>
      <c r="E304" s="498"/>
      <c r="F304" s="460"/>
      <c r="G304" s="460"/>
      <c r="H304" s="461"/>
      <c r="I304" s="460"/>
    </row>
    <row r="305" spans="1:9" s="169" customFormat="1" ht="15.75" customHeight="1">
      <c r="A305" s="473"/>
      <c r="B305" s="473"/>
      <c r="C305" s="460"/>
      <c r="D305" s="461"/>
      <c r="E305" s="499"/>
      <c r="F305" s="460"/>
      <c r="G305" s="460"/>
      <c r="H305" s="461"/>
      <c r="I305" s="460"/>
    </row>
    <row r="306" spans="1:9" s="169" customFormat="1" ht="15.75" customHeight="1">
      <c r="A306" s="473"/>
      <c r="B306" s="473"/>
      <c r="C306" s="460"/>
      <c r="D306" s="461"/>
      <c r="E306" s="499"/>
      <c r="F306" s="460"/>
      <c r="G306" s="460"/>
      <c r="H306" s="461"/>
      <c r="I306" s="460"/>
    </row>
    <row r="307" spans="1:9" s="169" customFormat="1" ht="15.75" customHeight="1">
      <c r="A307" s="473"/>
      <c r="B307" s="473"/>
      <c r="C307" s="460"/>
      <c r="D307" s="461"/>
      <c r="E307" s="499"/>
      <c r="F307" s="460"/>
      <c r="G307" s="460"/>
      <c r="H307" s="461"/>
      <c r="I307" s="460"/>
    </row>
    <row r="308" spans="1:9" s="169" customFormat="1" ht="15.75" customHeight="1">
      <c r="A308" s="473"/>
      <c r="B308" s="473"/>
      <c r="C308" s="460"/>
      <c r="D308" s="461"/>
      <c r="E308" s="499"/>
      <c r="F308" s="460"/>
      <c r="G308" s="460"/>
      <c r="H308" s="461"/>
      <c r="I308" s="460"/>
    </row>
    <row r="309" spans="1:9" s="169" customFormat="1" ht="15.75" customHeight="1">
      <c r="A309" s="473"/>
      <c r="B309" s="473"/>
      <c r="C309" s="460"/>
      <c r="D309" s="461"/>
      <c r="E309" s="499"/>
      <c r="F309" s="460"/>
      <c r="G309" s="460"/>
      <c r="H309" s="461"/>
      <c r="I309" s="460"/>
    </row>
    <row r="310" spans="1:9" s="169" customFormat="1" ht="15.75" customHeight="1">
      <c r="A310" s="473"/>
      <c r="B310" s="473"/>
      <c r="C310" s="460"/>
      <c r="D310" s="461"/>
      <c r="E310" s="499"/>
      <c r="F310" s="460"/>
      <c r="G310" s="460"/>
      <c r="H310" s="461"/>
      <c r="I310" s="460"/>
    </row>
    <row r="311" spans="1:9" s="169" customFormat="1" ht="15.75" customHeight="1">
      <c r="A311" s="473"/>
      <c r="B311" s="473"/>
      <c r="C311" s="460"/>
      <c r="D311" s="461"/>
      <c r="E311" s="498"/>
      <c r="F311" s="460"/>
      <c r="G311" s="460"/>
      <c r="H311" s="461"/>
      <c r="I311" s="460"/>
    </row>
    <row r="312" spans="1:9" s="169" customFormat="1" ht="15.75" customHeight="1">
      <c r="A312" s="473"/>
      <c r="B312" s="473"/>
      <c r="C312" s="460"/>
      <c r="D312" s="461"/>
      <c r="E312" s="499"/>
      <c r="F312" s="460"/>
      <c r="G312" s="460"/>
      <c r="H312" s="461"/>
      <c r="I312" s="460"/>
    </row>
    <row r="313" spans="1:9" s="169" customFormat="1" ht="15.75" customHeight="1">
      <c r="A313" s="473"/>
      <c r="B313" s="473"/>
      <c r="C313" s="460"/>
      <c r="D313" s="461"/>
      <c r="E313" s="499"/>
      <c r="F313" s="460"/>
      <c r="G313" s="460"/>
      <c r="H313" s="461"/>
      <c r="I313" s="460"/>
    </row>
    <row r="314" spans="1:9" s="169" customFormat="1" ht="15.75" customHeight="1">
      <c r="A314" s="501"/>
      <c r="B314" s="501"/>
      <c r="C314" s="460"/>
      <c r="D314" s="461"/>
      <c r="E314" s="498"/>
      <c r="F314" s="460"/>
      <c r="G314" s="460"/>
      <c r="H314" s="461"/>
      <c r="I314" s="460"/>
    </row>
    <row r="315" spans="1:9" s="169" customFormat="1" ht="15.75" customHeight="1">
      <c r="A315" s="473"/>
      <c r="B315" s="473"/>
      <c r="C315" s="460"/>
      <c r="D315" s="461"/>
      <c r="E315" s="500"/>
      <c r="F315" s="460"/>
      <c r="G315" s="460"/>
      <c r="H315" s="461"/>
      <c r="I315" s="460"/>
    </row>
    <row r="316" spans="1:9" s="169" customFormat="1" ht="15.75" customHeight="1">
      <c r="A316" s="473"/>
      <c r="B316" s="473"/>
      <c r="C316" s="460"/>
      <c r="D316" s="461"/>
      <c r="E316" s="500"/>
      <c r="F316" s="460"/>
      <c r="G316" s="460"/>
      <c r="H316" s="461"/>
      <c r="I316" s="460"/>
    </row>
    <row r="317" spans="1:9" s="169" customFormat="1" ht="15.75" customHeight="1">
      <c r="A317" s="473"/>
      <c r="B317" s="473"/>
      <c r="C317" s="460"/>
      <c r="D317" s="461"/>
      <c r="E317" s="461"/>
      <c r="F317" s="460"/>
      <c r="G317" s="460"/>
      <c r="H317" s="461"/>
      <c r="I317" s="460"/>
    </row>
    <row r="318" spans="1:9" s="169" customFormat="1" ht="15.75" customHeight="1">
      <c r="A318" s="473"/>
      <c r="B318" s="473"/>
      <c r="C318" s="460"/>
      <c r="D318" s="461"/>
      <c r="E318" s="461"/>
      <c r="F318" s="460"/>
      <c r="G318" s="460"/>
      <c r="H318" s="461"/>
      <c r="I318" s="460"/>
    </row>
    <row r="319" spans="1:9" s="169" customFormat="1" ht="15.75" customHeight="1">
      <c r="A319" s="473"/>
      <c r="B319" s="473"/>
      <c r="C319" s="460"/>
      <c r="D319" s="461"/>
      <c r="E319" s="461"/>
      <c r="F319" s="460"/>
      <c r="G319" s="460"/>
      <c r="H319" s="461"/>
      <c r="I319" s="460"/>
    </row>
    <row r="320" spans="1:9" s="169" customFormat="1" ht="15.75" customHeight="1">
      <c r="A320" s="473"/>
      <c r="B320" s="473"/>
      <c r="C320" s="460"/>
      <c r="D320" s="461"/>
      <c r="E320" s="254"/>
      <c r="F320" s="460"/>
      <c r="G320" s="460"/>
      <c r="H320" s="461"/>
      <c r="I320" s="460"/>
    </row>
    <row r="321" spans="1:9" s="169" customFormat="1" ht="15.75" customHeight="1">
      <c r="A321" s="473"/>
      <c r="B321" s="473"/>
      <c r="C321" s="460"/>
      <c r="D321" s="461"/>
      <c r="E321" s="461"/>
      <c r="F321" s="460"/>
      <c r="G321" s="460"/>
      <c r="H321" s="461"/>
      <c r="I321" s="460"/>
    </row>
    <row r="322" spans="1:9" s="169" customFormat="1" ht="15.75" customHeight="1">
      <c r="A322" s="473"/>
      <c r="B322" s="473"/>
      <c r="C322" s="460"/>
      <c r="D322" s="461"/>
      <c r="E322" s="461"/>
      <c r="F322" s="460"/>
      <c r="G322" s="460"/>
      <c r="H322" s="461"/>
      <c r="I322" s="460"/>
    </row>
    <row r="323" spans="1:9" s="169" customFormat="1" ht="15.75" customHeight="1">
      <c r="A323" s="473"/>
      <c r="B323" s="473"/>
      <c r="C323" s="460"/>
      <c r="D323" s="461"/>
      <c r="E323" s="461"/>
      <c r="F323" s="460"/>
      <c r="G323" s="460"/>
      <c r="H323" s="461"/>
      <c r="I323" s="460"/>
    </row>
    <row r="324" spans="1:9" s="169" customFormat="1" ht="15.75" customHeight="1">
      <c r="A324" s="473"/>
      <c r="B324" s="473"/>
      <c r="C324" s="460"/>
      <c r="D324" s="461"/>
      <c r="E324" s="502"/>
      <c r="F324" s="460"/>
      <c r="G324" s="460"/>
      <c r="H324" s="461"/>
      <c r="I324" s="460"/>
    </row>
    <row r="325" spans="1:9" s="169" customFormat="1" ht="15.75" customHeight="1">
      <c r="A325" s="473"/>
      <c r="B325" s="473"/>
      <c r="C325" s="460"/>
      <c r="D325" s="461"/>
      <c r="E325" s="502"/>
      <c r="F325" s="460"/>
      <c r="G325" s="460"/>
      <c r="H325" s="461"/>
      <c r="I325" s="460"/>
    </row>
    <row r="326" spans="1:9" s="169" customFormat="1" ht="15.75" customHeight="1">
      <c r="A326" s="473"/>
      <c r="B326" s="473"/>
      <c r="C326" s="460"/>
      <c r="D326" s="461"/>
      <c r="E326" s="502"/>
      <c r="F326" s="460"/>
      <c r="G326" s="460"/>
      <c r="H326" s="461"/>
      <c r="I326" s="460"/>
    </row>
    <row r="327" spans="1:9" s="169" customFormat="1" ht="15.75" customHeight="1">
      <c r="A327" s="473"/>
      <c r="B327" s="473"/>
      <c r="C327" s="460"/>
      <c r="D327" s="461"/>
      <c r="E327" s="502"/>
      <c r="F327" s="460"/>
      <c r="G327" s="460"/>
      <c r="H327" s="461"/>
      <c r="I327" s="460"/>
    </row>
    <row r="328" spans="1:9" s="169" customFormat="1" ht="15.75" customHeight="1">
      <c r="A328" s="473"/>
      <c r="B328" s="473"/>
      <c r="C328" s="460"/>
      <c r="D328" s="461"/>
      <c r="E328" s="232"/>
      <c r="F328" s="460"/>
      <c r="G328" s="460"/>
      <c r="H328" s="461"/>
      <c r="I328" s="460"/>
    </row>
    <row r="329" spans="1:9" s="169" customFormat="1" ht="15.75" customHeight="1">
      <c r="A329" s="473"/>
      <c r="B329" s="473"/>
      <c r="C329" s="460"/>
      <c r="D329" s="461"/>
      <c r="E329" s="502"/>
      <c r="F329" s="460"/>
      <c r="G329" s="460"/>
      <c r="H329" s="461"/>
      <c r="I329" s="460"/>
    </row>
    <row r="330" spans="1:9" s="169" customFormat="1" ht="15.75" customHeight="1">
      <c r="A330" s="473"/>
      <c r="B330" s="473"/>
      <c r="C330" s="460"/>
      <c r="D330" s="461"/>
      <c r="E330" s="502"/>
      <c r="F330" s="460"/>
      <c r="G330" s="460"/>
      <c r="H330" s="461"/>
      <c r="I330" s="460"/>
    </row>
    <row r="331" spans="1:9" s="169" customFormat="1" ht="15.75" customHeight="1">
      <c r="A331" s="473"/>
      <c r="B331" s="473"/>
      <c r="C331" s="460"/>
      <c r="D331" s="461"/>
      <c r="E331" s="502"/>
      <c r="F331" s="460"/>
      <c r="G331" s="460"/>
      <c r="H331" s="461"/>
      <c r="I331" s="460"/>
    </row>
    <row r="332" spans="1:9" s="169" customFormat="1" ht="15.75" customHeight="1">
      <c r="A332" s="473"/>
      <c r="B332" s="473"/>
      <c r="C332" s="460"/>
      <c r="D332" s="461"/>
      <c r="E332" s="502"/>
      <c r="F332" s="460"/>
      <c r="G332" s="460"/>
      <c r="H332" s="461"/>
      <c r="I332" s="460"/>
    </row>
    <row r="333" spans="1:9" s="169" customFormat="1" ht="15.75" customHeight="1">
      <c r="A333" s="473"/>
      <c r="B333" s="473"/>
      <c r="C333" s="460"/>
      <c r="D333" s="461"/>
      <c r="E333" s="503"/>
      <c r="F333" s="460"/>
      <c r="G333" s="460"/>
      <c r="H333" s="461"/>
      <c r="I333" s="460"/>
    </row>
    <row r="334" spans="1:9" s="169" customFormat="1" ht="15.75" customHeight="1">
      <c r="A334" s="473"/>
      <c r="B334" s="473"/>
      <c r="C334" s="460"/>
      <c r="D334" s="461"/>
      <c r="E334" s="502"/>
      <c r="F334" s="460"/>
      <c r="G334" s="460"/>
      <c r="H334" s="461"/>
      <c r="I334" s="460"/>
    </row>
    <row r="335" spans="1:9" s="169" customFormat="1" ht="15.75" customHeight="1">
      <c r="A335" s="504"/>
      <c r="B335" s="504"/>
      <c r="C335" s="460"/>
      <c r="D335" s="461"/>
      <c r="E335" s="439"/>
      <c r="F335" s="460"/>
      <c r="G335" s="460"/>
      <c r="H335" s="461"/>
      <c r="I335" s="460"/>
    </row>
    <row r="336" spans="1:9" s="169" customFormat="1" ht="15.75" customHeight="1">
      <c r="A336" s="459"/>
      <c r="B336" s="459"/>
      <c r="C336" s="460"/>
      <c r="D336" s="461"/>
      <c r="E336" s="503"/>
      <c r="F336" s="460"/>
      <c r="G336" s="460"/>
      <c r="H336" s="461"/>
      <c r="I336" s="460"/>
    </row>
    <row r="337" spans="1:9" s="169" customFormat="1" ht="15.75" customHeight="1">
      <c r="A337" s="459"/>
      <c r="B337" s="459"/>
      <c r="C337" s="460"/>
      <c r="D337" s="461"/>
      <c r="E337" s="254"/>
      <c r="F337" s="460"/>
      <c r="G337" s="460"/>
      <c r="H337" s="461"/>
      <c r="I337" s="460"/>
    </row>
    <row r="338" spans="1:9" s="169" customFormat="1" ht="15.75" customHeight="1">
      <c r="A338" s="459"/>
      <c r="B338" s="459"/>
      <c r="C338" s="460"/>
      <c r="D338" s="461"/>
      <c r="E338" s="503"/>
      <c r="F338" s="460"/>
      <c r="G338" s="460"/>
      <c r="H338" s="461"/>
      <c r="I338" s="460"/>
    </row>
    <row r="339" spans="1:9" s="169" customFormat="1" ht="15.75" customHeight="1">
      <c r="A339" s="468"/>
      <c r="B339" s="468"/>
      <c r="C339" s="460"/>
      <c r="D339" s="461"/>
      <c r="E339" s="502"/>
      <c r="F339" s="460"/>
      <c r="G339" s="460"/>
      <c r="H339" s="461"/>
      <c r="I339" s="460"/>
    </row>
    <row r="340" spans="1:9" s="169" customFormat="1" ht="15.75" customHeight="1">
      <c r="A340" s="468"/>
      <c r="B340" s="468"/>
      <c r="C340" s="460"/>
      <c r="D340" s="461"/>
      <c r="E340" s="502"/>
      <c r="F340" s="460"/>
      <c r="G340" s="460"/>
      <c r="H340" s="461"/>
      <c r="I340" s="460"/>
    </row>
    <row r="341" spans="1:9" s="169" customFormat="1" ht="15.75" customHeight="1">
      <c r="A341" s="468"/>
      <c r="B341" s="468"/>
      <c r="C341" s="460"/>
      <c r="D341" s="461"/>
      <c r="E341" s="505"/>
      <c r="F341" s="460"/>
      <c r="G341" s="460"/>
      <c r="H341" s="461"/>
      <c r="I341" s="460"/>
    </row>
    <row r="342" spans="1:9" s="169" customFormat="1" ht="15.75" customHeight="1">
      <c r="A342" s="233"/>
      <c r="B342" s="233"/>
      <c r="C342" s="460"/>
      <c r="D342" s="461"/>
      <c r="E342" s="441"/>
      <c r="F342" s="460"/>
      <c r="G342" s="460"/>
      <c r="H342" s="461"/>
      <c r="I342" s="460"/>
    </row>
    <row r="343" spans="1:9" s="169" customFormat="1" ht="15.75" customHeight="1">
      <c r="A343" s="233"/>
      <c r="B343" s="233"/>
      <c r="C343" s="460"/>
      <c r="D343" s="461"/>
      <c r="E343" s="441"/>
      <c r="F343" s="460"/>
      <c r="G343" s="460"/>
      <c r="H343" s="461"/>
      <c r="I343" s="460"/>
    </row>
    <row r="344" spans="1:9" s="169" customFormat="1" ht="15.75" customHeight="1">
      <c r="A344" s="233"/>
      <c r="B344" s="233"/>
      <c r="C344" s="460"/>
      <c r="D344" s="461"/>
      <c r="E344" s="441"/>
      <c r="F344" s="460"/>
      <c r="G344" s="460"/>
      <c r="H344" s="461"/>
      <c r="I344" s="460"/>
    </row>
    <row r="345" spans="1:9" s="169" customFormat="1" ht="15.75" customHeight="1">
      <c r="A345" s="233"/>
      <c r="B345" s="233"/>
      <c r="C345" s="460"/>
      <c r="D345" s="461"/>
      <c r="E345" s="441"/>
      <c r="F345" s="460"/>
      <c r="G345" s="460"/>
      <c r="H345" s="461"/>
      <c r="I345" s="460"/>
    </row>
    <row r="346" spans="1:9" s="169" customFormat="1" ht="15.75" customHeight="1">
      <c r="A346" s="233"/>
      <c r="B346" s="233"/>
      <c r="C346" s="460"/>
      <c r="D346" s="461"/>
      <c r="E346" s="441"/>
      <c r="F346" s="460"/>
      <c r="G346" s="460"/>
      <c r="H346" s="461"/>
      <c r="I346" s="460"/>
    </row>
    <row r="347" spans="1:9" s="169" customFormat="1" ht="15.75" customHeight="1">
      <c r="A347" s="233"/>
      <c r="B347" s="233"/>
      <c r="C347" s="460"/>
      <c r="D347" s="461"/>
      <c r="E347" s="441"/>
      <c r="F347" s="460"/>
      <c r="G347" s="460"/>
      <c r="H347" s="461"/>
      <c r="I347" s="460"/>
    </row>
    <row r="348" spans="1:9" s="169" customFormat="1" ht="15.75" customHeight="1">
      <c r="A348" s="233"/>
      <c r="B348" s="233"/>
      <c r="C348" s="460"/>
      <c r="D348" s="461"/>
      <c r="E348" s="441"/>
      <c r="F348" s="460"/>
      <c r="G348" s="460"/>
      <c r="H348" s="461"/>
      <c r="I348" s="460"/>
    </row>
    <row r="349" spans="1:9" s="169" customFormat="1" ht="15.75" customHeight="1">
      <c r="A349" s="233"/>
      <c r="B349" s="233"/>
      <c r="C349" s="460"/>
      <c r="D349" s="461"/>
      <c r="E349" s="441"/>
      <c r="F349" s="460"/>
      <c r="G349" s="460"/>
      <c r="H349" s="461"/>
      <c r="I349" s="460"/>
    </row>
    <row r="350" spans="1:9" s="169" customFormat="1" ht="15.75" customHeight="1">
      <c r="A350" s="233"/>
      <c r="B350" s="233"/>
      <c r="C350" s="460"/>
      <c r="D350" s="461"/>
      <c r="E350" s="441"/>
      <c r="F350" s="460"/>
      <c r="G350" s="460"/>
      <c r="H350" s="461"/>
      <c r="I350" s="460"/>
    </row>
    <row r="351" spans="1:9" s="169" customFormat="1" ht="15.75" customHeight="1">
      <c r="A351" s="233"/>
      <c r="B351" s="233"/>
      <c r="C351" s="460"/>
      <c r="D351" s="461"/>
      <c r="E351" s="441"/>
      <c r="F351" s="460"/>
      <c r="G351" s="460"/>
      <c r="H351" s="461"/>
      <c r="I351" s="460"/>
    </row>
    <row r="352" spans="1:9" s="169" customFormat="1" ht="15.75" customHeight="1">
      <c r="A352" s="233"/>
      <c r="B352" s="233"/>
      <c r="C352" s="460"/>
      <c r="D352" s="461"/>
      <c r="E352" s="440"/>
      <c r="F352" s="460"/>
      <c r="G352" s="460"/>
      <c r="H352" s="461"/>
      <c r="I352" s="460"/>
    </row>
    <row r="353" spans="1:9" s="169" customFormat="1" ht="15.75" customHeight="1">
      <c r="A353" s="233"/>
      <c r="B353" s="233"/>
      <c r="C353" s="460"/>
      <c r="D353" s="461"/>
      <c r="E353" s="440"/>
      <c r="F353" s="460"/>
      <c r="G353" s="460"/>
      <c r="H353" s="461"/>
      <c r="I353" s="460"/>
    </row>
    <row r="354" spans="1:9" s="169" customFormat="1" ht="15.75" customHeight="1">
      <c r="A354" s="233"/>
      <c r="B354" s="233"/>
      <c r="C354" s="460"/>
      <c r="D354" s="461"/>
      <c r="E354" s="440"/>
      <c r="F354" s="460"/>
      <c r="G354" s="460"/>
      <c r="H354" s="461"/>
      <c r="I354" s="460"/>
    </row>
    <row r="355" spans="1:9" s="169" customFormat="1" ht="15.75" customHeight="1">
      <c r="A355" s="233"/>
      <c r="B355" s="233"/>
      <c r="C355" s="460"/>
      <c r="D355" s="461"/>
      <c r="E355" s="440"/>
      <c r="F355" s="460"/>
      <c r="G355" s="460"/>
      <c r="H355" s="461"/>
      <c r="I355" s="460"/>
    </row>
    <row r="356" spans="1:9" s="169" customFormat="1" ht="15.75" customHeight="1">
      <c r="A356" s="233"/>
      <c r="B356" s="233"/>
      <c r="C356" s="460"/>
      <c r="D356" s="461"/>
      <c r="E356" s="440"/>
      <c r="F356" s="460"/>
      <c r="G356" s="460"/>
      <c r="H356" s="461"/>
      <c r="I356" s="460"/>
    </row>
    <row r="357" spans="1:9" s="169" customFormat="1" ht="15.75" customHeight="1">
      <c r="A357" s="233"/>
      <c r="B357" s="233"/>
      <c r="C357" s="460"/>
      <c r="D357" s="461"/>
      <c r="E357" s="441"/>
      <c r="F357" s="460"/>
      <c r="G357" s="460"/>
      <c r="H357" s="461"/>
      <c r="I357" s="460"/>
    </row>
    <row r="358" spans="1:9" s="169" customFormat="1" ht="15.75" customHeight="1">
      <c r="A358" s="233"/>
      <c r="B358" s="233"/>
      <c r="C358" s="460"/>
      <c r="D358" s="461"/>
      <c r="E358" s="441"/>
      <c r="F358" s="460"/>
      <c r="G358" s="460"/>
      <c r="H358" s="461"/>
      <c r="I358" s="460"/>
    </row>
    <row r="359" spans="1:9" s="169" customFormat="1" ht="15.75" customHeight="1">
      <c r="A359" s="460"/>
      <c r="B359" s="460"/>
      <c r="C359" s="460"/>
      <c r="D359" s="461"/>
      <c r="E359" s="461"/>
      <c r="F359" s="460"/>
      <c r="G359" s="460"/>
      <c r="H359" s="461"/>
      <c r="I359" s="460"/>
    </row>
    <row r="360" spans="1:9" s="169" customFormat="1" ht="15.75" customHeight="1">
      <c r="A360" s="506"/>
      <c r="B360" s="506"/>
      <c r="C360" s="460"/>
      <c r="D360" s="461"/>
      <c r="E360" s="507"/>
      <c r="F360" s="460"/>
      <c r="G360" s="460"/>
      <c r="H360" s="461"/>
      <c r="I360" s="460"/>
    </row>
    <row r="361" spans="1:9" s="169" customFormat="1" ht="15.75" customHeight="1">
      <c r="A361" s="506"/>
      <c r="B361" s="506"/>
      <c r="C361" s="460"/>
      <c r="D361" s="461"/>
      <c r="E361" s="508"/>
      <c r="F361" s="460"/>
      <c r="G361" s="460"/>
      <c r="H361" s="461"/>
      <c r="I361" s="460"/>
    </row>
    <row r="362" spans="1:9" s="169" customFormat="1" ht="15.75" customHeight="1">
      <c r="A362" s="506"/>
      <c r="B362" s="506"/>
      <c r="C362" s="460"/>
      <c r="D362" s="461"/>
      <c r="E362" s="508"/>
      <c r="F362" s="460"/>
      <c r="G362" s="460"/>
      <c r="H362" s="461"/>
      <c r="I362" s="460"/>
    </row>
    <row r="363" spans="1:9" s="169" customFormat="1" ht="15.75" customHeight="1">
      <c r="A363" s="506"/>
      <c r="B363" s="506"/>
      <c r="C363" s="460"/>
      <c r="D363" s="461"/>
      <c r="E363" s="508"/>
      <c r="F363" s="460"/>
      <c r="G363" s="460"/>
      <c r="H363" s="461"/>
      <c r="I363" s="460"/>
    </row>
    <row r="364" spans="1:9" s="169" customFormat="1" ht="15.75" customHeight="1">
      <c r="A364" s="509"/>
      <c r="B364" s="509"/>
      <c r="C364" s="460"/>
      <c r="D364" s="461"/>
      <c r="E364" s="508"/>
      <c r="F364" s="460"/>
      <c r="G364" s="460"/>
      <c r="H364" s="461"/>
      <c r="I364" s="460"/>
    </row>
    <row r="365" spans="1:9" s="169" customFormat="1" ht="15.75" customHeight="1">
      <c r="A365" s="506"/>
      <c r="B365" s="506"/>
      <c r="C365" s="460"/>
      <c r="D365" s="461"/>
      <c r="E365" s="507"/>
      <c r="F365" s="460"/>
      <c r="G365" s="460"/>
      <c r="H365" s="461"/>
      <c r="I365" s="460"/>
    </row>
    <row r="366" spans="1:9" s="169" customFormat="1" ht="15.75" customHeight="1">
      <c r="A366" s="506"/>
      <c r="B366" s="506"/>
      <c r="C366" s="460"/>
      <c r="D366" s="461"/>
      <c r="E366" s="508"/>
      <c r="F366" s="460"/>
      <c r="G366" s="460"/>
      <c r="H366" s="461"/>
      <c r="I366" s="460"/>
    </row>
    <row r="367" spans="1:9" s="169" customFormat="1" ht="15.75" customHeight="1">
      <c r="A367" s="506"/>
      <c r="B367" s="506"/>
      <c r="C367" s="460"/>
      <c r="D367" s="461"/>
      <c r="E367" s="508"/>
      <c r="F367" s="460"/>
      <c r="G367" s="460"/>
      <c r="H367" s="461"/>
      <c r="I367" s="460"/>
    </row>
    <row r="368" spans="1:9" s="169" customFormat="1" ht="15.75" customHeight="1">
      <c r="A368" s="506"/>
      <c r="B368" s="506"/>
      <c r="C368" s="460"/>
      <c r="D368" s="461"/>
      <c r="E368" s="507"/>
      <c r="F368" s="460"/>
      <c r="G368" s="460"/>
      <c r="H368" s="461"/>
      <c r="I368" s="460"/>
    </row>
    <row r="369" spans="1:9" s="169" customFormat="1" ht="15.75" customHeight="1">
      <c r="A369" s="506"/>
      <c r="B369" s="506"/>
      <c r="C369" s="460"/>
      <c r="D369" s="461"/>
      <c r="E369" s="508"/>
      <c r="F369" s="460"/>
      <c r="G369" s="460"/>
      <c r="H369" s="461"/>
      <c r="I369" s="460"/>
    </row>
    <row r="370" spans="1:9" s="169" customFormat="1" ht="15.75" customHeight="1">
      <c r="A370" s="506"/>
      <c r="B370" s="506"/>
      <c r="C370" s="460"/>
      <c r="D370" s="461"/>
      <c r="E370" s="508"/>
      <c r="F370" s="460"/>
      <c r="G370" s="460"/>
      <c r="H370" s="461"/>
      <c r="I370" s="460"/>
    </row>
    <row r="371" spans="1:9" s="169" customFormat="1" ht="15.75" customHeight="1">
      <c r="A371" s="506"/>
      <c r="B371" s="506"/>
      <c r="C371" s="460"/>
      <c r="D371" s="461"/>
      <c r="E371" s="497"/>
      <c r="F371" s="460"/>
      <c r="G371" s="460"/>
      <c r="H371" s="461"/>
      <c r="I371" s="460"/>
    </row>
    <row r="372" spans="1:9" s="169" customFormat="1" ht="15.75" customHeight="1">
      <c r="A372" s="506"/>
      <c r="B372" s="506"/>
      <c r="C372" s="460"/>
      <c r="D372" s="461"/>
      <c r="E372" s="508"/>
      <c r="F372" s="460"/>
      <c r="G372" s="460"/>
      <c r="H372" s="461"/>
      <c r="I372" s="460"/>
    </row>
    <row r="373" spans="1:9" s="169" customFormat="1" ht="15.75" customHeight="1">
      <c r="A373" s="506"/>
      <c r="B373" s="506"/>
      <c r="C373" s="460"/>
      <c r="D373" s="461"/>
      <c r="E373" s="507"/>
      <c r="F373" s="460"/>
      <c r="G373" s="460"/>
      <c r="H373" s="461"/>
      <c r="I373" s="460"/>
    </row>
    <row r="374" spans="1:9" s="169" customFormat="1" ht="15.75" customHeight="1">
      <c r="A374" s="506"/>
      <c r="B374" s="506"/>
      <c r="C374" s="460"/>
      <c r="D374" s="461"/>
      <c r="E374" s="508"/>
      <c r="F374" s="460"/>
      <c r="G374" s="460"/>
      <c r="H374" s="461"/>
      <c r="I374" s="460"/>
    </row>
    <row r="375" spans="1:9" s="169" customFormat="1" ht="15.75" customHeight="1">
      <c r="A375" s="506"/>
      <c r="B375" s="506"/>
      <c r="C375" s="460"/>
      <c r="D375" s="461"/>
      <c r="E375" s="507"/>
      <c r="F375" s="460"/>
      <c r="G375" s="460"/>
      <c r="H375" s="461"/>
      <c r="I375" s="460"/>
    </row>
    <row r="376" spans="1:9" s="169" customFormat="1" ht="15.75" customHeight="1">
      <c r="A376" s="506"/>
      <c r="B376" s="506"/>
      <c r="C376" s="460"/>
      <c r="D376" s="461"/>
      <c r="E376" s="507"/>
      <c r="F376" s="460"/>
      <c r="G376" s="460"/>
      <c r="H376" s="461"/>
      <c r="I376" s="460"/>
    </row>
    <row r="377" spans="1:9" s="169" customFormat="1" ht="15.75" customHeight="1">
      <c r="A377" s="506"/>
      <c r="B377" s="506"/>
      <c r="C377" s="460"/>
      <c r="D377" s="461"/>
      <c r="E377" s="508"/>
      <c r="F377" s="460"/>
      <c r="G377" s="460"/>
      <c r="H377" s="461"/>
      <c r="I377" s="460"/>
    </row>
    <row r="378" spans="1:9" s="169" customFormat="1" ht="15.75" customHeight="1">
      <c r="A378" s="506"/>
      <c r="B378" s="506"/>
      <c r="C378" s="460"/>
      <c r="D378" s="461"/>
      <c r="E378" s="508"/>
      <c r="F378" s="460"/>
      <c r="G378" s="460"/>
      <c r="H378" s="461"/>
      <c r="I378" s="460"/>
    </row>
    <row r="379" spans="1:9" s="169" customFormat="1" ht="15.75" customHeight="1">
      <c r="A379" s="506"/>
      <c r="B379" s="506"/>
      <c r="C379" s="460"/>
      <c r="D379" s="461"/>
      <c r="E379" s="508"/>
      <c r="F379" s="460"/>
      <c r="G379" s="460"/>
      <c r="H379" s="461"/>
      <c r="I379" s="460"/>
    </row>
    <row r="380" spans="1:9" s="169" customFormat="1" ht="15.75" customHeight="1">
      <c r="A380" s="506"/>
      <c r="B380" s="506"/>
      <c r="C380" s="460"/>
      <c r="D380" s="461"/>
      <c r="E380" s="508"/>
      <c r="F380" s="460"/>
      <c r="G380" s="460"/>
      <c r="H380" s="461"/>
      <c r="I380" s="460"/>
    </row>
    <row r="381" spans="1:9" s="169" customFormat="1" ht="15.75" customHeight="1">
      <c r="A381" s="506"/>
      <c r="B381" s="506"/>
      <c r="C381" s="460"/>
      <c r="D381" s="461"/>
      <c r="E381" s="508"/>
      <c r="F381" s="460"/>
      <c r="G381" s="460"/>
      <c r="H381" s="461"/>
      <c r="I381" s="460"/>
    </row>
    <row r="382" spans="1:9" s="169" customFormat="1" ht="15.75" customHeight="1">
      <c r="A382" s="506"/>
      <c r="B382" s="506"/>
      <c r="C382" s="460"/>
      <c r="D382" s="461"/>
      <c r="E382" s="508"/>
      <c r="F382" s="460"/>
      <c r="G382" s="460"/>
      <c r="H382" s="461"/>
      <c r="I382" s="460"/>
    </row>
    <row r="383" spans="1:9" s="169" customFormat="1" ht="15.75" customHeight="1">
      <c r="A383" s="506"/>
      <c r="B383" s="506"/>
      <c r="C383" s="460"/>
      <c r="D383" s="461"/>
      <c r="E383" s="508"/>
      <c r="F383" s="460"/>
      <c r="G383" s="460"/>
      <c r="H383" s="461"/>
      <c r="I383" s="460"/>
    </row>
    <row r="384" spans="1:9" s="169" customFormat="1" ht="15.75" customHeight="1">
      <c r="A384" s="506"/>
      <c r="B384" s="506"/>
      <c r="C384" s="460"/>
      <c r="D384" s="461"/>
      <c r="E384" s="442"/>
      <c r="F384" s="460"/>
      <c r="G384" s="460"/>
      <c r="H384" s="461"/>
      <c r="I384" s="460"/>
    </row>
    <row r="385" spans="1:9" s="169" customFormat="1" ht="15.75" customHeight="1">
      <c r="A385" s="506"/>
      <c r="B385" s="506"/>
      <c r="C385" s="460"/>
      <c r="D385" s="461"/>
      <c r="E385" s="508"/>
      <c r="F385" s="460"/>
      <c r="G385" s="460"/>
      <c r="H385" s="461"/>
      <c r="I385" s="460"/>
    </row>
    <row r="386" spans="1:9" s="169" customFormat="1" ht="15.75" customHeight="1">
      <c r="A386" s="506"/>
      <c r="B386" s="506"/>
      <c r="C386" s="460"/>
      <c r="D386" s="461"/>
      <c r="E386" s="508"/>
      <c r="F386" s="460"/>
      <c r="G386" s="460"/>
      <c r="H386" s="461"/>
      <c r="I386" s="460"/>
    </row>
    <row r="387" spans="1:9" s="169" customFormat="1" ht="15.75" customHeight="1">
      <c r="A387" s="506"/>
      <c r="B387" s="506"/>
      <c r="C387" s="460"/>
      <c r="D387" s="461"/>
      <c r="E387" s="508"/>
      <c r="F387" s="460"/>
      <c r="G387" s="460"/>
      <c r="H387" s="461"/>
      <c r="I387" s="460"/>
    </row>
    <row r="388" spans="1:9" s="169" customFormat="1" ht="15.75" customHeight="1">
      <c r="A388" s="506"/>
      <c r="B388" s="506"/>
      <c r="C388" s="460"/>
      <c r="D388" s="461"/>
      <c r="E388" s="507"/>
      <c r="F388" s="460"/>
      <c r="G388" s="460"/>
      <c r="H388" s="461"/>
      <c r="I388" s="460"/>
    </row>
    <row r="389" spans="1:9" s="169" customFormat="1" ht="15.75" customHeight="1">
      <c r="A389" s="460"/>
      <c r="B389" s="460"/>
      <c r="C389" s="460"/>
      <c r="D389" s="461"/>
      <c r="E389" s="461"/>
      <c r="F389" s="460"/>
      <c r="G389" s="460"/>
      <c r="H389" s="461"/>
      <c r="I389" s="460"/>
    </row>
    <row r="390" spans="1:9" s="169" customFormat="1" ht="15.75" customHeight="1">
      <c r="A390" s="460"/>
      <c r="B390" s="460"/>
      <c r="C390" s="460"/>
      <c r="D390" s="461"/>
      <c r="E390" s="461"/>
      <c r="F390" s="460"/>
      <c r="G390" s="460"/>
      <c r="H390" s="461"/>
      <c r="I390" s="460"/>
    </row>
    <row r="391" spans="1:9" s="169" customFormat="1" ht="15.75" customHeight="1">
      <c r="A391" s="460"/>
      <c r="B391" s="460"/>
      <c r="C391" s="460"/>
      <c r="D391" s="461"/>
      <c r="E391" s="461"/>
      <c r="F391" s="460"/>
      <c r="G391" s="460"/>
      <c r="H391" s="461"/>
      <c r="I391" s="460"/>
    </row>
    <row r="392" spans="1:9" s="169" customFormat="1" ht="15.75" customHeight="1">
      <c r="A392" s="233"/>
      <c r="B392" s="233"/>
      <c r="C392" s="460"/>
      <c r="D392" s="461"/>
      <c r="E392" s="510"/>
      <c r="F392" s="460"/>
      <c r="G392" s="460"/>
      <c r="H392" s="461"/>
      <c r="I392" s="460"/>
    </row>
    <row r="393" spans="1:9" s="169" customFormat="1" ht="15.75" customHeight="1">
      <c r="A393" s="233"/>
      <c r="B393" s="233"/>
      <c r="C393" s="460"/>
      <c r="D393" s="461"/>
      <c r="E393" s="510"/>
      <c r="F393" s="460"/>
      <c r="G393" s="460"/>
      <c r="H393" s="461"/>
      <c r="I393" s="460"/>
    </row>
    <row r="394" spans="1:9" s="169" customFormat="1" ht="15.75" customHeight="1">
      <c r="A394" s="233"/>
      <c r="B394" s="233"/>
      <c r="C394" s="460"/>
      <c r="D394" s="461"/>
      <c r="E394" s="441"/>
      <c r="F394" s="460"/>
      <c r="G394" s="460"/>
      <c r="H394" s="461"/>
      <c r="I394" s="460"/>
    </row>
    <row r="395" spans="1:9" s="169" customFormat="1" ht="15.75" customHeight="1">
      <c r="A395" s="233"/>
      <c r="B395" s="233"/>
      <c r="C395" s="460"/>
      <c r="D395" s="461"/>
      <c r="E395" s="440"/>
      <c r="F395" s="460"/>
      <c r="G395" s="460"/>
      <c r="H395" s="461"/>
      <c r="I395" s="460"/>
    </row>
    <row r="396" spans="1:9" s="169" customFormat="1" ht="15.75" customHeight="1">
      <c r="A396" s="233"/>
      <c r="B396" s="233"/>
      <c r="C396" s="460"/>
      <c r="D396" s="461"/>
      <c r="E396" s="441"/>
      <c r="F396" s="460"/>
      <c r="G396" s="460"/>
      <c r="H396" s="461"/>
      <c r="I396" s="460"/>
    </row>
    <row r="397" spans="1:9" s="169" customFormat="1" ht="15.75" customHeight="1">
      <c r="A397" s="233"/>
      <c r="B397" s="233"/>
      <c r="C397" s="460"/>
      <c r="D397" s="461"/>
      <c r="E397" s="441"/>
      <c r="F397" s="460"/>
      <c r="G397" s="460"/>
      <c r="H397" s="461"/>
      <c r="I397" s="460"/>
    </row>
    <row r="398" spans="1:9" s="169" customFormat="1" ht="15.75" customHeight="1">
      <c r="A398" s="511"/>
      <c r="B398" s="511"/>
      <c r="C398" s="460"/>
      <c r="D398" s="461"/>
      <c r="E398" s="441"/>
      <c r="F398" s="460"/>
      <c r="G398" s="460"/>
      <c r="H398" s="461"/>
      <c r="I398" s="460"/>
    </row>
    <row r="399" spans="1:9" s="169" customFormat="1" ht="15.75" customHeight="1">
      <c r="A399" s="511"/>
      <c r="B399" s="511"/>
      <c r="C399" s="460"/>
      <c r="D399" s="461"/>
      <c r="E399" s="441"/>
      <c r="F399" s="460"/>
      <c r="G399" s="460"/>
      <c r="H399" s="461"/>
      <c r="I399" s="460"/>
    </row>
    <row r="400" spans="1:9" s="169" customFormat="1" ht="15.75" customHeight="1">
      <c r="A400" s="511"/>
      <c r="B400" s="511"/>
      <c r="C400" s="460"/>
      <c r="D400" s="461"/>
      <c r="E400" s="512"/>
      <c r="F400" s="460"/>
      <c r="G400" s="460"/>
      <c r="H400" s="461"/>
      <c r="I400" s="460"/>
    </row>
    <row r="401" spans="1:9" s="169" customFormat="1" ht="15.75" customHeight="1">
      <c r="A401" s="511"/>
      <c r="B401" s="511"/>
      <c r="C401" s="460"/>
      <c r="D401" s="461"/>
      <c r="E401" s="512"/>
      <c r="F401" s="460"/>
      <c r="G401" s="460"/>
      <c r="H401" s="461"/>
      <c r="I401" s="460"/>
    </row>
    <row r="402" spans="1:9" s="169" customFormat="1" ht="15.75" customHeight="1">
      <c r="A402" s="511"/>
      <c r="B402" s="511"/>
      <c r="C402" s="460"/>
      <c r="D402" s="461"/>
      <c r="E402" s="513"/>
      <c r="F402" s="460"/>
      <c r="G402" s="460"/>
      <c r="H402" s="461"/>
      <c r="I402" s="460"/>
    </row>
    <row r="403" spans="1:9" s="169" customFormat="1" ht="15.75" customHeight="1">
      <c r="A403" s="511"/>
      <c r="B403" s="511"/>
      <c r="C403" s="460"/>
      <c r="D403" s="461"/>
      <c r="E403" s="512"/>
      <c r="F403" s="460"/>
      <c r="G403" s="460"/>
      <c r="H403" s="461"/>
      <c r="I403" s="460"/>
    </row>
    <row r="404" spans="1:9" s="169" customFormat="1" ht="15.75" customHeight="1">
      <c r="A404" s="511"/>
      <c r="B404" s="511"/>
      <c r="C404" s="460"/>
      <c r="D404" s="461"/>
      <c r="E404" s="512"/>
      <c r="F404" s="460"/>
      <c r="G404" s="460"/>
      <c r="H404" s="461"/>
      <c r="I404" s="460"/>
    </row>
    <row r="405" spans="1:9" s="169" customFormat="1" ht="15.75" customHeight="1">
      <c r="A405" s="514"/>
      <c r="B405" s="514"/>
      <c r="C405" s="460"/>
      <c r="D405" s="461"/>
      <c r="E405" s="513"/>
      <c r="F405" s="460"/>
      <c r="G405" s="460"/>
      <c r="H405" s="461"/>
      <c r="I405" s="460"/>
    </row>
    <row r="406" spans="1:9" s="169" customFormat="1" ht="15.75" customHeight="1">
      <c r="A406" s="514"/>
      <c r="B406" s="514"/>
      <c r="C406" s="460"/>
      <c r="D406" s="461"/>
      <c r="E406" s="515"/>
      <c r="F406" s="460"/>
      <c r="G406" s="460"/>
      <c r="H406" s="461"/>
      <c r="I406" s="460"/>
    </row>
    <row r="407" spans="1:9" s="169" customFormat="1" ht="15.75" customHeight="1">
      <c r="A407" s="460"/>
      <c r="B407" s="460"/>
      <c r="C407" s="460"/>
      <c r="D407" s="461"/>
      <c r="E407" s="461"/>
      <c r="F407" s="460"/>
      <c r="G407" s="460"/>
      <c r="H407" s="461"/>
      <c r="I407" s="460"/>
    </row>
    <row r="408" spans="1:9" s="519" customFormat="1" ht="15.75" customHeight="1">
      <c r="A408" s="516"/>
      <c r="B408" s="516"/>
      <c r="C408" s="516"/>
      <c r="D408" s="517"/>
      <c r="E408" s="517"/>
      <c r="F408" s="518"/>
      <c r="G408" s="516"/>
      <c r="H408" s="517"/>
      <c r="I408" s="516"/>
    </row>
    <row r="409" spans="1:9" s="169" customFormat="1" ht="15.75" customHeight="1">
      <c r="A409" s="460"/>
      <c r="B409" s="460"/>
      <c r="C409" s="460"/>
      <c r="D409" s="461"/>
      <c r="E409" s="461"/>
      <c r="F409" s="520"/>
      <c r="G409" s="460"/>
      <c r="H409" s="461"/>
      <c r="I409" s="516"/>
    </row>
    <row r="410" spans="1:9" s="169" customFormat="1" ht="15.75" customHeight="1">
      <c r="A410" s="460"/>
      <c r="B410" s="460"/>
      <c r="C410" s="460"/>
      <c r="D410" s="461"/>
      <c r="E410" s="461"/>
      <c r="F410" s="520"/>
      <c r="G410" s="460"/>
      <c r="H410" s="461"/>
      <c r="I410" s="516"/>
    </row>
    <row r="411" spans="1:9" s="169" customFormat="1" ht="15.75" customHeight="1">
      <c r="A411" s="460"/>
      <c r="B411" s="460"/>
      <c r="C411" s="460"/>
      <c r="D411" s="461"/>
      <c r="E411" s="461"/>
      <c r="F411" s="520"/>
      <c r="G411" s="460"/>
      <c r="H411" s="461"/>
      <c r="I411" s="516"/>
    </row>
    <row r="412" spans="1:9" s="169" customFormat="1" ht="15.75" customHeight="1">
      <c r="A412" s="460"/>
      <c r="B412" s="460"/>
      <c r="C412" s="460"/>
      <c r="D412" s="461"/>
      <c r="E412" s="461"/>
      <c r="F412" s="520"/>
      <c r="G412" s="460"/>
      <c r="H412" s="461"/>
      <c r="I412" s="516"/>
    </row>
    <row r="413" spans="1:9" s="169" customFormat="1" ht="15.75" customHeight="1">
      <c r="A413" s="460"/>
      <c r="B413" s="460"/>
      <c r="C413" s="460"/>
      <c r="D413" s="461"/>
      <c r="E413" s="461"/>
      <c r="F413" s="520"/>
      <c r="G413" s="460"/>
      <c r="H413" s="461"/>
      <c r="I413" s="516"/>
    </row>
    <row r="414" spans="1:9" s="169" customFormat="1" ht="15.75" customHeight="1">
      <c r="A414" s="460"/>
      <c r="B414" s="460"/>
      <c r="C414" s="460"/>
      <c r="D414" s="461"/>
      <c r="E414" s="461"/>
      <c r="F414" s="520"/>
      <c r="G414" s="460"/>
      <c r="H414" s="461"/>
      <c r="I414" s="516"/>
    </row>
    <row r="415" spans="1:9" s="169" customFormat="1" ht="15.75" customHeight="1">
      <c r="A415" s="460"/>
      <c r="B415" s="460"/>
      <c r="C415" s="460"/>
      <c r="D415" s="461"/>
      <c r="E415" s="461"/>
      <c r="F415" s="520"/>
      <c r="G415" s="460"/>
      <c r="H415" s="461"/>
      <c r="I415" s="516"/>
    </row>
    <row r="416" spans="1:9" s="169" customFormat="1" ht="15.75" customHeight="1">
      <c r="A416" s="460"/>
      <c r="B416" s="460"/>
      <c r="C416" s="460"/>
      <c r="D416" s="461"/>
      <c r="E416" s="461"/>
      <c r="F416" s="520"/>
      <c r="G416" s="460"/>
      <c r="H416" s="461"/>
      <c r="I416" s="516"/>
    </row>
    <row r="417" spans="1:9" s="169" customFormat="1" ht="15.75" customHeight="1">
      <c r="A417" s="460"/>
      <c r="B417" s="460"/>
      <c r="C417" s="460"/>
      <c r="D417" s="461"/>
      <c r="E417" s="461"/>
      <c r="F417" s="520"/>
      <c r="G417" s="460"/>
      <c r="H417" s="461"/>
      <c r="I417" s="516"/>
    </row>
    <row r="418" spans="1:9" s="169" customFormat="1" ht="15.75" customHeight="1">
      <c r="A418" s="460"/>
      <c r="B418" s="460"/>
      <c r="C418" s="460"/>
      <c r="D418" s="461"/>
      <c r="E418" s="461"/>
      <c r="F418" s="520"/>
      <c r="G418" s="460"/>
      <c r="H418" s="461"/>
      <c r="I418" s="516"/>
    </row>
    <row r="419" spans="1:9" s="169" customFormat="1" ht="15.75" customHeight="1">
      <c r="A419" s="460"/>
      <c r="B419" s="460"/>
      <c r="C419" s="460"/>
      <c r="D419" s="461"/>
      <c r="E419" s="461"/>
      <c r="F419" s="520"/>
      <c r="G419" s="460"/>
      <c r="H419" s="461"/>
      <c r="I419" s="516"/>
    </row>
    <row r="420" spans="1:9" s="169" customFormat="1" ht="15.75" customHeight="1">
      <c r="A420" s="460"/>
      <c r="B420" s="460"/>
      <c r="C420" s="460"/>
      <c r="D420" s="461"/>
      <c r="E420" s="461"/>
      <c r="F420" s="520"/>
      <c r="G420" s="460"/>
      <c r="H420" s="461"/>
      <c r="I420" s="516"/>
    </row>
    <row r="421" spans="1:9" s="169" customFormat="1" ht="15.75" customHeight="1">
      <c r="A421" s="460"/>
      <c r="B421" s="460"/>
      <c r="C421" s="460"/>
      <c r="D421" s="461"/>
      <c r="E421" s="461"/>
      <c r="F421" s="520"/>
      <c r="G421" s="460"/>
      <c r="H421" s="461"/>
      <c r="I421" s="516"/>
    </row>
    <row r="422" spans="1:9" s="169" customFormat="1" ht="15.75" customHeight="1">
      <c r="A422" s="460"/>
      <c r="B422" s="460"/>
      <c r="C422" s="460"/>
      <c r="D422" s="461"/>
      <c r="E422" s="461"/>
      <c r="F422" s="520"/>
      <c r="G422" s="460"/>
      <c r="H422" s="461"/>
      <c r="I422" s="516"/>
    </row>
    <row r="423" spans="1:9" s="169" customFormat="1" ht="15.75" customHeight="1">
      <c r="A423" s="460"/>
      <c r="B423" s="460"/>
      <c r="C423" s="460"/>
      <c r="D423" s="461"/>
      <c r="E423" s="461"/>
      <c r="F423" s="520"/>
      <c r="G423" s="460"/>
      <c r="H423" s="461"/>
      <c r="I423" s="516"/>
    </row>
    <row r="424" spans="1:9" s="169" customFormat="1" ht="15.75" customHeight="1">
      <c r="A424" s="460"/>
      <c r="B424" s="460"/>
      <c r="C424" s="460"/>
      <c r="D424" s="461"/>
      <c r="E424" s="461"/>
      <c r="F424" s="520"/>
      <c r="G424" s="460"/>
      <c r="H424" s="461"/>
      <c r="I424" s="516"/>
    </row>
    <row r="425" spans="1:9" s="169" customFormat="1" ht="15.75" customHeight="1">
      <c r="A425" s="460"/>
      <c r="B425" s="460"/>
      <c r="C425" s="460"/>
      <c r="D425" s="461"/>
      <c r="E425" s="461"/>
      <c r="F425" s="520"/>
      <c r="G425" s="460"/>
      <c r="H425" s="461"/>
      <c r="I425" s="516"/>
    </row>
    <row r="426" spans="1:9" s="169" customFormat="1" ht="15.75" customHeight="1">
      <c r="A426" s="460"/>
      <c r="B426" s="460"/>
      <c r="C426" s="460"/>
      <c r="D426" s="461"/>
      <c r="E426" s="461"/>
      <c r="F426" s="520"/>
      <c r="G426" s="460"/>
      <c r="H426" s="461"/>
      <c r="I426" s="516"/>
    </row>
    <row r="427" spans="1:9" s="169" customFormat="1" ht="15.75" customHeight="1">
      <c r="A427" s="460"/>
      <c r="B427" s="460"/>
      <c r="C427" s="460"/>
      <c r="D427" s="461"/>
      <c r="E427" s="461"/>
      <c r="F427" s="520"/>
      <c r="G427" s="460"/>
      <c r="H427" s="461"/>
      <c r="I427" s="516"/>
    </row>
    <row r="428" spans="1:9" s="169" customFormat="1" ht="15.75" customHeight="1">
      <c r="A428" s="460"/>
      <c r="B428" s="460"/>
      <c r="C428" s="460"/>
      <c r="D428" s="461"/>
      <c r="E428" s="461"/>
      <c r="F428" s="520"/>
      <c r="G428" s="460"/>
      <c r="H428" s="461"/>
      <c r="I428" s="516"/>
    </row>
    <row r="429" spans="1:9" s="169" customFormat="1" ht="15.75" customHeight="1">
      <c r="A429" s="460"/>
      <c r="B429" s="460"/>
      <c r="C429" s="460"/>
      <c r="D429" s="461"/>
      <c r="E429" s="461"/>
      <c r="F429" s="520"/>
      <c r="G429" s="460"/>
      <c r="H429" s="461"/>
      <c r="I429" s="516"/>
    </row>
    <row r="430" spans="1:9" s="169" customFormat="1" ht="15.75" customHeight="1">
      <c r="A430" s="460"/>
      <c r="B430" s="460"/>
      <c r="C430" s="460"/>
      <c r="D430" s="461"/>
      <c r="E430" s="461"/>
      <c r="F430" s="520"/>
      <c r="G430" s="460"/>
      <c r="H430" s="461"/>
      <c r="I430" s="516"/>
    </row>
    <row r="431" spans="1:9" s="169" customFormat="1" ht="15.75" customHeight="1">
      <c r="A431" s="460"/>
      <c r="B431" s="460"/>
      <c r="C431" s="460"/>
      <c r="D431" s="461"/>
      <c r="E431" s="461"/>
      <c r="F431" s="520"/>
      <c r="G431" s="460"/>
      <c r="H431" s="461"/>
      <c r="I431" s="516"/>
    </row>
    <row r="432" spans="1:9" s="169" customFormat="1" ht="15.75" customHeight="1">
      <c r="A432" s="460"/>
      <c r="B432" s="460"/>
      <c r="C432" s="460"/>
      <c r="D432" s="461"/>
      <c r="E432" s="461"/>
      <c r="F432" s="520"/>
      <c r="G432" s="460"/>
      <c r="H432" s="461"/>
      <c r="I432" s="516"/>
    </row>
    <row r="433" spans="1:9" s="169" customFormat="1" ht="15.75" customHeight="1">
      <c r="A433" s="460"/>
      <c r="B433" s="460"/>
      <c r="C433" s="460"/>
      <c r="D433" s="461"/>
      <c r="E433" s="461"/>
      <c r="F433" s="520"/>
      <c r="G433" s="460"/>
      <c r="H433" s="461"/>
      <c r="I433" s="516"/>
    </row>
    <row r="434" spans="1:9" s="169" customFormat="1" ht="15.75" customHeight="1">
      <c r="A434" s="460"/>
      <c r="B434" s="460"/>
      <c r="C434" s="460"/>
      <c r="D434" s="461"/>
      <c r="E434" s="461"/>
      <c r="F434" s="520"/>
      <c r="G434" s="460"/>
      <c r="H434" s="461"/>
      <c r="I434" s="516"/>
    </row>
    <row r="435" spans="1:9" s="169" customFormat="1" ht="15.75" customHeight="1">
      <c r="A435" s="460"/>
      <c r="B435" s="460"/>
      <c r="C435" s="460"/>
      <c r="D435" s="461"/>
      <c r="E435" s="461"/>
      <c r="F435" s="520"/>
      <c r="G435" s="460"/>
      <c r="H435" s="461"/>
      <c r="I435" s="516"/>
    </row>
    <row r="436" spans="1:9" s="169" customFormat="1" ht="15.75" customHeight="1">
      <c r="A436" s="460"/>
      <c r="B436" s="460"/>
      <c r="C436" s="460"/>
      <c r="D436" s="461"/>
      <c r="E436" s="461"/>
      <c r="F436" s="520"/>
      <c r="G436" s="460"/>
      <c r="H436" s="461"/>
      <c r="I436" s="516"/>
    </row>
    <row r="437" spans="1:9" s="169" customFormat="1" ht="15.75" customHeight="1">
      <c r="A437" s="460"/>
      <c r="B437" s="460"/>
      <c r="C437" s="460"/>
      <c r="D437" s="461"/>
      <c r="E437" s="461"/>
      <c r="F437" s="520"/>
      <c r="G437" s="460"/>
      <c r="H437" s="461"/>
      <c r="I437" s="516"/>
    </row>
    <row r="438" spans="1:9" s="169" customFormat="1" ht="15.75" customHeight="1">
      <c r="A438" s="460"/>
      <c r="B438" s="460"/>
      <c r="C438" s="460"/>
      <c r="D438" s="461"/>
      <c r="E438" s="461"/>
      <c r="F438" s="520"/>
      <c r="G438" s="460"/>
      <c r="H438" s="461"/>
      <c r="I438" s="516"/>
    </row>
    <row r="439" spans="1:9" s="169" customFormat="1" ht="15.75" customHeight="1">
      <c r="A439" s="460"/>
      <c r="B439" s="460"/>
      <c r="C439" s="460"/>
      <c r="D439" s="461"/>
      <c r="E439" s="461"/>
      <c r="F439" s="520"/>
      <c r="G439" s="460"/>
      <c r="H439" s="461"/>
      <c r="I439" s="516"/>
    </row>
    <row r="440" spans="1:9" s="169" customFormat="1" ht="15.75" customHeight="1">
      <c r="A440" s="460"/>
      <c r="B440" s="460"/>
      <c r="C440" s="460"/>
      <c r="D440" s="461"/>
      <c r="E440" s="461"/>
      <c r="F440" s="520"/>
      <c r="G440" s="460"/>
      <c r="H440" s="461"/>
      <c r="I440" s="516"/>
    </row>
    <row r="441" spans="1:9" s="169" customFormat="1" ht="15.75" customHeight="1">
      <c r="A441" s="460"/>
      <c r="B441" s="460"/>
      <c r="C441" s="460"/>
      <c r="D441" s="461"/>
      <c r="E441" s="461"/>
      <c r="F441" s="520"/>
      <c r="G441" s="460"/>
      <c r="H441" s="461"/>
      <c r="I441" s="516"/>
    </row>
    <row r="442" spans="1:9" s="169" customFormat="1" ht="15.75" customHeight="1">
      <c r="A442" s="460"/>
      <c r="B442" s="460"/>
      <c r="C442" s="460"/>
      <c r="D442" s="461"/>
      <c r="E442" s="461"/>
      <c r="F442" s="520"/>
      <c r="G442" s="460"/>
      <c r="H442" s="461"/>
      <c r="I442" s="516"/>
    </row>
    <row r="443" spans="1:9" s="169" customFormat="1" ht="15.75" customHeight="1">
      <c r="A443" s="460"/>
      <c r="B443" s="460"/>
      <c r="C443" s="460"/>
      <c r="D443" s="461"/>
      <c r="E443" s="461"/>
      <c r="F443" s="520"/>
      <c r="G443" s="460"/>
      <c r="H443" s="461"/>
      <c r="I443" s="516"/>
    </row>
    <row r="444" spans="1:9" s="169" customFormat="1" ht="15.75" customHeight="1">
      <c r="A444" s="460"/>
      <c r="B444" s="460"/>
      <c r="C444" s="460"/>
      <c r="D444" s="461"/>
      <c r="E444" s="461"/>
      <c r="F444" s="520"/>
      <c r="G444" s="460"/>
      <c r="H444" s="461"/>
      <c r="I444" s="516"/>
    </row>
    <row r="445" spans="1:9" s="169" customFormat="1" ht="15.75" customHeight="1">
      <c r="A445" s="460"/>
      <c r="B445" s="460"/>
      <c r="C445" s="460"/>
      <c r="D445" s="461"/>
      <c r="E445" s="461"/>
      <c r="F445" s="520"/>
      <c r="G445" s="460"/>
      <c r="H445" s="461"/>
      <c r="I445" s="516"/>
    </row>
    <row r="446" spans="1:9" s="169" customFormat="1" ht="15.75" customHeight="1">
      <c r="A446" s="460"/>
      <c r="B446" s="460"/>
      <c r="C446" s="460"/>
      <c r="D446" s="461"/>
      <c r="E446" s="461"/>
      <c r="F446" s="520"/>
      <c r="G446" s="460"/>
      <c r="H446" s="461"/>
      <c r="I446" s="516"/>
    </row>
    <row r="447" spans="1:9" s="169" customFormat="1" ht="15.75" customHeight="1">
      <c r="A447" s="460"/>
      <c r="B447" s="460"/>
      <c r="C447" s="460"/>
      <c r="D447" s="461"/>
      <c r="E447" s="461"/>
      <c r="F447" s="520"/>
      <c r="G447" s="460"/>
      <c r="H447" s="461"/>
      <c r="I447" s="516"/>
    </row>
    <row r="448" spans="1:9" s="169" customFormat="1" ht="15.75" customHeight="1">
      <c r="A448" s="460"/>
      <c r="B448" s="460"/>
      <c r="C448" s="460"/>
      <c r="D448" s="461"/>
      <c r="E448" s="461"/>
      <c r="F448" s="520"/>
      <c r="G448" s="460"/>
      <c r="H448" s="461"/>
      <c r="I448" s="516"/>
    </row>
    <row r="449" spans="1:9" s="169" customFormat="1" ht="15.75" customHeight="1">
      <c r="A449" s="460"/>
      <c r="B449" s="460"/>
      <c r="C449" s="460"/>
      <c r="D449" s="461"/>
      <c r="E449" s="461"/>
      <c r="F449" s="520"/>
      <c r="G449" s="460"/>
      <c r="H449" s="461"/>
      <c r="I449" s="516"/>
    </row>
    <row r="450" spans="1:9" s="169" customFormat="1" ht="15.75" customHeight="1">
      <c r="A450" s="460"/>
      <c r="B450" s="460"/>
      <c r="C450" s="460"/>
      <c r="D450" s="461"/>
      <c r="E450" s="461"/>
      <c r="F450" s="520"/>
      <c r="G450" s="460"/>
      <c r="H450" s="461"/>
      <c r="I450" s="516"/>
    </row>
    <row r="451" spans="1:9" s="169" customFormat="1" ht="15.75" customHeight="1">
      <c r="A451" s="460"/>
      <c r="B451" s="460"/>
      <c r="C451" s="460"/>
      <c r="D451" s="461"/>
      <c r="E451" s="461"/>
      <c r="F451" s="520"/>
      <c r="G451" s="460"/>
      <c r="H451" s="461"/>
      <c r="I451" s="516"/>
    </row>
    <row r="452" spans="1:9" s="169" customFormat="1" ht="15.75" customHeight="1">
      <c r="A452" s="460"/>
      <c r="B452" s="460"/>
      <c r="C452" s="460"/>
      <c r="D452" s="461"/>
      <c r="E452" s="461"/>
      <c r="F452" s="520"/>
      <c r="G452" s="460"/>
      <c r="H452" s="461"/>
      <c r="I452" s="516"/>
    </row>
    <row r="453" spans="1:9" s="169" customFormat="1" ht="15.75" customHeight="1">
      <c r="A453" s="460"/>
      <c r="B453" s="460"/>
      <c r="C453" s="460"/>
      <c r="D453" s="461"/>
      <c r="E453" s="461"/>
      <c r="F453" s="520"/>
      <c r="G453" s="460"/>
      <c r="H453" s="461"/>
      <c r="I453" s="516"/>
    </row>
    <row r="454" spans="1:9" s="169" customFormat="1" ht="15.75" customHeight="1">
      <c r="A454" s="460"/>
      <c r="B454" s="460"/>
      <c r="C454" s="460"/>
      <c r="D454" s="461"/>
      <c r="E454" s="461"/>
      <c r="F454" s="520"/>
      <c r="G454" s="460"/>
      <c r="H454" s="461"/>
      <c r="I454" s="516"/>
    </row>
    <row r="455" spans="1:9" s="169" customFormat="1" ht="15.75" customHeight="1">
      <c r="A455" s="460"/>
      <c r="B455" s="460"/>
      <c r="C455" s="460"/>
      <c r="D455" s="461"/>
      <c r="E455" s="461"/>
      <c r="F455" s="520"/>
      <c r="G455" s="460"/>
      <c r="H455" s="461"/>
      <c r="I455" s="516"/>
    </row>
    <row r="456" spans="1:9" s="169" customFormat="1" ht="15.75" customHeight="1">
      <c r="A456" s="460"/>
      <c r="B456" s="460"/>
      <c r="C456" s="460"/>
      <c r="D456" s="461"/>
      <c r="E456" s="461"/>
      <c r="F456" s="520"/>
      <c r="G456" s="460"/>
      <c r="H456" s="461"/>
      <c r="I456" s="516"/>
    </row>
    <row r="457" spans="1:9" s="169" customFormat="1" ht="15.75" customHeight="1">
      <c r="A457" s="460"/>
      <c r="B457" s="460"/>
      <c r="C457" s="460"/>
      <c r="D457" s="461"/>
      <c r="E457" s="461"/>
      <c r="F457" s="520"/>
      <c r="G457" s="460"/>
      <c r="H457" s="461"/>
      <c r="I457" s="516"/>
    </row>
    <row r="458" spans="1:9" s="169" customFormat="1" ht="15.75" customHeight="1">
      <c r="A458" s="460"/>
      <c r="B458" s="460"/>
      <c r="C458" s="460"/>
      <c r="D458" s="461"/>
      <c r="E458" s="461"/>
      <c r="F458" s="520"/>
      <c r="G458" s="460"/>
      <c r="H458" s="461"/>
      <c r="I458" s="516"/>
    </row>
    <row r="459" spans="1:9" s="169" customFormat="1" ht="15.75" customHeight="1">
      <c r="A459" s="460"/>
      <c r="B459" s="460"/>
      <c r="C459" s="460"/>
      <c r="D459" s="461"/>
      <c r="E459" s="461"/>
      <c r="F459" s="520"/>
      <c r="G459" s="460"/>
      <c r="H459" s="461"/>
      <c r="I459" s="516"/>
    </row>
    <row r="460" spans="1:9" s="169" customFormat="1" ht="15.75" customHeight="1">
      <c r="A460" s="460"/>
      <c r="B460" s="460"/>
      <c r="C460" s="460"/>
      <c r="D460" s="461"/>
      <c r="E460" s="461"/>
      <c r="F460" s="520"/>
      <c r="G460" s="460"/>
      <c r="H460" s="461"/>
      <c r="I460" s="516"/>
    </row>
    <row r="461" spans="1:9" s="169" customFormat="1" ht="15.75" customHeight="1">
      <c r="A461" s="460"/>
      <c r="B461" s="460"/>
      <c r="C461" s="460"/>
      <c r="D461" s="461"/>
      <c r="E461" s="461"/>
      <c r="F461" s="520"/>
      <c r="G461" s="460"/>
      <c r="H461" s="461"/>
      <c r="I461" s="516"/>
    </row>
    <row r="462" spans="1:9" s="169" customFormat="1" ht="15.75" customHeight="1">
      <c r="A462" s="460"/>
      <c r="B462" s="460"/>
      <c r="C462" s="460"/>
      <c r="D462" s="461"/>
      <c r="E462" s="461"/>
      <c r="F462" s="520"/>
      <c r="G462" s="460"/>
      <c r="H462" s="461"/>
      <c r="I462" s="516"/>
    </row>
    <row r="463" spans="1:9" s="169" customFormat="1" ht="15.75" customHeight="1">
      <c r="A463" s="460"/>
      <c r="B463" s="460"/>
      <c r="C463" s="460"/>
      <c r="D463" s="461"/>
      <c r="E463" s="461"/>
      <c r="F463" s="520"/>
      <c r="G463" s="460"/>
      <c r="H463" s="461"/>
      <c r="I463" s="516"/>
    </row>
    <row r="464" spans="1:9" s="169" customFormat="1" ht="15.75" customHeight="1">
      <c r="A464" s="460"/>
      <c r="B464" s="460"/>
      <c r="C464" s="460"/>
      <c r="D464" s="461"/>
      <c r="E464" s="461"/>
      <c r="F464" s="520"/>
      <c r="G464" s="460"/>
      <c r="H464" s="461"/>
      <c r="I464" s="516"/>
    </row>
    <row r="465" spans="1:9" s="169" customFormat="1" ht="15.75" customHeight="1">
      <c r="A465" s="460"/>
      <c r="B465" s="460"/>
      <c r="C465" s="460"/>
      <c r="D465" s="461"/>
      <c r="E465" s="461"/>
      <c r="F465" s="520"/>
      <c r="G465" s="460"/>
      <c r="H465" s="461"/>
      <c r="I465" s="516"/>
    </row>
    <row r="466" spans="1:9" s="169" customFormat="1" ht="15.75" customHeight="1">
      <c r="A466" s="460"/>
      <c r="B466" s="460"/>
      <c r="C466" s="460"/>
      <c r="D466" s="461"/>
      <c r="E466" s="461"/>
      <c r="F466" s="520"/>
      <c r="G466" s="460"/>
      <c r="H466" s="461"/>
      <c r="I466" s="516"/>
    </row>
    <row r="467" spans="1:9" s="169" customFormat="1" ht="15.75" customHeight="1">
      <c r="A467" s="460"/>
      <c r="B467" s="460"/>
      <c r="C467" s="460"/>
      <c r="D467" s="461"/>
      <c r="E467" s="461"/>
      <c r="F467" s="520"/>
      <c r="G467" s="460"/>
      <c r="H467" s="461"/>
      <c r="I467" s="516"/>
    </row>
    <row r="468" spans="1:9" s="169" customFormat="1" ht="15.75" customHeight="1">
      <c r="A468" s="460"/>
      <c r="B468" s="460"/>
      <c r="C468" s="460"/>
      <c r="D468" s="461"/>
      <c r="E468" s="461"/>
      <c r="F468" s="520"/>
      <c r="G468" s="460"/>
      <c r="H468" s="461"/>
      <c r="I468" s="516"/>
    </row>
    <row r="469" spans="1:9" s="169" customFormat="1" ht="15.75" customHeight="1">
      <c r="A469" s="460"/>
      <c r="B469" s="460"/>
      <c r="C469" s="460"/>
      <c r="D469" s="461"/>
      <c r="E469" s="461"/>
      <c r="F469" s="520"/>
      <c r="G469" s="460"/>
      <c r="H469" s="461"/>
      <c r="I469" s="516"/>
    </row>
    <row r="470" spans="1:9" s="169" customFormat="1" ht="15.75" customHeight="1">
      <c r="A470" s="460"/>
      <c r="B470" s="460"/>
      <c r="C470" s="460"/>
      <c r="D470" s="461"/>
      <c r="E470" s="461"/>
      <c r="F470" s="520"/>
      <c r="G470" s="460"/>
      <c r="H470" s="461"/>
      <c r="I470" s="516"/>
    </row>
    <row r="471" spans="1:9" s="169" customFormat="1" ht="15.75" customHeight="1">
      <c r="A471" s="460"/>
      <c r="B471" s="460"/>
      <c r="C471" s="460"/>
      <c r="D471" s="461"/>
      <c r="E471" s="461"/>
      <c r="F471" s="520"/>
      <c r="G471" s="460"/>
      <c r="H471" s="461"/>
      <c r="I471" s="516"/>
    </row>
    <row r="472" spans="1:9" s="169" customFormat="1" ht="15.75" customHeight="1">
      <c r="A472" s="460"/>
      <c r="B472" s="460"/>
      <c r="C472" s="460"/>
      <c r="D472" s="461"/>
      <c r="E472" s="461"/>
      <c r="F472" s="520"/>
      <c r="G472" s="460"/>
      <c r="H472" s="461"/>
      <c r="I472" s="516"/>
    </row>
    <row r="473" spans="1:9" s="169" customFormat="1" ht="15.75" customHeight="1">
      <c r="A473" s="460"/>
      <c r="B473" s="460"/>
      <c r="C473" s="460"/>
      <c r="D473" s="461"/>
      <c r="E473" s="461"/>
      <c r="F473" s="520"/>
      <c r="G473" s="460"/>
      <c r="H473" s="461"/>
      <c r="I473" s="516"/>
    </row>
    <row r="474" spans="1:9" s="169" customFormat="1" ht="15.75" customHeight="1">
      <c r="A474" s="460"/>
      <c r="B474" s="460"/>
      <c r="C474" s="460"/>
      <c r="D474" s="461"/>
      <c r="E474" s="461"/>
      <c r="F474" s="520"/>
      <c r="G474" s="460"/>
      <c r="H474" s="461"/>
      <c r="I474" s="516"/>
    </row>
    <row r="475" spans="1:9" s="169" customFormat="1" ht="15.75" customHeight="1">
      <c r="A475" s="460"/>
      <c r="B475" s="460"/>
      <c r="C475" s="460"/>
      <c r="D475" s="461"/>
      <c r="E475" s="461"/>
      <c r="F475" s="520"/>
      <c r="G475" s="460"/>
      <c r="H475" s="461"/>
      <c r="I475" s="516"/>
    </row>
    <row r="476" spans="1:9" s="169" customFormat="1" ht="15.75" customHeight="1">
      <c r="A476" s="460"/>
      <c r="B476" s="460"/>
      <c r="C476" s="460"/>
      <c r="D476" s="461"/>
      <c r="E476" s="461"/>
      <c r="F476" s="520"/>
      <c r="G476" s="460"/>
      <c r="H476" s="461"/>
      <c r="I476" s="516"/>
    </row>
    <row r="477" spans="1:9" s="169" customFormat="1" ht="15.75" customHeight="1">
      <c r="A477" s="460"/>
      <c r="B477" s="460"/>
      <c r="C477" s="460"/>
      <c r="D477" s="461"/>
      <c r="E477" s="461"/>
      <c r="F477" s="520"/>
      <c r="G477" s="460"/>
      <c r="H477" s="461"/>
      <c r="I477" s="516"/>
    </row>
    <row r="478" spans="1:9" s="169" customFormat="1" ht="15.75" customHeight="1">
      <c r="A478" s="460"/>
      <c r="B478" s="460"/>
      <c r="C478" s="460"/>
      <c r="D478" s="461"/>
      <c r="E478" s="461"/>
      <c r="F478" s="520"/>
      <c r="G478" s="460"/>
      <c r="H478" s="461"/>
      <c r="I478" s="516"/>
    </row>
    <row r="479" spans="1:9" s="169" customFormat="1" ht="15.75" customHeight="1">
      <c r="A479" s="460"/>
      <c r="B479" s="460"/>
      <c r="C479" s="460"/>
      <c r="D479" s="461"/>
      <c r="E479" s="461"/>
      <c r="F479" s="521"/>
      <c r="G479" s="460"/>
      <c r="H479" s="461"/>
      <c r="I479" s="516"/>
    </row>
    <row r="480" spans="1:9" s="169" customFormat="1" ht="15.75" customHeight="1">
      <c r="A480" s="460"/>
      <c r="B480" s="460"/>
      <c r="C480" s="460"/>
      <c r="D480" s="461"/>
      <c r="E480" s="461"/>
      <c r="F480" s="520"/>
      <c r="G480" s="460"/>
      <c r="H480" s="461"/>
      <c r="I480" s="516"/>
    </row>
    <row r="481" spans="1:9" s="169" customFormat="1" ht="15.75" customHeight="1">
      <c r="A481" s="460"/>
      <c r="B481" s="460"/>
      <c r="C481" s="460"/>
      <c r="D481" s="461"/>
      <c r="E481" s="461"/>
      <c r="F481" s="520"/>
      <c r="G481" s="460"/>
      <c r="H481" s="461"/>
      <c r="I481" s="516"/>
    </row>
    <row r="482" spans="1:9" s="169" customFormat="1" ht="15.75" customHeight="1">
      <c r="A482" s="460"/>
      <c r="B482" s="460"/>
      <c r="C482" s="460"/>
      <c r="D482" s="461"/>
      <c r="E482" s="461"/>
      <c r="F482" s="520"/>
      <c r="G482" s="460"/>
      <c r="H482" s="461"/>
      <c r="I482" s="516"/>
    </row>
    <row r="483" spans="1:9" s="169" customFormat="1" ht="15.75" customHeight="1">
      <c r="A483" s="460"/>
      <c r="B483" s="460"/>
      <c r="C483" s="460"/>
      <c r="D483" s="461"/>
      <c r="E483" s="461"/>
      <c r="F483" s="520"/>
      <c r="G483" s="460"/>
      <c r="H483" s="461"/>
      <c r="I483" s="516"/>
    </row>
    <row r="484" spans="1:9" s="169" customFormat="1" ht="15.75" customHeight="1">
      <c r="A484" s="460"/>
      <c r="B484" s="460"/>
      <c r="C484" s="460"/>
      <c r="D484" s="461"/>
      <c r="E484" s="522"/>
      <c r="F484" s="520"/>
      <c r="G484" s="460"/>
      <c r="H484" s="461"/>
      <c r="I484" s="516"/>
    </row>
    <row r="485" spans="1:9" s="169" customFormat="1" ht="15.75" customHeight="1">
      <c r="A485" s="460"/>
      <c r="B485" s="460"/>
      <c r="C485" s="460"/>
      <c r="D485" s="461"/>
      <c r="E485" s="461"/>
      <c r="F485" s="520"/>
      <c r="G485" s="460"/>
      <c r="H485" s="461"/>
      <c r="I485" s="516"/>
    </row>
    <row r="486" spans="1:9" s="169" customFormat="1" ht="15.75" customHeight="1">
      <c r="A486" s="460"/>
      <c r="B486" s="460"/>
      <c r="C486" s="460"/>
      <c r="D486" s="461"/>
      <c r="E486" s="461"/>
      <c r="F486" s="520"/>
      <c r="G486" s="460"/>
      <c r="H486" s="461"/>
      <c r="I486" s="516"/>
    </row>
    <row r="487" spans="1:9" s="169" customFormat="1" ht="15.75" customHeight="1">
      <c r="A487" s="460"/>
      <c r="B487" s="460"/>
      <c r="C487" s="460"/>
      <c r="D487" s="461"/>
      <c r="E487" s="461"/>
      <c r="F487" s="520"/>
      <c r="G487" s="460"/>
      <c r="H487" s="461"/>
      <c r="I487" s="516"/>
    </row>
    <row r="488" spans="1:9" s="169" customFormat="1" ht="15.75" customHeight="1">
      <c r="A488" s="460"/>
      <c r="B488" s="460"/>
      <c r="C488" s="460"/>
      <c r="D488" s="461"/>
      <c r="E488" s="461"/>
      <c r="F488" s="520"/>
      <c r="G488" s="460"/>
      <c r="H488" s="461"/>
      <c r="I488" s="516"/>
    </row>
    <row r="489" spans="1:9" s="169" customFormat="1" ht="15.75" customHeight="1">
      <c r="A489" s="460"/>
      <c r="B489" s="460"/>
      <c r="C489" s="460"/>
      <c r="D489" s="461"/>
      <c r="E489" s="461"/>
      <c r="F489" s="520"/>
      <c r="G489" s="460"/>
      <c r="H489" s="461"/>
      <c r="I489" s="516"/>
    </row>
    <row r="490" spans="1:9" s="169" customFormat="1" ht="15.75" customHeight="1">
      <c r="A490" s="460"/>
      <c r="B490" s="460"/>
      <c r="C490" s="460"/>
      <c r="D490" s="461"/>
      <c r="E490" s="461"/>
      <c r="F490" s="520"/>
      <c r="G490" s="460"/>
      <c r="H490" s="461"/>
      <c r="I490" s="516"/>
    </row>
    <row r="491" spans="1:9" s="169" customFormat="1" ht="15.75" customHeight="1">
      <c r="A491" s="460"/>
      <c r="B491" s="460"/>
      <c r="C491" s="460"/>
      <c r="D491" s="461"/>
      <c r="E491" s="461"/>
      <c r="F491" s="520"/>
      <c r="G491" s="460"/>
      <c r="H491" s="461"/>
      <c r="I491" s="516"/>
    </row>
    <row r="492" spans="1:9" s="169" customFormat="1" ht="15.75" customHeight="1">
      <c r="A492" s="460"/>
      <c r="B492" s="460"/>
      <c r="C492" s="460"/>
      <c r="D492" s="461"/>
      <c r="E492" s="461"/>
      <c r="F492" s="520"/>
      <c r="G492" s="460"/>
      <c r="H492" s="461"/>
      <c r="I492" s="516"/>
    </row>
    <row r="493" spans="1:9" s="169" customFormat="1" ht="15.75" customHeight="1">
      <c r="A493" s="460"/>
      <c r="B493" s="460"/>
      <c r="C493" s="460"/>
      <c r="D493" s="461"/>
      <c r="E493" s="461"/>
      <c r="F493" s="520"/>
      <c r="G493" s="460"/>
      <c r="H493" s="461"/>
      <c r="I493" s="516"/>
    </row>
    <row r="494" spans="1:9" s="169" customFormat="1" ht="15.75" customHeight="1">
      <c r="A494" s="460"/>
      <c r="B494" s="460"/>
      <c r="C494" s="460"/>
      <c r="D494" s="461"/>
      <c r="E494" s="461"/>
      <c r="F494" s="520"/>
      <c r="G494" s="460"/>
      <c r="H494" s="461"/>
      <c r="I494" s="516"/>
    </row>
    <row r="495" spans="1:9" s="169" customFormat="1" ht="15.75" customHeight="1">
      <c r="A495" s="460"/>
      <c r="B495" s="460"/>
      <c r="C495" s="460"/>
      <c r="D495" s="461"/>
      <c r="E495" s="523"/>
      <c r="F495" s="520"/>
      <c r="G495" s="460"/>
      <c r="H495" s="461"/>
      <c r="I495" s="516"/>
    </row>
    <row r="496" spans="1:9" s="169" customFormat="1" ht="15.75" customHeight="1">
      <c r="A496" s="460"/>
      <c r="B496" s="460"/>
      <c r="C496" s="460"/>
      <c r="D496" s="461"/>
      <c r="E496" s="523"/>
      <c r="F496" s="520"/>
      <c r="G496" s="460"/>
      <c r="H496" s="461"/>
      <c r="I496" s="516"/>
    </row>
    <row r="497" spans="1:9" s="169" customFormat="1" ht="15.75" customHeight="1">
      <c r="A497" s="460"/>
      <c r="B497" s="460"/>
      <c r="C497" s="460"/>
      <c r="D497" s="461"/>
      <c r="E497" s="523"/>
      <c r="F497" s="520"/>
      <c r="G497" s="460"/>
      <c r="H497" s="461"/>
      <c r="I497" s="516"/>
    </row>
    <row r="498" spans="1:9" s="169" customFormat="1" ht="15.75" customHeight="1">
      <c r="A498" s="460"/>
      <c r="B498" s="460"/>
      <c r="C498" s="460"/>
      <c r="D498" s="461"/>
      <c r="E498" s="523"/>
      <c r="F498" s="520"/>
      <c r="G498" s="460"/>
      <c r="H498" s="461"/>
      <c r="I498" s="516"/>
    </row>
    <row r="499" spans="1:9" s="169" customFormat="1" ht="15.75" customHeight="1">
      <c r="A499" s="460"/>
      <c r="B499" s="460"/>
      <c r="C499" s="460"/>
      <c r="D499" s="461"/>
      <c r="E499" s="523"/>
      <c r="F499" s="520"/>
      <c r="G499" s="460"/>
      <c r="H499" s="461"/>
      <c r="I499" s="516"/>
    </row>
    <row r="500" spans="1:9" s="169" customFormat="1" ht="15.75" customHeight="1">
      <c r="A500" s="460"/>
      <c r="B500" s="460"/>
      <c r="C500" s="460"/>
      <c r="D500" s="461"/>
      <c r="E500" s="523"/>
      <c r="F500" s="520"/>
      <c r="G500" s="460"/>
      <c r="H500" s="461"/>
      <c r="I500" s="516"/>
    </row>
    <row r="501" spans="1:9" s="169" customFormat="1" ht="15.75" customHeight="1">
      <c r="A501" s="460"/>
      <c r="B501" s="460"/>
      <c r="C501" s="460"/>
      <c r="D501" s="461"/>
      <c r="E501" s="523"/>
      <c r="F501" s="520"/>
      <c r="G501" s="460"/>
      <c r="H501" s="461"/>
      <c r="I501" s="516"/>
    </row>
    <row r="502" spans="1:9" s="169" customFormat="1" ht="15.75" customHeight="1">
      <c r="A502" s="460"/>
      <c r="B502" s="460"/>
      <c r="C502" s="460"/>
      <c r="D502" s="461"/>
      <c r="E502" s="461"/>
      <c r="F502" s="460"/>
      <c r="G502" s="460"/>
      <c r="H502" s="461"/>
      <c r="I502" s="516"/>
    </row>
    <row r="503" spans="1:9" s="169" customFormat="1" ht="15.75" customHeight="1">
      <c r="A503" s="460"/>
      <c r="B503" s="460"/>
      <c r="C503" s="460"/>
      <c r="D503" s="461"/>
      <c r="E503" s="461"/>
      <c r="F503" s="460"/>
      <c r="G503" s="460"/>
      <c r="H503" s="461"/>
      <c r="I503" s="516"/>
    </row>
    <row r="504" spans="1:9" s="169" customFormat="1" ht="15.75" customHeight="1">
      <c r="A504" s="460"/>
      <c r="B504" s="460"/>
      <c r="C504" s="460"/>
      <c r="D504" s="461"/>
      <c r="E504" s="461"/>
      <c r="F504" s="460"/>
      <c r="G504" s="460"/>
      <c r="H504" s="461"/>
      <c r="I504" s="516"/>
    </row>
    <row r="505" spans="1:9" s="169" customFormat="1" ht="15.75" customHeight="1">
      <c r="A505" s="460"/>
      <c r="B505" s="460"/>
      <c r="C505" s="460"/>
      <c r="D505" s="461"/>
      <c r="E505" s="523"/>
      <c r="F505" s="520"/>
      <c r="G505" s="460"/>
      <c r="H505" s="461"/>
      <c r="I505" s="516"/>
    </row>
    <row r="506" spans="1:9" s="169" customFormat="1" ht="15.75" customHeight="1">
      <c r="A506" s="460"/>
      <c r="B506" s="460"/>
      <c r="C506" s="460"/>
      <c r="D506" s="461"/>
      <c r="E506" s="523"/>
      <c r="F506" s="520"/>
      <c r="G506" s="460"/>
      <c r="H506" s="461"/>
      <c r="I506" s="516"/>
    </row>
    <row r="507" spans="1:9" s="169" customFormat="1" ht="15.75" customHeight="1">
      <c r="A507" s="460"/>
      <c r="B507" s="460"/>
      <c r="C507" s="460"/>
      <c r="D507" s="461"/>
      <c r="E507" s="523"/>
      <c r="F507" s="521"/>
      <c r="G507" s="460"/>
      <c r="H507" s="461"/>
      <c r="I507" s="516"/>
    </row>
    <row r="508" spans="1:9" s="169" customFormat="1" ht="15.75" customHeight="1">
      <c r="A508" s="460"/>
      <c r="B508" s="460"/>
      <c r="C508" s="460"/>
      <c r="D508" s="461"/>
      <c r="E508" s="523"/>
      <c r="F508" s="521"/>
      <c r="G508" s="460"/>
      <c r="H508" s="461"/>
      <c r="I508" s="516"/>
    </row>
    <row r="509" spans="1:9" s="169" customFormat="1" ht="15.75" customHeight="1">
      <c r="A509" s="460"/>
      <c r="B509" s="460"/>
      <c r="C509" s="460"/>
      <c r="D509" s="461"/>
      <c r="E509" s="523"/>
      <c r="F509" s="520"/>
      <c r="G509" s="460"/>
      <c r="H509" s="461"/>
      <c r="I509" s="516"/>
    </row>
    <row r="510" spans="1:9" s="169" customFormat="1" ht="15.75" customHeight="1">
      <c r="A510" s="460"/>
      <c r="B510" s="460"/>
      <c r="C510" s="460"/>
      <c r="D510" s="461"/>
      <c r="E510" s="524"/>
      <c r="F510" s="520"/>
      <c r="G510" s="460"/>
      <c r="H510" s="461"/>
      <c r="I510" s="516"/>
    </row>
    <row r="511" spans="1:9" s="169" customFormat="1" ht="15.75" customHeight="1">
      <c r="A511" s="460"/>
      <c r="B511" s="460"/>
      <c r="C511" s="460"/>
      <c r="D511" s="461"/>
      <c r="E511" s="525"/>
      <c r="F511" s="520"/>
      <c r="G511" s="460"/>
      <c r="H511" s="461"/>
      <c r="I511" s="516"/>
    </row>
    <row r="512" spans="1:9" s="169" customFormat="1" ht="15.75" customHeight="1">
      <c r="A512" s="460"/>
      <c r="B512" s="460"/>
      <c r="C512" s="460"/>
      <c r="D512" s="461"/>
      <c r="E512" s="524"/>
      <c r="F512" s="520"/>
      <c r="G512" s="460"/>
      <c r="H512" s="461"/>
      <c r="I512" s="516"/>
    </row>
    <row r="513" spans="1:9" s="169" customFormat="1" ht="15.75" customHeight="1">
      <c r="A513" s="460"/>
      <c r="B513" s="460"/>
      <c r="C513" s="460"/>
      <c r="D513" s="461"/>
      <c r="E513" s="524"/>
      <c r="F513" s="520"/>
      <c r="G513" s="460"/>
      <c r="H513" s="461"/>
      <c r="I513" s="516"/>
    </row>
    <row r="514" spans="1:9" s="169" customFormat="1" ht="15.75" customHeight="1">
      <c r="A514" s="460"/>
      <c r="B514" s="460"/>
      <c r="C514" s="460"/>
      <c r="D514" s="461"/>
      <c r="E514" s="461"/>
      <c r="F514" s="520"/>
      <c r="G514" s="460"/>
      <c r="H514" s="461"/>
      <c r="I514" s="516"/>
    </row>
    <row r="515" spans="1:9" s="169" customFormat="1" ht="15.75" customHeight="1">
      <c r="A515" s="460"/>
      <c r="B515" s="460"/>
      <c r="C515" s="460"/>
      <c r="D515" s="461"/>
      <c r="E515" s="461"/>
      <c r="F515" s="520"/>
      <c r="G515" s="460"/>
      <c r="H515" s="461"/>
      <c r="I515" s="516"/>
    </row>
    <row r="516" spans="1:9" s="169" customFormat="1" ht="15.75" customHeight="1">
      <c r="A516" s="460"/>
      <c r="B516" s="460"/>
      <c r="C516" s="460"/>
      <c r="D516" s="461"/>
      <c r="E516" s="461"/>
      <c r="F516" s="521"/>
      <c r="G516" s="460"/>
      <c r="H516" s="461"/>
      <c r="I516" s="516"/>
    </row>
    <row r="517" spans="1:9" s="169" customFormat="1" ht="15.75" customHeight="1">
      <c r="A517" s="460"/>
      <c r="B517" s="460"/>
      <c r="C517" s="460"/>
      <c r="D517" s="461"/>
      <c r="E517" s="461"/>
      <c r="F517" s="520"/>
      <c r="G517" s="460"/>
      <c r="H517" s="461"/>
      <c r="I517" s="516"/>
    </row>
    <row r="518" spans="1:9" s="169" customFormat="1" ht="15.75" customHeight="1">
      <c r="A518" s="460"/>
      <c r="B518" s="460"/>
      <c r="C518" s="460"/>
      <c r="D518" s="461"/>
      <c r="E518" s="461"/>
      <c r="F518" s="520"/>
      <c r="G518" s="460"/>
      <c r="H518" s="461"/>
      <c r="I518" s="516"/>
    </row>
    <row r="519" spans="1:9" s="169" customFormat="1" ht="15.75" customHeight="1">
      <c r="A519" s="460"/>
      <c r="B519" s="460"/>
      <c r="C519" s="460"/>
      <c r="D519" s="461"/>
      <c r="E519" s="461"/>
      <c r="F519" s="520"/>
      <c r="G519" s="460"/>
      <c r="H519" s="461"/>
      <c r="I519" s="516"/>
    </row>
    <row r="520" spans="1:9" s="169" customFormat="1" ht="15.75" customHeight="1">
      <c r="A520" s="460"/>
      <c r="B520" s="460"/>
      <c r="C520" s="460"/>
      <c r="D520" s="461"/>
      <c r="E520" s="461"/>
      <c r="F520" s="520"/>
      <c r="G520" s="460"/>
      <c r="H520" s="461"/>
      <c r="I520" s="516"/>
    </row>
    <row r="521" spans="1:9" s="169" customFormat="1" ht="15.75" customHeight="1">
      <c r="A521" s="460"/>
      <c r="B521" s="460"/>
      <c r="C521" s="460"/>
      <c r="D521" s="461"/>
      <c r="E521" s="461"/>
      <c r="F521" s="521"/>
      <c r="G521" s="460"/>
      <c r="H521" s="461"/>
      <c r="I521" s="516"/>
    </row>
    <row r="522" spans="1:9" s="169" customFormat="1" ht="15.75" customHeight="1">
      <c r="A522" s="460"/>
      <c r="B522" s="460"/>
      <c r="C522" s="460"/>
      <c r="D522" s="461"/>
      <c r="E522" s="522"/>
      <c r="F522" s="520"/>
      <c r="G522" s="460"/>
      <c r="H522" s="461"/>
      <c r="I522" s="516"/>
    </row>
    <row r="523" spans="1:9" s="169" customFormat="1" ht="15.75" customHeight="1">
      <c r="A523" s="460"/>
      <c r="B523" s="460"/>
      <c r="C523" s="460"/>
      <c r="D523" s="461"/>
      <c r="E523" s="461"/>
      <c r="F523" s="520"/>
      <c r="G523" s="460"/>
      <c r="H523" s="461"/>
      <c r="I523" s="516"/>
    </row>
    <row r="524" spans="1:9" s="169" customFormat="1" ht="15.75" customHeight="1">
      <c r="A524" s="460"/>
      <c r="B524" s="460"/>
      <c r="C524" s="460"/>
      <c r="D524" s="461"/>
      <c r="E524" s="461"/>
      <c r="F524" s="520"/>
      <c r="G524" s="460"/>
      <c r="H524" s="461"/>
      <c r="I524" s="516"/>
    </row>
    <row r="525" spans="1:9" s="169" customFormat="1" ht="15.75" customHeight="1">
      <c r="A525" s="460"/>
      <c r="B525" s="460"/>
      <c r="C525" s="460"/>
      <c r="D525" s="461"/>
      <c r="E525" s="522"/>
      <c r="F525" s="520"/>
      <c r="G525" s="460"/>
      <c r="H525" s="461"/>
      <c r="I525" s="516"/>
    </row>
    <row r="526" spans="1:9" s="169" customFormat="1" ht="15.75" customHeight="1">
      <c r="A526" s="460"/>
      <c r="B526" s="460"/>
      <c r="C526" s="460"/>
      <c r="D526" s="461"/>
      <c r="E526" s="461"/>
      <c r="F526" s="521"/>
      <c r="G526" s="460"/>
      <c r="H526" s="461"/>
      <c r="I526" s="516"/>
    </row>
    <row r="527" spans="1:9" s="169" customFormat="1" ht="15.75" customHeight="1">
      <c r="A527" s="460"/>
      <c r="B527" s="460"/>
      <c r="C527" s="460"/>
      <c r="D527" s="461"/>
      <c r="E527" s="522"/>
      <c r="F527" s="520"/>
      <c r="G527" s="460"/>
      <c r="H527" s="461"/>
      <c r="I527" s="516"/>
    </row>
    <row r="528" spans="1:9" s="169" customFormat="1" ht="15.75" customHeight="1">
      <c r="A528" s="460"/>
      <c r="B528" s="460"/>
      <c r="C528" s="460"/>
      <c r="D528" s="461"/>
      <c r="E528" s="461"/>
      <c r="F528" s="520"/>
      <c r="G528" s="460"/>
      <c r="H528" s="461"/>
      <c r="I528" s="516"/>
    </row>
    <row r="529" spans="1:9" s="169" customFormat="1" ht="15.75" customHeight="1">
      <c r="A529" s="460"/>
      <c r="B529" s="460"/>
      <c r="C529" s="460"/>
      <c r="D529" s="461"/>
      <c r="E529" s="522"/>
      <c r="F529" s="520"/>
      <c r="G529" s="460"/>
      <c r="H529" s="461"/>
      <c r="I529" s="516"/>
    </row>
    <row r="530" spans="1:9" s="169" customFormat="1" ht="15.75" customHeight="1">
      <c r="A530" s="460"/>
      <c r="B530" s="460"/>
      <c r="C530" s="460"/>
      <c r="D530" s="461"/>
      <c r="E530" s="461"/>
      <c r="F530" s="520"/>
      <c r="G530" s="460"/>
      <c r="H530" s="461"/>
      <c r="I530" s="516"/>
    </row>
    <row r="531" spans="1:9" s="169" customFormat="1" ht="15.75" customHeight="1">
      <c r="A531" s="460"/>
      <c r="B531" s="460"/>
      <c r="C531" s="460"/>
      <c r="D531" s="461"/>
      <c r="E531" s="461"/>
      <c r="F531" s="520"/>
      <c r="G531" s="460"/>
      <c r="H531" s="461"/>
      <c r="I531" s="516"/>
    </row>
    <row r="532" spans="1:9" s="169" customFormat="1" ht="15.75" customHeight="1">
      <c r="A532" s="460"/>
      <c r="B532" s="460"/>
      <c r="C532" s="460"/>
      <c r="D532" s="461"/>
      <c r="E532" s="461"/>
      <c r="F532" s="520"/>
      <c r="G532" s="460"/>
      <c r="H532" s="461"/>
      <c r="I532" s="516"/>
    </row>
    <row r="533" spans="1:9" s="169" customFormat="1" ht="15.75" customHeight="1">
      <c r="A533" s="460"/>
      <c r="B533" s="460"/>
      <c r="C533" s="460"/>
      <c r="D533" s="461"/>
      <c r="E533" s="461"/>
      <c r="F533" s="520"/>
      <c r="G533" s="460"/>
      <c r="H533" s="461"/>
      <c r="I533" s="516"/>
    </row>
    <row r="534" spans="1:9" s="169" customFormat="1" ht="15.75" customHeight="1">
      <c r="A534" s="460"/>
      <c r="B534" s="460"/>
      <c r="C534" s="460"/>
      <c r="D534" s="461"/>
      <c r="E534" s="461"/>
      <c r="F534" s="520"/>
      <c r="G534" s="460"/>
      <c r="H534" s="461"/>
      <c r="I534" s="516"/>
    </row>
    <row r="535" spans="1:9" s="169" customFormat="1" ht="15.75" customHeight="1">
      <c r="A535" s="460"/>
      <c r="B535" s="460"/>
      <c r="C535" s="460"/>
      <c r="D535" s="461"/>
      <c r="E535" s="461"/>
      <c r="F535" s="520"/>
      <c r="G535" s="460"/>
      <c r="H535" s="461"/>
      <c r="I535" s="516"/>
    </row>
    <row r="536" spans="1:9" s="169" customFormat="1" ht="15.75" customHeight="1">
      <c r="A536" s="460"/>
      <c r="B536" s="460"/>
      <c r="C536" s="460"/>
      <c r="D536" s="461"/>
      <c r="E536" s="461"/>
      <c r="F536" s="520"/>
      <c r="G536" s="460"/>
      <c r="H536" s="461"/>
      <c r="I536" s="516"/>
    </row>
    <row r="537" spans="1:9" s="169" customFormat="1" ht="15.75" customHeight="1">
      <c r="A537" s="460"/>
      <c r="B537" s="460"/>
      <c r="C537" s="460"/>
      <c r="D537" s="461"/>
      <c r="E537" s="461"/>
      <c r="F537" s="520"/>
      <c r="G537" s="460"/>
      <c r="H537" s="461"/>
      <c r="I537" s="516"/>
    </row>
    <row r="538" spans="1:9" s="169" customFormat="1" ht="15.75" customHeight="1">
      <c r="A538" s="460"/>
      <c r="B538" s="460"/>
      <c r="C538" s="460"/>
      <c r="D538" s="461"/>
      <c r="E538" s="461"/>
      <c r="F538" s="520"/>
      <c r="G538" s="460"/>
      <c r="H538" s="461"/>
      <c r="I538" s="516"/>
    </row>
    <row r="539" spans="1:9" s="169" customFormat="1" ht="15.75" customHeight="1">
      <c r="A539" s="460"/>
      <c r="B539" s="467"/>
      <c r="C539" s="460"/>
      <c r="D539" s="461"/>
      <c r="E539" s="522"/>
      <c r="F539" s="520"/>
      <c r="G539" s="460"/>
      <c r="H539" s="461"/>
      <c r="I539" s="516"/>
    </row>
    <row r="540" spans="1:9" s="169" customFormat="1" ht="15.75" customHeight="1">
      <c r="A540" s="460"/>
      <c r="B540" s="467"/>
      <c r="C540" s="460"/>
      <c r="D540" s="461"/>
      <c r="E540" s="522"/>
      <c r="F540" s="520"/>
      <c r="G540" s="460"/>
      <c r="H540" s="461"/>
      <c r="I540" s="516"/>
    </row>
    <row r="541" spans="1:9" s="169" customFormat="1" ht="15.75" customHeight="1">
      <c r="A541" s="460"/>
      <c r="B541" s="467"/>
      <c r="C541" s="460"/>
      <c r="D541" s="461"/>
      <c r="E541" s="522"/>
      <c r="F541" s="520"/>
      <c r="G541" s="460"/>
      <c r="H541" s="461"/>
      <c r="I541" s="516"/>
    </row>
    <row r="542" spans="1:9" s="169" customFormat="1" ht="15.75" customHeight="1">
      <c r="A542" s="460"/>
      <c r="B542" s="467"/>
      <c r="C542" s="460"/>
      <c r="D542" s="461"/>
      <c r="E542" s="522"/>
      <c r="F542" s="520"/>
      <c r="G542" s="460"/>
      <c r="H542" s="461"/>
      <c r="I542" s="516"/>
    </row>
    <row r="543" spans="1:9" s="169" customFormat="1" ht="15.75" customHeight="1">
      <c r="A543" s="460"/>
      <c r="B543" s="467"/>
      <c r="C543" s="460"/>
      <c r="D543" s="461"/>
      <c r="E543" s="522"/>
      <c r="F543" s="520"/>
      <c r="G543" s="460"/>
      <c r="H543" s="461"/>
      <c r="I543" s="516"/>
    </row>
    <row r="544" spans="1:9" s="169" customFormat="1" ht="15.75" customHeight="1">
      <c r="A544" s="460"/>
      <c r="B544" s="467"/>
      <c r="C544" s="460"/>
      <c r="D544" s="461"/>
      <c r="E544" s="522"/>
      <c r="F544" s="520"/>
      <c r="G544" s="460"/>
      <c r="H544" s="461"/>
      <c r="I544" s="516"/>
    </row>
    <row r="545" spans="1:9" s="169" customFormat="1" ht="15.75" customHeight="1">
      <c r="A545" s="460"/>
      <c r="B545" s="467"/>
      <c r="C545" s="460"/>
      <c r="D545" s="461"/>
      <c r="E545" s="522"/>
      <c r="F545" s="520"/>
      <c r="G545" s="460"/>
      <c r="H545" s="461"/>
      <c r="I545" s="516"/>
    </row>
    <row r="546" spans="1:9" s="169" customFormat="1" ht="15.75" customHeight="1">
      <c r="A546" s="460"/>
      <c r="B546" s="467"/>
      <c r="C546" s="460"/>
      <c r="D546" s="461"/>
      <c r="E546" s="522"/>
      <c r="F546" s="520"/>
      <c r="G546" s="460"/>
      <c r="H546" s="461"/>
      <c r="I546" s="516"/>
    </row>
    <row r="547" spans="1:9" s="169" customFormat="1" ht="15.75" customHeight="1">
      <c r="A547" s="460"/>
      <c r="B547" s="467"/>
      <c r="C547" s="460"/>
      <c r="D547" s="461"/>
      <c r="E547" s="522"/>
      <c r="F547" s="520"/>
      <c r="G547" s="460"/>
      <c r="H547" s="461"/>
      <c r="I547" s="516"/>
    </row>
    <row r="548" spans="1:9" s="169" customFormat="1" ht="15.75" customHeight="1">
      <c r="A548" s="460"/>
      <c r="B548" s="467"/>
      <c r="C548" s="460"/>
      <c r="D548" s="461"/>
      <c r="E548" s="522"/>
      <c r="F548" s="520"/>
      <c r="G548" s="460"/>
      <c r="H548" s="461"/>
      <c r="I548" s="516"/>
    </row>
    <row r="549" spans="1:9" s="169" customFormat="1" ht="15.75" customHeight="1">
      <c r="A549" s="460"/>
      <c r="B549" s="467"/>
      <c r="C549" s="460"/>
      <c r="D549" s="461"/>
      <c r="E549" s="522"/>
      <c r="F549" s="520"/>
      <c r="G549" s="460"/>
      <c r="H549" s="461"/>
      <c r="I549" s="516"/>
    </row>
    <row r="550" spans="1:9" s="169" customFormat="1" ht="15.75" customHeight="1">
      <c r="A550" s="460"/>
      <c r="B550" s="467"/>
      <c r="C550" s="460"/>
      <c r="D550" s="461"/>
      <c r="E550" s="522"/>
      <c r="F550" s="520"/>
      <c r="G550" s="460"/>
      <c r="H550" s="461"/>
      <c r="I550" s="516"/>
    </row>
    <row r="551" spans="1:9" s="169" customFormat="1" ht="15.75" customHeight="1">
      <c r="A551" s="460"/>
      <c r="B551" s="467"/>
      <c r="C551" s="460"/>
      <c r="D551" s="461"/>
      <c r="E551" s="522"/>
      <c r="F551" s="520"/>
      <c r="G551" s="460"/>
      <c r="H551" s="461"/>
      <c r="I551" s="516"/>
    </row>
    <row r="552" spans="1:9" s="169" customFormat="1" ht="15.75" customHeight="1">
      <c r="A552" s="460"/>
      <c r="B552" s="467"/>
      <c r="C552" s="460"/>
      <c r="D552" s="461"/>
      <c r="E552" s="522"/>
      <c r="F552" s="520"/>
      <c r="G552" s="460"/>
      <c r="H552" s="461"/>
      <c r="I552" s="516"/>
    </row>
    <row r="553" spans="1:9" s="169" customFormat="1" ht="15.75" customHeight="1">
      <c r="A553" s="460"/>
      <c r="B553" s="467"/>
      <c r="C553" s="460"/>
      <c r="D553" s="461"/>
      <c r="E553" s="522"/>
      <c r="F553" s="520"/>
      <c r="G553" s="460"/>
      <c r="H553" s="461"/>
      <c r="I553" s="516"/>
    </row>
    <row r="554" spans="1:9" s="169" customFormat="1" ht="15.75" customHeight="1">
      <c r="A554" s="460"/>
      <c r="B554" s="467"/>
      <c r="C554" s="460"/>
      <c r="D554" s="461"/>
      <c r="E554" s="522"/>
      <c r="F554" s="520"/>
      <c r="G554" s="460"/>
      <c r="H554" s="461"/>
      <c r="I554" s="516"/>
    </row>
    <row r="555" spans="1:9" s="169" customFormat="1" ht="15.75" customHeight="1">
      <c r="A555" s="460"/>
      <c r="B555" s="526"/>
      <c r="C555" s="460"/>
      <c r="D555" s="461"/>
      <c r="E555" s="522"/>
      <c r="F555" s="520"/>
      <c r="G555" s="460"/>
      <c r="H555" s="461"/>
      <c r="I555" s="516"/>
    </row>
    <row r="556" spans="1:9" s="169" customFormat="1" ht="15.75" customHeight="1">
      <c r="A556" s="460"/>
      <c r="B556" s="526"/>
      <c r="C556" s="460"/>
      <c r="D556" s="461"/>
      <c r="E556" s="522"/>
      <c r="F556" s="520"/>
      <c r="G556" s="460"/>
      <c r="H556" s="461"/>
      <c r="I556" s="516"/>
    </row>
    <row r="557" spans="1:9" s="169" customFormat="1" ht="15.75" customHeight="1">
      <c r="A557" s="460"/>
      <c r="B557" s="526"/>
      <c r="C557" s="460"/>
      <c r="D557" s="461"/>
      <c r="E557" s="522"/>
      <c r="F557" s="520"/>
      <c r="G557" s="460"/>
      <c r="H557" s="461"/>
      <c r="I557" s="516"/>
    </row>
    <row r="558" spans="1:9" s="169" customFormat="1" ht="15.75" customHeight="1">
      <c r="A558" s="460"/>
      <c r="B558" s="526"/>
      <c r="C558" s="460"/>
      <c r="D558" s="461"/>
      <c r="E558" s="522"/>
      <c r="F558" s="520"/>
      <c r="G558" s="460"/>
      <c r="H558" s="461"/>
      <c r="I558" s="516"/>
    </row>
    <row r="559" spans="1:9" s="169" customFormat="1" ht="15.75" customHeight="1">
      <c r="A559" s="460"/>
      <c r="B559" s="526"/>
      <c r="C559" s="460"/>
      <c r="D559" s="461"/>
      <c r="E559" s="522"/>
      <c r="F559" s="520"/>
      <c r="G559" s="460"/>
      <c r="H559" s="461"/>
      <c r="I559" s="516"/>
    </row>
    <row r="560" spans="1:9" s="169" customFormat="1" ht="15.75" customHeight="1">
      <c r="A560" s="460"/>
      <c r="B560" s="526"/>
      <c r="C560" s="460"/>
      <c r="D560" s="461"/>
      <c r="E560" s="522"/>
      <c r="F560" s="520"/>
      <c r="G560" s="460"/>
      <c r="H560" s="461"/>
      <c r="I560" s="516"/>
    </row>
    <row r="561" spans="1:9" s="169" customFormat="1" ht="15.75" customHeight="1">
      <c r="A561" s="460"/>
      <c r="B561" s="526"/>
      <c r="C561" s="460"/>
      <c r="D561" s="461"/>
      <c r="E561" s="522"/>
      <c r="F561" s="520"/>
      <c r="G561" s="460"/>
      <c r="H561" s="461"/>
      <c r="I561" s="516"/>
    </row>
    <row r="562" spans="1:9" s="169" customFormat="1" ht="15.75" customHeight="1">
      <c r="A562" s="460"/>
      <c r="B562" s="526"/>
      <c r="C562" s="460"/>
      <c r="D562" s="461"/>
      <c r="E562" s="522"/>
      <c r="F562" s="520"/>
      <c r="G562" s="460"/>
      <c r="H562" s="461"/>
      <c r="I562" s="516"/>
    </row>
    <row r="563" spans="1:9" s="169" customFormat="1" ht="15.75" customHeight="1">
      <c r="A563" s="460"/>
      <c r="B563" s="481"/>
      <c r="C563" s="460"/>
      <c r="D563" s="461"/>
      <c r="E563" s="522"/>
      <c r="F563" s="520"/>
      <c r="G563" s="460"/>
      <c r="H563" s="461"/>
      <c r="I563" s="516"/>
    </row>
    <row r="564" spans="1:9" s="169" customFormat="1" ht="15.75" customHeight="1">
      <c r="A564" s="460"/>
      <c r="B564" s="481"/>
      <c r="C564" s="460"/>
      <c r="D564" s="461"/>
      <c r="E564" s="522"/>
      <c r="F564" s="520"/>
      <c r="G564" s="460"/>
      <c r="H564" s="461"/>
      <c r="I564" s="516"/>
    </row>
    <row r="565" spans="1:9" s="169" customFormat="1" ht="15.75" customHeight="1">
      <c r="A565" s="460"/>
      <c r="B565" s="481"/>
      <c r="C565" s="460"/>
      <c r="D565" s="461"/>
      <c r="E565" s="522"/>
      <c r="F565" s="520"/>
      <c r="G565" s="460"/>
      <c r="H565" s="461"/>
      <c r="I565" s="516"/>
    </row>
    <row r="566" spans="1:9" s="169" customFormat="1" ht="15.75" customHeight="1">
      <c r="A566" s="460"/>
      <c r="B566" s="481"/>
      <c r="C566" s="460"/>
      <c r="D566" s="461"/>
      <c r="E566" s="522"/>
      <c r="F566" s="520"/>
      <c r="G566" s="460"/>
      <c r="H566" s="461"/>
      <c r="I566" s="516"/>
    </row>
    <row r="567" spans="1:9" s="169" customFormat="1" ht="15.75" customHeight="1">
      <c r="A567" s="460"/>
      <c r="B567" s="481"/>
      <c r="C567" s="460"/>
      <c r="D567" s="461"/>
      <c r="E567" s="522"/>
      <c r="F567" s="520"/>
      <c r="G567" s="460"/>
      <c r="H567" s="461"/>
      <c r="I567" s="516"/>
    </row>
    <row r="568" spans="1:9" s="169" customFormat="1" ht="15.75" customHeight="1">
      <c r="A568" s="481"/>
      <c r="B568" s="481"/>
      <c r="C568" s="460"/>
      <c r="D568" s="461"/>
      <c r="E568" s="484"/>
      <c r="F568" s="520"/>
      <c r="G568" s="460"/>
      <c r="H568" s="461"/>
      <c r="I568" s="516"/>
    </row>
    <row r="569" spans="1:9" s="169" customFormat="1" ht="15.75" customHeight="1">
      <c r="A569" s="460"/>
      <c r="B569" s="460"/>
      <c r="C569" s="460"/>
      <c r="D569" s="461"/>
      <c r="E569" s="461"/>
      <c r="F569" s="520"/>
      <c r="G569" s="460"/>
      <c r="H569" s="461"/>
      <c r="I569" s="516"/>
    </row>
    <row r="570" spans="1:9" s="169" customFormat="1" ht="15.75" customHeight="1">
      <c r="A570" s="460"/>
      <c r="B570" s="460"/>
      <c r="C570" s="460"/>
      <c r="D570" s="461"/>
      <c r="E570" s="461"/>
      <c r="F570" s="520"/>
      <c r="G570" s="460"/>
      <c r="H570" s="461"/>
      <c r="I570" s="516"/>
    </row>
    <row r="571" spans="1:9" s="169" customFormat="1" ht="15.75" customHeight="1">
      <c r="A571" s="460"/>
      <c r="B571" s="460"/>
      <c r="C571" s="460"/>
      <c r="D571" s="461"/>
      <c r="E571" s="461"/>
      <c r="F571" s="520"/>
      <c r="G571" s="460"/>
      <c r="H571" s="461"/>
      <c r="I571" s="516"/>
    </row>
    <row r="572" spans="1:9" s="169" customFormat="1" ht="15.75" customHeight="1">
      <c r="A572" s="460"/>
      <c r="B572" s="460"/>
      <c r="C572" s="460"/>
      <c r="D572" s="461"/>
      <c r="E572" s="461"/>
      <c r="F572" s="520"/>
      <c r="G572" s="460"/>
      <c r="H572" s="461"/>
      <c r="I572" s="516"/>
    </row>
    <row r="573" spans="1:9" s="169" customFormat="1" ht="15.75" customHeight="1">
      <c r="A573" s="460"/>
      <c r="B573" s="460"/>
      <c r="C573" s="460"/>
      <c r="D573" s="461"/>
      <c r="E573" s="461"/>
      <c r="F573" s="520"/>
      <c r="G573" s="460"/>
      <c r="H573" s="461"/>
      <c r="I573" s="516"/>
    </row>
    <row r="574" spans="1:9" s="169" customFormat="1" ht="15.75" customHeight="1">
      <c r="A574" s="460"/>
      <c r="B574" s="460"/>
      <c r="C574" s="460"/>
      <c r="D574" s="461"/>
      <c r="E574" s="461"/>
      <c r="F574" s="520"/>
      <c r="G574" s="460"/>
      <c r="H574" s="461"/>
      <c r="I574" s="516"/>
    </row>
    <row r="575" spans="1:9" s="169" customFormat="1" ht="15.75" customHeight="1">
      <c r="A575" s="460"/>
      <c r="B575" s="460"/>
      <c r="C575" s="460"/>
      <c r="D575" s="461"/>
      <c r="E575" s="461"/>
      <c r="F575" s="520"/>
      <c r="G575" s="460"/>
      <c r="H575" s="461"/>
      <c r="I575" s="516"/>
    </row>
    <row r="576" spans="1:9" s="169" customFormat="1" ht="15.75" customHeight="1">
      <c r="A576" s="460"/>
      <c r="B576" s="460"/>
      <c r="C576" s="460"/>
      <c r="D576" s="461"/>
      <c r="E576" s="461"/>
      <c r="F576" s="520"/>
      <c r="G576" s="460"/>
      <c r="H576" s="461"/>
      <c r="I576" s="516"/>
    </row>
    <row r="577" spans="1:9" s="169" customFormat="1" ht="15.75" customHeight="1">
      <c r="A577" s="460"/>
      <c r="B577" s="460"/>
      <c r="C577" s="460"/>
      <c r="D577" s="461"/>
      <c r="E577" s="461"/>
      <c r="F577" s="520"/>
      <c r="G577" s="460"/>
      <c r="H577" s="461"/>
      <c r="I577" s="516"/>
    </row>
    <row r="578" spans="1:9" s="169" customFormat="1" ht="15.75" customHeight="1">
      <c r="A578" s="460"/>
      <c r="B578" s="460"/>
      <c r="C578" s="460"/>
      <c r="D578" s="461"/>
      <c r="E578" s="461"/>
      <c r="F578" s="520"/>
      <c r="G578" s="460"/>
      <c r="H578" s="461"/>
      <c r="I578" s="516"/>
    </row>
    <row r="579" spans="1:9" s="169" customFormat="1" ht="15.75" customHeight="1">
      <c r="A579" s="460"/>
      <c r="B579" s="460"/>
      <c r="C579" s="460"/>
      <c r="D579" s="461"/>
      <c r="E579" s="461"/>
      <c r="F579" s="520"/>
      <c r="G579" s="460"/>
      <c r="H579" s="461"/>
      <c r="I579" s="516"/>
    </row>
    <row r="580" spans="1:9" s="169" customFormat="1" ht="15.75" customHeight="1">
      <c r="A580" s="460"/>
      <c r="B580" s="460"/>
      <c r="C580" s="460"/>
      <c r="D580" s="461"/>
      <c r="E580" s="461"/>
      <c r="F580" s="520"/>
      <c r="G580" s="460"/>
      <c r="H580" s="461"/>
      <c r="I580" s="516"/>
    </row>
    <row r="581" spans="1:9" s="169" customFormat="1" ht="15.75" customHeight="1">
      <c r="A581" s="460"/>
      <c r="B581" s="460"/>
      <c r="C581" s="460"/>
      <c r="D581" s="461"/>
      <c r="E581" s="461"/>
      <c r="F581" s="520"/>
      <c r="G581" s="460"/>
      <c r="H581" s="461"/>
      <c r="I581" s="516"/>
    </row>
    <row r="582" spans="1:9" s="169" customFormat="1" ht="15.75" customHeight="1">
      <c r="A582" s="460"/>
      <c r="B582" s="460"/>
      <c r="C582" s="460"/>
      <c r="D582" s="461"/>
      <c r="E582" s="461"/>
      <c r="F582" s="520"/>
      <c r="G582" s="460"/>
      <c r="H582" s="461"/>
      <c r="I582" s="516"/>
    </row>
    <row r="583" spans="1:9" s="169" customFormat="1" ht="15.75" customHeight="1">
      <c r="A583" s="460"/>
      <c r="B583" s="460"/>
      <c r="C583" s="460"/>
      <c r="D583" s="461"/>
      <c r="E583" s="461"/>
      <c r="F583" s="520"/>
      <c r="G583" s="460"/>
      <c r="H583" s="461"/>
      <c r="I583" s="516"/>
    </row>
    <row r="584" spans="1:9" s="169" customFormat="1" ht="15.75" customHeight="1">
      <c r="A584" s="520"/>
      <c r="B584" s="479"/>
      <c r="C584" s="479"/>
      <c r="D584" s="461"/>
      <c r="E584" s="527"/>
      <c r="F584" s="520"/>
      <c r="G584" s="460"/>
      <c r="H584" s="494"/>
      <c r="I584" s="516"/>
    </row>
    <row r="585" spans="1:9" s="169" customFormat="1" ht="15.75" customHeight="1">
      <c r="A585" s="528"/>
      <c r="B585" s="479"/>
      <c r="C585" s="479"/>
      <c r="D585" s="461"/>
      <c r="E585" s="529"/>
      <c r="F585" s="520"/>
      <c r="G585" s="460"/>
      <c r="H585" s="494"/>
      <c r="I585" s="516"/>
    </row>
    <row r="586" spans="1:9" s="169" customFormat="1" ht="15.75" customHeight="1">
      <c r="A586" s="528"/>
      <c r="B586" s="479"/>
      <c r="C586" s="479"/>
      <c r="D586" s="461"/>
      <c r="E586" s="529"/>
      <c r="F586" s="520"/>
      <c r="G586" s="460"/>
      <c r="H586" s="494"/>
      <c r="I586" s="516"/>
    </row>
    <row r="587" spans="1:9" s="169" customFormat="1" ht="15.75" customHeight="1">
      <c r="A587" s="530"/>
      <c r="B587" s="479"/>
      <c r="C587" s="479"/>
      <c r="D587" s="461"/>
      <c r="E587" s="531"/>
      <c r="F587" s="520"/>
      <c r="G587" s="460"/>
      <c r="H587" s="494"/>
      <c r="I587" s="516"/>
    </row>
    <row r="588" spans="1:9" s="169" customFormat="1" ht="15.75" customHeight="1">
      <c r="A588" s="528"/>
      <c r="B588" s="479"/>
      <c r="C588" s="479"/>
      <c r="D588" s="461"/>
      <c r="E588" s="529"/>
      <c r="F588" s="520"/>
      <c r="G588" s="460"/>
      <c r="H588" s="494"/>
      <c r="I588" s="516"/>
    </row>
    <row r="589" spans="1:9" s="169" customFormat="1" ht="15.75" customHeight="1">
      <c r="A589" s="528"/>
      <c r="B589" s="479"/>
      <c r="C589" s="479"/>
      <c r="D589" s="461"/>
      <c r="E589" s="529"/>
      <c r="F589" s="520"/>
      <c r="G589" s="460"/>
      <c r="H589" s="494"/>
      <c r="I589" s="516"/>
    </row>
    <row r="590" spans="1:9" s="169" customFormat="1" ht="15.75" customHeight="1">
      <c r="A590" s="528"/>
      <c r="B590" s="479"/>
      <c r="C590" s="479"/>
      <c r="D590" s="461"/>
      <c r="E590" s="529"/>
      <c r="F590" s="520"/>
      <c r="G590" s="460"/>
      <c r="H590" s="494"/>
      <c r="I590" s="516"/>
    </row>
    <row r="591" spans="1:9" s="169" customFormat="1" ht="15.75" customHeight="1">
      <c r="A591" s="528"/>
      <c r="B591" s="479"/>
      <c r="C591" s="479"/>
      <c r="D591" s="461"/>
      <c r="E591" s="529"/>
      <c r="F591" s="520"/>
      <c r="G591" s="460"/>
      <c r="H591" s="494"/>
      <c r="I591" s="516"/>
    </row>
    <row r="592" spans="1:9" s="169" customFormat="1" ht="15.75" customHeight="1">
      <c r="A592" s="528"/>
      <c r="B592" s="479"/>
      <c r="C592" s="479"/>
      <c r="D592" s="461"/>
      <c r="E592" s="529"/>
      <c r="F592" s="520"/>
      <c r="G592" s="460"/>
      <c r="H592" s="494"/>
      <c r="I592" s="516"/>
    </row>
    <row r="593" spans="1:9" s="169" customFormat="1" ht="15.75" customHeight="1">
      <c r="A593" s="528"/>
      <c r="B593" s="479"/>
      <c r="C593" s="479"/>
      <c r="D593" s="461"/>
      <c r="E593" s="529"/>
      <c r="F593" s="520"/>
      <c r="G593" s="460"/>
      <c r="H593" s="494"/>
      <c r="I593" s="516"/>
    </row>
    <row r="594" spans="1:9" s="169" customFormat="1" ht="15.75" customHeight="1">
      <c r="A594" s="528"/>
      <c r="B594" s="479"/>
      <c r="C594" s="479"/>
      <c r="D594" s="461"/>
      <c r="E594" s="529"/>
      <c r="F594" s="520"/>
      <c r="G594" s="460"/>
      <c r="H594" s="494"/>
      <c r="I594" s="516"/>
    </row>
    <row r="595" spans="1:9" s="169" customFormat="1" ht="15.75" customHeight="1">
      <c r="A595" s="528"/>
      <c r="B595" s="479"/>
      <c r="C595" s="479"/>
      <c r="D595" s="461"/>
      <c r="E595" s="529"/>
      <c r="F595" s="520"/>
      <c r="G595" s="460"/>
      <c r="H595" s="494"/>
      <c r="I595" s="516"/>
    </row>
    <row r="596" spans="1:9" s="169" customFormat="1" ht="15.75" customHeight="1">
      <c r="A596" s="528"/>
      <c r="B596" s="479"/>
      <c r="C596" s="479"/>
      <c r="D596" s="461"/>
      <c r="E596" s="529"/>
      <c r="F596" s="520"/>
      <c r="G596" s="460"/>
      <c r="H596" s="494"/>
      <c r="I596" s="516"/>
    </row>
    <row r="597" spans="1:9" s="169" customFormat="1" ht="15.75" customHeight="1">
      <c r="A597" s="528"/>
      <c r="B597" s="479"/>
      <c r="C597" s="479"/>
      <c r="D597" s="461"/>
      <c r="E597" s="529"/>
      <c r="F597" s="520"/>
      <c r="G597" s="460"/>
      <c r="H597" s="494"/>
      <c r="I597" s="516"/>
    </row>
    <row r="598" spans="1:9" s="169" customFormat="1" ht="15.75" customHeight="1">
      <c r="A598" s="530"/>
      <c r="B598" s="479"/>
      <c r="C598" s="479"/>
      <c r="D598" s="461"/>
      <c r="E598" s="531"/>
      <c r="F598" s="520"/>
      <c r="G598" s="460"/>
      <c r="H598" s="494"/>
      <c r="I598" s="516"/>
    </row>
    <row r="599" spans="1:9" s="169" customFormat="1" ht="15.75" customHeight="1">
      <c r="A599" s="528"/>
      <c r="B599" s="479"/>
      <c r="C599" s="479"/>
      <c r="D599" s="461"/>
      <c r="E599" s="529"/>
      <c r="F599" s="520"/>
      <c r="G599" s="460"/>
      <c r="H599" s="494"/>
      <c r="I599" s="516"/>
    </row>
    <row r="600" spans="1:9" s="169" customFormat="1" ht="15.75" customHeight="1">
      <c r="A600" s="530"/>
      <c r="B600" s="479"/>
      <c r="C600" s="479"/>
      <c r="D600" s="461"/>
      <c r="E600" s="531"/>
      <c r="F600" s="520"/>
      <c r="G600" s="460"/>
      <c r="H600" s="494"/>
      <c r="I600" s="516"/>
    </row>
    <row r="601" spans="1:9" s="169" customFormat="1" ht="15.75" customHeight="1">
      <c r="A601" s="520"/>
      <c r="B601" s="479"/>
      <c r="C601" s="479"/>
      <c r="D601" s="461"/>
      <c r="E601" s="527"/>
      <c r="F601" s="520"/>
      <c r="G601" s="460"/>
      <c r="H601" s="494"/>
      <c r="I601" s="516"/>
    </row>
    <row r="602" spans="1:9" s="169" customFormat="1" ht="15.75" customHeight="1">
      <c r="A602" s="532"/>
      <c r="B602" s="479"/>
      <c r="C602" s="479"/>
      <c r="D602" s="461"/>
      <c r="E602" s="533"/>
      <c r="F602" s="520"/>
      <c r="G602" s="460"/>
      <c r="H602" s="494"/>
      <c r="I602" s="516"/>
    </row>
    <row r="603" spans="1:9" s="169" customFormat="1" ht="15.75" customHeight="1">
      <c r="A603" s="532"/>
      <c r="B603" s="479"/>
      <c r="C603" s="479"/>
      <c r="D603" s="461"/>
      <c r="E603" s="533"/>
      <c r="F603" s="520"/>
      <c r="G603" s="460"/>
      <c r="H603" s="494"/>
      <c r="I603" s="516"/>
    </row>
    <row r="604" spans="1:9" s="169" customFormat="1" ht="15.75" customHeight="1">
      <c r="A604" s="520"/>
      <c r="B604" s="479"/>
      <c r="C604" s="479"/>
      <c r="D604" s="461"/>
      <c r="E604" s="527"/>
      <c r="F604" s="520"/>
      <c r="G604" s="460"/>
      <c r="H604" s="494"/>
      <c r="I604" s="516"/>
    </row>
    <row r="605" spans="1:9" s="169" customFormat="1" ht="15.75" customHeight="1">
      <c r="A605" s="534"/>
      <c r="B605" s="479"/>
      <c r="C605" s="479"/>
      <c r="D605" s="461"/>
      <c r="E605" s="535"/>
      <c r="F605" s="520"/>
      <c r="G605" s="460"/>
      <c r="H605" s="494"/>
      <c r="I605" s="516"/>
    </row>
    <row r="606" spans="1:9" s="169" customFormat="1" ht="15.75" customHeight="1">
      <c r="A606" s="536"/>
      <c r="B606" s="479"/>
      <c r="C606" s="479"/>
      <c r="D606" s="461"/>
      <c r="E606" s="537"/>
      <c r="F606" s="520"/>
      <c r="G606" s="460"/>
      <c r="H606" s="494"/>
      <c r="I606" s="516"/>
    </row>
    <row r="607" spans="1:9" s="169" customFormat="1" ht="15.75" customHeight="1">
      <c r="A607" s="536"/>
      <c r="B607" s="479"/>
      <c r="C607" s="479"/>
      <c r="D607" s="461"/>
      <c r="E607" s="537"/>
      <c r="F607" s="520"/>
      <c r="G607" s="460"/>
      <c r="H607" s="494"/>
      <c r="I607" s="516"/>
    </row>
    <row r="608" spans="1:9" s="169" customFormat="1" ht="15.75" customHeight="1">
      <c r="A608" s="478"/>
      <c r="B608" s="479"/>
      <c r="C608" s="479"/>
      <c r="D608" s="461"/>
      <c r="E608" s="480"/>
      <c r="F608" s="520"/>
      <c r="G608" s="460"/>
      <c r="H608" s="494"/>
      <c r="I608" s="516"/>
    </row>
    <row r="609" spans="1:9" s="169" customFormat="1" ht="15.75" customHeight="1">
      <c r="A609" s="478"/>
      <c r="B609" s="479"/>
      <c r="C609" s="479"/>
      <c r="D609" s="461"/>
      <c r="E609" s="480"/>
      <c r="F609" s="520"/>
      <c r="G609" s="460"/>
      <c r="H609" s="494"/>
      <c r="I609" s="516"/>
    </row>
    <row r="610" spans="1:9" s="169" customFormat="1" ht="15.75" customHeight="1">
      <c r="A610" s="478"/>
      <c r="B610" s="479"/>
      <c r="C610" s="479"/>
      <c r="D610" s="461"/>
      <c r="E610" s="480"/>
      <c r="F610" s="520"/>
      <c r="G610" s="460"/>
      <c r="H610" s="494"/>
      <c r="I610" s="516"/>
    </row>
    <row r="611" spans="1:9" s="169" customFormat="1" ht="15.75" customHeight="1">
      <c r="A611" s="478"/>
      <c r="B611" s="479"/>
      <c r="C611" s="479"/>
      <c r="D611" s="461"/>
      <c r="E611" s="480"/>
      <c r="F611" s="520"/>
      <c r="G611" s="460"/>
      <c r="H611" s="494"/>
      <c r="I611" s="516"/>
    </row>
    <row r="612" spans="1:9" s="169" customFormat="1" ht="15.75" customHeight="1">
      <c r="A612" s="478"/>
      <c r="B612" s="479"/>
      <c r="C612" s="479"/>
      <c r="D612" s="461"/>
      <c r="E612" s="480"/>
      <c r="F612" s="520"/>
      <c r="G612" s="460"/>
      <c r="H612" s="494"/>
      <c r="I612" s="516"/>
    </row>
    <row r="613" spans="1:9" s="169" customFormat="1" ht="15.75" customHeight="1">
      <c r="A613" s="478"/>
      <c r="B613" s="479"/>
      <c r="C613" s="479"/>
      <c r="D613" s="461"/>
      <c r="E613" s="480"/>
      <c r="F613" s="520"/>
      <c r="G613" s="460"/>
      <c r="H613" s="494"/>
      <c r="I613" s="516"/>
    </row>
    <row r="614" spans="1:9" s="169" customFormat="1" ht="15.75" customHeight="1">
      <c r="A614" s="478"/>
      <c r="B614" s="479"/>
      <c r="C614" s="479"/>
      <c r="D614" s="461"/>
      <c r="E614" s="480"/>
      <c r="F614" s="520"/>
      <c r="G614" s="460"/>
      <c r="H614" s="494"/>
      <c r="I614" s="516"/>
    </row>
    <row r="615" spans="1:9" s="169" customFormat="1" ht="15.75" customHeight="1">
      <c r="A615" s="478"/>
      <c r="B615" s="479"/>
      <c r="C615" s="479"/>
      <c r="D615" s="461"/>
      <c r="E615" s="480"/>
      <c r="F615" s="520"/>
      <c r="G615" s="460"/>
      <c r="H615" s="494"/>
      <c r="I615" s="516"/>
    </row>
    <row r="616" spans="1:9" s="169" customFormat="1" ht="15.75" customHeight="1">
      <c r="A616" s="478"/>
      <c r="B616" s="479"/>
      <c r="C616" s="479"/>
      <c r="D616" s="461"/>
      <c r="E616" s="480"/>
      <c r="F616" s="520"/>
      <c r="G616" s="460"/>
      <c r="H616" s="494"/>
      <c r="I616" s="516"/>
    </row>
    <row r="617" spans="1:9" s="169" customFormat="1" ht="15.75" customHeight="1">
      <c r="A617" s="478"/>
      <c r="B617" s="479"/>
      <c r="C617" s="479"/>
      <c r="D617" s="461"/>
      <c r="E617" s="480"/>
      <c r="F617" s="520"/>
      <c r="G617" s="460"/>
      <c r="H617" s="494"/>
      <c r="I617" s="516"/>
    </row>
    <row r="618" spans="1:9" s="169" customFormat="1" ht="15.75" customHeight="1">
      <c r="A618" s="478"/>
      <c r="B618" s="479"/>
      <c r="C618" s="479"/>
      <c r="D618" s="461"/>
      <c r="E618" s="480"/>
      <c r="F618" s="520"/>
      <c r="G618" s="460"/>
      <c r="H618" s="494"/>
      <c r="I618" s="516"/>
    </row>
    <row r="619" spans="1:9" s="169" customFormat="1" ht="15.75" customHeight="1">
      <c r="A619" s="478"/>
      <c r="B619" s="479"/>
      <c r="C619" s="479"/>
      <c r="D619" s="461"/>
      <c r="E619" s="480"/>
      <c r="F619" s="520"/>
      <c r="G619" s="460"/>
      <c r="H619" s="494"/>
      <c r="I619" s="516"/>
    </row>
    <row r="620" spans="1:9" s="169" customFormat="1" ht="15.75" customHeight="1">
      <c r="A620" s="478"/>
      <c r="B620" s="479"/>
      <c r="C620" s="479"/>
      <c r="D620" s="461"/>
      <c r="E620" s="480"/>
      <c r="F620" s="520"/>
      <c r="G620" s="460"/>
      <c r="H620" s="494"/>
      <c r="I620" s="516"/>
    </row>
    <row r="621" spans="1:9" s="169" customFormat="1" ht="15.75" customHeight="1">
      <c r="A621" s="478"/>
      <c r="B621" s="479"/>
      <c r="C621" s="479"/>
      <c r="D621" s="461"/>
      <c r="E621" s="480"/>
      <c r="F621" s="520"/>
      <c r="G621" s="460"/>
      <c r="H621" s="494"/>
      <c r="I621" s="516"/>
    </row>
    <row r="622" spans="1:9" s="169" customFormat="1" ht="15.75" customHeight="1">
      <c r="A622" s="478"/>
      <c r="B622" s="479"/>
      <c r="C622" s="479"/>
      <c r="D622" s="461"/>
      <c r="E622" s="480"/>
      <c r="F622" s="520"/>
      <c r="G622" s="460"/>
      <c r="H622" s="494"/>
      <c r="I622" s="516"/>
    </row>
    <row r="623" spans="1:9" s="169" customFormat="1" ht="15.75" customHeight="1">
      <c r="A623" s="478"/>
      <c r="B623" s="479"/>
      <c r="C623" s="479"/>
      <c r="D623" s="461"/>
      <c r="E623" s="480"/>
      <c r="F623" s="520"/>
      <c r="G623" s="460"/>
      <c r="H623" s="494"/>
      <c r="I623" s="516"/>
    </row>
    <row r="624" spans="1:9" s="169" customFormat="1" ht="15.75" customHeight="1">
      <c r="A624" s="478"/>
      <c r="B624" s="479"/>
      <c r="C624" s="479"/>
      <c r="D624" s="461"/>
      <c r="E624" s="480"/>
      <c r="F624" s="520"/>
      <c r="G624" s="460"/>
      <c r="H624" s="494"/>
      <c r="I624" s="516"/>
    </row>
    <row r="625" spans="1:9" s="169" customFormat="1" ht="15.75" customHeight="1">
      <c r="A625" s="478"/>
      <c r="B625" s="479"/>
      <c r="C625" s="479"/>
      <c r="D625" s="461"/>
      <c r="E625" s="480"/>
      <c r="F625" s="520"/>
      <c r="G625" s="460"/>
      <c r="H625" s="494"/>
      <c r="I625" s="516"/>
    </row>
    <row r="626" spans="1:9" s="169" customFormat="1" ht="15.75" customHeight="1">
      <c r="A626" s="478"/>
      <c r="B626" s="479"/>
      <c r="C626" s="479"/>
      <c r="D626" s="461"/>
      <c r="E626" s="480"/>
      <c r="F626" s="520"/>
      <c r="G626" s="460"/>
      <c r="H626" s="494"/>
      <c r="I626" s="516"/>
    </row>
    <row r="627" spans="1:9" s="169" customFormat="1" ht="15.75" customHeight="1">
      <c r="A627" s="478"/>
      <c r="B627" s="479"/>
      <c r="C627" s="479"/>
      <c r="D627" s="461"/>
      <c r="E627" s="480"/>
      <c r="F627" s="520"/>
      <c r="G627" s="460"/>
      <c r="H627" s="494"/>
      <c r="I627" s="516"/>
    </row>
    <row r="628" spans="1:9" s="169" customFormat="1" ht="15.75" customHeight="1">
      <c r="A628" s="478"/>
      <c r="B628" s="479"/>
      <c r="C628" s="479"/>
      <c r="D628" s="461"/>
      <c r="E628" s="480"/>
      <c r="F628" s="520"/>
      <c r="G628" s="460"/>
      <c r="H628" s="494"/>
      <c r="I628" s="516"/>
    </row>
    <row r="629" spans="1:9" s="169" customFormat="1" ht="15.75" customHeight="1">
      <c r="A629" s="478"/>
      <c r="B629" s="479"/>
      <c r="C629" s="479"/>
      <c r="D629" s="461"/>
      <c r="E629" s="480"/>
      <c r="F629" s="520"/>
      <c r="G629" s="460"/>
      <c r="H629" s="494"/>
      <c r="I629" s="516"/>
    </row>
    <row r="630" spans="1:9" s="169" customFormat="1" ht="15.75" customHeight="1">
      <c r="A630" s="478"/>
      <c r="B630" s="479"/>
      <c r="C630" s="479"/>
      <c r="D630" s="461"/>
      <c r="E630" s="480"/>
      <c r="F630" s="520"/>
      <c r="G630" s="460"/>
      <c r="H630" s="494"/>
      <c r="I630" s="516"/>
    </row>
    <row r="631" spans="1:9" s="169" customFormat="1" ht="15.75" customHeight="1">
      <c r="A631" s="460"/>
      <c r="B631" s="460"/>
      <c r="C631" s="460"/>
      <c r="D631" s="461"/>
      <c r="E631" s="538"/>
      <c r="F631" s="520"/>
      <c r="G631" s="460"/>
      <c r="H631" s="461"/>
      <c r="I631" s="516"/>
    </row>
    <row r="632" spans="1:9" s="169" customFormat="1" ht="15.75" customHeight="1">
      <c r="A632" s="460"/>
      <c r="B632" s="460"/>
      <c r="C632" s="460"/>
      <c r="D632" s="461"/>
      <c r="E632" s="538"/>
      <c r="F632" s="520"/>
      <c r="G632" s="460"/>
      <c r="H632" s="538"/>
      <c r="I632" s="516"/>
    </row>
    <row r="633" spans="1:9" s="169" customFormat="1" ht="15.75" customHeight="1">
      <c r="A633" s="460"/>
      <c r="B633" s="460"/>
      <c r="C633" s="460"/>
      <c r="D633" s="461"/>
      <c r="E633" s="538"/>
      <c r="F633" s="520"/>
      <c r="G633" s="460"/>
      <c r="H633" s="538"/>
      <c r="I633" s="516"/>
    </row>
    <row r="634" spans="1:9" s="169" customFormat="1" ht="15.75" customHeight="1">
      <c r="A634" s="460"/>
      <c r="B634" s="460"/>
      <c r="C634" s="460"/>
      <c r="D634" s="461"/>
      <c r="E634" s="538"/>
      <c r="F634" s="520"/>
      <c r="G634" s="460"/>
      <c r="H634" s="538"/>
      <c r="I634" s="516"/>
    </row>
    <row r="635" spans="1:9" s="169" customFormat="1" ht="15.75" customHeight="1">
      <c r="A635" s="460"/>
      <c r="B635" s="460"/>
      <c r="C635" s="460"/>
      <c r="D635" s="461"/>
      <c r="E635" s="538"/>
      <c r="F635" s="520"/>
      <c r="G635" s="460"/>
      <c r="H635" s="538"/>
      <c r="I635" s="516"/>
    </row>
    <row r="636" spans="1:9" s="169" customFormat="1" ht="15.75" customHeight="1">
      <c r="A636" s="460"/>
      <c r="B636" s="460"/>
      <c r="C636" s="460"/>
      <c r="D636" s="461"/>
      <c r="E636" s="538"/>
      <c r="F636" s="520"/>
      <c r="G636" s="460"/>
      <c r="H636" s="538"/>
      <c r="I636" s="516"/>
    </row>
    <row r="637" spans="1:9" s="169" customFormat="1" ht="15.75" customHeight="1">
      <c r="A637" s="539"/>
      <c r="B637" s="539"/>
      <c r="C637" s="460"/>
      <c r="D637" s="461"/>
      <c r="E637" s="538"/>
      <c r="F637" s="520"/>
      <c r="G637" s="460"/>
      <c r="H637" s="538"/>
      <c r="I637" s="516"/>
    </row>
    <row r="638" spans="1:9" s="169" customFormat="1" ht="15.75" customHeight="1">
      <c r="A638" s="460"/>
      <c r="B638" s="460"/>
      <c r="C638" s="460"/>
      <c r="D638" s="461"/>
      <c r="E638" s="538"/>
      <c r="F638" s="520"/>
      <c r="G638" s="460"/>
      <c r="H638" s="461"/>
      <c r="I638" s="516"/>
    </row>
    <row r="639" spans="1:9" s="169" customFormat="1" ht="15.75" customHeight="1">
      <c r="A639" s="460"/>
      <c r="B639" s="460"/>
      <c r="C639" s="460"/>
      <c r="D639" s="461"/>
      <c r="E639" s="538"/>
      <c r="F639" s="520"/>
      <c r="G639" s="460"/>
      <c r="H639" s="461"/>
      <c r="I639" s="516"/>
    </row>
    <row r="640" spans="1:9" s="169" customFormat="1" ht="15.75" customHeight="1">
      <c r="A640" s="460"/>
      <c r="B640" s="460"/>
      <c r="C640" s="460"/>
      <c r="D640" s="461"/>
      <c r="E640" s="461"/>
      <c r="F640" s="520"/>
      <c r="G640" s="460"/>
      <c r="H640" s="461"/>
      <c r="I640" s="516"/>
    </row>
    <row r="641" spans="1:9" s="169" customFormat="1" ht="15.75" customHeight="1">
      <c r="A641" s="460"/>
      <c r="B641" s="460"/>
      <c r="C641" s="460"/>
      <c r="D641" s="461"/>
      <c r="E641" s="461"/>
      <c r="F641" s="520"/>
      <c r="G641" s="460"/>
      <c r="H641" s="461"/>
      <c r="I641" s="516"/>
    </row>
    <row r="642" spans="1:9" s="169" customFormat="1" ht="15.75" customHeight="1">
      <c r="A642" s="460"/>
      <c r="B642" s="460"/>
      <c r="C642" s="460"/>
      <c r="D642" s="461"/>
      <c r="E642" s="461"/>
      <c r="F642" s="520"/>
      <c r="G642" s="460"/>
      <c r="H642" s="461"/>
      <c r="I642" s="516"/>
    </row>
    <row r="643" spans="1:9" s="169" customFormat="1" ht="15.75" customHeight="1">
      <c r="A643" s="460"/>
      <c r="B643" s="460"/>
      <c r="C643" s="460"/>
      <c r="D643" s="461"/>
      <c r="E643" s="461"/>
      <c r="F643" s="520"/>
      <c r="G643" s="460"/>
      <c r="H643" s="461"/>
      <c r="I643" s="516"/>
    </row>
    <row r="644" spans="1:9" s="169" customFormat="1" ht="15.75" customHeight="1">
      <c r="A644" s="460"/>
      <c r="B644" s="460"/>
      <c r="C644" s="460"/>
      <c r="D644" s="461"/>
      <c r="E644" s="461"/>
      <c r="F644" s="520"/>
      <c r="G644" s="460"/>
      <c r="H644" s="461"/>
      <c r="I644" s="516"/>
    </row>
    <row r="645" spans="1:9" s="169" customFormat="1" ht="15.75" customHeight="1">
      <c r="A645" s="460"/>
      <c r="B645" s="460"/>
      <c r="C645" s="460"/>
      <c r="D645" s="461"/>
      <c r="E645" s="461"/>
      <c r="F645" s="520"/>
      <c r="G645" s="460"/>
      <c r="H645" s="461"/>
      <c r="I645" s="516"/>
    </row>
    <row r="646" spans="1:9" s="169" customFormat="1" ht="15.75" customHeight="1">
      <c r="A646" s="460"/>
      <c r="B646" s="460"/>
      <c r="C646" s="460"/>
      <c r="D646" s="461"/>
      <c r="E646" s="461"/>
      <c r="F646" s="520"/>
      <c r="G646" s="460"/>
      <c r="H646" s="461"/>
      <c r="I646" s="516"/>
    </row>
    <row r="647" spans="1:9" s="169" customFormat="1" ht="15.75" customHeight="1">
      <c r="A647" s="540"/>
      <c r="B647" s="479"/>
      <c r="C647" s="479"/>
      <c r="D647" s="461"/>
      <c r="E647" s="541"/>
      <c r="F647" s="520"/>
      <c r="G647" s="460"/>
      <c r="H647" s="494"/>
      <c r="I647" s="516"/>
    </row>
    <row r="648" spans="1:9" s="169" customFormat="1" ht="15.75" customHeight="1">
      <c r="A648" s="540"/>
      <c r="B648" s="479"/>
      <c r="C648" s="479"/>
      <c r="D648" s="461"/>
      <c r="E648" s="541"/>
      <c r="F648" s="520"/>
      <c r="G648" s="460"/>
      <c r="H648" s="494"/>
      <c r="I648" s="516"/>
    </row>
    <row r="649" spans="1:9" s="169" customFormat="1" ht="15.75" customHeight="1">
      <c r="A649" s="540"/>
      <c r="B649" s="479"/>
      <c r="C649" s="479"/>
      <c r="D649" s="461"/>
      <c r="E649" s="541"/>
      <c r="F649" s="520"/>
      <c r="G649" s="460"/>
      <c r="H649" s="494"/>
      <c r="I649" s="516"/>
    </row>
    <row r="650" spans="1:9" s="169" customFormat="1" ht="15.75" customHeight="1">
      <c r="A650" s="540"/>
      <c r="B650" s="479"/>
      <c r="C650" s="479"/>
      <c r="D650" s="461"/>
      <c r="E650" s="541"/>
      <c r="F650" s="520"/>
      <c r="G650" s="460"/>
      <c r="H650" s="494"/>
      <c r="I650" s="516"/>
    </row>
    <row r="651" spans="1:9" s="169" customFormat="1" ht="15.75" customHeight="1">
      <c r="A651" s="540"/>
      <c r="B651" s="479"/>
      <c r="C651" s="479"/>
      <c r="D651" s="461"/>
      <c r="E651" s="541"/>
      <c r="F651" s="520"/>
      <c r="G651" s="460"/>
      <c r="H651" s="494"/>
      <c r="I651" s="516"/>
    </row>
    <row r="652" spans="1:9" s="169" customFormat="1" ht="15.75" customHeight="1">
      <c r="A652" s="540"/>
      <c r="B652" s="479"/>
      <c r="C652" s="479"/>
      <c r="D652" s="461"/>
      <c r="E652" s="541"/>
      <c r="F652" s="520"/>
      <c r="G652" s="460"/>
      <c r="H652" s="494"/>
      <c r="I652" s="516"/>
    </row>
    <row r="653" spans="1:9" s="169" customFormat="1" ht="15.75" customHeight="1">
      <c r="A653" s="540"/>
      <c r="B653" s="479"/>
      <c r="C653" s="479"/>
      <c r="D653" s="461"/>
      <c r="E653" s="541"/>
      <c r="F653" s="520"/>
      <c r="G653" s="460"/>
      <c r="H653" s="494"/>
      <c r="I653" s="516"/>
    </row>
    <row r="654" spans="1:9" s="169" customFormat="1" ht="15.75" customHeight="1">
      <c r="A654" s="540"/>
      <c r="B654" s="479"/>
      <c r="C654" s="479"/>
      <c r="D654" s="461"/>
      <c r="E654" s="541"/>
      <c r="F654" s="520"/>
      <c r="G654" s="460"/>
      <c r="H654" s="494"/>
      <c r="I654" s="516"/>
    </row>
    <row r="655" spans="1:9" s="169" customFormat="1" ht="15.75" customHeight="1">
      <c r="A655" s="540"/>
      <c r="B655" s="479"/>
      <c r="C655" s="479"/>
      <c r="D655" s="461"/>
      <c r="E655" s="541"/>
      <c r="F655" s="520"/>
      <c r="G655" s="460"/>
      <c r="H655" s="494"/>
      <c r="I655" s="516"/>
    </row>
    <row r="656" spans="1:9" s="169" customFormat="1" ht="15.75" customHeight="1">
      <c r="A656" s="540"/>
      <c r="B656" s="479"/>
      <c r="C656" s="479"/>
      <c r="D656" s="461"/>
      <c r="E656" s="541"/>
      <c r="F656" s="520"/>
      <c r="G656" s="460"/>
      <c r="H656" s="494"/>
      <c r="I656" s="516"/>
    </row>
    <row r="657" spans="1:9" s="169" customFormat="1" ht="15.75" customHeight="1">
      <c r="A657" s="540"/>
      <c r="B657" s="479"/>
      <c r="C657" s="479"/>
      <c r="D657" s="461"/>
      <c r="E657" s="541"/>
      <c r="F657" s="520"/>
      <c r="G657" s="460"/>
      <c r="H657" s="494"/>
      <c r="I657" s="516"/>
    </row>
    <row r="658" spans="1:9" s="169" customFormat="1" ht="15.75" customHeight="1">
      <c r="A658" s="540"/>
      <c r="B658" s="479"/>
      <c r="C658" s="479"/>
      <c r="D658" s="461"/>
      <c r="E658" s="541"/>
      <c r="F658" s="520"/>
      <c r="G658" s="460"/>
      <c r="H658" s="494"/>
      <c r="I658" s="516"/>
    </row>
    <row r="659" spans="1:9" s="169" customFormat="1" ht="15.75" customHeight="1">
      <c r="A659" s="540"/>
      <c r="B659" s="479"/>
      <c r="C659" s="479"/>
      <c r="D659" s="461"/>
      <c r="E659" s="541"/>
      <c r="F659" s="520"/>
      <c r="G659" s="460"/>
      <c r="H659" s="494"/>
      <c r="I659" s="516"/>
    </row>
    <row r="660" spans="1:9" s="169" customFormat="1" ht="15.75" customHeight="1">
      <c r="A660" s="540"/>
      <c r="B660" s="479"/>
      <c r="C660" s="479"/>
      <c r="D660" s="461"/>
      <c r="E660" s="541"/>
      <c r="F660" s="520"/>
      <c r="G660" s="460"/>
      <c r="H660" s="494"/>
      <c r="I660" s="516"/>
    </row>
    <row r="661" spans="1:9" s="169" customFormat="1" ht="15.75" customHeight="1">
      <c r="A661" s="540"/>
      <c r="B661" s="479"/>
      <c r="C661" s="479"/>
      <c r="D661" s="461"/>
      <c r="E661" s="541"/>
      <c r="F661" s="520"/>
      <c r="G661" s="460"/>
      <c r="H661" s="494"/>
      <c r="I661" s="516"/>
    </row>
    <row r="662" spans="1:9" s="169" customFormat="1" ht="15.75" customHeight="1">
      <c r="A662" s="540"/>
      <c r="B662" s="479"/>
      <c r="C662" s="479"/>
      <c r="D662" s="461"/>
      <c r="E662" s="541"/>
      <c r="F662" s="520"/>
      <c r="G662" s="460"/>
      <c r="H662" s="494"/>
      <c r="I662" s="516"/>
    </row>
    <row r="663" spans="1:9" s="169" customFormat="1" ht="15.75" customHeight="1">
      <c r="A663" s="540"/>
      <c r="B663" s="479"/>
      <c r="C663" s="479"/>
      <c r="D663" s="461"/>
      <c r="E663" s="541"/>
      <c r="F663" s="520"/>
      <c r="G663" s="460"/>
      <c r="H663" s="494"/>
      <c r="I663" s="516"/>
    </row>
    <row r="664" spans="1:9" s="169" customFormat="1" ht="15.75" customHeight="1">
      <c r="A664" s="540"/>
      <c r="B664" s="479"/>
      <c r="C664" s="479"/>
      <c r="D664" s="461"/>
      <c r="E664" s="541"/>
      <c r="F664" s="520"/>
      <c r="G664" s="460"/>
      <c r="H664" s="494"/>
      <c r="I664" s="516"/>
    </row>
    <row r="665" spans="1:9" s="169" customFormat="1" ht="15.75" customHeight="1">
      <c r="A665" s="540"/>
      <c r="B665" s="479"/>
      <c r="C665" s="479"/>
      <c r="D665" s="461"/>
      <c r="E665" s="541"/>
      <c r="F665" s="520"/>
      <c r="G665" s="460"/>
      <c r="H665" s="494"/>
      <c r="I665" s="516"/>
    </row>
    <row r="666" spans="1:9" s="169" customFormat="1" ht="15.75" customHeight="1">
      <c r="A666" s="540"/>
      <c r="B666" s="479"/>
      <c r="C666" s="479"/>
      <c r="D666" s="461"/>
      <c r="E666" s="541"/>
      <c r="F666" s="520"/>
      <c r="G666" s="460"/>
      <c r="H666" s="494"/>
      <c r="I666" s="516"/>
    </row>
    <row r="667" spans="1:9" s="169" customFormat="1" ht="15.75" customHeight="1">
      <c r="A667" s="540"/>
      <c r="B667" s="479"/>
      <c r="C667" s="479"/>
      <c r="D667" s="461"/>
      <c r="E667" s="541"/>
      <c r="F667" s="520"/>
      <c r="G667" s="460"/>
      <c r="H667" s="494"/>
      <c r="I667" s="516"/>
    </row>
    <row r="668" spans="1:9" s="169" customFormat="1" ht="15.75" customHeight="1">
      <c r="A668" s="540"/>
      <c r="B668" s="479"/>
      <c r="C668" s="479"/>
      <c r="D668" s="461"/>
      <c r="E668" s="541"/>
      <c r="F668" s="520"/>
      <c r="G668" s="460"/>
      <c r="H668" s="494"/>
      <c r="I668" s="516"/>
    </row>
    <row r="669" spans="1:9" s="169" customFormat="1" ht="15.75" customHeight="1">
      <c r="A669" s="485"/>
      <c r="B669" s="485"/>
      <c r="C669" s="485"/>
      <c r="D669" s="461"/>
      <c r="E669" s="486"/>
      <c r="F669" s="520"/>
      <c r="G669" s="485"/>
      <c r="H669" s="486"/>
      <c r="I669" s="516"/>
    </row>
    <row r="670" spans="1:9" s="169" customFormat="1" ht="15.75" customHeight="1">
      <c r="A670" s="485"/>
      <c r="B670" s="485"/>
      <c r="C670" s="485"/>
      <c r="D670" s="461"/>
      <c r="E670" s="486"/>
      <c r="F670" s="521"/>
      <c r="G670" s="485"/>
      <c r="H670" s="486"/>
      <c r="I670" s="516"/>
    </row>
    <row r="671" spans="1:9" s="169" customFormat="1" ht="15.75" customHeight="1">
      <c r="A671" s="485"/>
      <c r="B671" s="485"/>
      <c r="C671" s="485"/>
      <c r="D671" s="461"/>
      <c r="E671" s="486"/>
      <c r="F671" s="520"/>
      <c r="G671" s="485"/>
      <c r="H671" s="486"/>
      <c r="I671" s="516"/>
    </row>
    <row r="672" spans="1:9" s="169" customFormat="1" ht="15.75" customHeight="1">
      <c r="A672" s="485"/>
      <c r="B672" s="485"/>
      <c r="C672" s="485"/>
      <c r="D672" s="461"/>
      <c r="E672" s="486"/>
      <c r="F672" s="520"/>
      <c r="G672" s="485"/>
      <c r="H672" s="486"/>
      <c r="I672" s="516"/>
    </row>
    <row r="673" spans="1:9" s="169" customFormat="1" ht="15.75" customHeight="1">
      <c r="A673" s="485"/>
      <c r="B673" s="485"/>
      <c r="C673" s="485"/>
      <c r="D673" s="461"/>
      <c r="E673" s="486"/>
      <c r="F673" s="520"/>
      <c r="G673" s="485"/>
      <c r="H673" s="486"/>
      <c r="I673" s="516"/>
    </row>
    <row r="674" spans="1:9" s="169" customFormat="1" ht="15.75" customHeight="1">
      <c r="A674" s="485"/>
      <c r="B674" s="485"/>
      <c r="C674" s="485"/>
      <c r="D674" s="461"/>
      <c r="E674" s="486"/>
      <c r="F674" s="520"/>
      <c r="G674" s="485"/>
      <c r="H674" s="486"/>
      <c r="I674" s="516"/>
    </row>
    <row r="675" spans="1:9" s="169" customFormat="1" ht="15.75" customHeight="1">
      <c r="A675" s="485"/>
      <c r="B675" s="485"/>
      <c r="C675" s="485"/>
      <c r="D675" s="461"/>
      <c r="E675" s="486"/>
      <c r="F675" s="520"/>
      <c r="G675" s="485"/>
      <c r="H675" s="486"/>
      <c r="I675" s="516"/>
    </row>
    <row r="676" spans="1:9" s="169" customFormat="1" ht="15.75" customHeight="1">
      <c r="A676" s="485"/>
      <c r="B676" s="485"/>
      <c r="C676" s="485"/>
      <c r="D676" s="461"/>
      <c r="E676" s="486"/>
      <c r="F676" s="520"/>
      <c r="G676" s="485"/>
      <c r="H676" s="486"/>
      <c r="I676" s="516"/>
    </row>
    <row r="677" spans="1:9" s="169" customFormat="1" ht="15.75" customHeight="1">
      <c r="A677" s="485"/>
      <c r="B677" s="485"/>
      <c r="C677" s="485"/>
      <c r="D677" s="461"/>
      <c r="E677" s="486"/>
      <c r="F677" s="520"/>
      <c r="G677" s="485"/>
      <c r="H677" s="486"/>
      <c r="I677" s="516"/>
    </row>
    <row r="678" spans="1:9" s="169" customFormat="1" ht="15.75" customHeight="1">
      <c r="A678" s="485"/>
      <c r="B678" s="485"/>
      <c r="C678" s="485"/>
      <c r="D678" s="461"/>
      <c r="E678" s="486"/>
      <c r="F678" s="520"/>
      <c r="G678" s="485"/>
      <c r="H678" s="486"/>
      <c r="I678" s="516"/>
    </row>
    <row r="679" spans="1:9" s="169" customFormat="1" ht="15.75" customHeight="1">
      <c r="A679" s="485"/>
      <c r="B679" s="485"/>
      <c r="C679" s="485"/>
      <c r="D679" s="461"/>
      <c r="E679" s="486"/>
      <c r="F679" s="520"/>
      <c r="G679" s="485"/>
      <c r="H679" s="486"/>
      <c r="I679" s="516"/>
    </row>
    <row r="680" spans="1:9" s="169" customFormat="1" ht="15.75" customHeight="1">
      <c r="A680" s="485"/>
      <c r="B680" s="485"/>
      <c r="C680" s="485"/>
      <c r="D680" s="461"/>
      <c r="E680" s="486"/>
      <c r="F680" s="520"/>
      <c r="G680" s="485"/>
      <c r="H680" s="486"/>
      <c r="I680" s="516"/>
    </row>
    <row r="681" spans="1:9" s="169" customFormat="1" ht="15.75" customHeight="1">
      <c r="A681" s="485"/>
      <c r="B681" s="485"/>
      <c r="C681" s="485"/>
      <c r="D681" s="461"/>
      <c r="E681" s="486"/>
      <c r="F681" s="520"/>
      <c r="G681" s="485"/>
      <c r="H681" s="486"/>
      <c r="I681" s="516"/>
    </row>
    <row r="682" spans="1:9" s="169" customFormat="1" ht="15.75" customHeight="1">
      <c r="A682" s="485"/>
      <c r="B682" s="485"/>
      <c r="C682" s="485"/>
      <c r="D682" s="461"/>
      <c r="E682" s="486"/>
      <c r="F682" s="520"/>
      <c r="G682" s="485"/>
      <c r="H682" s="486"/>
      <c r="I682" s="516"/>
    </row>
    <row r="683" spans="1:9" s="169" customFormat="1" ht="15.75" customHeight="1">
      <c r="A683" s="485"/>
      <c r="B683" s="485"/>
      <c r="C683" s="485"/>
      <c r="D683" s="461"/>
      <c r="E683" s="486"/>
      <c r="F683" s="520"/>
      <c r="G683" s="485"/>
      <c r="H683" s="486"/>
      <c r="I683" s="516"/>
    </row>
    <row r="684" spans="1:9" s="169" customFormat="1" ht="15.75" customHeight="1">
      <c r="A684" s="485"/>
      <c r="B684" s="485"/>
      <c r="C684" s="485"/>
      <c r="D684" s="461"/>
      <c r="E684" s="486"/>
      <c r="F684" s="520"/>
      <c r="G684" s="485"/>
      <c r="H684" s="486"/>
      <c r="I684" s="516"/>
    </row>
    <row r="685" spans="1:9" s="169" customFormat="1" ht="15.75" customHeight="1">
      <c r="A685" s="485"/>
      <c r="B685" s="485"/>
      <c r="C685" s="485"/>
      <c r="D685" s="461"/>
      <c r="E685" s="486"/>
      <c r="F685" s="520"/>
      <c r="G685" s="485"/>
      <c r="H685" s="486"/>
      <c r="I685" s="516"/>
    </row>
    <row r="686" spans="1:9" s="169" customFormat="1" ht="15.75" customHeight="1">
      <c r="A686" s="485"/>
      <c r="B686" s="485"/>
      <c r="C686" s="485"/>
      <c r="D686" s="461"/>
      <c r="E686" s="486"/>
      <c r="F686" s="520"/>
      <c r="G686" s="485"/>
      <c r="H686" s="486"/>
      <c r="I686" s="516"/>
    </row>
    <row r="687" spans="1:9" s="169" customFormat="1" ht="15.75" customHeight="1">
      <c r="A687" s="485"/>
      <c r="B687" s="485"/>
      <c r="C687" s="485"/>
      <c r="D687" s="461"/>
      <c r="E687" s="486"/>
      <c r="F687" s="520"/>
      <c r="G687" s="485"/>
      <c r="H687" s="486"/>
      <c r="I687" s="516"/>
    </row>
    <row r="688" spans="1:9" s="169" customFormat="1" ht="15.75" customHeight="1">
      <c r="A688" s="485"/>
      <c r="B688" s="485"/>
      <c r="C688" s="485"/>
      <c r="D688" s="461"/>
      <c r="E688" s="486"/>
      <c r="F688" s="520"/>
      <c r="G688" s="485"/>
      <c r="H688" s="486"/>
      <c r="I688" s="516"/>
    </row>
    <row r="689" spans="1:9" s="169" customFormat="1" ht="15.75" customHeight="1">
      <c r="A689" s="485"/>
      <c r="B689" s="485"/>
      <c r="C689" s="485"/>
      <c r="D689" s="461"/>
      <c r="E689" s="486"/>
      <c r="F689" s="520"/>
      <c r="G689" s="485"/>
      <c r="H689" s="486"/>
      <c r="I689" s="516"/>
    </row>
    <row r="690" spans="1:9" s="169" customFormat="1" ht="15.75" customHeight="1">
      <c r="A690" s="485"/>
      <c r="B690" s="485"/>
      <c r="C690" s="485"/>
      <c r="D690" s="461"/>
      <c r="E690" s="486"/>
      <c r="F690" s="520"/>
      <c r="G690" s="485"/>
      <c r="H690" s="486"/>
      <c r="I690" s="516"/>
    </row>
    <row r="691" spans="1:9" s="169" customFormat="1" ht="15.75" customHeight="1">
      <c r="A691" s="485"/>
      <c r="B691" s="485"/>
      <c r="C691" s="485"/>
      <c r="D691" s="461"/>
      <c r="E691" s="486"/>
      <c r="F691" s="520"/>
      <c r="G691" s="485"/>
      <c r="H691" s="486"/>
      <c r="I691" s="516"/>
    </row>
    <row r="692" spans="1:9" s="169" customFormat="1" ht="15.75" customHeight="1">
      <c r="A692" s="485"/>
      <c r="B692" s="485"/>
      <c r="C692" s="485"/>
      <c r="D692" s="461"/>
      <c r="E692" s="486"/>
      <c r="F692" s="520"/>
      <c r="G692" s="485"/>
      <c r="H692" s="486"/>
      <c r="I692" s="516"/>
    </row>
    <row r="693" spans="1:9" s="169" customFormat="1" ht="15.75" customHeight="1">
      <c r="A693" s="485"/>
      <c r="B693" s="485"/>
      <c r="C693" s="485"/>
      <c r="D693" s="461"/>
      <c r="E693" s="486"/>
      <c r="F693" s="520"/>
      <c r="G693" s="485"/>
      <c r="H693" s="486"/>
      <c r="I693" s="516"/>
    </row>
    <row r="694" spans="1:9" s="169" customFormat="1" ht="15.75" customHeight="1">
      <c r="A694" s="485"/>
      <c r="B694" s="485"/>
      <c r="C694" s="485"/>
      <c r="D694" s="461"/>
      <c r="E694" s="486"/>
      <c r="F694" s="520"/>
      <c r="G694" s="485"/>
      <c r="H694" s="486"/>
      <c r="I694" s="516"/>
    </row>
    <row r="695" spans="1:9" s="169" customFormat="1" ht="15.75" customHeight="1">
      <c r="A695" s="485"/>
      <c r="B695" s="485"/>
      <c r="C695" s="485"/>
      <c r="D695" s="461"/>
      <c r="E695" s="486"/>
      <c r="F695" s="520"/>
      <c r="G695" s="485"/>
      <c r="H695" s="486"/>
      <c r="I695" s="516"/>
    </row>
    <row r="696" spans="1:9" s="169" customFormat="1" ht="15.75" customHeight="1">
      <c r="A696" s="485"/>
      <c r="B696" s="485"/>
      <c r="C696" s="485"/>
      <c r="D696" s="461"/>
      <c r="E696" s="486"/>
      <c r="F696" s="520"/>
      <c r="G696" s="485"/>
      <c r="H696" s="486"/>
      <c r="I696" s="516"/>
    </row>
    <row r="697" spans="1:9" s="169" customFormat="1" ht="15.75" customHeight="1">
      <c r="A697" s="485"/>
      <c r="B697" s="485"/>
      <c r="C697" s="485"/>
      <c r="D697" s="461"/>
      <c r="E697" s="486"/>
      <c r="F697" s="520"/>
      <c r="G697" s="485"/>
      <c r="H697" s="486"/>
      <c r="I697" s="516"/>
    </row>
    <row r="698" spans="1:9" s="169" customFormat="1" ht="15.75" customHeight="1">
      <c r="A698" s="485"/>
      <c r="B698" s="485"/>
      <c r="C698" s="485"/>
      <c r="D698" s="461"/>
      <c r="E698" s="486"/>
      <c r="F698" s="520"/>
      <c r="G698" s="485"/>
      <c r="H698" s="486"/>
      <c r="I698" s="516"/>
    </row>
    <row r="699" spans="1:9" s="169" customFormat="1" ht="15.75" customHeight="1">
      <c r="A699" s="485"/>
      <c r="B699" s="485"/>
      <c r="C699" s="485"/>
      <c r="D699" s="461"/>
      <c r="E699" s="486"/>
      <c r="F699" s="520"/>
      <c r="G699" s="485"/>
      <c r="H699" s="486"/>
      <c r="I699" s="516"/>
    </row>
    <row r="700" spans="1:9" s="169" customFormat="1" ht="15.75" customHeight="1">
      <c r="A700" s="485"/>
      <c r="B700" s="485"/>
      <c r="C700" s="485"/>
      <c r="D700" s="461"/>
      <c r="E700" s="486"/>
      <c r="F700" s="520"/>
      <c r="G700" s="485"/>
      <c r="H700" s="486"/>
      <c r="I700" s="516"/>
    </row>
    <row r="701" spans="1:9" s="169" customFormat="1" ht="15.75" customHeight="1">
      <c r="A701" s="485"/>
      <c r="B701" s="485"/>
      <c r="C701" s="485"/>
      <c r="D701" s="461"/>
      <c r="E701" s="486"/>
      <c r="F701" s="520"/>
      <c r="G701" s="485"/>
      <c r="H701" s="486"/>
      <c r="I701" s="516"/>
    </row>
    <row r="702" spans="1:9" s="169" customFormat="1" ht="15.75" customHeight="1">
      <c r="A702" s="485"/>
      <c r="B702" s="485"/>
      <c r="C702" s="485"/>
      <c r="D702" s="461"/>
      <c r="E702" s="486"/>
      <c r="F702" s="520"/>
      <c r="G702" s="485"/>
      <c r="H702" s="486"/>
      <c r="I702" s="516"/>
    </row>
    <row r="703" spans="1:9" s="169" customFormat="1" ht="15.75" customHeight="1">
      <c r="A703" s="485"/>
      <c r="B703" s="485"/>
      <c r="C703" s="485"/>
      <c r="D703" s="461"/>
      <c r="E703" s="486"/>
      <c r="F703" s="520"/>
      <c r="G703" s="485"/>
      <c r="H703" s="486"/>
      <c r="I703" s="516"/>
    </row>
    <row r="704" spans="1:9" s="169" customFormat="1" ht="15.75" customHeight="1">
      <c r="A704" s="485"/>
      <c r="B704" s="485"/>
      <c r="C704" s="485"/>
      <c r="D704" s="461"/>
      <c r="E704" s="486"/>
      <c r="F704" s="520"/>
      <c r="G704" s="485"/>
      <c r="H704" s="486"/>
      <c r="I704" s="516"/>
    </row>
    <row r="705" spans="1:9" s="169" customFormat="1" ht="15.75" customHeight="1">
      <c r="A705" s="485"/>
      <c r="B705" s="485"/>
      <c r="C705" s="485"/>
      <c r="D705" s="461"/>
      <c r="E705" s="486"/>
      <c r="F705" s="520"/>
      <c r="G705" s="485"/>
      <c r="H705" s="486"/>
      <c r="I705" s="516"/>
    </row>
    <row r="706" spans="1:9" s="169" customFormat="1" ht="15.75" customHeight="1">
      <c r="A706" s="485"/>
      <c r="B706" s="485"/>
      <c r="C706" s="485"/>
      <c r="D706" s="461"/>
      <c r="E706" s="486"/>
      <c r="F706" s="520"/>
      <c r="G706" s="485"/>
      <c r="H706" s="486"/>
      <c r="I706" s="516"/>
    </row>
    <row r="707" spans="1:9" s="169" customFormat="1" ht="15.75" customHeight="1">
      <c r="A707" s="485"/>
      <c r="B707" s="485"/>
      <c r="C707" s="485"/>
      <c r="D707" s="461"/>
      <c r="E707" s="486"/>
      <c r="F707" s="520"/>
      <c r="G707" s="485"/>
      <c r="H707" s="486"/>
      <c r="I707" s="516"/>
    </row>
    <row r="708" spans="1:9" s="169" customFormat="1" ht="15.75" customHeight="1">
      <c r="A708" s="485"/>
      <c r="B708" s="485"/>
      <c r="C708" s="485"/>
      <c r="D708" s="461"/>
      <c r="E708" s="486"/>
      <c r="F708" s="520"/>
      <c r="G708" s="485"/>
      <c r="H708" s="486"/>
      <c r="I708" s="516"/>
    </row>
    <row r="709" spans="1:9" s="169" customFormat="1" ht="15.75" customHeight="1">
      <c r="A709" s="485"/>
      <c r="B709" s="485"/>
      <c r="C709" s="485"/>
      <c r="D709" s="461"/>
      <c r="E709" s="486"/>
      <c r="F709" s="520"/>
      <c r="G709" s="485"/>
      <c r="H709" s="486"/>
      <c r="I709" s="516"/>
    </row>
    <row r="710" spans="1:9" s="169" customFormat="1" ht="15.75" customHeight="1">
      <c r="A710" s="485"/>
      <c r="B710" s="485"/>
      <c r="C710" s="485"/>
      <c r="D710" s="461"/>
      <c r="E710" s="486"/>
      <c r="F710" s="520"/>
      <c r="G710" s="485"/>
      <c r="H710" s="486"/>
      <c r="I710" s="516"/>
    </row>
    <row r="711" spans="1:9" s="169" customFormat="1" ht="15.75" customHeight="1">
      <c r="A711" s="485"/>
      <c r="B711" s="485"/>
      <c r="C711" s="485"/>
      <c r="D711" s="461"/>
      <c r="E711" s="486"/>
      <c r="F711" s="520"/>
      <c r="G711" s="485"/>
      <c r="H711" s="486"/>
      <c r="I711" s="516"/>
    </row>
    <row r="712" spans="1:9" s="169" customFormat="1" ht="15.75" customHeight="1">
      <c r="A712" s="485"/>
      <c r="B712" s="485"/>
      <c r="C712" s="485"/>
      <c r="D712" s="461"/>
      <c r="E712" s="486"/>
      <c r="F712" s="520"/>
      <c r="G712" s="485"/>
      <c r="H712" s="486"/>
      <c r="I712" s="516"/>
    </row>
    <row r="713" spans="1:9" s="169" customFormat="1" ht="15.75" customHeight="1">
      <c r="A713" s="485"/>
      <c r="B713" s="485"/>
      <c r="C713" s="485"/>
      <c r="D713" s="461"/>
      <c r="E713" s="486"/>
      <c r="F713" s="520"/>
      <c r="G713" s="485"/>
      <c r="H713" s="486"/>
      <c r="I713" s="516"/>
    </row>
    <row r="714" spans="1:9" s="169" customFormat="1" ht="15.75" customHeight="1">
      <c r="A714" s="485"/>
      <c r="B714" s="485"/>
      <c r="C714" s="485"/>
      <c r="D714" s="461"/>
      <c r="E714" s="486"/>
      <c r="F714" s="520"/>
      <c r="G714" s="485"/>
      <c r="H714" s="486"/>
      <c r="I714" s="516"/>
    </row>
    <row r="715" spans="1:9">
      <c r="B715" s="542"/>
      <c r="D715" s="461"/>
      <c r="G715" s="543"/>
      <c r="H715" s="486"/>
      <c r="I715" s="516"/>
    </row>
    <row r="716" spans="1:9">
      <c r="B716" s="542"/>
      <c r="D716" s="461"/>
      <c r="G716" s="543"/>
      <c r="H716" s="486"/>
      <c r="I716" s="516"/>
    </row>
    <row r="717" spans="1:9">
      <c r="B717" s="542"/>
      <c r="D717" s="461"/>
      <c r="G717" s="543"/>
      <c r="H717" s="486"/>
      <c r="I717" s="516"/>
    </row>
    <row r="718" spans="1:9">
      <c r="B718" s="542"/>
      <c r="D718" s="461"/>
      <c r="G718" s="543"/>
      <c r="H718" s="486"/>
      <c r="I718" s="516"/>
    </row>
    <row r="719" spans="1:9">
      <c r="B719" s="543"/>
      <c r="D719" s="461"/>
      <c r="G719" s="543"/>
      <c r="H719" s="486"/>
      <c r="I719" s="516"/>
    </row>
    <row r="720" spans="1:9" s="169" customFormat="1" ht="15.75" customHeight="1">
      <c r="A720" s="460"/>
      <c r="B720" s="460"/>
      <c r="C720" s="460"/>
      <c r="D720" s="461"/>
      <c r="E720" s="461"/>
      <c r="F720" s="520"/>
      <c r="G720" s="460"/>
      <c r="H720" s="461"/>
      <c r="I720" s="516"/>
    </row>
    <row r="721" spans="1:9" s="169" customFormat="1" ht="15.75" customHeight="1">
      <c r="A721" s="460"/>
      <c r="B721" s="460"/>
      <c r="C721" s="460"/>
      <c r="D721" s="461"/>
      <c r="E721" s="461"/>
      <c r="F721" s="520"/>
      <c r="G721" s="460"/>
      <c r="H721" s="461"/>
      <c r="I721" s="516"/>
    </row>
    <row r="722" spans="1:9" s="169" customFormat="1" ht="15.75" customHeight="1">
      <c r="A722" s="460"/>
      <c r="B722" s="460"/>
      <c r="C722" s="460"/>
      <c r="D722" s="461"/>
      <c r="E722" s="461"/>
      <c r="F722" s="520"/>
      <c r="G722" s="460"/>
      <c r="H722" s="461"/>
      <c r="I722" s="516"/>
    </row>
    <row r="723" spans="1:9" s="169" customFormat="1" ht="15.75" customHeight="1">
      <c r="A723" s="460"/>
      <c r="B723" s="460"/>
      <c r="C723" s="460"/>
      <c r="D723" s="461"/>
      <c r="E723" s="461"/>
      <c r="F723" s="520"/>
      <c r="G723" s="460"/>
      <c r="H723" s="461"/>
      <c r="I723" s="516"/>
    </row>
    <row r="724" spans="1:9" s="169" customFormat="1" ht="15.75" customHeight="1">
      <c r="A724" s="460"/>
      <c r="B724" s="460"/>
      <c r="C724" s="460"/>
      <c r="D724" s="461"/>
      <c r="E724" s="461"/>
      <c r="F724" s="520"/>
      <c r="G724" s="460"/>
      <c r="H724" s="461"/>
      <c r="I724" s="516"/>
    </row>
    <row r="725" spans="1:9" s="169" customFormat="1" ht="15.75" customHeight="1">
      <c r="A725" s="460"/>
      <c r="B725" s="460"/>
      <c r="C725" s="460"/>
      <c r="D725" s="461"/>
      <c r="E725" s="522"/>
      <c r="F725" s="520"/>
      <c r="G725" s="460"/>
      <c r="H725" s="461"/>
      <c r="I725" s="516"/>
    </row>
    <row r="726" spans="1:9" s="169" customFormat="1" ht="15.75" customHeight="1">
      <c r="A726" s="460"/>
      <c r="B726" s="460"/>
      <c r="C726" s="460"/>
      <c r="D726" s="461"/>
      <c r="E726" s="461"/>
      <c r="F726" s="520"/>
      <c r="G726" s="460"/>
      <c r="H726" s="461"/>
      <c r="I726" s="516"/>
    </row>
    <row r="727" spans="1:9" s="169" customFormat="1" ht="15.75" customHeight="1">
      <c r="A727" s="460"/>
      <c r="B727" s="460"/>
      <c r="C727" s="460"/>
      <c r="D727" s="461"/>
      <c r="E727" s="461"/>
      <c r="F727" s="521"/>
      <c r="G727" s="460"/>
      <c r="H727" s="461"/>
      <c r="I727" s="516"/>
    </row>
    <row r="728" spans="1:9" s="169" customFormat="1" ht="15.75" customHeight="1">
      <c r="A728" s="460"/>
      <c r="B728" s="460"/>
      <c r="C728" s="460"/>
      <c r="D728" s="461"/>
      <c r="E728" s="522"/>
      <c r="F728" s="520"/>
      <c r="G728" s="460"/>
      <c r="H728" s="461"/>
      <c r="I728" s="516"/>
    </row>
    <row r="729" spans="1:9" s="169" customFormat="1" ht="15.75" customHeight="1">
      <c r="A729" s="460"/>
      <c r="B729" s="460"/>
      <c r="C729" s="460"/>
      <c r="D729" s="461"/>
      <c r="E729" s="522"/>
      <c r="F729" s="520"/>
      <c r="G729" s="460"/>
      <c r="H729" s="461"/>
      <c r="I729" s="516"/>
    </row>
    <row r="730" spans="1:9" s="169" customFormat="1" ht="15.75" customHeight="1">
      <c r="A730" s="460"/>
      <c r="B730" s="460"/>
      <c r="C730" s="460"/>
      <c r="D730" s="461"/>
      <c r="E730" s="461"/>
      <c r="F730" s="520"/>
      <c r="G730" s="460"/>
      <c r="H730" s="461"/>
      <c r="I730" s="516"/>
    </row>
    <row r="731" spans="1:9" s="169" customFormat="1" ht="15.75" customHeight="1">
      <c r="A731" s="460"/>
      <c r="B731" s="460"/>
      <c r="C731" s="460"/>
      <c r="D731" s="461"/>
      <c r="E731" s="461"/>
      <c r="F731" s="520"/>
      <c r="G731" s="460"/>
      <c r="H731" s="461"/>
      <c r="I731" s="516"/>
    </row>
    <row r="732" spans="1:9" s="169" customFormat="1" ht="15.75" customHeight="1">
      <c r="A732" s="460"/>
      <c r="B732" s="460"/>
      <c r="C732" s="460"/>
      <c r="D732" s="461"/>
      <c r="E732" s="461"/>
      <c r="F732" s="520"/>
      <c r="G732" s="460"/>
      <c r="H732" s="461"/>
      <c r="I732" s="516"/>
    </row>
    <row r="733" spans="1:9" s="169" customFormat="1" ht="15.75" customHeight="1">
      <c r="A733" s="460"/>
      <c r="B733" s="460"/>
      <c r="C733" s="460"/>
      <c r="D733" s="461"/>
      <c r="E733" s="461"/>
      <c r="F733" s="520"/>
      <c r="G733" s="460"/>
      <c r="H733" s="461"/>
      <c r="I733" s="516"/>
    </row>
    <row r="734" spans="1:9" s="169" customFormat="1" ht="15.75" customHeight="1">
      <c r="A734" s="460"/>
      <c r="B734" s="460"/>
      <c r="C734" s="460"/>
      <c r="D734" s="461"/>
      <c r="E734" s="461"/>
      <c r="F734" s="520"/>
      <c r="G734" s="460"/>
      <c r="H734" s="461"/>
      <c r="I734" s="516"/>
    </row>
    <row r="735" spans="1:9" s="169" customFormat="1" ht="15.75" customHeight="1">
      <c r="A735" s="460"/>
      <c r="B735" s="460"/>
      <c r="C735" s="460"/>
      <c r="D735" s="461"/>
      <c r="E735" s="461"/>
      <c r="F735" s="520"/>
      <c r="G735" s="460"/>
      <c r="H735" s="461"/>
      <c r="I735" s="516"/>
    </row>
    <row r="736" spans="1:9" s="169" customFormat="1" ht="15.75" customHeight="1">
      <c r="A736" s="460"/>
      <c r="B736" s="460"/>
      <c r="C736" s="460"/>
      <c r="D736" s="461"/>
      <c r="E736" s="461"/>
      <c r="F736" s="520"/>
      <c r="G736" s="460"/>
      <c r="H736" s="461"/>
      <c r="I736" s="516"/>
    </row>
    <row r="737" spans="1:9" s="169" customFormat="1" ht="15.75" customHeight="1">
      <c r="A737" s="460"/>
      <c r="B737" s="460"/>
      <c r="C737" s="460"/>
      <c r="D737" s="461"/>
      <c r="E737" s="461"/>
      <c r="F737" s="520"/>
      <c r="G737" s="460"/>
      <c r="H737" s="461"/>
      <c r="I737" s="516"/>
    </row>
    <row r="738" spans="1:9" s="169" customFormat="1" ht="15.75" customHeight="1">
      <c r="A738" s="460"/>
      <c r="B738" s="460"/>
      <c r="C738" s="460"/>
      <c r="D738" s="461"/>
      <c r="E738" s="461"/>
      <c r="F738" s="520"/>
      <c r="G738" s="460"/>
      <c r="H738" s="461"/>
      <c r="I738" s="516"/>
    </row>
    <row r="739" spans="1:9" s="169" customFormat="1" ht="15.75" customHeight="1">
      <c r="A739" s="460"/>
      <c r="B739" s="460"/>
      <c r="C739" s="460"/>
      <c r="D739" s="461"/>
      <c r="E739" s="461"/>
      <c r="F739" s="520"/>
      <c r="G739" s="460"/>
      <c r="H739" s="461"/>
      <c r="I739" s="516"/>
    </row>
    <row r="740" spans="1:9" s="169" customFormat="1" ht="15.75" customHeight="1">
      <c r="A740" s="460"/>
      <c r="B740" s="460"/>
      <c r="C740" s="460"/>
      <c r="D740" s="461"/>
      <c r="E740" s="461"/>
      <c r="F740" s="520"/>
      <c r="G740" s="460"/>
      <c r="H740" s="461"/>
      <c r="I740" s="516"/>
    </row>
    <row r="741" spans="1:9" s="169" customFormat="1" ht="15.75" customHeight="1">
      <c r="A741" s="460"/>
      <c r="B741" s="460"/>
      <c r="C741" s="460"/>
      <c r="D741" s="461"/>
      <c r="E741" s="461"/>
      <c r="F741" s="520"/>
      <c r="G741" s="460"/>
      <c r="H741" s="461"/>
      <c r="I741" s="516"/>
    </row>
    <row r="742" spans="1:9" s="169" customFormat="1" ht="15.75" customHeight="1">
      <c r="A742" s="460"/>
      <c r="B742" s="460"/>
      <c r="C742" s="460"/>
      <c r="D742" s="461"/>
      <c r="E742" s="461"/>
      <c r="F742" s="520"/>
      <c r="G742" s="460"/>
      <c r="H742" s="461"/>
      <c r="I742" s="516"/>
    </row>
    <row r="743" spans="1:9" s="169" customFormat="1" ht="15.75" customHeight="1">
      <c r="A743" s="460"/>
      <c r="B743" s="460"/>
      <c r="C743" s="460"/>
      <c r="D743" s="461"/>
      <c r="E743" s="461"/>
      <c r="F743" s="520"/>
      <c r="G743" s="460"/>
      <c r="H743" s="461"/>
      <c r="I743" s="516"/>
    </row>
    <row r="744" spans="1:9" s="169" customFormat="1" ht="15.75" customHeight="1">
      <c r="A744" s="460"/>
      <c r="B744" s="460"/>
      <c r="C744" s="460"/>
      <c r="D744" s="461"/>
      <c r="E744" s="461"/>
      <c r="F744" s="520"/>
      <c r="G744" s="460"/>
      <c r="H744" s="461"/>
      <c r="I744" s="516"/>
    </row>
    <row r="745" spans="1:9" s="169" customFormat="1" ht="15.75" customHeight="1">
      <c r="A745" s="460"/>
      <c r="B745" s="460"/>
      <c r="C745" s="460"/>
      <c r="D745" s="461"/>
      <c r="E745" s="461"/>
      <c r="F745" s="520"/>
      <c r="G745" s="460"/>
      <c r="H745" s="461"/>
      <c r="I745" s="516"/>
    </row>
    <row r="746" spans="1:9" s="169" customFormat="1" ht="15.75" customHeight="1">
      <c r="A746" s="460"/>
      <c r="B746" s="460"/>
      <c r="C746" s="460"/>
      <c r="D746" s="461"/>
      <c r="E746" s="461"/>
      <c r="F746" s="521"/>
      <c r="G746" s="460"/>
      <c r="H746" s="461"/>
      <c r="I746" s="516"/>
    </row>
    <row r="747" spans="1:9" s="169" customFormat="1" ht="15.75" customHeight="1">
      <c r="A747" s="460"/>
      <c r="B747" s="460"/>
      <c r="C747" s="460"/>
      <c r="D747" s="461"/>
      <c r="E747" s="461"/>
      <c r="F747" s="521"/>
      <c r="G747" s="460"/>
      <c r="H747" s="461"/>
      <c r="I747" s="516"/>
    </row>
    <row r="748" spans="1:9" s="169" customFormat="1" ht="15.75" customHeight="1">
      <c r="A748" s="460"/>
      <c r="B748" s="460"/>
      <c r="C748" s="460"/>
      <c r="D748" s="461"/>
      <c r="E748" s="461"/>
      <c r="F748" s="520"/>
      <c r="G748" s="460"/>
      <c r="H748" s="461"/>
      <c r="I748" s="516"/>
    </row>
    <row r="749" spans="1:9" s="169" customFormat="1" ht="15.75" customHeight="1">
      <c r="A749" s="460"/>
      <c r="B749" s="460"/>
      <c r="C749" s="460"/>
      <c r="D749" s="461"/>
      <c r="E749" s="461"/>
      <c r="F749" s="520"/>
      <c r="G749" s="460"/>
      <c r="H749" s="461"/>
      <c r="I749" s="516"/>
    </row>
    <row r="750" spans="1:9" s="169" customFormat="1" ht="15.75" customHeight="1">
      <c r="A750" s="460"/>
      <c r="B750" s="460"/>
      <c r="C750" s="460"/>
      <c r="D750" s="461"/>
      <c r="E750" s="461"/>
      <c r="F750" s="520"/>
      <c r="G750" s="460"/>
      <c r="H750" s="461"/>
      <c r="I750" s="516"/>
    </row>
    <row r="751" spans="1:9" s="169" customFormat="1" ht="15.75" customHeight="1">
      <c r="A751" s="460"/>
      <c r="B751" s="460"/>
      <c r="C751" s="460"/>
      <c r="D751" s="461"/>
      <c r="E751" s="461"/>
      <c r="F751" s="520"/>
      <c r="G751" s="460"/>
      <c r="H751" s="461"/>
      <c r="I751" s="516"/>
    </row>
    <row r="752" spans="1:9" s="169" customFormat="1" ht="15.75" customHeight="1">
      <c r="A752" s="460"/>
      <c r="B752" s="460"/>
      <c r="C752" s="460"/>
      <c r="D752" s="461"/>
      <c r="E752" s="461"/>
      <c r="F752" s="520"/>
      <c r="G752" s="460"/>
      <c r="H752" s="461"/>
      <c r="I752" s="516"/>
    </row>
    <row r="753" spans="1:9" s="169" customFormat="1" ht="15.75" customHeight="1">
      <c r="A753" s="460"/>
      <c r="B753" s="460"/>
      <c r="C753" s="460"/>
      <c r="D753" s="461"/>
      <c r="E753" s="461"/>
      <c r="F753" s="520"/>
      <c r="G753" s="460"/>
      <c r="H753" s="461"/>
      <c r="I753" s="516"/>
    </row>
    <row r="754" spans="1:9" s="169" customFormat="1" ht="15.75" customHeight="1">
      <c r="A754" s="460"/>
      <c r="B754" s="460"/>
      <c r="C754" s="460"/>
      <c r="D754" s="461"/>
      <c r="E754" s="461"/>
      <c r="F754" s="520"/>
      <c r="G754" s="460"/>
      <c r="H754" s="461"/>
      <c r="I754" s="516"/>
    </row>
    <row r="755" spans="1:9" s="169" customFormat="1" ht="15.75" customHeight="1">
      <c r="A755" s="460"/>
      <c r="B755" s="460"/>
      <c r="C755" s="460"/>
      <c r="D755" s="461"/>
      <c r="E755" s="461"/>
      <c r="F755" s="520"/>
      <c r="G755" s="460"/>
      <c r="H755" s="461"/>
      <c r="I755" s="516"/>
    </row>
    <row r="756" spans="1:9" s="169" customFormat="1" ht="15.75" customHeight="1">
      <c r="A756" s="460"/>
      <c r="B756" s="460"/>
      <c r="C756" s="460"/>
      <c r="D756" s="461"/>
      <c r="E756" s="522"/>
      <c r="F756" s="520"/>
      <c r="G756" s="460"/>
      <c r="H756" s="461"/>
      <c r="I756" s="516"/>
    </row>
    <row r="757" spans="1:9" s="169" customFormat="1" ht="15.75" customHeight="1">
      <c r="A757" s="460"/>
      <c r="B757" s="460"/>
      <c r="C757" s="460"/>
      <c r="D757" s="461"/>
      <c r="E757" s="461"/>
      <c r="F757" s="520"/>
      <c r="G757" s="460"/>
      <c r="H757" s="461"/>
      <c r="I757" s="516"/>
    </row>
    <row r="758" spans="1:9" s="169" customFormat="1" ht="15.75" customHeight="1">
      <c r="A758" s="460"/>
      <c r="B758" s="460"/>
      <c r="C758" s="460"/>
      <c r="D758" s="461"/>
      <c r="E758" s="461"/>
      <c r="F758" s="520"/>
      <c r="G758" s="460"/>
      <c r="H758" s="461"/>
      <c r="I758" s="516"/>
    </row>
    <row r="759" spans="1:9" s="169" customFormat="1" ht="15.75" customHeight="1">
      <c r="A759" s="460"/>
      <c r="B759" s="460"/>
      <c r="C759" s="460"/>
      <c r="D759" s="461"/>
      <c r="E759" s="461"/>
      <c r="F759" s="520"/>
      <c r="G759" s="460"/>
      <c r="H759" s="461"/>
      <c r="I759" s="516"/>
    </row>
    <row r="760" spans="1:9" s="169" customFormat="1" ht="15.75" customHeight="1">
      <c r="A760" s="460"/>
      <c r="B760" s="460"/>
      <c r="C760" s="460"/>
      <c r="D760" s="461"/>
      <c r="E760" s="461"/>
      <c r="F760" s="520"/>
      <c r="G760" s="460"/>
      <c r="H760" s="461"/>
      <c r="I760" s="516"/>
    </row>
    <row r="761" spans="1:9" s="169" customFormat="1" ht="15.75" customHeight="1">
      <c r="A761" s="460"/>
      <c r="B761" s="460"/>
      <c r="C761" s="460"/>
      <c r="D761" s="461"/>
      <c r="E761" s="461"/>
      <c r="F761" s="520"/>
      <c r="G761" s="460"/>
      <c r="H761" s="461"/>
      <c r="I761" s="516"/>
    </row>
    <row r="762" spans="1:9" s="169" customFormat="1" ht="15.75" customHeight="1">
      <c r="A762" s="460"/>
      <c r="B762" s="460"/>
      <c r="C762" s="460"/>
      <c r="D762" s="461"/>
      <c r="E762" s="522"/>
      <c r="F762" s="460"/>
      <c r="G762" s="460"/>
      <c r="H762" s="461"/>
      <c r="I762" s="516"/>
    </row>
    <row r="763" spans="1:9" s="169" customFormat="1" ht="15.75" customHeight="1">
      <c r="A763" s="460"/>
      <c r="B763" s="460"/>
      <c r="C763" s="460"/>
      <c r="D763" s="461"/>
      <c r="E763" s="461"/>
      <c r="F763" s="520"/>
      <c r="G763" s="460"/>
      <c r="H763" s="461"/>
      <c r="I763" s="516"/>
    </row>
    <row r="764" spans="1:9" s="169" customFormat="1" ht="15.75" customHeight="1">
      <c r="A764" s="460"/>
      <c r="B764" s="460"/>
      <c r="C764" s="460"/>
      <c r="D764" s="461"/>
      <c r="E764" s="461"/>
      <c r="F764" s="520"/>
      <c r="G764" s="460"/>
      <c r="H764" s="461"/>
      <c r="I764" s="516"/>
    </row>
    <row r="765" spans="1:9" s="169" customFormat="1" ht="15.75" customHeight="1">
      <c r="A765" s="460"/>
      <c r="B765" s="460"/>
      <c r="C765" s="460"/>
      <c r="D765" s="461"/>
      <c r="E765" s="461"/>
      <c r="F765" s="520"/>
      <c r="G765" s="460"/>
      <c r="H765" s="461"/>
      <c r="I765" s="516"/>
    </row>
    <row r="766" spans="1:9" s="169" customFormat="1" ht="15.75" customHeight="1">
      <c r="A766" s="460"/>
      <c r="B766" s="460"/>
      <c r="C766" s="460"/>
      <c r="D766" s="461"/>
      <c r="E766" s="461"/>
      <c r="F766" s="520"/>
      <c r="G766" s="460"/>
      <c r="H766" s="461"/>
      <c r="I766" s="516"/>
    </row>
    <row r="767" spans="1:9" s="169" customFormat="1" ht="15.75" customHeight="1">
      <c r="A767" s="460"/>
      <c r="B767" s="460"/>
      <c r="C767" s="460"/>
      <c r="D767" s="461"/>
      <c r="E767" s="461"/>
      <c r="F767" s="520"/>
      <c r="G767" s="460"/>
      <c r="H767" s="461"/>
      <c r="I767" s="516"/>
    </row>
    <row r="768" spans="1:9" s="169" customFormat="1" ht="15.75" customHeight="1">
      <c r="A768" s="460"/>
      <c r="B768" s="460"/>
      <c r="C768" s="460"/>
      <c r="D768" s="461"/>
      <c r="E768" s="461"/>
      <c r="F768" s="520"/>
      <c r="G768" s="460"/>
      <c r="H768" s="461"/>
      <c r="I768" s="516"/>
    </row>
    <row r="769" spans="1:9" s="169" customFormat="1" ht="15.75" customHeight="1">
      <c r="A769" s="460"/>
      <c r="B769" s="460"/>
      <c r="C769" s="460"/>
      <c r="D769" s="461"/>
      <c r="E769" s="461"/>
      <c r="F769" s="520"/>
      <c r="G769" s="460"/>
      <c r="H769" s="461"/>
      <c r="I769" s="516"/>
    </row>
    <row r="770" spans="1:9" s="169" customFormat="1" ht="15.75" customHeight="1">
      <c r="A770" s="460"/>
      <c r="B770" s="460"/>
      <c r="C770" s="460"/>
      <c r="D770" s="461"/>
      <c r="E770" s="461"/>
      <c r="F770" s="520"/>
      <c r="G770" s="460"/>
      <c r="H770" s="461"/>
      <c r="I770" s="516"/>
    </row>
    <row r="771" spans="1:9" s="169" customFormat="1" ht="15.75" customHeight="1">
      <c r="A771" s="460"/>
      <c r="B771" s="460"/>
      <c r="C771" s="460"/>
      <c r="D771" s="461"/>
      <c r="E771" s="461"/>
      <c r="F771" s="520"/>
      <c r="G771" s="460"/>
      <c r="H771" s="461"/>
      <c r="I771" s="516"/>
    </row>
    <row r="772" spans="1:9" s="169" customFormat="1" ht="15.75" customHeight="1">
      <c r="A772" s="460"/>
      <c r="B772" s="460"/>
      <c r="C772" s="460"/>
      <c r="D772" s="461"/>
      <c r="E772" s="461"/>
      <c r="F772" s="520"/>
      <c r="G772" s="460"/>
      <c r="H772" s="461"/>
      <c r="I772" s="516"/>
    </row>
    <row r="773" spans="1:9" s="169" customFormat="1" ht="15.75" customHeight="1">
      <c r="A773" s="460"/>
      <c r="B773" s="460"/>
      <c r="C773" s="460"/>
      <c r="D773" s="461"/>
      <c r="E773" s="461"/>
      <c r="F773" s="520"/>
      <c r="G773" s="460"/>
      <c r="H773" s="461"/>
      <c r="I773" s="516"/>
    </row>
    <row r="774" spans="1:9" s="169" customFormat="1" ht="15.75" customHeight="1">
      <c r="A774" s="460"/>
      <c r="B774" s="460"/>
      <c r="C774" s="460"/>
      <c r="D774" s="461"/>
      <c r="E774" s="461"/>
      <c r="F774" s="520"/>
      <c r="G774" s="460"/>
      <c r="H774" s="461"/>
      <c r="I774" s="516"/>
    </row>
    <row r="775" spans="1:9" s="169" customFormat="1" ht="15.75" customHeight="1">
      <c r="A775" s="460"/>
      <c r="B775" s="460"/>
      <c r="C775" s="460"/>
      <c r="D775" s="461"/>
      <c r="E775" s="461"/>
      <c r="F775" s="520"/>
      <c r="G775" s="460"/>
      <c r="H775" s="461"/>
      <c r="I775" s="516"/>
    </row>
    <row r="776" spans="1:9" s="169" customFormat="1" ht="15.75" customHeight="1">
      <c r="A776" s="460"/>
      <c r="B776" s="460"/>
      <c r="C776" s="460"/>
      <c r="D776" s="461"/>
      <c r="E776" s="461"/>
      <c r="F776" s="520"/>
      <c r="G776" s="460"/>
      <c r="H776" s="461"/>
      <c r="I776" s="516"/>
    </row>
    <row r="777" spans="1:9" s="169" customFormat="1" ht="15.75" customHeight="1">
      <c r="A777" s="460"/>
      <c r="B777" s="460"/>
      <c r="C777" s="460"/>
      <c r="D777" s="461"/>
      <c r="E777" s="461"/>
      <c r="F777" s="520"/>
      <c r="G777" s="460"/>
      <c r="H777" s="461"/>
      <c r="I777" s="516"/>
    </row>
    <row r="778" spans="1:9" s="169" customFormat="1" ht="15.75" customHeight="1">
      <c r="A778" s="460"/>
      <c r="B778" s="460"/>
      <c r="C778" s="460"/>
      <c r="D778" s="461"/>
      <c r="E778" s="461"/>
      <c r="F778" s="520"/>
      <c r="G778" s="460"/>
      <c r="H778" s="461"/>
      <c r="I778" s="516"/>
    </row>
    <row r="779" spans="1:9" s="169" customFormat="1" ht="15.75" customHeight="1">
      <c r="A779" s="460"/>
      <c r="B779" s="460"/>
      <c r="C779" s="460"/>
      <c r="D779" s="461"/>
      <c r="E779" s="461"/>
      <c r="F779" s="520"/>
      <c r="G779" s="460"/>
      <c r="H779" s="461"/>
      <c r="I779" s="516"/>
    </row>
    <row r="780" spans="1:9" s="169" customFormat="1" ht="15.75" customHeight="1">
      <c r="A780" s="460"/>
      <c r="B780" s="460"/>
      <c r="C780" s="460"/>
      <c r="D780" s="461"/>
      <c r="E780" s="461"/>
      <c r="F780" s="520"/>
      <c r="G780" s="460"/>
      <c r="H780" s="461"/>
      <c r="I780" s="516"/>
    </row>
    <row r="781" spans="1:9" s="169" customFormat="1" ht="15.75" customHeight="1">
      <c r="A781" s="460"/>
      <c r="B781" s="460"/>
      <c r="C781" s="460"/>
      <c r="D781" s="461"/>
      <c r="E781" s="461"/>
      <c r="F781" s="520"/>
      <c r="G781" s="460"/>
      <c r="H781" s="461"/>
      <c r="I781" s="516"/>
    </row>
    <row r="782" spans="1:9" s="169" customFormat="1" ht="15.75" customHeight="1">
      <c r="A782" s="460"/>
      <c r="B782" s="460"/>
      <c r="C782" s="460"/>
      <c r="D782" s="461"/>
      <c r="E782" s="461"/>
      <c r="F782" s="520"/>
      <c r="G782" s="460"/>
      <c r="H782" s="461"/>
      <c r="I782" s="516"/>
    </row>
    <row r="783" spans="1:9" s="169" customFormat="1" ht="15.75" customHeight="1">
      <c r="A783" s="460"/>
      <c r="B783" s="460"/>
      <c r="C783" s="460"/>
      <c r="D783" s="461"/>
      <c r="E783" s="461"/>
      <c r="F783" s="520"/>
      <c r="G783" s="460"/>
      <c r="H783" s="461"/>
      <c r="I783" s="516"/>
    </row>
    <row r="784" spans="1:9" s="169" customFormat="1" ht="15.75" customHeight="1">
      <c r="A784" s="460"/>
      <c r="B784" s="460"/>
      <c r="C784" s="460"/>
      <c r="D784" s="461"/>
      <c r="E784" s="461"/>
      <c r="F784" s="520"/>
      <c r="G784" s="460"/>
      <c r="H784" s="461"/>
      <c r="I784" s="516"/>
    </row>
    <row r="785" spans="1:9" s="169" customFormat="1" ht="15.75" customHeight="1">
      <c r="A785" s="460"/>
      <c r="B785" s="460"/>
      <c r="C785" s="460"/>
      <c r="D785" s="461"/>
      <c r="E785" s="461"/>
      <c r="F785" s="520"/>
      <c r="G785" s="460"/>
      <c r="H785" s="461"/>
      <c r="I785" s="516"/>
    </row>
    <row r="786" spans="1:9" s="169" customFormat="1" ht="15.75" customHeight="1">
      <c r="A786" s="460"/>
      <c r="B786" s="460"/>
      <c r="C786" s="460"/>
      <c r="D786" s="461"/>
      <c r="E786" s="461"/>
      <c r="F786" s="520"/>
      <c r="G786" s="460"/>
      <c r="H786" s="461"/>
      <c r="I786" s="516"/>
    </row>
    <row r="787" spans="1:9" s="169" customFormat="1" ht="15.75" customHeight="1">
      <c r="A787" s="460"/>
      <c r="B787" s="460"/>
      <c r="C787" s="460"/>
      <c r="D787" s="461"/>
      <c r="E787" s="461"/>
      <c r="F787" s="520"/>
      <c r="G787" s="460"/>
      <c r="H787" s="461"/>
      <c r="I787" s="516"/>
    </row>
    <row r="788" spans="1:9" s="169" customFormat="1" ht="15.75" customHeight="1">
      <c r="A788" s="460"/>
      <c r="B788" s="460"/>
      <c r="C788" s="460"/>
      <c r="D788" s="461"/>
      <c r="E788" s="461"/>
      <c r="F788" s="520"/>
      <c r="G788" s="460"/>
      <c r="H788" s="461"/>
      <c r="I788" s="516"/>
    </row>
    <row r="789" spans="1:9" s="169" customFormat="1" ht="15.75" customHeight="1">
      <c r="A789" s="460"/>
      <c r="B789" s="460"/>
      <c r="C789" s="460"/>
      <c r="D789" s="461"/>
      <c r="E789" s="461"/>
      <c r="F789" s="520"/>
      <c r="G789" s="460"/>
      <c r="H789" s="461"/>
      <c r="I789" s="516"/>
    </row>
    <row r="790" spans="1:9" s="169" customFormat="1" ht="15.75" customHeight="1">
      <c r="A790" s="460"/>
      <c r="B790" s="460"/>
      <c r="C790" s="460"/>
      <c r="D790" s="461"/>
      <c r="E790" s="461"/>
      <c r="F790" s="520"/>
      <c r="G790" s="460"/>
      <c r="H790" s="461"/>
      <c r="I790" s="516"/>
    </row>
    <row r="791" spans="1:9" s="169" customFormat="1" ht="15.75" customHeight="1">
      <c r="A791" s="460"/>
      <c r="B791" s="460"/>
      <c r="C791" s="460"/>
      <c r="D791" s="461"/>
      <c r="E791" s="461"/>
      <c r="F791" s="520"/>
      <c r="G791" s="460"/>
      <c r="H791" s="461"/>
      <c r="I791" s="516"/>
    </row>
    <row r="792" spans="1:9" s="169" customFormat="1" ht="15.75" customHeight="1">
      <c r="A792" s="460"/>
      <c r="B792" s="460"/>
      <c r="C792" s="460"/>
      <c r="D792" s="461"/>
      <c r="E792" s="461"/>
      <c r="F792" s="520"/>
      <c r="G792" s="460"/>
      <c r="H792" s="461"/>
      <c r="I792" s="516"/>
    </row>
    <row r="793" spans="1:9" s="169" customFormat="1" ht="15.75" customHeight="1">
      <c r="A793" s="460"/>
      <c r="B793" s="460"/>
      <c r="C793" s="460"/>
      <c r="D793" s="461"/>
      <c r="E793" s="461"/>
      <c r="F793" s="520"/>
      <c r="G793" s="460"/>
      <c r="H793" s="461"/>
      <c r="I793" s="516"/>
    </row>
    <row r="794" spans="1:9" s="169" customFormat="1" ht="15.75" customHeight="1">
      <c r="A794" s="460"/>
      <c r="B794" s="460"/>
      <c r="C794" s="460"/>
      <c r="D794" s="461"/>
      <c r="E794" s="461"/>
      <c r="F794" s="520"/>
      <c r="G794" s="460"/>
      <c r="H794" s="461"/>
      <c r="I794" s="516"/>
    </row>
    <row r="795" spans="1:9" s="169" customFormat="1" ht="15.75" customHeight="1">
      <c r="A795" s="460"/>
      <c r="B795" s="460"/>
      <c r="C795" s="460"/>
      <c r="D795" s="461"/>
      <c r="E795" s="461"/>
      <c r="F795" s="520"/>
      <c r="G795" s="460"/>
      <c r="H795" s="461"/>
      <c r="I795" s="516"/>
    </row>
    <row r="796" spans="1:9" s="169" customFormat="1" ht="15.75" customHeight="1">
      <c r="A796" s="460"/>
      <c r="B796" s="460"/>
      <c r="C796" s="460"/>
      <c r="D796" s="461"/>
      <c r="E796" s="461"/>
      <c r="F796" s="520"/>
      <c r="G796" s="460"/>
      <c r="H796" s="461"/>
      <c r="I796" s="516"/>
    </row>
    <row r="797" spans="1:9" s="169" customFormat="1" ht="15.75" customHeight="1">
      <c r="A797" s="460"/>
      <c r="B797" s="460"/>
      <c r="C797" s="460"/>
      <c r="D797" s="461"/>
      <c r="E797" s="461"/>
      <c r="F797" s="520"/>
      <c r="G797" s="460"/>
      <c r="H797" s="461"/>
      <c r="I797" s="516"/>
    </row>
    <row r="798" spans="1:9" s="169" customFormat="1" ht="15.75" customHeight="1">
      <c r="A798" s="460"/>
      <c r="B798" s="460"/>
      <c r="C798" s="460"/>
      <c r="D798" s="461"/>
      <c r="E798" s="461"/>
      <c r="F798" s="520"/>
      <c r="G798" s="460"/>
      <c r="H798" s="461"/>
      <c r="I798" s="516"/>
    </row>
    <row r="799" spans="1:9" s="169" customFormat="1" ht="15.75" customHeight="1">
      <c r="A799" s="460"/>
      <c r="B799" s="460"/>
      <c r="C799" s="460"/>
      <c r="D799" s="461"/>
      <c r="E799" s="461"/>
      <c r="F799" s="520"/>
      <c r="G799" s="460"/>
      <c r="H799" s="461"/>
      <c r="I799" s="516"/>
    </row>
    <row r="800" spans="1:9" s="169" customFormat="1" ht="15.75" customHeight="1">
      <c r="A800" s="460"/>
      <c r="B800" s="460"/>
      <c r="C800" s="460"/>
      <c r="D800" s="461"/>
      <c r="E800" s="461"/>
      <c r="F800" s="520"/>
      <c r="G800" s="460"/>
      <c r="H800" s="461"/>
      <c r="I800" s="516"/>
    </row>
    <row r="801" spans="1:9" s="169" customFormat="1" ht="15.75" customHeight="1">
      <c r="A801" s="544"/>
      <c r="B801" s="460"/>
      <c r="C801" s="460"/>
      <c r="D801" s="461"/>
      <c r="E801" s="545"/>
      <c r="F801" s="520"/>
      <c r="G801" s="460"/>
      <c r="H801" s="461"/>
      <c r="I801" s="516"/>
    </row>
    <row r="802" spans="1:9" s="169" customFormat="1" ht="15.75" customHeight="1">
      <c r="A802" s="544"/>
      <c r="B802" s="460"/>
      <c r="C802" s="460"/>
      <c r="D802" s="461"/>
      <c r="E802" s="545"/>
      <c r="F802" s="520"/>
      <c r="G802" s="460"/>
      <c r="H802" s="461"/>
      <c r="I802" s="516"/>
    </row>
    <row r="803" spans="1:9" s="169" customFormat="1" ht="15.75" customHeight="1">
      <c r="A803" s="544"/>
      <c r="B803" s="460"/>
      <c r="C803" s="460"/>
      <c r="D803" s="461"/>
      <c r="E803" s="545"/>
      <c r="F803" s="520"/>
      <c r="G803" s="460"/>
      <c r="H803" s="461"/>
      <c r="I803" s="516"/>
    </row>
    <row r="804" spans="1:9" s="169" customFormat="1" ht="15.75" customHeight="1">
      <c r="A804" s="544"/>
      <c r="B804" s="460"/>
      <c r="C804" s="460"/>
      <c r="D804" s="461"/>
      <c r="E804" s="545"/>
      <c r="F804" s="520"/>
      <c r="G804" s="460"/>
      <c r="H804" s="461"/>
      <c r="I804" s="516"/>
    </row>
    <row r="805" spans="1:9" s="169" customFormat="1" ht="15.75" customHeight="1">
      <c r="A805" s="544"/>
      <c r="B805" s="460"/>
      <c r="C805" s="460"/>
      <c r="D805" s="461"/>
      <c r="E805" s="545"/>
      <c r="F805" s="521"/>
      <c r="G805" s="460"/>
      <c r="H805" s="461"/>
      <c r="I805" s="516"/>
    </row>
    <row r="806" spans="1:9" s="169" customFormat="1" ht="15.75" customHeight="1">
      <c r="A806" s="544"/>
      <c r="B806" s="460"/>
      <c r="C806" s="460"/>
      <c r="D806" s="461"/>
      <c r="E806" s="545"/>
      <c r="F806" s="520"/>
      <c r="G806" s="460"/>
      <c r="H806" s="461"/>
      <c r="I806" s="516"/>
    </row>
    <row r="807" spans="1:9" s="169" customFormat="1" ht="15.75" customHeight="1">
      <c r="A807" s="460"/>
      <c r="B807" s="544"/>
      <c r="C807" s="460"/>
      <c r="D807" s="461"/>
      <c r="E807" s="545"/>
      <c r="F807" s="520"/>
      <c r="G807" s="460"/>
      <c r="H807" s="461"/>
      <c r="I807" s="516"/>
    </row>
    <row r="808" spans="1:9" s="169" customFormat="1" ht="15.75" customHeight="1">
      <c r="A808" s="544"/>
      <c r="B808" s="460"/>
      <c r="C808" s="460"/>
      <c r="D808" s="461"/>
      <c r="E808" s="545"/>
      <c r="F808" s="520"/>
      <c r="G808" s="460"/>
      <c r="H808" s="461"/>
      <c r="I808" s="516"/>
    </row>
    <row r="809" spans="1:9" s="169" customFormat="1" ht="15.75" customHeight="1">
      <c r="A809" s="544"/>
      <c r="B809" s="460"/>
      <c r="C809" s="460"/>
      <c r="D809" s="461"/>
      <c r="E809" s="545"/>
      <c r="F809" s="521"/>
      <c r="G809" s="460"/>
      <c r="H809" s="461"/>
      <c r="I809" s="516"/>
    </row>
    <row r="810" spans="1:9" s="169" customFormat="1" ht="15.75" customHeight="1">
      <c r="A810" s="544"/>
      <c r="B810" s="460"/>
      <c r="C810" s="460"/>
      <c r="D810" s="461"/>
      <c r="E810" s="545"/>
      <c r="F810" s="520"/>
      <c r="G810" s="460"/>
      <c r="H810" s="461"/>
      <c r="I810" s="516"/>
    </row>
    <row r="811" spans="1:9" s="169" customFormat="1" ht="15.75" customHeight="1">
      <c r="A811" s="544"/>
      <c r="B811" s="460"/>
      <c r="C811" s="460"/>
      <c r="D811" s="461"/>
      <c r="E811" s="545"/>
      <c r="F811" s="520"/>
      <c r="G811" s="460"/>
      <c r="H811" s="461"/>
      <c r="I811" s="516"/>
    </row>
    <row r="812" spans="1:9" s="169" customFormat="1" ht="15.75" customHeight="1">
      <c r="A812" s="544"/>
      <c r="B812" s="460"/>
      <c r="C812" s="460"/>
      <c r="D812" s="461"/>
      <c r="E812" s="545"/>
      <c r="F812" s="520"/>
      <c r="G812" s="460"/>
      <c r="H812" s="461"/>
      <c r="I812" s="516"/>
    </row>
    <row r="813" spans="1:9" s="169" customFormat="1" ht="15.75" customHeight="1">
      <c r="A813" s="544"/>
      <c r="B813" s="460"/>
      <c r="C813" s="460"/>
      <c r="D813" s="461"/>
      <c r="E813" s="545"/>
      <c r="F813" s="521"/>
      <c r="G813" s="460"/>
      <c r="H813" s="461"/>
      <c r="I813" s="516"/>
    </row>
    <row r="814" spans="1:9" s="169" customFormat="1" ht="15.75" customHeight="1">
      <c r="A814" s="544"/>
      <c r="B814" s="460"/>
      <c r="C814" s="460"/>
      <c r="D814" s="461"/>
      <c r="E814" s="545"/>
      <c r="F814" s="520"/>
      <c r="G814" s="460"/>
      <c r="H814" s="461"/>
      <c r="I814" s="516"/>
    </row>
    <row r="815" spans="1:9" s="169" customFormat="1" ht="15.75" customHeight="1">
      <c r="A815" s="544"/>
      <c r="B815" s="460"/>
      <c r="C815" s="460"/>
      <c r="D815" s="461"/>
      <c r="E815" s="545"/>
      <c r="F815" s="520"/>
      <c r="G815" s="460"/>
      <c r="H815" s="461"/>
      <c r="I815" s="516"/>
    </row>
    <row r="816" spans="1:9" s="169" customFormat="1" ht="15.75" customHeight="1">
      <c r="A816" s="544"/>
      <c r="B816" s="460"/>
      <c r="C816" s="460"/>
      <c r="D816" s="461"/>
      <c r="E816" s="545"/>
      <c r="F816" s="521"/>
      <c r="G816" s="460"/>
      <c r="H816" s="461"/>
      <c r="I816" s="516"/>
    </row>
    <row r="817" spans="1:9" s="169" customFormat="1" ht="15.75" customHeight="1">
      <c r="A817" s="544"/>
      <c r="B817" s="460"/>
      <c r="C817" s="460"/>
      <c r="D817" s="461"/>
      <c r="E817" s="545"/>
      <c r="F817" s="520"/>
      <c r="G817" s="460"/>
      <c r="H817" s="461"/>
      <c r="I817" s="516"/>
    </row>
    <row r="818" spans="1:9" s="519" customFormat="1" ht="15.75" customHeight="1">
      <c r="A818" s="517"/>
      <c r="B818" s="516"/>
      <c r="C818" s="516"/>
      <c r="D818" s="517"/>
      <c r="E818" s="546"/>
      <c r="F818" s="517"/>
      <c r="G818" s="516"/>
      <c r="H818" s="517"/>
      <c r="I818" s="516"/>
    </row>
    <row r="819" spans="1:9" s="169" customFormat="1" ht="15.75" customHeight="1">
      <c r="A819" s="461"/>
      <c r="B819" s="460"/>
      <c r="C819" s="460"/>
      <c r="D819" s="461"/>
      <c r="E819" s="538"/>
      <c r="F819" s="461"/>
      <c r="G819" s="460"/>
      <c r="H819" s="461"/>
      <c r="I819" s="460"/>
    </row>
    <row r="820" spans="1:9" s="169" customFormat="1" ht="15.75" customHeight="1">
      <c r="A820" s="461"/>
      <c r="B820" s="460"/>
      <c r="C820" s="460"/>
      <c r="D820" s="461"/>
      <c r="E820" s="538"/>
      <c r="F820" s="461"/>
      <c r="G820" s="460"/>
      <c r="H820" s="461"/>
      <c r="I820" s="460"/>
    </row>
    <row r="821" spans="1:9" s="169" customFormat="1" ht="15.75" customHeight="1">
      <c r="A821" s="461"/>
      <c r="B821" s="460"/>
      <c r="C821" s="460"/>
      <c r="D821" s="461"/>
      <c r="E821" s="538"/>
      <c r="F821" s="461"/>
      <c r="G821" s="460"/>
      <c r="H821" s="461"/>
      <c r="I821" s="460"/>
    </row>
    <row r="822" spans="1:9" s="169" customFormat="1" ht="15.75" customHeight="1">
      <c r="A822" s="461"/>
      <c r="B822" s="460"/>
      <c r="C822" s="460"/>
      <c r="D822" s="461"/>
      <c r="E822" s="538"/>
      <c r="F822" s="461"/>
      <c r="G822" s="460"/>
      <c r="H822" s="461"/>
      <c r="I822" s="460"/>
    </row>
    <row r="823" spans="1:9" s="169" customFormat="1" ht="15.75" customHeight="1">
      <c r="A823" s="461"/>
      <c r="B823" s="460"/>
      <c r="C823" s="460"/>
      <c r="D823" s="461"/>
      <c r="E823" s="538"/>
      <c r="F823" s="461"/>
      <c r="G823" s="460"/>
      <c r="H823" s="461"/>
      <c r="I823" s="460"/>
    </row>
    <row r="824" spans="1:9" s="169" customFormat="1" ht="15.75" customHeight="1">
      <c r="A824" s="461"/>
      <c r="B824" s="460"/>
      <c r="C824" s="460"/>
      <c r="D824" s="461"/>
      <c r="E824" s="538"/>
      <c r="F824" s="461"/>
      <c r="G824" s="460"/>
      <c r="H824" s="461"/>
      <c r="I824" s="460"/>
    </row>
    <row r="825" spans="1:9" s="169" customFormat="1" ht="15.75" customHeight="1">
      <c r="A825" s="461"/>
      <c r="B825" s="460"/>
      <c r="C825" s="460"/>
      <c r="D825" s="461"/>
      <c r="E825" s="538"/>
      <c r="F825" s="461"/>
      <c r="G825" s="460"/>
      <c r="H825" s="461"/>
      <c r="I825" s="460"/>
    </row>
    <row r="826" spans="1:9" s="169" customFormat="1" ht="15.75" customHeight="1">
      <c r="A826" s="461"/>
      <c r="B826" s="460"/>
      <c r="C826" s="460"/>
      <c r="D826" s="461"/>
      <c r="E826" s="538"/>
      <c r="F826" s="461"/>
      <c r="G826" s="460"/>
      <c r="H826" s="461"/>
      <c r="I826" s="460"/>
    </row>
    <row r="827" spans="1:9" s="169" customFormat="1" ht="15.75" customHeight="1">
      <c r="A827" s="461"/>
      <c r="B827" s="460"/>
      <c r="C827" s="460"/>
      <c r="D827" s="461"/>
      <c r="E827" s="547"/>
      <c r="F827" s="461"/>
      <c r="G827" s="460"/>
      <c r="H827" s="461"/>
      <c r="I827" s="460"/>
    </row>
    <row r="828" spans="1:9" s="169" customFormat="1" ht="15.75" customHeight="1">
      <c r="A828" s="461"/>
      <c r="B828" s="460"/>
      <c r="C828" s="460"/>
      <c r="D828" s="461"/>
      <c r="E828" s="538"/>
      <c r="F828" s="461"/>
      <c r="G828" s="460"/>
      <c r="H828" s="461"/>
      <c r="I828" s="460"/>
    </row>
    <row r="829" spans="1:9" s="169" customFormat="1" ht="15.75" customHeight="1">
      <c r="A829" s="461"/>
      <c r="B829" s="460"/>
      <c r="C829" s="460"/>
      <c r="D829" s="461"/>
      <c r="E829" s="538"/>
      <c r="F829" s="461"/>
      <c r="G829" s="460"/>
      <c r="H829" s="486"/>
      <c r="I829" s="460"/>
    </row>
    <row r="830" spans="1:9" s="169" customFormat="1" ht="15.75" customHeight="1">
      <c r="A830" s="461"/>
      <c r="B830" s="460"/>
      <c r="C830" s="460"/>
      <c r="D830" s="461"/>
      <c r="E830" s="538"/>
      <c r="F830" s="461"/>
      <c r="G830" s="460"/>
      <c r="H830" s="461"/>
      <c r="I830" s="460"/>
    </row>
    <row r="831" spans="1:9" s="169" customFormat="1" ht="15.75" customHeight="1">
      <c r="A831" s="461"/>
      <c r="B831" s="460"/>
      <c r="C831" s="460"/>
      <c r="D831" s="461"/>
      <c r="E831" s="538"/>
      <c r="F831" s="461"/>
      <c r="G831" s="460"/>
      <c r="H831" s="461"/>
      <c r="I831" s="460"/>
    </row>
    <row r="832" spans="1:9" s="169" customFormat="1" ht="15.75" customHeight="1">
      <c r="A832" s="461"/>
      <c r="B832" s="460"/>
      <c r="C832" s="460"/>
      <c r="D832" s="461"/>
      <c r="E832" s="538"/>
      <c r="F832" s="461"/>
      <c r="G832" s="460"/>
      <c r="H832" s="461"/>
      <c r="I832" s="460"/>
    </row>
    <row r="833" spans="1:9" s="169" customFormat="1" ht="15.75" customHeight="1">
      <c r="A833" s="461"/>
      <c r="B833" s="460"/>
      <c r="C833" s="460"/>
      <c r="D833" s="461"/>
      <c r="E833" s="538"/>
      <c r="F833" s="461"/>
      <c r="G833" s="460"/>
      <c r="H833" s="461"/>
      <c r="I833" s="460"/>
    </row>
    <row r="834" spans="1:9" s="169" customFormat="1" ht="15.75" customHeight="1">
      <c r="A834" s="461"/>
      <c r="B834" s="460"/>
      <c r="C834" s="460"/>
      <c r="D834" s="461"/>
      <c r="E834" s="538"/>
      <c r="F834" s="461"/>
      <c r="G834" s="460"/>
      <c r="H834" s="461"/>
      <c r="I834" s="460"/>
    </row>
    <row r="835" spans="1:9" s="169" customFormat="1" ht="15.75" customHeight="1">
      <c r="A835" s="461"/>
      <c r="B835" s="460"/>
      <c r="C835" s="460"/>
      <c r="D835" s="461"/>
      <c r="E835" s="538"/>
      <c r="F835" s="461"/>
      <c r="G835" s="460"/>
      <c r="H835" s="461"/>
      <c r="I835" s="460"/>
    </row>
    <row r="836" spans="1:9" s="169" customFormat="1" ht="15.75" customHeight="1">
      <c r="A836" s="461"/>
      <c r="B836" s="460"/>
      <c r="C836" s="460"/>
      <c r="D836" s="461"/>
      <c r="E836" s="538"/>
      <c r="F836" s="461"/>
      <c r="G836" s="460"/>
      <c r="H836" s="461"/>
      <c r="I836" s="460"/>
    </row>
    <row r="837" spans="1:9" s="169" customFormat="1" ht="15.75" customHeight="1">
      <c r="A837" s="461"/>
      <c r="B837" s="460"/>
      <c r="C837" s="460"/>
      <c r="D837" s="461"/>
      <c r="E837" s="538"/>
      <c r="F837" s="461"/>
      <c r="G837" s="460"/>
      <c r="H837" s="461"/>
      <c r="I837" s="460"/>
    </row>
    <row r="838" spans="1:9" s="169" customFormat="1" ht="15.75" customHeight="1">
      <c r="A838" s="461"/>
      <c r="B838" s="460"/>
      <c r="C838" s="460"/>
      <c r="D838" s="461"/>
      <c r="E838" s="538"/>
      <c r="F838" s="461"/>
      <c r="G838" s="460"/>
      <c r="H838" s="461"/>
      <c r="I838" s="460"/>
    </row>
    <row r="839" spans="1:9" s="169" customFormat="1" ht="15.75" customHeight="1">
      <c r="A839" s="461"/>
      <c r="B839" s="460"/>
      <c r="C839" s="460"/>
      <c r="D839" s="461"/>
      <c r="E839" s="538"/>
      <c r="F839" s="461"/>
      <c r="G839" s="460"/>
      <c r="H839" s="461"/>
      <c r="I839" s="460"/>
    </row>
    <row r="840" spans="1:9" s="169" customFormat="1" ht="15.75" customHeight="1">
      <c r="A840" s="461"/>
      <c r="B840" s="460"/>
      <c r="C840" s="460"/>
      <c r="D840" s="461"/>
      <c r="E840" s="538"/>
      <c r="F840" s="461"/>
      <c r="G840" s="460"/>
      <c r="H840" s="461"/>
      <c r="I840" s="460"/>
    </row>
    <row r="841" spans="1:9" s="169" customFormat="1" ht="15.75" customHeight="1">
      <c r="A841" s="461"/>
      <c r="B841" s="460"/>
      <c r="C841" s="460"/>
      <c r="D841" s="461"/>
      <c r="E841" s="538"/>
      <c r="F841" s="461"/>
      <c r="G841" s="460"/>
      <c r="H841" s="461"/>
      <c r="I841" s="460"/>
    </row>
    <row r="842" spans="1:9" s="169" customFormat="1" ht="15.75" customHeight="1">
      <c r="A842" s="461"/>
      <c r="B842" s="460"/>
      <c r="C842" s="460"/>
      <c r="D842" s="461"/>
      <c r="E842" s="538"/>
      <c r="F842" s="461"/>
      <c r="G842" s="460"/>
      <c r="H842" s="461"/>
      <c r="I842" s="460"/>
    </row>
    <row r="843" spans="1:9" s="169" customFormat="1" ht="15.75" customHeight="1">
      <c r="A843" s="461"/>
      <c r="B843" s="460"/>
      <c r="C843" s="460"/>
      <c r="D843" s="461"/>
      <c r="E843" s="538"/>
      <c r="F843" s="461"/>
      <c r="G843" s="460"/>
      <c r="H843" s="461"/>
      <c r="I843" s="460"/>
    </row>
    <row r="844" spans="1:9" s="169" customFormat="1" ht="15.75" customHeight="1">
      <c r="A844" s="461"/>
      <c r="B844" s="460"/>
      <c r="C844" s="460"/>
      <c r="D844" s="461"/>
      <c r="E844" s="538"/>
      <c r="F844" s="461"/>
      <c r="G844" s="460"/>
      <c r="H844" s="461"/>
      <c r="I844" s="460"/>
    </row>
    <row r="845" spans="1:9" s="169" customFormat="1" ht="15.75" customHeight="1">
      <c r="A845" s="444"/>
      <c r="B845" s="431"/>
      <c r="C845" s="460"/>
      <c r="D845" s="461"/>
      <c r="E845" s="461"/>
      <c r="F845" s="461"/>
      <c r="G845" s="460"/>
      <c r="H845" s="486"/>
      <c r="I845" s="460"/>
    </row>
    <row r="846" spans="1:9" s="169" customFormat="1" ht="15.75" customHeight="1">
      <c r="A846" s="444"/>
      <c r="B846" s="431"/>
      <c r="C846" s="460"/>
      <c r="D846" s="461"/>
      <c r="E846" s="461"/>
      <c r="F846" s="461"/>
      <c r="G846" s="460"/>
      <c r="H846" s="486"/>
      <c r="I846" s="460"/>
    </row>
    <row r="847" spans="1:9" s="169" customFormat="1" ht="15.75" customHeight="1">
      <c r="A847" s="444"/>
      <c r="B847" s="431"/>
      <c r="C847" s="460"/>
      <c r="D847" s="461"/>
      <c r="E847" s="461"/>
      <c r="F847" s="461"/>
      <c r="G847" s="460"/>
      <c r="H847" s="444"/>
      <c r="I847" s="460"/>
    </row>
    <row r="848" spans="1:9" s="169" customFormat="1" ht="15.75" customHeight="1">
      <c r="A848" s="444"/>
      <c r="B848" s="431"/>
      <c r="C848" s="460"/>
      <c r="D848" s="461"/>
      <c r="E848" s="461"/>
      <c r="F848" s="461"/>
      <c r="G848" s="460"/>
      <c r="H848" s="444"/>
      <c r="I848" s="460"/>
    </row>
    <row r="849" spans="1:9" s="169" customFormat="1" ht="15.75" customHeight="1">
      <c r="A849" s="444"/>
      <c r="B849" s="431"/>
      <c r="C849" s="460"/>
      <c r="D849" s="461"/>
      <c r="E849" s="461"/>
      <c r="F849" s="461"/>
      <c r="G849" s="460"/>
      <c r="H849" s="444"/>
      <c r="I849" s="460"/>
    </row>
    <row r="850" spans="1:9" s="169" customFormat="1" ht="15.75" customHeight="1">
      <c r="A850" s="444"/>
      <c r="B850" s="431"/>
      <c r="C850" s="460"/>
      <c r="D850" s="461"/>
      <c r="E850" s="461"/>
      <c r="F850" s="461"/>
      <c r="G850" s="460"/>
      <c r="H850" s="444"/>
      <c r="I850" s="460"/>
    </row>
    <row r="851" spans="1:9" s="169" customFormat="1" ht="15.75" customHeight="1">
      <c r="A851" s="444"/>
      <c r="B851" s="431"/>
      <c r="C851" s="460"/>
      <c r="D851" s="461"/>
      <c r="E851" s="461"/>
      <c r="F851" s="461"/>
      <c r="G851" s="460"/>
      <c r="H851" s="444"/>
      <c r="I851" s="460"/>
    </row>
    <row r="852" spans="1:9" s="169" customFormat="1" ht="15.75" customHeight="1">
      <c r="A852" s="444"/>
      <c r="B852" s="431"/>
      <c r="C852" s="460"/>
      <c r="D852" s="461"/>
      <c r="E852" s="461"/>
      <c r="F852" s="461"/>
      <c r="G852" s="460"/>
      <c r="H852" s="444"/>
      <c r="I852" s="460"/>
    </row>
    <row r="853" spans="1:9" s="169" customFormat="1" ht="15.75" customHeight="1">
      <c r="A853" s="444"/>
      <c r="B853" s="431"/>
      <c r="C853" s="460"/>
      <c r="D853" s="461"/>
      <c r="E853" s="461"/>
      <c r="F853" s="461"/>
      <c r="G853" s="460"/>
      <c r="H853" s="444"/>
      <c r="I853" s="460"/>
    </row>
    <row r="854" spans="1:9" s="169" customFormat="1" ht="15.75" customHeight="1">
      <c r="A854" s="444"/>
      <c r="B854" s="431"/>
      <c r="C854" s="460"/>
      <c r="D854" s="461"/>
      <c r="E854" s="461"/>
      <c r="F854" s="461"/>
      <c r="G854" s="460"/>
      <c r="H854" s="486"/>
      <c r="I854" s="460"/>
    </row>
    <row r="855" spans="1:9" s="169" customFormat="1" ht="15.75" customHeight="1">
      <c r="A855" s="444"/>
      <c r="B855" s="431"/>
      <c r="C855" s="460"/>
      <c r="D855" s="461"/>
      <c r="E855" s="461"/>
      <c r="F855" s="461"/>
      <c r="G855" s="460"/>
      <c r="H855" s="444"/>
      <c r="I855" s="460"/>
    </row>
    <row r="856" spans="1:9" s="169" customFormat="1" ht="15.75" customHeight="1">
      <c r="A856" s="444"/>
      <c r="B856" s="431"/>
      <c r="C856" s="460"/>
      <c r="D856" s="461"/>
      <c r="E856" s="461"/>
      <c r="F856" s="461"/>
      <c r="G856" s="460"/>
      <c r="H856" s="444"/>
      <c r="I856" s="460"/>
    </row>
    <row r="857" spans="1:9" s="169" customFormat="1" ht="15.75" customHeight="1">
      <c r="A857" s="444"/>
      <c r="B857" s="431"/>
      <c r="C857" s="460"/>
      <c r="D857" s="461"/>
      <c r="E857" s="461"/>
      <c r="F857" s="461"/>
      <c r="G857" s="460"/>
      <c r="H857" s="444"/>
      <c r="I857" s="460"/>
    </row>
    <row r="858" spans="1:9" s="169" customFormat="1" ht="15.75" customHeight="1">
      <c r="A858" s="444"/>
      <c r="B858" s="431"/>
      <c r="C858" s="460"/>
      <c r="D858" s="461"/>
      <c r="E858" s="461"/>
      <c r="F858" s="461"/>
      <c r="G858" s="460"/>
      <c r="H858" s="444"/>
      <c r="I858" s="460"/>
    </row>
    <row r="859" spans="1:9" s="169" customFormat="1" ht="15.75" customHeight="1">
      <c r="A859" s="444"/>
      <c r="B859" s="431"/>
      <c r="C859" s="460"/>
      <c r="D859" s="461"/>
      <c r="E859" s="461"/>
      <c r="F859" s="461"/>
      <c r="G859" s="460"/>
      <c r="H859" s="444"/>
      <c r="I859" s="460"/>
    </row>
    <row r="860" spans="1:9" s="169" customFormat="1" ht="15.75" customHeight="1">
      <c r="A860" s="444"/>
      <c r="B860" s="431"/>
      <c r="C860" s="460"/>
      <c r="D860" s="461"/>
      <c r="E860" s="461"/>
      <c r="F860" s="461"/>
      <c r="G860" s="460"/>
      <c r="H860" s="444"/>
      <c r="I860" s="460"/>
    </row>
    <row r="861" spans="1:9" s="169" customFormat="1" ht="15.75" customHeight="1">
      <c r="A861" s="444"/>
      <c r="B861" s="431"/>
      <c r="C861" s="460"/>
      <c r="D861" s="461"/>
      <c r="E861" s="461"/>
      <c r="F861" s="461"/>
      <c r="G861" s="460"/>
      <c r="H861" s="444"/>
      <c r="I861" s="460"/>
    </row>
    <row r="862" spans="1:9" s="169" customFormat="1" ht="15.75" customHeight="1">
      <c r="A862" s="444"/>
      <c r="B862" s="431"/>
      <c r="C862" s="460"/>
      <c r="D862" s="461"/>
      <c r="E862" s="461"/>
      <c r="F862" s="461"/>
      <c r="G862" s="460"/>
      <c r="H862" s="444"/>
      <c r="I862" s="460"/>
    </row>
    <row r="863" spans="1:9" s="169" customFormat="1" ht="15.75" customHeight="1">
      <c r="A863" s="461"/>
      <c r="B863" s="432"/>
      <c r="C863" s="460"/>
      <c r="D863" s="461"/>
      <c r="E863" s="461"/>
      <c r="F863" s="461"/>
      <c r="G863" s="460"/>
      <c r="H863" s="461"/>
      <c r="I863" s="460"/>
    </row>
    <row r="864" spans="1:9" s="169" customFormat="1" ht="15.75" customHeight="1">
      <c r="A864" s="461"/>
      <c r="B864" s="432"/>
      <c r="C864" s="460"/>
      <c r="D864" s="461"/>
      <c r="E864" s="461"/>
      <c r="F864" s="461"/>
      <c r="G864" s="460"/>
      <c r="H864" s="461"/>
      <c r="I864" s="460"/>
    </row>
    <row r="865" spans="1:9" s="169" customFormat="1" ht="15.75" customHeight="1">
      <c r="A865" s="461"/>
      <c r="B865" s="432"/>
      <c r="C865" s="460"/>
      <c r="D865" s="461"/>
      <c r="E865" s="461"/>
      <c r="F865" s="461"/>
      <c r="G865" s="460"/>
      <c r="H865" s="461"/>
      <c r="I865" s="460"/>
    </row>
    <row r="866" spans="1:9" s="169" customFormat="1" ht="15.75" customHeight="1">
      <c r="A866" s="461"/>
      <c r="B866" s="432"/>
      <c r="C866" s="460"/>
      <c r="D866" s="461"/>
      <c r="E866" s="461"/>
      <c r="F866" s="461"/>
      <c r="G866" s="460"/>
      <c r="H866" s="461"/>
      <c r="I866" s="460"/>
    </row>
    <row r="867" spans="1:9" s="169" customFormat="1" ht="15.75" customHeight="1">
      <c r="A867" s="461"/>
      <c r="B867" s="432"/>
      <c r="C867" s="460"/>
      <c r="D867" s="461"/>
      <c r="E867" s="548"/>
      <c r="F867" s="461"/>
      <c r="G867" s="460"/>
      <c r="H867" s="461"/>
      <c r="I867" s="460"/>
    </row>
    <row r="868" spans="1:9" s="169" customFormat="1" ht="15.75" customHeight="1">
      <c r="A868" s="433"/>
      <c r="B868" s="432"/>
      <c r="C868" s="460"/>
      <c r="D868" s="461"/>
      <c r="E868" s="461"/>
      <c r="F868" s="461"/>
      <c r="G868" s="460"/>
      <c r="H868" s="461"/>
      <c r="I868" s="460"/>
    </row>
    <row r="869" spans="1:9" s="169" customFormat="1" ht="15.75" customHeight="1">
      <c r="A869" s="461"/>
      <c r="B869" s="432"/>
      <c r="C869" s="460"/>
      <c r="D869" s="461"/>
      <c r="E869" s="461"/>
      <c r="F869" s="461"/>
      <c r="G869" s="460"/>
      <c r="H869" s="461"/>
      <c r="I869" s="460"/>
    </row>
    <row r="870" spans="1:9" s="169" customFormat="1" ht="15.75" customHeight="1">
      <c r="A870" s="461"/>
      <c r="B870" s="432"/>
      <c r="C870" s="460"/>
      <c r="D870" s="461"/>
      <c r="E870" s="461"/>
      <c r="F870" s="461"/>
      <c r="G870" s="460"/>
      <c r="H870" s="461"/>
      <c r="I870" s="460"/>
    </row>
    <row r="871" spans="1:9" s="169" customFormat="1" ht="15.75" customHeight="1">
      <c r="A871" s="461"/>
      <c r="B871" s="432"/>
      <c r="C871" s="460"/>
      <c r="D871" s="461"/>
      <c r="E871" s="461"/>
      <c r="F871" s="461"/>
      <c r="G871" s="460"/>
      <c r="H871" s="461"/>
      <c r="I871" s="460"/>
    </row>
    <row r="872" spans="1:9" s="169" customFormat="1" ht="15.75" customHeight="1">
      <c r="A872" s="433"/>
      <c r="B872" s="432"/>
      <c r="C872" s="460"/>
      <c r="D872" s="461"/>
      <c r="E872" s="461"/>
      <c r="F872" s="461"/>
      <c r="G872" s="460"/>
      <c r="H872" s="486"/>
      <c r="I872" s="460"/>
    </row>
    <row r="873" spans="1:9" s="169" customFormat="1" ht="15.75" customHeight="1">
      <c r="A873" s="461"/>
      <c r="B873" s="432"/>
      <c r="C873" s="460"/>
      <c r="D873" s="461"/>
      <c r="E873" s="461"/>
      <c r="F873" s="461"/>
      <c r="G873" s="460"/>
      <c r="H873" s="461"/>
      <c r="I873" s="460"/>
    </row>
    <row r="874" spans="1:9" s="169" customFormat="1" ht="15.75" customHeight="1">
      <c r="A874" s="433"/>
      <c r="B874" s="432"/>
      <c r="C874" s="460"/>
      <c r="D874" s="461"/>
      <c r="E874" s="461"/>
      <c r="F874" s="461"/>
      <c r="G874" s="460"/>
      <c r="H874" s="461"/>
      <c r="I874" s="460"/>
    </row>
    <row r="875" spans="1:9" s="169" customFormat="1" ht="15.75" customHeight="1">
      <c r="A875" s="461"/>
      <c r="B875" s="432"/>
      <c r="C875" s="460"/>
      <c r="D875" s="461"/>
      <c r="E875" s="461"/>
      <c r="F875" s="461"/>
      <c r="G875" s="460"/>
      <c r="H875" s="461"/>
      <c r="I875" s="460"/>
    </row>
    <row r="876" spans="1:9" s="169" customFormat="1" ht="15.75" customHeight="1">
      <c r="A876" s="461"/>
      <c r="B876" s="432"/>
      <c r="C876" s="460"/>
      <c r="D876" s="461"/>
      <c r="E876" s="461"/>
      <c r="F876" s="461"/>
      <c r="G876" s="460"/>
      <c r="H876" s="461"/>
      <c r="I876" s="460"/>
    </row>
    <row r="877" spans="1:9" s="169" customFormat="1" ht="15.75" customHeight="1">
      <c r="A877" s="461"/>
      <c r="B877" s="432"/>
      <c r="C877" s="460"/>
      <c r="D877" s="461"/>
      <c r="E877" s="461"/>
      <c r="F877" s="461"/>
      <c r="G877" s="460"/>
      <c r="H877" s="461"/>
      <c r="I877" s="460"/>
    </row>
    <row r="878" spans="1:9" s="169" customFormat="1" ht="15.75" customHeight="1">
      <c r="A878" s="461"/>
      <c r="B878" s="432"/>
      <c r="C878" s="460"/>
      <c r="D878" s="461"/>
      <c r="E878" s="461"/>
      <c r="F878" s="461"/>
      <c r="G878" s="460"/>
      <c r="H878" s="461"/>
      <c r="I878" s="460"/>
    </row>
    <row r="879" spans="1:9" s="169" customFormat="1" ht="15.75" customHeight="1">
      <c r="A879" s="461"/>
      <c r="B879" s="432"/>
      <c r="C879" s="460"/>
      <c r="D879" s="461"/>
      <c r="E879" s="461"/>
      <c r="F879" s="461"/>
      <c r="G879" s="460"/>
      <c r="H879" s="433"/>
      <c r="I879" s="460"/>
    </row>
    <row r="880" spans="1:9" s="169" customFormat="1" ht="15.75" customHeight="1">
      <c r="A880" s="461"/>
      <c r="B880" s="460"/>
      <c r="C880" s="460"/>
      <c r="D880" s="461"/>
      <c r="E880" s="538"/>
      <c r="F880" s="461"/>
      <c r="G880" s="460"/>
      <c r="H880" s="461"/>
      <c r="I880" s="460"/>
    </row>
    <row r="881" spans="1:9" s="169" customFormat="1" ht="15.75" customHeight="1">
      <c r="A881" s="461"/>
      <c r="B881" s="460"/>
      <c r="C881" s="460"/>
      <c r="D881" s="461"/>
      <c r="E881" s="538"/>
      <c r="F881" s="461"/>
      <c r="G881" s="460"/>
      <c r="H881" s="461"/>
      <c r="I881" s="460"/>
    </row>
    <row r="882" spans="1:9" s="169" customFormat="1" ht="15.75" customHeight="1">
      <c r="A882" s="460"/>
      <c r="B882" s="460"/>
      <c r="C882" s="460"/>
      <c r="D882" s="461"/>
      <c r="E882" s="538"/>
      <c r="F882" s="461"/>
      <c r="G882" s="460"/>
      <c r="H882" s="461"/>
      <c r="I882" s="460"/>
    </row>
    <row r="883" spans="1:9" s="169" customFormat="1" ht="15.75" customHeight="1">
      <c r="A883" s="460"/>
      <c r="B883" s="460"/>
      <c r="C883" s="460"/>
      <c r="D883" s="461"/>
      <c r="E883" s="538"/>
      <c r="F883" s="549"/>
      <c r="G883" s="460"/>
      <c r="H883" s="486"/>
      <c r="I883" s="460"/>
    </row>
    <row r="884" spans="1:9" s="169" customFormat="1" ht="15.75" customHeight="1">
      <c r="A884" s="460"/>
      <c r="B884" s="460"/>
      <c r="C884" s="460"/>
      <c r="D884" s="461"/>
      <c r="E884" s="538"/>
      <c r="F884" s="550"/>
      <c r="G884" s="460"/>
      <c r="H884" s="486"/>
      <c r="I884" s="460"/>
    </row>
    <row r="885" spans="1:9" s="169" customFormat="1" ht="15.75" customHeight="1">
      <c r="A885" s="460"/>
      <c r="B885" s="460"/>
      <c r="C885" s="460"/>
      <c r="D885" s="461"/>
      <c r="E885" s="538"/>
      <c r="F885" s="550"/>
      <c r="G885" s="460"/>
      <c r="H885" s="486"/>
      <c r="I885" s="460"/>
    </row>
    <row r="886" spans="1:9" s="169" customFormat="1" ht="15.75" customHeight="1">
      <c r="A886" s="460"/>
      <c r="B886" s="460"/>
      <c r="C886" s="460"/>
      <c r="D886" s="461"/>
      <c r="E886" s="538"/>
      <c r="F886" s="549"/>
      <c r="G886" s="460"/>
      <c r="H886" s="486"/>
      <c r="I886" s="460"/>
    </row>
    <row r="887" spans="1:9" s="169" customFormat="1" ht="15.75" customHeight="1">
      <c r="A887" s="460"/>
      <c r="B887" s="460"/>
      <c r="C887" s="460"/>
      <c r="D887" s="461"/>
      <c r="E887" s="538"/>
      <c r="F887" s="549"/>
      <c r="G887" s="460"/>
      <c r="H887" s="486"/>
      <c r="I887" s="460"/>
    </row>
    <row r="888" spans="1:9" s="169" customFormat="1" ht="15.75" customHeight="1">
      <c r="A888" s="460"/>
      <c r="B888" s="460"/>
      <c r="C888" s="460"/>
      <c r="D888" s="461"/>
      <c r="E888" s="538"/>
      <c r="F888" s="461"/>
      <c r="G888" s="460"/>
      <c r="H888" s="486"/>
      <c r="I888" s="460"/>
    </row>
    <row r="889" spans="1:9" s="169" customFormat="1" ht="15.75" customHeight="1">
      <c r="A889" s="460"/>
      <c r="B889" s="460"/>
      <c r="C889" s="460"/>
      <c r="D889" s="461"/>
      <c r="E889" s="538"/>
      <c r="F889" s="461"/>
      <c r="G889" s="460"/>
      <c r="H889" s="486"/>
      <c r="I889" s="460"/>
    </row>
    <row r="890" spans="1:9" s="169" customFormat="1" ht="15.6" customHeight="1">
      <c r="A890" s="460"/>
      <c r="B890" s="460"/>
      <c r="C890" s="460"/>
      <c r="D890" s="461"/>
      <c r="E890" s="461"/>
      <c r="F890" s="461"/>
      <c r="G890" s="460"/>
      <c r="H890" s="461"/>
      <c r="I890" s="460"/>
    </row>
    <row r="891" spans="1:9" s="169" customFormat="1">
      <c r="A891" s="460"/>
      <c r="B891" s="460"/>
      <c r="C891" s="460"/>
      <c r="D891" s="461"/>
      <c r="E891" s="538"/>
      <c r="F891" s="461"/>
      <c r="G891" s="460"/>
      <c r="H891" s="538"/>
      <c r="I891" s="460"/>
    </row>
    <row r="892" spans="1:9" s="169" customFormat="1" ht="15.6" customHeight="1">
      <c r="A892" s="460"/>
      <c r="B892" s="460"/>
      <c r="C892" s="460"/>
      <c r="D892" s="461"/>
      <c r="E892" s="461"/>
      <c r="F892" s="461"/>
      <c r="G892" s="460"/>
      <c r="H892" s="461"/>
      <c r="I892" s="460"/>
    </row>
    <row r="893" spans="1:9" s="169" customFormat="1" ht="15.6" customHeight="1">
      <c r="A893" s="460"/>
      <c r="B893" s="460"/>
      <c r="C893" s="460"/>
      <c r="D893" s="461"/>
      <c r="E893" s="461"/>
      <c r="F893" s="461"/>
      <c r="G893" s="460"/>
      <c r="H893" s="461"/>
      <c r="I893" s="460"/>
    </row>
    <row r="894" spans="1:9">
      <c r="B894" s="262"/>
      <c r="D894" s="461"/>
      <c r="E894" s="254"/>
      <c r="F894" s="460"/>
      <c r="G894" s="460"/>
      <c r="H894" s="461"/>
      <c r="I894" s="460"/>
    </row>
    <row r="895" spans="1:9">
      <c r="B895" s="154"/>
      <c r="D895" s="461"/>
      <c r="E895" s="231"/>
      <c r="F895" s="460"/>
      <c r="G895" s="460"/>
      <c r="H895" s="461"/>
      <c r="I895" s="460"/>
    </row>
    <row r="896" spans="1:9">
      <c r="B896" s="243"/>
      <c r="D896" s="551"/>
      <c r="E896" s="445"/>
      <c r="F896" s="552"/>
      <c r="G896" s="552"/>
      <c r="H896" s="551"/>
      <c r="I896" s="552"/>
    </row>
    <row r="897" spans="1:9">
      <c r="A897" s="443"/>
      <c r="B897" s="154"/>
      <c r="C897" s="412"/>
      <c r="D897" s="461"/>
      <c r="E897" s="254"/>
      <c r="F897" s="460"/>
      <c r="G897" s="460"/>
      <c r="H897" s="461"/>
      <c r="I897" s="460"/>
    </row>
  </sheetData>
  <autoFilter ref="A1:Y897" xr:uid="{ED4B1FE8-55A8-4652-AE52-2894FB4FF74D}"/>
  <conditionalFormatting sqref="A233:A234">
    <cfRule type="cellIs" dxfId="9" priority="5" operator="between">
      <formula>249845831</formula>
      <formula>749537448</formula>
    </cfRule>
  </conditionalFormatting>
  <conditionalFormatting sqref="A606:A607 E606:E607">
    <cfRule type="cellIs" dxfId="8" priority="2" operator="between">
      <formula>249845831</formula>
      <formula>749537448</formula>
    </cfRule>
  </conditionalFormatting>
  <conditionalFormatting sqref="E2:E83 E107:E141 E143:E210 E270:E501 E505:E538 E720:E761 E763:E773 E818:F863">
    <cfRule type="expression" dxfId="7" priority="8">
      <formula>AND(LEN(E2)&lt;&gt;0,NOT(AND(LEN(E2)=10,ISNUMBER(SUMPRODUCT(SEARCH(MID(E2,ROW(INDIRECT("1:"&amp;LEN(E2))),1),"0123456789"))))))</formula>
    </cfRule>
  </conditionalFormatting>
  <conditionalFormatting sqref="E233:E234">
    <cfRule type="cellIs" dxfId="6" priority="4" operator="between">
      <formula>249845831</formula>
      <formula>749537448</formula>
    </cfRule>
  </conditionalFormatting>
  <conditionalFormatting sqref="E256:E266">
    <cfRule type="expression" dxfId="5" priority="6">
      <formula>AND(LEN(E256)&lt;&gt;0,NOT(AND(LEN(E256)=10,ISNUMBER(SUMPRODUCT(SEARCH(MID(E256,ROW(INDIRECT("1:"&amp;LEN(E256))),1),"0123456789"))))))</formula>
    </cfRule>
  </conditionalFormatting>
  <conditionalFormatting sqref="E568:E583">
    <cfRule type="expression" dxfId="4" priority="7">
      <formula>AND(LEN(E568)&lt;&gt;0,NOT(AND(LEN(E568)=10,ISNUMBER(SUMPRODUCT(SEARCH(MID(E568,ROW(INDIRECT("1:"&amp;LEN(E568))),1),"0123456789"))))))</formula>
    </cfRule>
  </conditionalFormatting>
  <conditionalFormatting sqref="E631:E646 E864:E866 F864:F879 E868:E879">
    <cfRule type="expression" dxfId="3" priority="10">
      <formula>AND(LEN(E631)&lt;&gt;0,NOT(AND(LEN(E631)=10,ISNUMBER(SUMPRODUCT(SEARCH(MID(E631,ROW(INDIRECT("1:"&amp;LEN(E631))),1),"0123456789"))))))</formula>
    </cfRule>
  </conditionalFormatting>
  <conditionalFormatting sqref="E669:E714">
    <cfRule type="expression" dxfId="2" priority="9">
      <formula>AND(LEN(E669)&lt;&gt;0,NOT(AND(LEN(E669)=10,ISNUMBER(SUMPRODUCT(SEARCH(MID(E669,ROW(INDIRECT("1:"&amp;LEN(E669))),1),"0123456789"))))))</formula>
    </cfRule>
  </conditionalFormatting>
  <conditionalFormatting sqref="E880:F893">
    <cfRule type="expression" dxfId="1" priority="1">
      <formula>AND(LEN(E880)&lt;&gt;0,NOT(AND(LEN(E880)=10,ISNUMBER(SUMPRODUCT(SEARCH(MID(E880,ROW(INDIRECT("1:"&amp;LEN(E880))),1),"0123456789"))))))</formula>
    </cfRule>
  </conditionalFormatting>
  <conditionalFormatting sqref="H84:H106">
    <cfRule type="cellIs" dxfId="0" priority="3" operator="between">
      <formula>249845831</formula>
      <formula>749537448</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A5F7C-2FBA-4556-AFE0-A6F14214D878}">
  <dimension ref="A1:K181"/>
  <sheetViews>
    <sheetView zoomScaleNormal="100" workbookViewId="0"/>
  </sheetViews>
  <sheetFormatPr defaultColWidth="10.140625" defaultRowHeight="15"/>
  <cols>
    <col min="1" max="1" width="25" style="334" customWidth="1"/>
    <col min="2" max="2" width="25.42578125" style="282" customWidth="1"/>
    <col min="3" max="3" width="15.140625" style="282" customWidth="1"/>
    <col min="4" max="4" width="10.42578125" style="287" customWidth="1"/>
    <col min="5" max="7" width="12.42578125" style="287" customWidth="1"/>
    <col min="8" max="9" width="18.42578125" style="282" customWidth="1"/>
    <col min="10" max="10" width="31.5703125" style="282" customWidth="1"/>
    <col min="11" max="11" width="14.140625" style="282" customWidth="1"/>
    <col min="12" max="16384" width="10.140625" style="282"/>
  </cols>
  <sheetData>
    <row r="1" spans="1:11" s="287" customFormat="1" ht="135">
      <c r="A1" s="304" t="s">
        <v>106</v>
      </c>
      <c r="B1" s="305" t="s">
        <v>109</v>
      </c>
      <c r="C1" s="307" t="s">
        <v>120</v>
      </c>
      <c r="D1" s="307" t="s">
        <v>121</v>
      </c>
      <c r="E1" s="307" t="s">
        <v>237</v>
      </c>
      <c r="F1" s="307" t="s">
        <v>236</v>
      </c>
      <c r="G1" s="307" t="s">
        <v>123</v>
      </c>
      <c r="H1" s="349" t="s">
        <v>124</v>
      </c>
      <c r="I1" s="349" t="s">
        <v>125</v>
      </c>
      <c r="J1" s="350" t="s">
        <v>126</v>
      </c>
      <c r="K1" s="350" t="s">
        <v>235</v>
      </c>
    </row>
    <row r="2" spans="1:11">
      <c r="A2" s="258"/>
      <c r="B2" s="357"/>
      <c r="C2" s="314"/>
      <c r="D2" s="315">
        <f t="shared" ref="D2:D13" si="0">ROUNDDOWN((C2/50),0)</f>
        <v>0</v>
      </c>
      <c r="E2" s="315">
        <f t="shared" ref="E2:E13" si="1">ROUND((C2-(D2*$P$11)),0)</f>
        <v>0</v>
      </c>
      <c r="F2" s="453"/>
      <c r="G2" s="315"/>
      <c r="H2" s="213"/>
      <c r="I2" s="213"/>
      <c r="J2" s="213"/>
      <c r="K2" s="213"/>
    </row>
    <row r="3" spans="1:11">
      <c r="A3" s="259"/>
      <c r="B3" s="357"/>
      <c r="C3" s="314"/>
      <c r="D3" s="315">
        <f t="shared" si="0"/>
        <v>0</v>
      </c>
      <c r="E3" s="315">
        <f t="shared" si="1"/>
        <v>0</v>
      </c>
      <c r="F3" s="453"/>
      <c r="G3" s="315"/>
      <c r="H3" s="213"/>
      <c r="I3" s="213"/>
      <c r="J3" s="213"/>
      <c r="K3" s="213"/>
    </row>
    <row r="4" spans="1:11">
      <c r="A4" s="259"/>
      <c r="B4" s="357"/>
      <c r="C4" s="314"/>
      <c r="D4" s="315">
        <f t="shared" si="0"/>
        <v>0</v>
      </c>
      <c r="E4" s="315">
        <f t="shared" si="1"/>
        <v>0</v>
      </c>
      <c r="F4" s="453"/>
      <c r="G4" s="315"/>
      <c r="H4" s="213"/>
      <c r="I4" s="213"/>
      <c r="J4" s="213"/>
      <c r="K4" s="213"/>
    </row>
    <row r="5" spans="1:11">
      <c r="A5" s="259"/>
      <c r="B5" s="357"/>
      <c r="C5" s="314"/>
      <c r="D5" s="315">
        <f t="shared" si="0"/>
        <v>0</v>
      </c>
      <c r="E5" s="315">
        <f t="shared" si="1"/>
        <v>0</v>
      </c>
      <c r="F5" s="453"/>
      <c r="G5" s="315"/>
      <c r="H5" s="213"/>
      <c r="I5" s="213"/>
      <c r="J5" s="213"/>
      <c r="K5" s="213"/>
    </row>
    <row r="6" spans="1:11">
      <c r="A6" s="259"/>
      <c r="B6" s="355"/>
      <c r="C6" s="314"/>
      <c r="D6" s="315">
        <f t="shared" si="0"/>
        <v>0</v>
      </c>
      <c r="E6" s="315">
        <f t="shared" si="1"/>
        <v>0</v>
      </c>
      <c r="F6" s="453"/>
      <c r="G6" s="315"/>
      <c r="H6" s="213"/>
      <c r="I6" s="213"/>
      <c r="J6" s="213"/>
      <c r="K6" s="213"/>
    </row>
    <row r="7" spans="1:11">
      <c r="A7" s="259"/>
      <c r="B7" s="357"/>
      <c r="C7" s="314"/>
      <c r="D7" s="315">
        <f t="shared" si="0"/>
        <v>0</v>
      </c>
      <c r="E7" s="315">
        <f t="shared" si="1"/>
        <v>0</v>
      </c>
      <c r="F7" s="453"/>
      <c r="G7" s="315"/>
      <c r="H7" s="213"/>
      <c r="I7" s="213"/>
      <c r="J7" s="213"/>
      <c r="K7" s="213"/>
    </row>
    <row r="8" spans="1:11">
      <c r="A8" s="259"/>
      <c r="B8" s="357"/>
      <c r="C8" s="314"/>
      <c r="D8" s="315">
        <f t="shared" si="0"/>
        <v>0</v>
      </c>
      <c r="E8" s="315">
        <f t="shared" si="1"/>
        <v>0</v>
      </c>
      <c r="F8" s="453"/>
      <c r="G8" s="315"/>
      <c r="H8" s="213"/>
      <c r="I8" s="213"/>
      <c r="J8" s="213"/>
      <c r="K8" s="213"/>
    </row>
    <row r="9" spans="1:11">
      <c r="A9" s="259"/>
      <c r="B9" s="357"/>
      <c r="C9" s="314"/>
      <c r="D9" s="315">
        <f t="shared" si="0"/>
        <v>0</v>
      </c>
      <c r="E9" s="315">
        <f t="shared" si="1"/>
        <v>0</v>
      </c>
      <c r="F9" s="453"/>
      <c r="G9" s="315"/>
      <c r="H9" s="213"/>
      <c r="I9" s="213"/>
      <c r="J9" s="213"/>
      <c r="K9" s="285"/>
    </row>
    <row r="10" spans="1:11">
      <c r="A10" s="259"/>
      <c r="B10" s="357"/>
      <c r="C10" s="314"/>
      <c r="D10" s="315">
        <f t="shared" si="0"/>
        <v>0</v>
      </c>
      <c r="E10" s="315">
        <f t="shared" si="1"/>
        <v>0</v>
      </c>
      <c r="F10" s="453"/>
      <c r="G10" s="315"/>
      <c r="H10" s="213"/>
      <c r="I10" s="213"/>
      <c r="J10" s="213"/>
      <c r="K10" s="213"/>
    </row>
    <row r="11" spans="1:11">
      <c r="A11" s="259"/>
      <c r="B11" s="356"/>
      <c r="C11" s="314"/>
      <c r="D11" s="315">
        <f t="shared" si="0"/>
        <v>0</v>
      </c>
      <c r="E11" s="315">
        <f t="shared" si="1"/>
        <v>0</v>
      </c>
      <c r="F11" s="453"/>
      <c r="G11" s="315"/>
      <c r="H11" s="213"/>
      <c r="I11" s="213"/>
      <c r="J11" s="213"/>
      <c r="K11" s="213"/>
    </row>
    <row r="12" spans="1:11">
      <c r="A12" s="259"/>
      <c r="B12" s="435"/>
      <c r="C12" s="314"/>
      <c r="D12" s="315">
        <f t="shared" si="0"/>
        <v>0</v>
      </c>
      <c r="E12" s="315">
        <f t="shared" si="1"/>
        <v>0</v>
      </c>
      <c r="F12" s="453"/>
      <c r="G12" s="315"/>
      <c r="H12" s="213"/>
      <c r="I12" s="213"/>
      <c r="J12" s="213"/>
      <c r="K12" s="213"/>
    </row>
    <row r="13" spans="1:11">
      <c r="A13" s="259"/>
      <c r="B13" s="355"/>
      <c r="C13" s="314"/>
      <c r="D13" s="315">
        <f t="shared" si="0"/>
        <v>0</v>
      </c>
      <c r="E13" s="315">
        <f t="shared" si="1"/>
        <v>0</v>
      </c>
      <c r="F13" s="453"/>
      <c r="G13" s="315"/>
      <c r="H13" s="213"/>
      <c r="I13" s="213"/>
      <c r="J13" s="213"/>
      <c r="K13" s="213"/>
    </row>
    <row r="14" spans="1:11" s="287" customFormat="1">
      <c r="A14" s="211"/>
      <c r="B14" s="212"/>
      <c r="C14" s="161"/>
      <c r="D14" s="161"/>
      <c r="E14" s="161"/>
      <c r="F14" s="452"/>
      <c r="G14" s="161"/>
      <c r="H14" s="211"/>
      <c r="I14" s="211"/>
      <c r="J14" s="211"/>
      <c r="K14" s="211"/>
    </row>
    <row r="15" spans="1:11">
      <c r="A15" s="447"/>
      <c r="B15" s="357"/>
      <c r="C15" s="314"/>
      <c r="D15" s="315"/>
      <c r="E15" s="315"/>
      <c r="F15" s="453"/>
      <c r="G15" s="315"/>
      <c r="H15" s="213"/>
      <c r="I15" s="213"/>
      <c r="J15" s="213"/>
      <c r="K15" s="213"/>
    </row>
    <row r="16" spans="1:11">
      <c r="A16" s="446"/>
      <c r="B16" s="436"/>
      <c r="C16" s="314"/>
      <c r="D16" s="315"/>
      <c r="E16" s="315"/>
      <c r="F16" s="453"/>
      <c r="G16" s="315"/>
      <c r="H16" s="213"/>
      <c r="I16" s="213"/>
      <c r="J16" s="213"/>
      <c r="K16" s="213"/>
    </row>
    <row r="17" spans="1:11">
      <c r="A17" s="446"/>
      <c r="B17" s="357"/>
      <c r="C17" s="314"/>
      <c r="D17" s="315"/>
      <c r="E17" s="315"/>
      <c r="F17" s="453"/>
      <c r="G17" s="315"/>
      <c r="H17" s="213"/>
      <c r="I17" s="213"/>
      <c r="J17" s="213"/>
      <c r="K17" s="213"/>
    </row>
    <row r="18" spans="1:11">
      <c r="A18" s="446"/>
      <c r="B18" s="355"/>
      <c r="C18" s="314"/>
      <c r="D18" s="315"/>
      <c r="E18" s="315"/>
      <c r="F18" s="453"/>
      <c r="G18" s="315"/>
      <c r="H18" s="213"/>
      <c r="I18" s="213"/>
      <c r="J18" s="213"/>
      <c r="K18" s="213"/>
    </row>
    <row r="19" spans="1:11">
      <c r="A19" s="446"/>
      <c r="B19" s="434"/>
      <c r="C19" s="314"/>
      <c r="D19" s="315"/>
      <c r="E19" s="315"/>
      <c r="F19" s="453"/>
      <c r="G19" s="315"/>
      <c r="H19" s="213"/>
      <c r="I19" s="213"/>
      <c r="J19" s="213"/>
      <c r="K19" s="213"/>
    </row>
    <row r="20" spans="1:11">
      <c r="A20" s="446"/>
      <c r="B20" s="356"/>
      <c r="C20" s="314"/>
      <c r="D20" s="315"/>
      <c r="E20" s="315"/>
      <c r="F20" s="453"/>
      <c r="G20" s="315"/>
      <c r="H20" s="213"/>
      <c r="I20" s="213"/>
      <c r="J20" s="213"/>
      <c r="K20" s="213"/>
    </row>
    <row r="21" spans="1:11">
      <c r="A21" s="446"/>
      <c r="B21" s="357"/>
      <c r="C21" s="314"/>
      <c r="D21" s="315"/>
      <c r="E21" s="315"/>
      <c r="F21" s="453"/>
      <c r="G21" s="315"/>
      <c r="H21" s="213"/>
      <c r="I21" s="213"/>
      <c r="J21" s="213"/>
      <c r="K21" s="213"/>
    </row>
    <row r="22" spans="1:11">
      <c r="A22" s="446"/>
      <c r="B22" s="360"/>
      <c r="C22" s="314"/>
      <c r="D22" s="315"/>
      <c r="E22" s="315"/>
      <c r="F22" s="453"/>
      <c r="G22" s="315"/>
      <c r="H22" s="213"/>
      <c r="I22" s="213"/>
      <c r="J22" s="213"/>
      <c r="K22" s="213"/>
    </row>
    <row r="23" spans="1:11" s="287" customFormat="1">
      <c r="A23" s="211"/>
      <c r="B23" s="212"/>
      <c r="C23" s="161"/>
      <c r="D23" s="161"/>
      <c r="E23" s="161"/>
      <c r="F23" s="452"/>
      <c r="G23" s="161"/>
      <c r="H23" s="211"/>
      <c r="I23" s="211"/>
      <c r="J23" s="211"/>
      <c r="K23" s="211"/>
    </row>
    <row r="24" spans="1:11">
      <c r="A24" s="447"/>
      <c r="B24" s="357"/>
      <c r="C24" s="314"/>
      <c r="D24" s="315"/>
      <c r="E24" s="315"/>
      <c r="F24" s="453"/>
      <c r="G24" s="315"/>
      <c r="H24" s="213"/>
      <c r="I24" s="213"/>
      <c r="J24" s="213"/>
      <c r="K24" s="213"/>
    </row>
    <row r="25" spans="1:11">
      <c r="A25" s="446"/>
      <c r="B25" s="357"/>
      <c r="C25" s="314"/>
      <c r="D25" s="315"/>
      <c r="E25" s="315"/>
      <c r="F25" s="453"/>
      <c r="G25" s="315"/>
      <c r="H25" s="213"/>
      <c r="I25" s="213"/>
      <c r="J25" s="213"/>
      <c r="K25" s="213"/>
    </row>
    <row r="26" spans="1:11">
      <c r="A26" s="446"/>
      <c r="B26" s="434"/>
      <c r="C26" s="314"/>
      <c r="D26" s="315"/>
      <c r="E26" s="315"/>
      <c r="F26" s="453"/>
      <c r="G26" s="315"/>
      <c r="H26" s="213"/>
      <c r="I26" s="213"/>
      <c r="J26" s="213"/>
      <c r="K26" s="213"/>
    </row>
    <row r="27" spans="1:11">
      <c r="A27" s="446"/>
      <c r="B27" s="357"/>
      <c r="C27" s="314"/>
      <c r="D27" s="315"/>
      <c r="E27" s="315"/>
      <c r="F27" s="453"/>
      <c r="G27" s="315"/>
      <c r="H27" s="213"/>
      <c r="I27" s="213"/>
      <c r="J27" s="213"/>
      <c r="K27" s="213"/>
    </row>
    <row r="28" spans="1:11">
      <c r="A28" s="446"/>
      <c r="B28" s="357"/>
      <c r="C28" s="314"/>
      <c r="D28" s="315"/>
      <c r="E28" s="315"/>
      <c r="F28" s="453"/>
      <c r="G28" s="315"/>
      <c r="H28" s="213"/>
      <c r="I28" s="213"/>
      <c r="J28" s="213"/>
      <c r="K28" s="213"/>
    </row>
    <row r="29" spans="1:11">
      <c r="A29" s="446"/>
      <c r="B29" s="357"/>
      <c r="C29" s="314"/>
      <c r="D29" s="315"/>
      <c r="E29" s="315"/>
      <c r="F29" s="453"/>
      <c r="G29" s="315"/>
      <c r="H29" s="213"/>
      <c r="I29" s="213"/>
      <c r="J29" s="213"/>
      <c r="K29" s="213"/>
    </row>
    <row r="30" spans="1:11">
      <c r="A30" s="446"/>
      <c r="B30" s="357"/>
      <c r="C30" s="314"/>
      <c r="D30" s="315"/>
      <c r="E30" s="315"/>
      <c r="F30" s="453"/>
      <c r="G30" s="315"/>
      <c r="H30" s="213"/>
      <c r="I30" s="213"/>
      <c r="J30" s="213"/>
      <c r="K30" s="213"/>
    </row>
    <row r="31" spans="1:11">
      <c r="A31" s="446"/>
      <c r="B31" s="357"/>
      <c r="C31" s="314"/>
      <c r="D31" s="315"/>
      <c r="E31" s="315"/>
      <c r="F31" s="453"/>
      <c r="G31" s="315"/>
      <c r="H31" s="213"/>
      <c r="I31" s="213"/>
      <c r="J31" s="213"/>
      <c r="K31" s="213"/>
    </row>
    <row r="32" spans="1:11" s="287" customFormat="1">
      <c r="A32" s="211">
        <f>COUNTA(A24:A31)</f>
        <v>0</v>
      </c>
      <c r="B32" s="212">
        <f>COUNTA(B24:B31)</f>
        <v>0</v>
      </c>
      <c r="C32" s="161"/>
      <c r="D32" s="161"/>
      <c r="E32" s="161"/>
      <c r="F32" s="452"/>
      <c r="G32" s="161"/>
      <c r="H32" s="211"/>
      <c r="I32" s="211"/>
      <c r="J32" s="211"/>
      <c r="K32" s="211"/>
    </row>
    <row r="33" spans="1:11">
      <c r="A33" s="447"/>
      <c r="B33" s="357"/>
      <c r="C33" s="314"/>
      <c r="D33" s="315"/>
      <c r="E33" s="315"/>
      <c r="F33" s="453"/>
      <c r="G33" s="315"/>
      <c r="H33" s="213"/>
      <c r="I33" s="213"/>
      <c r="J33" s="213"/>
      <c r="K33" s="213"/>
    </row>
    <row r="34" spans="1:11">
      <c r="A34" s="446"/>
      <c r="B34" s="357"/>
      <c r="C34" s="314"/>
      <c r="D34" s="315"/>
      <c r="E34" s="315"/>
      <c r="F34" s="453"/>
      <c r="G34" s="315"/>
      <c r="H34" s="213"/>
      <c r="I34" s="213"/>
      <c r="J34" s="213"/>
      <c r="K34" s="213"/>
    </row>
    <row r="35" spans="1:11">
      <c r="A35" s="446"/>
      <c r="B35" s="357"/>
      <c r="C35" s="314"/>
      <c r="D35" s="315"/>
      <c r="E35" s="315"/>
      <c r="F35" s="453"/>
      <c r="G35" s="315"/>
      <c r="H35" s="213"/>
      <c r="I35" s="213"/>
      <c r="J35" s="213"/>
      <c r="K35" s="213"/>
    </row>
    <row r="36" spans="1:11">
      <c r="A36" s="446"/>
      <c r="B36" s="357"/>
      <c r="C36" s="314"/>
      <c r="D36" s="315"/>
      <c r="E36" s="315"/>
      <c r="F36" s="453"/>
      <c r="G36" s="315"/>
      <c r="H36" s="213"/>
      <c r="I36" s="213"/>
      <c r="J36" s="213"/>
      <c r="K36" s="213"/>
    </row>
    <row r="37" spans="1:11">
      <c r="A37" s="446"/>
      <c r="B37" s="357"/>
      <c r="C37" s="314"/>
      <c r="D37" s="315"/>
      <c r="E37" s="315"/>
      <c r="F37" s="453"/>
      <c r="G37" s="315"/>
      <c r="H37" s="213"/>
      <c r="I37" s="213"/>
      <c r="J37" s="213"/>
      <c r="K37" s="213"/>
    </row>
    <row r="38" spans="1:11">
      <c r="A38" s="446"/>
      <c r="B38" s="357"/>
      <c r="C38" s="314"/>
      <c r="D38" s="315"/>
      <c r="E38" s="315"/>
      <c r="F38" s="453"/>
      <c r="G38" s="315"/>
      <c r="H38" s="213"/>
      <c r="I38" s="213"/>
      <c r="J38" s="213"/>
      <c r="K38" s="213"/>
    </row>
    <row r="39" spans="1:11">
      <c r="A39" s="446"/>
      <c r="B39" s="357"/>
      <c r="C39" s="314"/>
      <c r="D39" s="315"/>
      <c r="E39" s="315"/>
      <c r="F39" s="453"/>
      <c r="G39" s="315"/>
      <c r="H39" s="213"/>
      <c r="I39" s="213"/>
      <c r="J39" s="213"/>
      <c r="K39" s="213"/>
    </row>
    <row r="40" spans="1:11">
      <c r="A40" s="446"/>
      <c r="B40" s="357"/>
      <c r="C40" s="314"/>
      <c r="D40" s="315"/>
      <c r="E40" s="315"/>
      <c r="F40" s="453"/>
      <c r="G40" s="315"/>
      <c r="H40" s="213"/>
      <c r="I40" s="213"/>
      <c r="J40" s="213"/>
      <c r="K40" s="213"/>
    </row>
    <row r="41" spans="1:11">
      <c r="A41" s="446"/>
      <c r="B41" s="357"/>
      <c r="C41" s="314"/>
      <c r="D41" s="315"/>
      <c r="E41" s="315"/>
      <c r="F41" s="453"/>
      <c r="G41" s="315"/>
      <c r="H41" s="213"/>
      <c r="I41" s="213"/>
      <c r="J41" s="213"/>
      <c r="K41" s="213"/>
    </row>
    <row r="42" spans="1:11">
      <c r="A42" s="446"/>
      <c r="B42" s="434"/>
      <c r="C42" s="314"/>
      <c r="D42" s="315"/>
      <c r="E42" s="315"/>
      <c r="F42" s="453"/>
      <c r="G42" s="315"/>
      <c r="H42" s="213"/>
      <c r="I42" s="213"/>
      <c r="J42" s="213"/>
      <c r="K42" s="213"/>
    </row>
    <row r="43" spans="1:11" s="287" customFormat="1">
      <c r="A43" s="211">
        <f>COUNTA(A33:A42)</f>
        <v>0</v>
      </c>
      <c r="B43" s="212">
        <f>COUNTA(B33:B42)</f>
        <v>0</v>
      </c>
      <c r="C43" s="161"/>
      <c r="D43" s="161"/>
      <c r="E43" s="161"/>
      <c r="F43" s="452"/>
      <c r="G43" s="161"/>
      <c r="H43" s="211"/>
      <c r="I43" s="211"/>
      <c r="J43" s="211"/>
      <c r="K43" s="211"/>
    </row>
    <row r="44" spans="1:11">
      <c r="A44" s="447"/>
      <c r="B44" s="357"/>
      <c r="C44" s="314"/>
      <c r="D44" s="315"/>
      <c r="E44" s="315"/>
      <c r="F44" s="453"/>
      <c r="G44" s="315"/>
      <c r="H44" s="213"/>
      <c r="I44" s="213"/>
      <c r="J44" s="213"/>
      <c r="K44" s="213"/>
    </row>
    <row r="45" spans="1:11">
      <c r="A45" s="446"/>
      <c r="B45" s="368"/>
      <c r="C45" s="314"/>
      <c r="D45" s="315"/>
      <c r="E45" s="315"/>
      <c r="F45" s="453"/>
      <c r="G45" s="315"/>
      <c r="H45" s="213"/>
      <c r="I45" s="213"/>
      <c r="J45" s="213"/>
      <c r="K45" s="213"/>
    </row>
    <row r="46" spans="1:11">
      <c r="A46" s="446"/>
      <c r="B46" s="357"/>
      <c r="C46" s="314"/>
      <c r="D46" s="315"/>
      <c r="E46" s="315"/>
      <c r="F46" s="453"/>
      <c r="G46" s="315"/>
      <c r="H46" s="213"/>
      <c r="I46" s="213"/>
      <c r="J46" s="213"/>
      <c r="K46" s="213"/>
    </row>
    <row r="47" spans="1:11">
      <c r="A47" s="446"/>
      <c r="B47" s="357"/>
      <c r="C47" s="314"/>
      <c r="D47" s="315"/>
      <c r="E47" s="315"/>
      <c r="F47" s="453"/>
      <c r="G47" s="315"/>
      <c r="H47" s="213"/>
      <c r="I47" s="213"/>
      <c r="J47" s="213"/>
      <c r="K47" s="213"/>
    </row>
    <row r="48" spans="1:11">
      <c r="A48" s="446"/>
      <c r="B48" s="368"/>
      <c r="C48" s="314"/>
      <c r="D48" s="315"/>
      <c r="E48" s="315"/>
      <c r="F48" s="453"/>
      <c r="G48" s="315"/>
      <c r="H48" s="213"/>
      <c r="I48" s="213"/>
      <c r="J48" s="213"/>
      <c r="K48" s="213"/>
    </row>
    <row r="49" spans="1:11">
      <c r="A49" s="446"/>
      <c r="B49" s="357"/>
      <c r="C49" s="314"/>
      <c r="D49" s="315"/>
      <c r="E49" s="315"/>
      <c r="F49" s="453"/>
      <c r="G49" s="315"/>
      <c r="H49" s="213"/>
      <c r="I49" s="213"/>
      <c r="J49" s="213"/>
      <c r="K49" s="213"/>
    </row>
    <row r="50" spans="1:11">
      <c r="A50" s="446"/>
      <c r="B50" s="357"/>
      <c r="C50" s="314"/>
      <c r="D50" s="315"/>
      <c r="E50" s="315"/>
      <c r="F50" s="453"/>
      <c r="G50" s="315"/>
      <c r="H50" s="213"/>
      <c r="I50" s="213"/>
      <c r="J50" s="213"/>
      <c r="K50" s="213"/>
    </row>
    <row r="51" spans="1:11">
      <c r="A51" s="446"/>
      <c r="B51" s="368"/>
      <c r="C51" s="314"/>
      <c r="D51" s="315"/>
      <c r="E51" s="315"/>
      <c r="F51" s="453"/>
      <c r="G51" s="315"/>
      <c r="H51" s="213"/>
      <c r="I51" s="213"/>
      <c r="J51" s="213"/>
      <c r="K51" s="213"/>
    </row>
    <row r="52" spans="1:11">
      <c r="A52" s="446"/>
      <c r="B52" s="357"/>
      <c r="C52" s="314"/>
      <c r="D52" s="315"/>
      <c r="E52" s="315"/>
      <c r="F52" s="453"/>
      <c r="G52" s="315"/>
      <c r="H52" s="213"/>
      <c r="I52" s="213"/>
      <c r="J52" s="213"/>
      <c r="K52" s="213"/>
    </row>
    <row r="53" spans="1:11">
      <c r="A53" s="446"/>
      <c r="B53" s="434"/>
      <c r="C53" s="314"/>
      <c r="D53" s="315"/>
      <c r="E53" s="315"/>
      <c r="F53" s="453"/>
      <c r="G53" s="315"/>
      <c r="H53" s="213"/>
      <c r="I53" s="213"/>
      <c r="J53" s="213"/>
      <c r="K53" s="213"/>
    </row>
    <row r="54" spans="1:11">
      <c r="A54" s="446"/>
      <c r="B54" s="368"/>
      <c r="C54" s="314"/>
      <c r="D54" s="315"/>
      <c r="E54" s="315"/>
      <c r="F54" s="453"/>
      <c r="G54" s="315"/>
      <c r="H54" s="213"/>
      <c r="I54" s="213"/>
      <c r="J54" s="213"/>
      <c r="K54" s="213"/>
    </row>
    <row r="55" spans="1:11">
      <c r="A55" s="446"/>
      <c r="B55" s="434"/>
      <c r="C55" s="314"/>
      <c r="D55" s="315"/>
      <c r="E55" s="315"/>
      <c r="F55" s="453"/>
      <c r="G55" s="315"/>
      <c r="H55" s="213"/>
      <c r="I55" s="213"/>
      <c r="J55" s="213"/>
      <c r="K55" s="213"/>
    </row>
    <row r="56" spans="1:11" s="287" customFormat="1">
      <c r="A56" s="211">
        <f>COUNTA(A44:A55)</f>
        <v>0</v>
      </c>
      <c r="B56" s="212">
        <f>COUNTA(B44:B55)</f>
        <v>0</v>
      </c>
      <c r="C56" s="161"/>
      <c r="D56" s="315"/>
      <c r="E56" s="315"/>
      <c r="F56" s="453"/>
      <c r="G56" s="315"/>
      <c r="H56" s="211"/>
      <c r="I56" s="211"/>
      <c r="J56" s="211"/>
      <c r="K56" s="211"/>
    </row>
    <row r="57" spans="1:11">
      <c r="A57" s="447"/>
      <c r="B57" s="323"/>
      <c r="C57" s="320"/>
      <c r="D57" s="315"/>
      <c r="E57" s="315"/>
      <c r="F57" s="315"/>
      <c r="G57" s="315"/>
      <c r="H57" s="213"/>
      <c r="I57" s="213"/>
      <c r="J57" s="213"/>
      <c r="K57" s="213"/>
    </row>
    <row r="58" spans="1:11">
      <c r="A58" s="446"/>
      <c r="B58" s="157"/>
      <c r="C58" s="320"/>
      <c r="D58" s="315"/>
      <c r="E58" s="315"/>
      <c r="F58" s="315"/>
      <c r="G58" s="315"/>
      <c r="H58" s="213"/>
      <c r="I58" s="213"/>
      <c r="J58" s="213"/>
      <c r="K58" s="213"/>
    </row>
    <row r="59" spans="1:11">
      <c r="A59" s="446"/>
      <c r="B59" s="157"/>
      <c r="C59" s="320"/>
      <c r="D59" s="315"/>
      <c r="E59" s="315"/>
      <c r="F59" s="315"/>
      <c r="G59" s="315"/>
      <c r="H59" s="213"/>
      <c r="I59" s="213"/>
      <c r="J59" s="213"/>
      <c r="K59" s="213"/>
    </row>
    <row r="60" spans="1:11">
      <c r="A60" s="446"/>
      <c r="B60" s="157"/>
      <c r="C60" s="320"/>
      <c r="D60" s="315"/>
      <c r="E60" s="315"/>
      <c r="F60" s="315"/>
      <c r="G60" s="315"/>
      <c r="H60" s="213"/>
      <c r="I60" s="213"/>
      <c r="J60" s="213"/>
      <c r="K60" s="213"/>
    </row>
    <row r="61" spans="1:11">
      <c r="A61" s="446"/>
      <c r="B61" s="323"/>
      <c r="C61" s="320"/>
      <c r="D61" s="315"/>
      <c r="E61" s="315"/>
      <c r="F61" s="315"/>
      <c r="G61" s="315"/>
      <c r="H61" s="213"/>
      <c r="I61" s="213"/>
      <c r="J61" s="213"/>
      <c r="K61" s="213"/>
    </row>
    <row r="62" spans="1:11">
      <c r="A62" s="446"/>
      <c r="B62" s="323"/>
      <c r="C62" s="320"/>
      <c r="D62" s="315"/>
      <c r="E62" s="315"/>
      <c r="F62" s="315"/>
      <c r="G62" s="315"/>
      <c r="H62" s="213"/>
      <c r="I62" s="213"/>
      <c r="J62" s="213"/>
      <c r="K62" s="213"/>
    </row>
    <row r="63" spans="1:11">
      <c r="A63" s="446"/>
      <c r="B63" s="157"/>
      <c r="C63" s="320"/>
      <c r="D63" s="315"/>
      <c r="E63" s="315"/>
      <c r="F63" s="315"/>
      <c r="G63" s="315"/>
      <c r="H63" s="213"/>
      <c r="I63" s="213"/>
      <c r="J63" s="213"/>
      <c r="K63" s="213"/>
    </row>
    <row r="64" spans="1:11">
      <c r="A64" s="446"/>
      <c r="B64" s="323"/>
      <c r="C64" s="320"/>
      <c r="D64" s="315"/>
      <c r="E64" s="315"/>
      <c r="F64" s="315"/>
      <c r="G64" s="315"/>
      <c r="H64" s="213"/>
      <c r="I64" s="213"/>
      <c r="J64" s="213"/>
      <c r="K64" s="213"/>
    </row>
    <row r="65" spans="1:11">
      <c r="A65" s="446"/>
      <c r="B65" s="157"/>
      <c r="C65" s="320"/>
      <c r="D65" s="315"/>
      <c r="E65" s="315"/>
      <c r="F65" s="315"/>
      <c r="G65" s="315"/>
      <c r="H65" s="213"/>
      <c r="I65" s="213"/>
      <c r="J65" s="213"/>
      <c r="K65" s="213"/>
    </row>
    <row r="66" spans="1:11" s="287" customFormat="1">
      <c r="A66" s="211">
        <f>COUNTA(A57)</f>
        <v>0</v>
      </c>
      <c r="B66" s="212">
        <f>COUNTA(B57:B65)</f>
        <v>0</v>
      </c>
      <c r="C66" s="161"/>
      <c r="D66" s="161"/>
      <c r="E66" s="161"/>
      <c r="F66" s="452"/>
      <c r="G66" s="161"/>
      <c r="H66" s="211"/>
      <c r="I66" s="211"/>
      <c r="J66" s="211"/>
      <c r="K66" s="211"/>
    </row>
    <row r="67" spans="1:11">
      <c r="A67" s="447"/>
      <c r="B67" s="157"/>
      <c r="C67" s="320"/>
      <c r="D67" s="315"/>
      <c r="E67" s="315"/>
      <c r="F67" s="315"/>
      <c r="G67" s="315"/>
      <c r="H67" s="213"/>
      <c r="I67" s="213"/>
      <c r="J67" s="213"/>
      <c r="K67" s="213"/>
    </row>
    <row r="68" spans="1:11">
      <c r="A68" s="446"/>
      <c r="B68" s="272"/>
      <c r="C68" s="320"/>
      <c r="D68" s="315"/>
      <c r="E68" s="315"/>
      <c r="F68" s="315"/>
      <c r="G68" s="315"/>
      <c r="H68" s="213"/>
      <c r="I68" s="213"/>
      <c r="J68" s="213"/>
      <c r="K68" s="213"/>
    </row>
    <row r="69" spans="1:11">
      <c r="A69" s="446"/>
      <c r="B69" s="157"/>
      <c r="C69" s="320"/>
      <c r="D69" s="315"/>
      <c r="E69" s="315"/>
      <c r="F69" s="315"/>
      <c r="G69" s="315"/>
      <c r="H69" s="213"/>
      <c r="I69" s="213"/>
      <c r="J69" s="213"/>
      <c r="K69" s="213"/>
    </row>
    <row r="70" spans="1:11">
      <c r="A70" s="446"/>
      <c r="B70" s="157"/>
      <c r="C70" s="320"/>
      <c r="D70" s="315"/>
      <c r="E70" s="315"/>
      <c r="F70" s="315"/>
      <c r="G70" s="315"/>
      <c r="H70" s="213"/>
      <c r="I70" s="213"/>
      <c r="J70" s="213"/>
      <c r="K70" s="213"/>
    </row>
    <row r="71" spans="1:11">
      <c r="A71" s="446"/>
      <c r="B71" s="157"/>
      <c r="C71" s="320"/>
      <c r="D71" s="315"/>
      <c r="E71" s="315"/>
      <c r="F71" s="315"/>
      <c r="G71" s="315"/>
      <c r="H71" s="213"/>
      <c r="I71" s="213"/>
      <c r="J71" s="213"/>
      <c r="K71" s="213"/>
    </row>
    <row r="72" spans="1:11" s="287" customFormat="1">
      <c r="A72" s="211">
        <f>COUNTA(A67:A71)</f>
        <v>0</v>
      </c>
      <c r="B72" s="212">
        <f>COUNTA(B67:B71)</f>
        <v>0</v>
      </c>
      <c r="C72" s="161"/>
      <c r="D72" s="161"/>
      <c r="E72" s="161"/>
      <c r="F72" s="161"/>
      <c r="G72" s="161"/>
      <c r="H72" s="211"/>
      <c r="I72" s="211"/>
      <c r="J72" s="211"/>
      <c r="K72" s="211"/>
    </row>
    <row r="73" spans="1:11">
      <c r="A73" s="447"/>
      <c r="B73" s="154"/>
      <c r="C73" s="320"/>
      <c r="D73" s="315"/>
      <c r="E73" s="315"/>
      <c r="F73" s="315"/>
      <c r="G73" s="315"/>
      <c r="H73" s="213"/>
      <c r="I73" s="213"/>
      <c r="J73" s="213"/>
      <c r="K73" s="213"/>
    </row>
    <row r="74" spans="1:11">
      <c r="A74" s="446"/>
      <c r="B74" s="371"/>
      <c r="C74" s="320"/>
      <c r="D74" s="315"/>
      <c r="E74" s="315"/>
      <c r="F74" s="315"/>
      <c r="G74" s="315"/>
      <c r="H74" s="213"/>
      <c r="I74" s="213"/>
      <c r="J74" s="213"/>
      <c r="K74" s="213"/>
    </row>
    <row r="75" spans="1:11">
      <c r="A75" s="446"/>
      <c r="B75" s="154"/>
      <c r="C75" s="320"/>
      <c r="D75" s="315"/>
      <c r="E75" s="315"/>
      <c r="F75" s="315"/>
      <c r="G75" s="315"/>
      <c r="H75" s="213"/>
      <c r="I75" s="213"/>
      <c r="J75" s="213"/>
      <c r="K75" s="213"/>
    </row>
    <row r="76" spans="1:11">
      <c r="A76" s="446"/>
      <c r="B76" s="157"/>
      <c r="C76" s="320"/>
      <c r="D76" s="315"/>
      <c r="E76" s="315"/>
      <c r="F76" s="315"/>
      <c r="G76" s="315"/>
      <c r="H76" s="213"/>
      <c r="I76" s="213"/>
      <c r="J76" s="213"/>
      <c r="K76" s="213"/>
    </row>
    <row r="77" spans="1:11">
      <c r="A77" s="446"/>
      <c r="B77" s="157"/>
      <c r="C77" s="285"/>
      <c r="D77" s="315"/>
      <c r="E77" s="315"/>
      <c r="F77" s="315"/>
      <c r="G77" s="315"/>
      <c r="H77" s="213"/>
      <c r="I77" s="213"/>
      <c r="J77" s="213"/>
      <c r="K77" s="213"/>
    </row>
    <row r="78" spans="1:11">
      <c r="A78" s="446"/>
      <c r="B78" s="275"/>
      <c r="C78" s="451"/>
      <c r="D78" s="450"/>
      <c r="E78" s="450"/>
      <c r="F78" s="315"/>
      <c r="G78" s="315"/>
      <c r="H78" s="213"/>
      <c r="I78" s="213"/>
      <c r="J78" s="213"/>
      <c r="K78" s="213"/>
    </row>
    <row r="79" spans="1:11">
      <c r="A79" s="446"/>
      <c r="B79" s="154"/>
      <c r="C79" s="320"/>
      <c r="D79" s="315"/>
      <c r="E79" s="315"/>
      <c r="F79" s="315"/>
      <c r="G79" s="315"/>
      <c r="H79" s="213"/>
      <c r="I79" s="213"/>
      <c r="J79" s="213"/>
      <c r="K79" s="213"/>
    </row>
    <row r="80" spans="1:11">
      <c r="A80" s="446"/>
      <c r="B80" s="275"/>
      <c r="C80" s="320"/>
      <c r="D80" s="315"/>
      <c r="E80" s="315"/>
      <c r="F80" s="315"/>
      <c r="G80" s="315"/>
      <c r="H80" s="213"/>
      <c r="I80" s="213"/>
      <c r="J80" s="213"/>
      <c r="K80" s="213"/>
    </row>
    <row r="81" spans="1:11">
      <c r="A81" s="446"/>
      <c r="B81" s="449"/>
      <c r="C81" s="320"/>
      <c r="D81" s="315"/>
      <c r="E81" s="315"/>
      <c r="F81" s="315"/>
      <c r="G81" s="315"/>
      <c r="H81" s="213"/>
      <c r="I81" s="213"/>
      <c r="J81" s="213"/>
      <c r="K81" s="285"/>
    </row>
    <row r="82" spans="1:11">
      <c r="A82" s="446"/>
      <c r="B82" s="157"/>
      <c r="C82" s="320"/>
      <c r="D82" s="315"/>
      <c r="E82" s="315"/>
      <c r="F82" s="315"/>
      <c r="G82" s="315"/>
      <c r="H82" s="213"/>
      <c r="I82" s="213"/>
      <c r="J82" s="213"/>
      <c r="K82" s="213"/>
    </row>
    <row r="83" spans="1:11">
      <c r="A83" s="446"/>
      <c r="B83" s="275"/>
      <c r="C83" s="320"/>
      <c r="D83" s="315"/>
      <c r="E83" s="315"/>
      <c r="F83" s="315"/>
      <c r="G83" s="315"/>
      <c r="H83" s="213"/>
      <c r="I83" s="213"/>
      <c r="J83" s="213"/>
      <c r="K83" s="213"/>
    </row>
    <row r="84" spans="1:11" s="287" customFormat="1">
      <c r="A84" s="211">
        <f>COUNTA(A73:A83)</f>
        <v>0</v>
      </c>
      <c r="B84" s="212">
        <f>COUNTA(73:83)</f>
        <v>0</v>
      </c>
      <c r="C84" s="161"/>
      <c r="D84" s="161"/>
      <c r="E84" s="161"/>
      <c r="F84" s="161"/>
      <c r="G84" s="161"/>
      <c r="H84" s="211"/>
      <c r="I84" s="211"/>
      <c r="J84" s="211"/>
      <c r="K84" s="211"/>
    </row>
    <row r="85" spans="1:11">
      <c r="A85" s="447"/>
      <c r="B85" s="323"/>
      <c r="C85" s="320"/>
      <c r="D85" s="315"/>
      <c r="E85" s="315"/>
      <c r="F85" s="315"/>
      <c r="G85" s="315"/>
      <c r="H85" s="213"/>
      <c r="I85" s="213"/>
      <c r="J85" s="213"/>
      <c r="K85" s="213"/>
    </row>
    <row r="86" spans="1:11">
      <c r="A86" s="446"/>
      <c r="B86" s="323"/>
      <c r="C86" s="320"/>
      <c r="D86" s="315"/>
      <c r="E86" s="315"/>
      <c r="F86" s="315"/>
      <c r="G86" s="315"/>
      <c r="H86" s="213"/>
      <c r="I86" s="213"/>
      <c r="J86" s="213"/>
      <c r="K86" s="213"/>
    </row>
    <row r="87" spans="1:11">
      <c r="A87" s="446"/>
      <c r="B87" s="323"/>
      <c r="C87" s="320"/>
      <c r="D87" s="315"/>
      <c r="E87" s="315"/>
      <c r="F87" s="315"/>
      <c r="G87" s="315"/>
      <c r="H87" s="213"/>
      <c r="I87" s="213"/>
      <c r="J87" s="213"/>
      <c r="K87" s="213"/>
    </row>
    <row r="88" spans="1:11">
      <c r="A88" s="446"/>
      <c r="B88" s="272"/>
      <c r="C88" s="320"/>
      <c r="D88" s="315"/>
      <c r="E88" s="315"/>
      <c r="F88" s="315"/>
      <c r="G88" s="315"/>
      <c r="H88" s="213"/>
      <c r="I88" s="213"/>
      <c r="J88" s="213"/>
      <c r="K88" s="213"/>
    </row>
    <row r="89" spans="1:11">
      <c r="A89" s="446"/>
      <c r="B89" s="272"/>
      <c r="C89" s="320"/>
      <c r="D89" s="315"/>
      <c r="E89" s="315"/>
      <c r="F89" s="315"/>
      <c r="G89" s="315"/>
      <c r="H89" s="213"/>
      <c r="I89" s="213"/>
      <c r="J89" s="213"/>
      <c r="K89" s="213"/>
    </row>
    <row r="90" spans="1:11">
      <c r="A90" s="446"/>
      <c r="B90" s="323"/>
      <c r="C90" s="320"/>
      <c r="D90" s="315"/>
      <c r="E90" s="315"/>
      <c r="F90" s="315"/>
      <c r="G90" s="315"/>
      <c r="H90" s="213"/>
      <c r="I90" s="213"/>
      <c r="J90" s="213"/>
      <c r="K90" s="213"/>
    </row>
    <row r="91" spans="1:11">
      <c r="A91" s="446"/>
      <c r="B91" s="272"/>
      <c r="C91" s="320"/>
      <c r="D91" s="315"/>
      <c r="E91" s="315"/>
      <c r="F91" s="315"/>
      <c r="G91" s="315"/>
      <c r="H91" s="213"/>
      <c r="I91" s="213"/>
      <c r="J91" s="213"/>
      <c r="K91" s="213"/>
    </row>
    <row r="92" spans="1:11">
      <c r="A92" s="446"/>
      <c r="B92" s="323"/>
      <c r="C92" s="320"/>
      <c r="D92" s="315"/>
      <c r="E92" s="315"/>
      <c r="F92" s="315"/>
      <c r="G92" s="315"/>
      <c r="H92" s="213"/>
      <c r="I92" s="213"/>
      <c r="J92" s="213"/>
      <c r="K92" s="213"/>
    </row>
    <row r="93" spans="1:11">
      <c r="A93" s="446"/>
      <c r="B93" s="323"/>
      <c r="C93" s="320"/>
      <c r="D93" s="315"/>
      <c r="E93" s="315"/>
      <c r="F93" s="315"/>
      <c r="G93" s="315"/>
      <c r="H93" s="213"/>
      <c r="I93" s="213"/>
      <c r="J93" s="213"/>
      <c r="K93" s="213"/>
    </row>
    <row r="94" spans="1:11">
      <c r="A94" s="446"/>
      <c r="B94" s="272"/>
      <c r="C94" s="320"/>
      <c r="D94" s="315"/>
      <c r="E94" s="315"/>
      <c r="F94" s="315"/>
      <c r="G94" s="315"/>
      <c r="H94" s="213"/>
      <c r="I94" s="213"/>
      <c r="J94" s="213"/>
      <c r="K94" s="213"/>
    </row>
    <row r="95" spans="1:11" s="287" customFormat="1">
      <c r="A95" s="211">
        <f>COUNTA(A85)</f>
        <v>0</v>
      </c>
      <c r="B95" s="212">
        <f>COUNTA(B84:B94)</f>
        <v>1</v>
      </c>
      <c r="C95" s="161"/>
      <c r="D95" s="161"/>
      <c r="E95" s="161"/>
      <c r="F95" s="161"/>
      <c r="G95" s="161"/>
      <c r="H95" s="211"/>
      <c r="I95" s="211"/>
      <c r="J95" s="211"/>
      <c r="K95" s="211"/>
    </row>
    <row r="96" spans="1:11">
      <c r="A96" s="258"/>
      <c r="B96" s="384"/>
      <c r="C96" s="391"/>
      <c r="D96" s="392"/>
      <c r="E96" s="392"/>
      <c r="F96" s="392"/>
      <c r="G96" s="392"/>
      <c r="H96" s="393"/>
      <c r="I96" s="393"/>
      <c r="J96" s="393"/>
      <c r="K96" s="393"/>
    </row>
    <row r="97" spans="1:11">
      <c r="A97" s="259"/>
      <c r="B97" s="384"/>
      <c r="C97" s="391"/>
      <c r="D97" s="392"/>
      <c r="E97" s="392"/>
      <c r="F97" s="392"/>
      <c r="G97" s="392"/>
      <c r="H97" s="393"/>
      <c r="I97" s="393"/>
      <c r="J97" s="393"/>
      <c r="K97" s="393"/>
    </row>
    <row r="98" spans="1:11">
      <c r="A98" s="259"/>
      <c r="B98" s="395"/>
      <c r="C98" s="391"/>
      <c r="D98" s="392"/>
      <c r="E98" s="392"/>
      <c r="F98" s="392"/>
      <c r="G98" s="392"/>
      <c r="H98" s="393"/>
      <c r="I98" s="393"/>
      <c r="J98" s="393"/>
      <c r="K98" s="393"/>
    </row>
    <row r="99" spans="1:11">
      <c r="A99" s="259"/>
      <c r="B99" s="384"/>
      <c r="C99" s="391"/>
      <c r="D99" s="392"/>
      <c r="E99" s="392"/>
      <c r="F99" s="392"/>
      <c r="G99" s="392"/>
      <c r="H99" s="393"/>
      <c r="I99" s="393"/>
      <c r="J99" s="393"/>
      <c r="K99" s="393"/>
    </row>
    <row r="100" spans="1:11">
      <c r="A100" s="259"/>
      <c r="B100" s="384"/>
      <c r="C100" s="391"/>
      <c r="D100" s="392"/>
      <c r="E100" s="392"/>
      <c r="F100" s="392"/>
      <c r="G100" s="392"/>
      <c r="H100" s="393"/>
      <c r="I100" s="393"/>
      <c r="J100" s="393"/>
      <c r="K100" s="393"/>
    </row>
    <row r="101" spans="1:11">
      <c r="A101" s="259"/>
      <c r="B101" s="384"/>
      <c r="C101" s="391"/>
      <c r="D101" s="392"/>
      <c r="E101" s="392"/>
      <c r="F101" s="392"/>
      <c r="G101" s="392"/>
      <c r="H101" s="393"/>
      <c r="I101" s="393"/>
      <c r="J101" s="393"/>
      <c r="K101" s="393"/>
    </row>
    <row r="102" spans="1:11">
      <c r="A102" s="259"/>
      <c r="B102" s="384"/>
      <c r="C102" s="391"/>
      <c r="D102" s="392"/>
      <c r="E102" s="392"/>
      <c r="F102" s="392"/>
      <c r="G102" s="392"/>
      <c r="H102" s="393"/>
      <c r="I102" s="393"/>
      <c r="J102" s="393"/>
      <c r="K102" s="393"/>
    </row>
    <row r="103" spans="1:11">
      <c r="A103" s="259"/>
      <c r="B103" s="403"/>
      <c r="C103" s="391"/>
      <c r="D103" s="392"/>
      <c r="E103" s="392"/>
      <c r="F103" s="392"/>
      <c r="G103" s="392"/>
      <c r="H103" s="393"/>
      <c r="I103" s="393"/>
      <c r="J103" s="393"/>
      <c r="K103" s="393"/>
    </row>
    <row r="104" spans="1:11">
      <c r="A104" s="259"/>
      <c r="B104" s="385"/>
      <c r="C104" s="391"/>
      <c r="D104" s="392"/>
      <c r="E104" s="392"/>
      <c r="F104" s="392"/>
      <c r="G104" s="392"/>
      <c r="H104" s="393"/>
      <c r="I104" s="393"/>
      <c r="J104" s="393"/>
      <c r="K104" s="393"/>
    </row>
    <row r="105" spans="1:11">
      <c r="A105" s="259"/>
      <c r="B105" s="384"/>
      <c r="C105" s="391"/>
      <c r="D105" s="392"/>
      <c r="E105" s="392"/>
      <c r="F105" s="392"/>
      <c r="G105" s="392"/>
      <c r="H105" s="393"/>
      <c r="I105" s="393"/>
      <c r="J105" s="393"/>
      <c r="K105" s="393"/>
    </row>
    <row r="106" spans="1:11">
      <c r="A106" s="259"/>
      <c r="B106" s="406"/>
      <c r="C106" s="391"/>
      <c r="D106" s="392"/>
      <c r="E106" s="392"/>
      <c r="F106" s="392"/>
      <c r="G106" s="392"/>
      <c r="H106" s="393"/>
      <c r="I106" s="393"/>
      <c r="J106" s="393"/>
      <c r="K106" s="393"/>
    </row>
    <row r="107" spans="1:11">
      <c r="A107" s="259"/>
      <c r="B107" s="403"/>
      <c r="C107" s="391"/>
      <c r="D107" s="392"/>
      <c r="E107" s="392"/>
      <c r="F107" s="392"/>
      <c r="G107" s="392"/>
      <c r="H107" s="393"/>
      <c r="I107" s="393"/>
      <c r="J107" s="393"/>
      <c r="K107" s="393"/>
    </row>
    <row r="108" spans="1:11">
      <c r="A108" s="263"/>
      <c r="B108" s="403"/>
      <c r="C108" s="391"/>
      <c r="D108" s="392"/>
      <c r="E108" s="392"/>
      <c r="F108" s="392"/>
      <c r="G108" s="392"/>
      <c r="H108" s="393"/>
      <c r="I108" s="393"/>
      <c r="J108" s="393"/>
      <c r="K108" s="393"/>
    </row>
    <row r="109" spans="1:11">
      <c r="A109" s="259"/>
      <c r="B109" s="385"/>
      <c r="C109" s="391"/>
      <c r="D109" s="392"/>
      <c r="E109" s="392"/>
      <c r="F109" s="392"/>
      <c r="G109" s="392"/>
      <c r="H109" s="393"/>
      <c r="I109" s="393"/>
      <c r="J109" s="393"/>
      <c r="K109" s="393"/>
    </row>
    <row r="110" spans="1:11">
      <c r="A110" s="259"/>
      <c r="B110" s="385"/>
      <c r="C110" s="391"/>
      <c r="D110" s="392"/>
      <c r="E110" s="392"/>
      <c r="F110" s="392"/>
      <c r="G110" s="392"/>
      <c r="H110" s="393"/>
      <c r="I110" s="393"/>
      <c r="J110" s="393"/>
      <c r="K110" s="393"/>
    </row>
    <row r="111" spans="1:11" s="287" customFormat="1">
      <c r="A111" s="211">
        <f>COUNTA(A96)</f>
        <v>0</v>
      </c>
      <c r="B111" s="212">
        <f>COUNTA(B96:B110)</f>
        <v>0</v>
      </c>
      <c r="C111" s="161"/>
      <c r="D111" s="161"/>
      <c r="E111" s="161"/>
      <c r="F111" s="161"/>
      <c r="G111" s="161"/>
      <c r="H111" s="211"/>
      <c r="I111" s="211"/>
      <c r="J111" s="211"/>
      <c r="K111" s="211"/>
    </row>
    <row r="112" spans="1:11">
      <c r="A112" s="585"/>
      <c r="B112" s="272"/>
      <c r="C112" s="320"/>
      <c r="D112" s="315"/>
      <c r="E112" s="315"/>
      <c r="F112" s="315"/>
      <c r="G112" s="315"/>
      <c r="H112" s="213"/>
      <c r="I112" s="213"/>
      <c r="J112" s="213"/>
      <c r="K112" s="213"/>
    </row>
    <row r="113" spans="1:11">
      <c r="A113" s="586"/>
      <c r="B113" s="272"/>
      <c r="C113" s="320"/>
      <c r="D113" s="315"/>
      <c r="E113" s="315"/>
      <c r="F113" s="315"/>
      <c r="G113" s="315"/>
      <c r="H113" s="213"/>
      <c r="I113" s="213"/>
      <c r="J113" s="213"/>
      <c r="K113" s="213"/>
    </row>
    <row r="114" spans="1:11">
      <c r="A114" s="586"/>
      <c r="B114" s="272"/>
      <c r="C114" s="320"/>
      <c r="D114" s="315"/>
      <c r="E114" s="315"/>
      <c r="F114" s="315"/>
      <c r="G114" s="315"/>
      <c r="H114" s="213"/>
      <c r="I114" s="213"/>
      <c r="J114" s="213"/>
      <c r="K114" s="213"/>
    </row>
    <row r="115" spans="1:11">
      <c r="A115" s="586"/>
      <c r="B115" s="157"/>
      <c r="C115" s="320"/>
      <c r="D115" s="315"/>
      <c r="E115" s="315"/>
      <c r="F115" s="315"/>
      <c r="G115" s="315"/>
      <c r="H115" s="213"/>
      <c r="I115" s="213"/>
      <c r="J115" s="213"/>
      <c r="K115" s="213"/>
    </row>
    <row r="116" spans="1:11">
      <c r="A116" s="586"/>
      <c r="B116" s="157"/>
      <c r="C116" s="320"/>
      <c r="D116" s="315"/>
      <c r="E116" s="315"/>
      <c r="F116" s="315"/>
      <c r="G116" s="315"/>
      <c r="H116" s="213"/>
      <c r="I116" s="213"/>
      <c r="J116" s="213"/>
      <c r="K116" s="213"/>
    </row>
    <row r="117" spans="1:11" s="287" customFormat="1">
      <c r="A117" s="211">
        <f>COUNTA(A112)</f>
        <v>0</v>
      </c>
      <c r="B117" s="212">
        <f>COUNTA(B96:B110)</f>
        <v>0</v>
      </c>
      <c r="C117" s="161"/>
      <c r="D117" s="161"/>
      <c r="E117" s="161"/>
      <c r="F117" s="161"/>
      <c r="G117" s="161"/>
      <c r="H117" s="211"/>
      <c r="I117" s="211"/>
      <c r="J117" s="211"/>
      <c r="K117" s="211"/>
    </row>
    <row r="118" spans="1:11">
      <c r="A118" s="447"/>
      <c r="B118" s="272"/>
      <c r="C118" s="320"/>
      <c r="D118" s="315"/>
      <c r="E118" s="315"/>
      <c r="F118" s="315"/>
      <c r="G118" s="315"/>
      <c r="H118" s="213"/>
      <c r="I118" s="213"/>
      <c r="J118" s="213"/>
      <c r="K118" s="448"/>
    </row>
    <row r="119" spans="1:11">
      <c r="A119" s="446"/>
      <c r="B119" s="272"/>
      <c r="C119" s="320"/>
      <c r="D119" s="315"/>
      <c r="E119" s="315"/>
      <c r="F119" s="315"/>
      <c r="G119" s="315"/>
      <c r="H119" s="213"/>
      <c r="I119" s="213"/>
      <c r="J119" s="213"/>
      <c r="K119" s="213"/>
    </row>
    <row r="120" spans="1:11">
      <c r="A120" s="446"/>
      <c r="B120" s="272"/>
      <c r="C120" s="320"/>
      <c r="D120" s="315"/>
      <c r="E120" s="315"/>
      <c r="F120" s="315"/>
      <c r="G120" s="315"/>
      <c r="H120" s="213"/>
      <c r="I120" s="213"/>
      <c r="J120" s="213"/>
      <c r="K120" s="213"/>
    </row>
    <row r="121" spans="1:11">
      <c r="A121" s="446"/>
      <c r="B121" s="272"/>
      <c r="C121" s="320"/>
      <c r="D121" s="315"/>
      <c r="E121" s="315"/>
      <c r="F121" s="315"/>
      <c r="G121" s="315"/>
      <c r="H121" s="213"/>
      <c r="I121" s="213"/>
      <c r="J121" s="213"/>
      <c r="K121" s="213"/>
    </row>
    <row r="122" spans="1:11">
      <c r="A122" s="446"/>
      <c r="B122" s="272"/>
      <c r="C122" s="320"/>
      <c r="D122" s="315"/>
      <c r="E122" s="315"/>
      <c r="F122" s="315"/>
      <c r="G122" s="315"/>
      <c r="H122" s="213"/>
      <c r="I122" s="213"/>
      <c r="J122" s="213"/>
      <c r="K122" s="213"/>
    </row>
    <row r="123" spans="1:11">
      <c r="A123" s="446"/>
      <c r="B123" s="371"/>
      <c r="C123" s="320"/>
      <c r="D123" s="315"/>
      <c r="E123" s="315"/>
      <c r="F123" s="315"/>
      <c r="G123" s="315"/>
      <c r="H123" s="213"/>
      <c r="I123" s="213"/>
      <c r="J123" s="213"/>
      <c r="K123" s="213"/>
    </row>
    <row r="124" spans="1:11">
      <c r="A124" s="446"/>
      <c r="B124" s="272"/>
      <c r="C124" s="320"/>
      <c r="D124" s="315"/>
      <c r="E124" s="315"/>
      <c r="F124" s="315"/>
      <c r="G124" s="315"/>
      <c r="H124" s="213"/>
      <c r="I124" s="213"/>
      <c r="J124" s="213"/>
      <c r="K124" s="213"/>
    </row>
    <row r="125" spans="1:11">
      <c r="A125" s="446"/>
      <c r="B125" s="272"/>
      <c r="C125" s="320"/>
      <c r="D125" s="315"/>
      <c r="E125" s="315"/>
      <c r="F125" s="315"/>
      <c r="G125" s="315"/>
      <c r="H125" s="213"/>
      <c r="I125" s="213"/>
      <c r="J125" s="213"/>
      <c r="K125" s="213"/>
    </row>
    <row r="126" spans="1:11">
      <c r="A126" s="446"/>
      <c r="B126" s="375"/>
      <c r="C126" s="320"/>
      <c r="D126" s="315"/>
      <c r="E126" s="315"/>
      <c r="F126" s="315"/>
      <c r="G126" s="315"/>
      <c r="H126" s="213"/>
      <c r="I126" s="213"/>
      <c r="J126" s="213"/>
      <c r="K126" s="213"/>
    </row>
    <row r="127" spans="1:11">
      <c r="A127" s="446"/>
      <c r="B127" s="375"/>
      <c r="C127" s="320"/>
      <c r="D127" s="315"/>
      <c r="E127" s="315"/>
      <c r="F127" s="315"/>
      <c r="G127" s="315"/>
      <c r="H127" s="213"/>
      <c r="I127" s="213"/>
      <c r="J127" s="213"/>
      <c r="K127" s="448"/>
    </row>
    <row r="128" spans="1:11">
      <c r="A128" s="446"/>
      <c r="B128" s="375"/>
      <c r="C128" s="320"/>
      <c r="D128" s="315"/>
      <c r="E128" s="315"/>
      <c r="F128" s="315"/>
      <c r="G128" s="315"/>
      <c r="H128" s="213"/>
      <c r="I128" s="213"/>
      <c r="J128" s="213"/>
      <c r="K128" s="213"/>
    </row>
    <row r="129" spans="1:11" s="287" customFormat="1">
      <c r="A129" s="211">
        <f>COUNTA(A118:A128)</f>
        <v>0</v>
      </c>
      <c r="B129" s="212">
        <f>COUNTA(B117:B128)</f>
        <v>1</v>
      </c>
      <c r="C129" s="161"/>
      <c r="D129" s="161"/>
      <c r="E129" s="161"/>
      <c r="F129" s="161"/>
      <c r="G129" s="161"/>
      <c r="H129" s="211"/>
      <c r="I129" s="211"/>
      <c r="J129" s="211"/>
      <c r="K129" s="211"/>
    </row>
    <row r="130" spans="1:11">
      <c r="A130" s="447"/>
      <c r="B130" s="375"/>
      <c r="C130" s="320"/>
      <c r="D130" s="315"/>
      <c r="E130" s="315"/>
      <c r="F130" s="315"/>
      <c r="G130" s="315"/>
      <c r="H130" s="213"/>
      <c r="I130" s="213"/>
      <c r="J130" s="213"/>
      <c r="K130" s="213"/>
    </row>
    <row r="131" spans="1:11">
      <c r="A131" s="446"/>
      <c r="B131" s="375"/>
      <c r="C131" s="320"/>
      <c r="D131" s="315"/>
      <c r="E131" s="315"/>
      <c r="F131" s="315"/>
      <c r="G131" s="315"/>
      <c r="H131" s="213"/>
      <c r="I131" s="213"/>
      <c r="J131" s="213"/>
      <c r="K131" s="213"/>
    </row>
    <row r="132" spans="1:11">
      <c r="A132" s="446"/>
      <c r="B132" s="375"/>
      <c r="C132" s="320"/>
      <c r="D132" s="315"/>
      <c r="E132" s="315"/>
      <c r="F132" s="315"/>
      <c r="G132" s="315"/>
      <c r="H132" s="213"/>
      <c r="I132" s="213"/>
      <c r="J132" s="213"/>
      <c r="K132" s="213"/>
    </row>
    <row r="133" spans="1:11">
      <c r="A133" s="446"/>
      <c r="B133" s="375"/>
      <c r="C133" s="320"/>
      <c r="D133" s="315"/>
      <c r="E133" s="315"/>
      <c r="F133" s="315"/>
      <c r="G133" s="315"/>
      <c r="H133" s="213"/>
      <c r="I133" s="213"/>
      <c r="J133" s="213"/>
      <c r="K133" s="213"/>
    </row>
    <row r="134" spans="1:11">
      <c r="A134" s="446"/>
      <c r="B134" s="375"/>
      <c r="C134" s="320"/>
      <c r="D134" s="315"/>
      <c r="E134" s="315"/>
      <c r="F134" s="315"/>
      <c r="G134" s="315"/>
      <c r="H134" s="213"/>
      <c r="I134" s="213"/>
      <c r="J134" s="213"/>
      <c r="K134" s="213"/>
    </row>
    <row r="135" spans="1:11">
      <c r="A135" s="446"/>
      <c r="B135" s="375"/>
      <c r="C135" s="320"/>
      <c r="D135" s="315"/>
      <c r="E135" s="315"/>
      <c r="F135" s="315"/>
      <c r="G135" s="315"/>
      <c r="H135" s="213"/>
      <c r="I135" s="213"/>
      <c r="J135" s="213"/>
      <c r="K135" s="213"/>
    </row>
    <row r="136" spans="1:11">
      <c r="A136" s="446"/>
      <c r="B136" s="375"/>
      <c r="C136" s="320"/>
      <c r="D136" s="315"/>
      <c r="E136" s="315"/>
      <c r="F136" s="315"/>
      <c r="G136" s="315"/>
      <c r="H136" s="213"/>
      <c r="I136" s="213"/>
      <c r="J136" s="213"/>
      <c r="K136" s="448"/>
    </row>
    <row r="137" spans="1:11">
      <c r="A137" s="446"/>
      <c r="B137" s="375"/>
      <c r="C137" s="320"/>
      <c r="D137" s="315"/>
      <c r="E137" s="315"/>
      <c r="F137" s="315"/>
      <c r="G137" s="315"/>
      <c r="H137" s="213"/>
      <c r="I137" s="213"/>
      <c r="J137" s="213"/>
      <c r="K137" s="213"/>
    </row>
    <row r="138" spans="1:11">
      <c r="A138" s="446"/>
      <c r="B138" s="375"/>
      <c r="C138" s="320"/>
      <c r="D138" s="315"/>
      <c r="E138" s="315"/>
      <c r="F138" s="315"/>
      <c r="G138" s="315"/>
      <c r="H138" s="213"/>
      <c r="I138" s="213"/>
      <c r="J138" s="213"/>
      <c r="K138" s="213"/>
    </row>
    <row r="139" spans="1:11">
      <c r="A139" s="446"/>
      <c r="B139" s="375"/>
      <c r="C139" s="320"/>
      <c r="D139" s="315"/>
      <c r="E139" s="315"/>
      <c r="F139" s="315"/>
      <c r="G139" s="315"/>
      <c r="H139" s="213"/>
      <c r="I139" s="213"/>
      <c r="J139" s="213"/>
      <c r="K139" s="213"/>
    </row>
    <row r="140" spans="1:11" s="287" customFormat="1">
      <c r="A140" s="211">
        <f>COUNTA(A130:A139)</f>
        <v>0</v>
      </c>
      <c r="B140" s="212">
        <f>COUNTA(B130:B139)</f>
        <v>0</v>
      </c>
      <c r="C140" s="161"/>
      <c r="D140" s="161"/>
      <c r="E140" s="161"/>
      <c r="F140" s="161"/>
      <c r="G140" s="161"/>
      <c r="H140" s="211"/>
      <c r="I140" s="211"/>
      <c r="J140" s="211"/>
      <c r="K140" s="211"/>
    </row>
    <row r="141" spans="1:11">
      <c r="A141" s="446"/>
      <c r="B141" s="272"/>
      <c r="C141" s="320"/>
      <c r="D141" s="315"/>
      <c r="E141" s="315"/>
      <c r="F141" s="315"/>
      <c r="G141" s="315"/>
      <c r="H141" s="213"/>
      <c r="I141" s="213"/>
      <c r="J141" s="213"/>
      <c r="K141" s="213"/>
    </row>
    <row r="142" spans="1:11">
      <c r="A142" s="446"/>
      <c r="B142" s="157"/>
      <c r="C142" s="320"/>
      <c r="D142" s="315"/>
      <c r="E142" s="315"/>
      <c r="F142" s="315"/>
      <c r="G142" s="315"/>
      <c r="H142" s="213"/>
      <c r="I142" s="213"/>
      <c r="J142" s="213"/>
      <c r="K142" s="213"/>
    </row>
    <row r="143" spans="1:11">
      <c r="A143" s="446"/>
      <c r="B143" s="157"/>
      <c r="C143" s="320"/>
      <c r="D143" s="315"/>
      <c r="E143" s="315"/>
      <c r="F143" s="315"/>
      <c r="G143" s="315"/>
      <c r="H143" s="213"/>
      <c r="I143" s="213"/>
      <c r="J143" s="213"/>
      <c r="K143" s="213"/>
    </row>
    <row r="144" spans="1:11">
      <c r="A144" s="446"/>
      <c r="B144" s="157"/>
      <c r="C144" s="320"/>
      <c r="D144" s="315"/>
      <c r="E144" s="315"/>
      <c r="F144" s="315"/>
      <c r="G144" s="315"/>
      <c r="H144" s="213"/>
      <c r="I144" s="213"/>
      <c r="J144" s="213"/>
      <c r="K144" s="213"/>
    </row>
    <row r="145" spans="1:11">
      <c r="A145" s="446"/>
      <c r="B145" s="371"/>
      <c r="C145" s="320"/>
      <c r="D145" s="315"/>
      <c r="E145" s="315"/>
      <c r="F145" s="315"/>
      <c r="G145" s="315"/>
      <c r="H145" s="213"/>
      <c r="I145" s="213"/>
      <c r="J145" s="213"/>
      <c r="K145" s="213"/>
    </row>
    <row r="146" spans="1:11">
      <c r="A146" s="446"/>
      <c r="B146" s="371"/>
      <c r="C146" s="320"/>
      <c r="D146" s="315"/>
      <c r="E146" s="315"/>
      <c r="F146" s="315"/>
      <c r="G146" s="315"/>
      <c r="H146" s="213"/>
      <c r="I146" s="213"/>
      <c r="J146" s="213"/>
      <c r="K146" s="213"/>
    </row>
    <row r="147" spans="1:11" s="287" customFormat="1">
      <c r="A147" s="211">
        <f>COUNTA(A141:A146)</f>
        <v>0</v>
      </c>
      <c r="B147" s="212">
        <f>COUNTA(B141:B146)</f>
        <v>0</v>
      </c>
      <c r="C147" s="161"/>
      <c r="D147" s="161"/>
      <c r="E147" s="161"/>
      <c r="F147" s="161"/>
      <c r="G147" s="161"/>
      <c r="H147" s="211"/>
      <c r="I147" s="211"/>
      <c r="J147" s="211"/>
      <c r="K147" s="211"/>
    </row>
    <row r="148" spans="1:11">
      <c r="A148" s="447"/>
      <c r="B148" s="375"/>
      <c r="C148" s="320"/>
      <c r="D148" s="315"/>
      <c r="E148" s="315"/>
      <c r="F148" s="315"/>
      <c r="G148" s="315"/>
      <c r="H148" s="213"/>
      <c r="I148" s="213"/>
      <c r="J148" s="213"/>
      <c r="K148" s="213"/>
    </row>
    <row r="149" spans="1:11">
      <c r="A149" s="446"/>
      <c r="B149" s="157"/>
      <c r="C149" s="320"/>
      <c r="D149" s="315"/>
      <c r="E149" s="315"/>
      <c r="F149" s="315"/>
      <c r="G149" s="315"/>
      <c r="H149" s="213"/>
      <c r="I149" s="213"/>
      <c r="J149" s="213"/>
      <c r="K149" s="213"/>
    </row>
    <row r="150" spans="1:11">
      <c r="A150" s="446"/>
      <c r="B150" s="157"/>
      <c r="C150" s="320"/>
      <c r="D150" s="315"/>
      <c r="E150" s="315"/>
      <c r="F150" s="315"/>
      <c r="G150" s="315"/>
      <c r="H150" s="213"/>
      <c r="I150" s="213"/>
      <c r="J150" s="213"/>
      <c r="K150" s="213"/>
    </row>
    <row r="151" spans="1:11">
      <c r="A151" s="446"/>
      <c r="B151" s="157"/>
      <c r="C151" s="320"/>
      <c r="D151" s="315"/>
      <c r="E151" s="315"/>
      <c r="F151" s="315"/>
      <c r="G151" s="315"/>
      <c r="H151" s="213"/>
      <c r="I151" s="213"/>
      <c r="J151" s="213"/>
      <c r="K151" s="213"/>
    </row>
    <row r="152" spans="1:11">
      <c r="A152" s="446"/>
      <c r="B152" s="375"/>
      <c r="C152" s="320"/>
      <c r="D152" s="315"/>
      <c r="E152" s="315"/>
      <c r="F152" s="315"/>
      <c r="G152" s="315"/>
      <c r="H152" s="213"/>
      <c r="I152" s="213"/>
      <c r="J152" s="213"/>
      <c r="K152" s="213"/>
    </row>
    <row r="153" spans="1:11">
      <c r="A153" s="446"/>
      <c r="B153" s="375"/>
      <c r="C153" s="320"/>
      <c r="D153" s="315"/>
      <c r="E153" s="315"/>
      <c r="F153" s="315"/>
      <c r="G153" s="315"/>
      <c r="H153" s="213"/>
      <c r="I153" s="213"/>
      <c r="J153" s="213"/>
      <c r="K153" s="213"/>
    </row>
    <row r="154" spans="1:11">
      <c r="A154" s="446"/>
      <c r="B154" s="157"/>
      <c r="C154" s="320"/>
      <c r="D154" s="315"/>
      <c r="E154" s="315"/>
      <c r="F154" s="315"/>
      <c r="G154" s="315"/>
      <c r="H154" s="213"/>
      <c r="I154" s="213"/>
      <c r="J154" s="213"/>
      <c r="K154" s="213"/>
    </row>
    <row r="155" spans="1:11" s="287" customFormat="1">
      <c r="A155" s="211">
        <f>COUNTA(A148:A154)</f>
        <v>0</v>
      </c>
      <c r="B155" s="212">
        <f>COUNTA(B148:B154)</f>
        <v>0</v>
      </c>
      <c r="C155" s="161"/>
      <c r="D155" s="161"/>
      <c r="E155" s="161"/>
      <c r="F155" s="161"/>
      <c r="G155" s="161"/>
      <c r="H155" s="211"/>
      <c r="I155" s="211"/>
      <c r="J155" s="211"/>
      <c r="K155" s="211"/>
    </row>
    <row r="156" spans="1:11">
      <c r="A156" s="447"/>
      <c r="B156" s="240"/>
      <c r="C156" s="320"/>
      <c r="D156" s="315"/>
      <c r="E156" s="315"/>
      <c r="F156" s="315"/>
      <c r="G156" s="315"/>
      <c r="H156" s="213"/>
      <c r="I156" s="213"/>
      <c r="J156" s="213"/>
      <c r="K156" s="213"/>
    </row>
    <row r="157" spans="1:11">
      <c r="A157" s="446"/>
      <c r="B157" s="240"/>
      <c r="C157" s="320"/>
      <c r="D157" s="315"/>
      <c r="E157" s="315"/>
      <c r="F157" s="315"/>
      <c r="G157" s="315"/>
      <c r="H157" s="213"/>
      <c r="I157" s="213"/>
      <c r="J157" s="213"/>
      <c r="K157" s="213"/>
    </row>
    <row r="158" spans="1:11">
      <c r="A158" s="446"/>
      <c r="B158" s="240"/>
      <c r="C158" s="320"/>
      <c r="D158" s="315"/>
      <c r="E158" s="315"/>
      <c r="F158" s="315"/>
      <c r="G158" s="315"/>
      <c r="H158" s="213"/>
      <c r="I158" s="213"/>
      <c r="J158" s="213"/>
      <c r="K158" s="213"/>
    </row>
    <row r="159" spans="1:11">
      <c r="A159" s="446"/>
      <c r="B159" s="242"/>
      <c r="C159" s="320"/>
      <c r="D159" s="315"/>
      <c r="E159" s="315"/>
      <c r="F159" s="315"/>
      <c r="G159" s="315"/>
      <c r="H159" s="213"/>
      <c r="I159" s="213"/>
      <c r="J159" s="213"/>
      <c r="K159" s="213"/>
    </row>
    <row r="160" spans="1:11">
      <c r="A160" s="446"/>
      <c r="B160" s="240"/>
      <c r="C160" s="320"/>
      <c r="D160" s="315"/>
      <c r="E160" s="315"/>
      <c r="F160" s="315"/>
      <c r="G160" s="315"/>
      <c r="H160" s="213"/>
      <c r="I160" s="213"/>
      <c r="J160" s="213"/>
      <c r="K160" s="213"/>
    </row>
    <row r="161" spans="1:11">
      <c r="A161" s="446"/>
      <c r="B161" s="240"/>
      <c r="C161" s="320"/>
      <c r="D161" s="315"/>
      <c r="E161" s="315"/>
      <c r="F161" s="315"/>
      <c r="G161" s="315"/>
      <c r="H161" s="213"/>
      <c r="I161" s="213"/>
      <c r="J161" s="213"/>
      <c r="K161" s="213"/>
    </row>
    <row r="162" spans="1:11">
      <c r="A162" s="446"/>
      <c r="B162" s="240"/>
      <c r="C162" s="320"/>
      <c r="D162" s="315"/>
      <c r="E162" s="315"/>
      <c r="F162" s="315"/>
      <c r="G162" s="315"/>
      <c r="H162" s="213"/>
      <c r="I162" s="213"/>
      <c r="J162" s="213"/>
      <c r="K162" s="213"/>
    </row>
    <row r="163" spans="1:11">
      <c r="A163" s="446"/>
      <c r="B163" s="240"/>
      <c r="C163" s="320"/>
      <c r="D163" s="315"/>
      <c r="E163" s="315"/>
      <c r="F163" s="315"/>
      <c r="G163" s="315"/>
      <c r="H163" s="213"/>
      <c r="I163" s="213"/>
      <c r="J163" s="213"/>
      <c r="K163" s="213"/>
    </row>
    <row r="164" spans="1:11">
      <c r="A164" s="446"/>
      <c r="B164" s="154"/>
      <c r="C164" s="320"/>
      <c r="D164" s="315"/>
      <c r="E164" s="315"/>
      <c r="F164" s="315"/>
      <c r="G164" s="315"/>
      <c r="H164" s="213"/>
      <c r="I164" s="213"/>
      <c r="J164" s="213"/>
      <c r="K164" s="213"/>
    </row>
    <row r="165" spans="1:11">
      <c r="A165" s="446"/>
      <c r="B165" s="240"/>
      <c r="C165" s="320"/>
      <c r="D165" s="315"/>
      <c r="E165" s="315"/>
      <c r="F165" s="315"/>
      <c r="G165" s="315"/>
      <c r="H165" s="213"/>
      <c r="I165" s="213"/>
      <c r="J165" s="213"/>
      <c r="K165" s="213"/>
    </row>
    <row r="166" spans="1:11">
      <c r="A166" s="446"/>
      <c r="B166" s="240"/>
      <c r="C166" s="320"/>
      <c r="D166" s="315"/>
      <c r="E166" s="315"/>
      <c r="F166" s="315"/>
      <c r="G166" s="315"/>
      <c r="H166" s="213"/>
      <c r="I166" s="213"/>
      <c r="J166" s="213"/>
      <c r="K166" s="213"/>
    </row>
    <row r="167" spans="1:11">
      <c r="A167" s="446"/>
      <c r="B167" s="154"/>
      <c r="C167" s="320"/>
      <c r="D167" s="315"/>
      <c r="E167" s="315"/>
      <c r="F167" s="315"/>
      <c r="G167" s="315"/>
      <c r="H167" s="213"/>
      <c r="I167" s="213"/>
      <c r="J167" s="213"/>
      <c r="K167" s="213"/>
    </row>
    <row r="168" spans="1:11">
      <c r="A168" s="446"/>
      <c r="B168" s="157"/>
      <c r="C168" s="320"/>
      <c r="D168" s="315"/>
      <c r="E168" s="315"/>
      <c r="F168" s="315"/>
      <c r="G168" s="315"/>
      <c r="H168" s="213"/>
      <c r="I168" s="213"/>
      <c r="J168" s="213"/>
      <c r="K168" s="213"/>
    </row>
    <row r="169" spans="1:11">
      <c r="A169" s="446"/>
      <c r="B169" s="241"/>
      <c r="C169" s="320"/>
      <c r="D169" s="315"/>
      <c r="E169" s="315"/>
      <c r="F169" s="315"/>
      <c r="G169" s="315"/>
      <c r="H169" s="213"/>
      <c r="I169" s="213"/>
      <c r="J169" s="213"/>
      <c r="K169" s="213"/>
    </row>
    <row r="170" spans="1:11">
      <c r="A170" s="446"/>
      <c r="B170" s="154"/>
      <c r="C170" s="320"/>
      <c r="D170" s="315"/>
      <c r="E170" s="315"/>
      <c r="F170" s="315"/>
      <c r="G170" s="315"/>
      <c r="H170" s="213"/>
      <c r="I170" s="213"/>
      <c r="J170" s="213"/>
      <c r="K170" s="213"/>
    </row>
    <row r="171" spans="1:11">
      <c r="A171" s="446"/>
      <c r="B171" s="241"/>
      <c r="C171" s="320"/>
      <c r="D171" s="315"/>
      <c r="E171" s="315"/>
      <c r="F171" s="315"/>
      <c r="G171" s="315"/>
      <c r="H171" s="213"/>
      <c r="I171" s="213"/>
      <c r="J171" s="213"/>
      <c r="K171" s="213"/>
    </row>
    <row r="172" spans="1:11">
      <c r="A172" s="446"/>
      <c r="B172" s="241"/>
      <c r="C172" s="320"/>
      <c r="D172" s="315"/>
      <c r="E172" s="315"/>
      <c r="F172" s="315"/>
      <c r="G172" s="315"/>
      <c r="H172" s="213"/>
      <c r="I172" s="213"/>
      <c r="J172" s="213"/>
      <c r="K172" s="213"/>
    </row>
    <row r="173" spans="1:11" s="287" customFormat="1">
      <c r="A173" s="211">
        <f>COUNTA(A156:A171)</f>
        <v>0</v>
      </c>
      <c r="B173" s="212">
        <f>COUNTA(B156:B172)</f>
        <v>0</v>
      </c>
      <c r="C173" s="161"/>
      <c r="D173" s="161"/>
      <c r="E173" s="161"/>
      <c r="F173" s="161"/>
      <c r="G173" s="161"/>
      <c r="H173" s="211"/>
      <c r="I173" s="211"/>
      <c r="J173" s="211"/>
      <c r="K173" s="211"/>
    </row>
    <row r="174" spans="1:11">
      <c r="A174" s="447"/>
      <c r="B174" s="375"/>
      <c r="C174" s="320"/>
      <c r="D174" s="315"/>
      <c r="E174" s="315"/>
      <c r="F174" s="315"/>
      <c r="G174" s="315"/>
      <c r="H174" s="213"/>
      <c r="I174" s="213"/>
      <c r="J174" s="213"/>
      <c r="K174" s="213"/>
    </row>
    <row r="175" spans="1:11">
      <c r="A175" s="446"/>
      <c r="B175" s="375"/>
      <c r="C175" s="320"/>
      <c r="D175" s="315"/>
      <c r="E175" s="315"/>
      <c r="F175" s="315"/>
      <c r="G175" s="315"/>
      <c r="H175" s="213"/>
      <c r="I175" s="213"/>
      <c r="J175" s="213"/>
      <c r="K175" s="213"/>
    </row>
    <row r="176" spans="1:11">
      <c r="A176" s="446"/>
      <c r="B176" s="375"/>
      <c r="C176" s="320"/>
      <c r="D176" s="315"/>
      <c r="E176" s="315"/>
      <c r="F176" s="315"/>
      <c r="G176" s="315"/>
      <c r="H176" s="213"/>
      <c r="I176" s="213"/>
      <c r="J176" s="213"/>
      <c r="K176" s="213"/>
    </row>
    <row r="177" spans="1:11">
      <c r="A177" s="446"/>
      <c r="B177" s="375"/>
      <c r="C177" s="320"/>
      <c r="D177" s="315"/>
      <c r="E177" s="315"/>
      <c r="F177" s="315"/>
      <c r="G177" s="315"/>
      <c r="H177" s="213"/>
      <c r="I177" s="213"/>
      <c r="J177" s="213"/>
      <c r="K177" s="213"/>
    </row>
    <row r="178" spans="1:11">
      <c r="A178" s="446"/>
      <c r="B178" s="375"/>
      <c r="C178" s="320"/>
      <c r="D178" s="315"/>
      <c r="E178" s="315"/>
      <c r="F178" s="315"/>
      <c r="G178" s="315"/>
      <c r="H178" s="213"/>
      <c r="I178" s="213"/>
      <c r="J178" s="213"/>
      <c r="K178" s="213"/>
    </row>
    <row r="179" spans="1:11">
      <c r="A179" s="446"/>
      <c r="B179" s="375"/>
      <c r="C179" s="320"/>
      <c r="D179" s="315"/>
      <c r="E179" s="315"/>
      <c r="F179" s="315"/>
      <c r="G179" s="315"/>
      <c r="H179" s="213"/>
      <c r="I179" s="213"/>
      <c r="J179" s="213"/>
      <c r="K179" s="213"/>
    </row>
    <row r="180" spans="1:11" s="287" customFormat="1">
      <c r="A180" s="211">
        <f>COUNTA(A174:A179)</f>
        <v>0</v>
      </c>
      <c r="B180" s="211">
        <f>COUNTA(B174:B179)</f>
        <v>0</v>
      </c>
      <c r="C180" s="161"/>
      <c r="D180" s="161"/>
      <c r="E180" s="161"/>
      <c r="F180" s="161"/>
      <c r="G180" s="161"/>
      <c r="H180" s="211"/>
      <c r="I180" s="211"/>
      <c r="J180" s="211"/>
      <c r="K180" s="211"/>
    </row>
    <row r="181" spans="1:11" s="287" customFormat="1">
      <c r="A181" s="331">
        <f>SUM(A14+A23+A32+A43+A56+A66+A72+A84+A95+A111+A117+A129+A140+A147+A155+A173+A180)</f>
        <v>0</v>
      </c>
      <c r="B181" s="331">
        <f>SUM(B14+B23+B32+B43+B56+B66+B72+B84+B95+B111+B117+B129+B140+B147+B155+B173+B180)</f>
        <v>2</v>
      </c>
      <c r="C181" s="331"/>
      <c r="D181" s="333"/>
      <c r="E181" s="333"/>
      <c r="F181" s="333"/>
      <c r="G181" s="333"/>
      <c r="H181" s="330"/>
      <c r="I181" s="330"/>
      <c r="J181" s="330"/>
      <c r="K181" s="330"/>
    </row>
  </sheetData>
  <sheetProtection insertRows="0"/>
  <mergeCells count="1">
    <mergeCell ref="A112:A11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371"/>
  <sheetViews>
    <sheetView zoomScaleNormal="100" workbookViewId="0"/>
  </sheetViews>
  <sheetFormatPr defaultColWidth="10.140625" defaultRowHeight="15"/>
  <cols>
    <col min="1" max="1" width="13.140625" style="282" bestFit="1" customWidth="1"/>
    <col min="2" max="2" width="25" style="334" customWidth="1"/>
    <col min="3" max="3" width="25" style="282" customWidth="1"/>
    <col min="4" max="4" width="12.28515625" style="282" customWidth="1"/>
    <col min="5" max="5" width="25.42578125" style="282" customWidth="1"/>
    <col min="6" max="6" width="21.42578125" style="282" customWidth="1"/>
    <col min="7" max="7" width="16.7109375" style="286" customWidth="1"/>
    <col min="8" max="8" width="18.5703125" style="282" customWidth="1"/>
    <col min="9" max="9" width="29.42578125" style="282" customWidth="1"/>
    <col min="10" max="10" width="10.140625" style="286" customWidth="1"/>
    <col min="11" max="11" width="10.140625" style="287" customWidth="1"/>
    <col min="12" max="12" width="9.5703125" style="287" customWidth="1"/>
    <col min="13" max="13" width="9" style="287" customWidth="1"/>
    <col min="14" max="14" width="13.5703125" style="282" customWidth="1"/>
    <col min="15" max="15" width="12" style="287" customWidth="1"/>
    <col min="16" max="16" width="11.42578125" style="287" customWidth="1"/>
    <col min="17" max="17" width="11.28515625" style="282" customWidth="1"/>
    <col min="18" max="18" width="10.42578125" style="287" customWidth="1"/>
    <col min="19" max="19" width="12.42578125" style="287" customWidth="1"/>
    <col min="20" max="22" width="18.42578125" style="282" customWidth="1"/>
    <col min="23" max="23" width="21.42578125" style="282" customWidth="1"/>
    <col min="24" max="24" width="17.5703125" style="287" customWidth="1"/>
    <col min="25" max="25" width="13.140625" style="287" customWidth="1"/>
    <col min="26" max="16384" width="10.140625" style="282"/>
  </cols>
  <sheetData>
    <row r="1" spans="1:25" ht="23.1" customHeight="1">
      <c r="B1" s="283"/>
      <c r="E1" s="284"/>
      <c r="F1" s="285"/>
    </row>
    <row r="2" spans="1:25" ht="11.85" customHeight="1">
      <c r="B2" s="288"/>
      <c r="C2" s="289"/>
      <c r="D2" s="289"/>
      <c r="E2" s="289"/>
      <c r="F2" s="290"/>
      <c r="G2" s="291"/>
      <c r="H2" s="289"/>
      <c r="I2" s="289"/>
      <c r="J2" s="291"/>
      <c r="K2" s="292"/>
      <c r="L2" s="292"/>
      <c r="M2" s="292"/>
      <c r="N2" s="289"/>
      <c r="O2" s="292"/>
      <c r="P2" s="335"/>
      <c r="Q2" s="336"/>
      <c r="R2" s="292"/>
      <c r="S2" s="292"/>
      <c r="T2" s="289"/>
      <c r="U2" s="289"/>
      <c r="V2" s="289"/>
      <c r="W2" s="289"/>
      <c r="X2" s="292"/>
      <c r="Y2" s="293"/>
    </row>
    <row r="3" spans="1:25" ht="18" customHeight="1">
      <c r="B3" s="294"/>
      <c r="C3" s="295"/>
      <c r="D3" s="296"/>
      <c r="E3" s="297" t="s">
        <v>90</v>
      </c>
      <c r="F3" s="298"/>
      <c r="G3" s="337" t="s">
        <v>91</v>
      </c>
      <c r="H3" s="338"/>
      <c r="I3" s="299"/>
      <c r="J3" s="277"/>
      <c r="K3" s="158"/>
      <c r="L3" s="339"/>
      <c r="M3" s="339"/>
      <c r="N3" s="295"/>
      <c r="O3" s="339"/>
      <c r="P3" s="339"/>
      <c r="Q3" s="295"/>
      <c r="R3" s="339"/>
      <c r="S3" s="339"/>
      <c r="T3" s="295"/>
      <c r="U3" s="295"/>
      <c r="V3" s="295"/>
      <c r="W3" s="295"/>
      <c r="X3" s="339"/>
      <c r="Y3" s="293"/>
    </row>
    <row r="4" spans="1:25" ht="23.85" customHeight="1" thickBot="1">
      <c r="B4" s="294" t="e">
        <f>'MP (To Be Filled) Rural'!F3S</f>
        <v>#NAME?</v>
      </c>
      <c r="C4" s="295"/>
      <c r="D4" s="295"/>
      <c r="E4" s="210" t="s">
        <v>209</v>
      </c>
      <c r="F4" s="265">
        <f>J4</f>
        <v>0</v>
      </c>
      <c r="G4" s="340"/>
      <c r="H4" s="295"/>
      <c r="I4" s="208" t="s">
        <v>92</v>
      </c>
      <c r="J4" s="278">
        <f>ROUND((F9/K4),0)</f>
        <v>0</v>
      </c>
      <c r="K4" s="158">
        <v>5</v>
      </c>
      <c r="L4" s="339"/>
      <c r="M4" s="339"/>
      <c r="N4" s="295"/>
      <c r="O4" s="339"/>
      <c r="P4" s="339"/>
      <c r="Q4" s="295"/>
      <c r="R4" s="339"/>
      <c r="S4" s="339"/>
      <c r="T4" s="295"/>
      <c r="U4" s="295"/>
      <c r="V4" s="295"/>
      <c r="W4" s="295"/>
      <c r="X4" s="339"/>
      <c r="Y4" s="293"/>
    </row>
    <row r="5" spans="1:25" ht="16.5" customHeight="1">
      <c r="B5" s="294"/>
      <c r="C5" s="295"/>
      <c r="D5" s="295"/>
      <c r="E5" s="206" t="s">
        <v>93</v>
      </c>
      <c r="F5" s="266">
        <f>J1371</f>
        <v>0</v>
      </c>
      <c r="G5" s="622"/>
      <c r="H5" s="341"/>
      <c r="I5" s="209" t="s">
        <v>94</v>
      </c>
      <c r="J5" s="342">
        <f>F1371</f>
        <v>0</v>
      </c>
      <c r="K5" s="158"/>
      <c r="L5" s="339"/>
      <c r="M5" s="339"/>
      <c r="N5" s="295"/>
      <c r="O5" s="339"/>
      <c r="P5" s="339"/>
      <c r="Q5" s="295"/>
      <c r="R5" s="339"/>
      <c r="S5" s="339"/>
      <c r="T5" s="295"/>
      <c r="U5" s="295"/>
      <c r="V5" s="295"/>
      <c r="W5" s="295"/>
      <c r="X5" s="339"/>
      <c r="Y5" s="293"/>
    </row>
    <row r="6" spans="1:25" ht="16.5" customHeight="1">
      <c r="B6" s="294"/>
      <c r="C6" s="295"/>
      <c r="D6" s="295"/>
      <c r="E6" s="207" t="s">
        <v>95</v>
      </c>
      <c r="F6" s="267">
        <f>K1371</f>
        <v>0</v>
      </c>
      <c r="G6" s="622"/>
      <c r="H6" s="341"/>
      <c r="I6" s="209" t="s">
        <v>232</v>
      </c>
      <c r="J6" s="343">
        <f>J5</f>
        <v>0</v>
      </c>
      <c r="K6" s="159"/>
      <c r="L6" s="339"/>
      <c r="M6" s="339"/>
      <c r="N6" s="623" t="s">
        <v>96</v>
      </c>
      <c r="O6" s="339"/>
      <c r="P6" s="339"/>
      <c r="Q6" s="623" t="s">
        <v>97</v>
      </c>
      <c r="R6" s="339"/>
      <c r="S6" s="339"/>
      <c r="T6" s="295"/>
      <c r="U6" s="295"/>
      <c r="V6" s="295"/>
      <c r="W6" s="295"/>
      <c r="X6" s="339"/>
      <c r="Y6" s="293"/>
    </row>
    <row r="7" spans="1:25" ht="16.5" customHeight="1">
      <c r="B7" s="294"/>
      <c r="C7" s="295"/>
      <c r="D7" s="295"/>
      <c r="E7" s="207" t="s">
        <v>98</v>
      </c>
      <c r="F7" s="267">
        <f>O1371</f>
        <v>0</v>
      </c>
      <c r="G7" s="622"/>
      <c r="H7" s="341"/>
      <c r="I7" s="209" t="s">
        <v>99</v>
      </c>
      <c r="J7" s="344">
        <f>X1371</f>
        <v>17</v>
      </c>
      <c r="K7" s="160"/>
      <c r="L7" s="339"/>
      <c r="M7" s="339"/>
      <c r="N7" s="623"/>
      <c r="O7" s="339"/>
      <c r="P7" s="339"/>
      <c r="Q7" s="623"/>
      <c r="R7" s="339"/>
      <c r="S7" s="339"/>
      <c r="T7" s="295"/>
      <c r="U7" s="295"/>
      <c r="V7" s="295"/>
      <c r="W7" s="295"/>
      <c r="X7" s="339"/>
      <c r="Y7" s="293"/>
    </row>
    <row r="8" spans="1:25" ht="16.5" customHeight="1">
      <c r="B8" s="294"/>
      <c r="C8" s="295"/>
      <c r="D8" s="295"/>
      <c r="E8" s="207" t="s">
        <v>100</v>
      </c>
      <c r="F8" s="267">
        <f>P1371</f>
        <v>0</v>
      </c>
      <c r="G8" s="622"/>
      <c r="H8" s="341"/>
      <c r="I8" s="209" t="s">
        <v>101</v>
      </c>
      <c r="J8" s="344">
        <f>J5*4</f>
        <v>0</v>
      </c>
      <c r="K8" s="159"/>
      <c r="L8" s="339"/>
      <c r="M8" s="339"/>
      <c r="N8" s="623"/>
      <c r="O8" s="339"/>
      <c r="P8" s="339"/>
      <c r="Q8" s="623"/>
      <c r="R8" s="339"/>
      <c r="S8" s="339"/>
      <c r="T8" s="295"/>
      <c r="U8" s="295"/>
      <c r="V8" s="295"/>
      <c r="W8" s="295"/>
      <c r="X8" s="339"/>
      <c r="Y8" s="293"/>
    </row>
    <row r="9" spans="1:25" ht="16.5" customHeight="1">
      <c r="B9" s="294"/>
      <c r="C9" s="295"/>
      <c r="D9" s="295"/>
      <c r="E9" s="207" t="s">
        <v>102</v>
      </c>
      <c r="F9" s="267">
        <f>B1371</f>
        <v>0</v>
      </c>
      <c r="G9" s="622"/>
      <c r="H9" s="341"/>
      <c r="I9" s="209" t="s">
        <v>103</v>
      </c>
      <c r="J9" s="344">
        <f>E1371</f>
        <v>2</v>
      </c>
      <c r="K9" s="159"/>
      <c r="L9" s="159"/>
      <c r="M9" s="339"/>
      <c r="N9" s="623"/>
      <c r="O9" s="339"/>
      <c r="P9" s="339"/>
      <c r="Q9" s="623"/>
      <c r="R9" s="339"/>
      <c r="S9" s="339"/>
      <c r="T9" s="295"/>
      <c r="U9" s="295"/>
      <c r="V9" s="295"/>
      <c r="W9" s="295"/>
      <c r="X9" s="339"/>
      <c r="Y9" s="293"/>
    </row>
    <row r="10" spans="1:25" ht="16.5" customHeight="1" thickBot="1">
      <c r="B10" s="294"/>
      <c r="C10" s="295"/>
      <c r="D10" s="295"/>
      <c r="E10" s="207" t="s">
        <v>104</v>
      </c>
      <c r="F10" s="268">
        <f>I1371</f>
        <v>1</v>
      </c>
      <c r="G10" s="622"/>
      <c r="H10" s="341"/>
      <c r="I10" s="209" t="s">
        <v>233</v>
      </c>
      <c r="J10" s="344">
        <f>J5*2</f>
        <v>0</v>
      </c>
      <c r="K10" s="159"/>
      <c r="L10" s="159"/>
      <c r="M10" s="339"/>
      <c r="N10" s="623"/>
      <c r="O10" s="339"/>
      <c r="P10" s="339"/>
      <c r="Q10" s="623"/>
      <c r="R10" s="339"/>
      <c r="S10" s="339"/>
      <c r="T10" s="295"/>
      <c r="U10" s="295"/>
      <c r="V10" s="295"/>
      <c r="W10" s="295"/>
      <c r="X10" s="339"/>
      <c r="Y10" s="293"/>
    </row>
    <row r="11" spans="1:25" ht="14.25" customHeight="1" thickBot="1">
      <c r="B11" s="300"/>
      <c r="C11" s="301"/>
      <c r="D11" s="301"/>
      <c r="E11" s="301"/>
      <c r="F11" s="300"/>
      <c r="G11" s="345"/>
      <c r="H11" s="301"/>
      <c r="I11" s="301"/>
      <c r="J11" s="302"/>
      <c r="K11" s="346">
        <v>4.4000000000000004</v>
      </c>
      <c r="L11" s="346">
        <v>1.8</v>
      </c>
      <c r="M11" s="346">
        <v>50</v>
      </c>
      <c r="N11" s="624"/>
      <c r="O11" s="346">
        <v>50</v>
      </c>
      <c r="P11" s="346">
        <v>50</v>
      </c>
      <c r="Q11" s="624"/>
      <c r="R11" s="339"/>
      <c r="S11" s="339"/>
      <c r="T11" s="347"/>
      <c r="U11" s="347"/>
      <c r="V11" s="347"/>
      <c r="W11" s="347"/>
      <c r="X11" s="348">
        <v>6</v>
      </c>
      <c r="Y11" s="162">
        <v>4</v>
      </c>
    </row>
    <row r="12" spans="1:25" s="287" customFormat="1" ht="85.35" customHeight="1" thickBot="1">
      <c r="A12" s="303" t="s">
        <v>105</v>
      </c>
      <c r="B12" s="304" t="s">
        <v>106</v>
      </c>
      <c r="C12" s="304" t="s">
        <v>107</v>
      </c>
      <c r="D12" s="304" t="s">
        <v>108</v>
      </c>
      <c r="E12" s="305" t="s">
        <v>109</v>
      </c>
      <c r="F12" s="306" t="s">
        <v>110</v>
      </c>
      <c r="G12" s="307" t="s">
        <v>111</v>
      </c>
      <c r="H12" s="307" t="s">
        <v>231</v>
      </c>
      <c r="I12" s="307" t="s">
        <v>112</v>
      </c>
      <c r="J12" s="307" t="s">
        <v>113</v>
      </c>
      <c r="K12" s="308" t="s">
        <v>114</v>
      </c>
      <c r="L12" s="309" t="s">
        <v>115</v>
      </c>
      <c r="M12" s="309" t="s">
        <v>116</v>
      </c>
      <c r="N12" s="307" t="s">
        <v>117</v>
      </c>
      <c r="O12" s="309" t="s">
        <v>118</v>
      </c>
      <c r="P12" s="309" t="s">
        <v>119</v>
      </c>
      <c r="Q12" s="307" t="s">
        <v>120</v>
      </c>
      <c r="R12" s="307" t="s">
        <v>121</v>
      </c>
      <c r="S12" s="307" t="s">
        <v>122</v>
      </c>
      <c r="T12" s="307" t="s">
        <v>123</v>
      </c>
      <c r="U12" s="349" t="s">
        <v>124</v>
      </c>
      <c r="V12" s="349" t="s">
        <v>125</v>
      </c>
      <c r="W12" s="350" t="s">
        <v>126</v>
      </c>
      <c r="X12" s="310" t="s">
        <v>127</v>
      </c>
      <c r="Y12" s="310" t="s">
        <v>128</v>
      </c>
    </row>
    <row r="13" spans="1:25">
      <c r="A13" s="618">
        <v>1</v>
      </c>
      <c r="B13" s="585"/>
      <c r="C13" s="258"/>
      <c r="D13" s="620"/>
      <c r="E13" s="587"/>
      <c r="F13" s="272"/>
      <c r="G13" s="254"/>
      <c r="H13" s="154"/>
      <c r="I13" s="154"/>
      <c r="J13" s="254"/>
      <c r="K13" s="311">
        <f t="shared" ref="K13:K15" si="0">J13/$K$11</f>
        <v>0</v>
      </c>
      <c r="L13" s="312">
        <f t="shared" ref="L13:L15" si="1">J13/$L$11</f>
        <v>0</v>
      </c>
      <c r="M13" s="313">
        <f t="shared" ref="M13:M15" si="2">ROUND((L13/$M$11),0)</f>
        <v>0</v>
      </c>
      <c r="N13" s="314">
        <f>L13</f>
        <v>0</v>
      </c>
      <c r="O13" s="315">
        <f>ROUNDDOWN((N13/$O$11),0)</f>
        <v>0</v>
      </c>
      <c r="P13" s="315">
        <f>ROUND((N13-(O13*$P$11)),0)</f>
        <v>0</v>
      </c>
      <c r="Q13" s="314"/>
      <c r="R13" s="315">
        <f t="shared" ref="R13:R50" si="3">ROUNDDOWN((Q13/$O$11),0)</f>
        <v>0</v>
      </c>
      <c r="S13" s="315">
        <f t="shared" ref="S13:S50" si="4">ROUND((Q13-(R13*$P$11)),0)</f>
        <v>0</v>
      </c>
      <c r="T13" s="213"/>
      <c r="U13" s="213"/>
      <c r="V13" s="213"/>
      <c r="W13" s="213"/>
      <c r="X13" s="590">
        <f>F83/$X$11</f>
        <v>0</v>
      </c>
      <c r="Y13" s="590"/>
    </row>
    <row r="14" spans="1:25">
      <c r="A14" s="619"/>
      <c r="B14" s="586"/>
      <c r="C14" s="259"/>
      <c r="D14" s="621"/>
      <c r="E14" s="588"/>
      <c r="F14" s="154"/>
      <c r="G14" s="254"/>
      <c r="H14" s="154"/>
      <c r="I14" s="154"/>
      <c r="J14" s="254"/>
      <c r="K14" s="311">
        <f t="shared" ref="K14" si="5">J14/$K$11</f>
        <v>0</v>
      </c>
      <c r="L14" s="312">
        <f t="shared" ref="L14" si="6">J14/$L$11</f>
        <v>0</v>
      </c>
      <c r="M14" s="313">
        <f t="shared" ref="M14" si="7">ROUND((L14/$M$11),0)</f>
        <v>0</v>
      </c>
      <c r="N14" s="314">
        <f>L14</f>
        <v>0</v>
      </c>
      <c r="O14" s="315">
        <f t="shared" ref="O14:O24" si="8">ROUNDDOWN((N14/$O$11),0)</f>
        <v>0</v>
      </c>
      <c r="P14" s="315">
        <f t="shared" ref="P14:P24" si="9">ROUND((N14-(O14*$P$11)),0)</f>
        <v>0</v>
      </c>
      <c r="Q14" s="314"/>
      <c r="R14" s="315">
        <f t="shared" si="3"/>
        <v>0</v>
      </c>
      <c r="S14" s="315">
        <f t="shared" si="4"/>
        <v>0</v>
      </c>
      <c r="T14" s="213"/>
      <c r="U14" s="213"/>
      <c r="V14" s="213"/>
      <c r="W14" s="213"/>
      <c r="X14" s="591"/>
      <c r="Y14" s="591"/>
    </row>
    <row r="15" spans="1:25" ht="14.85" customHeight="1">
      <c r="A15" s="619"/>
      <c r="B15" s="586"/>
      <c r="C15" s="259"/>
      <c r="D15" s="621"/>
      <c r="E15" s="588"/>
      <c r="F15" s="154"/>
      <c r="G15" s="254"/>
      <c r="H15" s="154"/>
      <c r="I15" s="154"/>
      <c r="J15" s="254"/>
      <c r="K15" s="311">
        <f t="shared" si="0"/>
        <v>0</v>
      </c>
      <c r="L15" s="312">
        <f t="shared" si="1"/>
        <v>0</v>
      </c>
      <c r="M15" s="313">
        <f t="shared" si="2"/>
        <v>0</v>
      </c>
      <c r="N15" s="314">
        <f t="shared" ref="N15:N19" si="10">L15</f>
        <v>0</v>
      </c>
      <c r="O15" s="315">
        <f t="shared" si="8"/>
        <v>0</v>
      </c>
      <c r="P15" s="315">
        <f t="shared" si="9"/>
        <v>0</v>
      </c>
      <c r="Q15" s="314"/>
      <c r="R15" s="315">
        <f t="shared" si="3"/>
        <v>0</v>
      </c>
      <c r="S15" s="315">
        <f t="shared" si="4"/>
        <v>0</v>
      </c>
      <c r="T15" s="213"/>
      <c r="U15" s="213"/>
      <c r="V15" s="213"/>
      <c r="W15" s="213"/>
      <c r="X15" s="591"/>
      <c r="Y15" s="591"/>
    </row>
    <row r="16" spans="1:25" ht="14.85" customHeight="1">
      <c r="A16" s="619"/>
      <c r="B16" s="586"/>
      <c r="C16" s="259"/>
      <c r="D16" s="621"/>
      <c r="E16" s="589"/>
      <c r="F16" s="154"/>
      <c r="G16" s="254"/>
      <c r="H16" s="154"/>
      <c r="I16" s="154"/>
      <c r="J16" s="254"/>
      <c r="K16" s="311">
        <f t="shared" ref="K16:K82" si="11">J16/$K$11</f>
        <v>0</v>
      </c>
      <c r="L16" s="312">
        <f t="shared" ref="L16:L82" si="12">J16/$L$11</f>
        <v>0</v>
      </c>
      <c r="M16" s="313">
        <f t="shared" ref="M16:M82" si="13">ROUND((L16/$M$11),0)</f>
        <v>0</v>
      </c>
      <c r="N16" s="314">
        <f t="shared" si="10"/>
        <v>0</v>
      </c>
      <c r="O16" s="315">
        <f t="shared" si="8"/>
        <v>0</v>
      </c>
      <c r="P16" s="315">
        <f t="shared" si="9"/>
        <v>0</v>
      </c>
      <c r="Q16" s="314">
        <f>SUM(N13:N16)</f>
        <v>0</v>
      </c>
      <c r="R16" s="315">
        <f t="shared" si="3"/>
        <v>0</v>
      </c>
      <c r="S16" s="315">
        <f t="shared" si="4"/>
        <v>0</v>
      </c>
      <c r="T16" s="213"/>
      <c r="U16" s="213"/>
      <c r="V16" s="213"/>
      <c r="W16" s="213"/>
      <c r="X16" s="591"/>
      <c r="Y16" s="591"/>
    </row>
    <row r="17" spans="1:25" ht="14.85" customHeight="1">
      <c r="A17" s="619"/>
      <c r="B17" s="586"/>
      <c r="C17" s="259"/>
      <c r="D17" s="621"/>
      <c r="E17" s="351"/>
      <c r="F17" s="154"/>
      <c r="G17" s="254"/>
      <c r="H17" s="154"/>
      <c r="I17" s="154"/>
      <c r="J17" s="254"/>
      <c r="K17" s="311"/>
      <c r="L17" s="312"/>
      <c r="M17" s="313"/>
      <c r="N17" s="314"/>
      <c r="O17" s="315"/>
      <c r="P17" s="315"/>
      <c r="Q17" s="314"/>
      <c r="R17" s="315"/>
      <c r="S17" s="315"/>
      <c r="T17" s="213"/>
      <c r="U17" s="213"/>
      <c r="V17" s="213"/>
      <c r="W17" s="213"/>
      <c r="X17" s="591"/>
      <c r="Y17" s="591"/>
    </row>
    <row r="18" spans="1:25" ht="15.6" customHeight="1">
      <c r="A18" s="619"/>
      <c r="B18" s="586"/>
      <c r="C18" s="259"/>
      <c r="D18" s="621"/>
      <c r="E18" s="587"/>
      <c r="F18" s="272"/>
      <c r="G18" s="254"/>
      <c r="H18" s="154"/>
      <c r="I18" s="154"/>
      <c r="J18" s="254"/>
      <c r="K18" s="311">
        <f t="shared" si="11"/>
        <v>0</v>
      </c>
      <c r="L18" s="312">
        <f t="shared" si="12"/>
        <v>0</v>
      </c>
      <c r="M18" s="313">
        <f t="shared" si="13"/>
        <v>0</v>
      </c>
      <c r="N18" s="314">
        <f>L18</f>
        <v>0</v>
      </c>
      <c r="O18" s="315">
        <f t="shared" si="8"/>
        <v>0</v>
      </c>
      <c r="P18" s="315">
        <f t="shared" si="9"/>
        <v>0</v>
      </c>
      <c r="Q18" s="314"/>
      <c r="R18" s="315">
        <f t="shared" si="3"/>
        <v>0</v>
      </c>
      <c r="S18" s="315">
        <f t="shared" si="4"/>
        <v>0</v>
      </c>
      <c r="T18" s="213"/>
      <c r="U18" s="213"/>
      <c r="V18" s="213"/>
      <c r="W18" s="213"/>
      <c r="X18" s="591"/>
      <c r="Y18" s="591"/>
    </row>
    <row r="19" spans="1:25" ht="15.6" customHeight="1">
      <c r="A19" s="619"/>
      <c r="B19" s="586"/>
      <c r="C19" s="259"/>
      <c r="D19" s="621"/>
      <c r="E19" s="588"/>
      <c r="F19" s="154"/>
      <c r="G19" s="254"/>
      <c r="H19" s="154"/>
      <c r="I19" s="154"/>
      <c r="J19" s="254"/>
      <c r="K19" s="311">
        <f t="shared" si="11"/>
        <v>0</v>
      </c>
      <c r="L19" s="312">
        <f t="shared" si="12"/>
        <v>0</v>
      </c>
      <c r="M19" s="313">
        <f t="shared" si="13"/>
        <v>0</v>
      </c>
      <c r="N19" s="314">
        <f t="shared" si="10"/>
        <v>0</v>
      </c>
      <c r="O19" s="315">
        <f t="shared" si="8"/>
        <v>0</v>
      </c>
      <c r="P19" s="315">
        <f t="shared" si="9"/>
        <v>0</v>
      </c>
      <c r="Q19" s="314"/>
      <c r="R19" s="315">
        <f t="shared" si="3"/>
        <v>0</v>
      </c>
      <c r="S19" s="315">
        <f t="shared" si="4"/>
        <v>0</v>
      </c>
      <c r="T19" s="213"/>
      <c r="U19" s="213"/>
      <c r="V19" s="213"/>
      <c r="W19" s="213"/>
      <c r="X19" s="591"/>
      <c r="Y19" s="591"/>
    </row>
    <row r="20" spans="1:25" ht="14.85" customHeight="1">
      <c r="A20" s="619"/>
      <c r="B20" s="586"/>
      <c r="C20" s="259"/>
      <c r="D20" s="621"/>
      <c r="E20" s="588"/>
      <c r="F20" s="604"/>
      <c r="G20" s="254"/>
      <c r="H20" s="154"/>
      <c r="I20" s="154"/>
      <c r="J20" s="254"/>
      <c r="K20" s="311">
        <f t="shared" si="11"/>
        <v>0</v>
      </c>
      <c r="L20" s="312">
        <f t="shared" si="12"/>
        <v>0</v>
      </c>
      <c r="M20" s="313">
        <f t="shared" si="13"/>
        <v>0</v>
      </c>
      <c r="N20" s="314"/>
      <c r="O20" s="315">
        <f t="shared" si="8"/>
        <v>0</v>
      </c>
      <c r="P20" s="315">
        <f t="shared" si="9"/>
        <v>0</v>
      </c>
      <c r="Q20" s="314"/>
      <c r="R20" s="315">
        <f t="shared" si="3"/>
        <v>0</v>
      </c>
      <c r="S20" s="315">
        <f t="shared" si="4"/>
        <v>0</v>
      </c>
      <c r="T20" s="213"/>
      <c r="U20" s="213"/>
      <c r="V20" s="213"/>
      <c r="W20" s="213"/>
      <c r="X20" s="591"/>
      <c r="Y20" s="591"/>
    </row>
    <row r="21" spans="1:25" ht="14.85" customHeight="1">
      <c r="A21" s="619"/>
      <c r="B21" s="586"/>
      <c r="C21" s="259"/>
      <c r="D21" s="621"/>
      <c r="E21" s="589"/>
      <c r="F21" s="605"/>
      <c r="G21" s="254"/>
      <c r="H21" s="154"/>
      <c r="I21" s="154"/>
      <c r="J21" s="254"/>
      <c r="K21" s="311">
        <f t="shared" si="11"/>
        <v>0</v>
      </c>
      <c r="L21" s="312">
        <f t="shared" si="12"/>
        <v>0</v>
      </c>
      <c r="M21" s="313">
        <f t="shared" si="13"/>
        <v>0</v>
      </c>
      <c r="N21" s="314">
        <f>L20+L21</f>
        <v>0</v>
      </c>
      <c r="O21" s="315">
        <f t="shared" si="8"/>
        <v>0</v>
      </c>
      <c r="P21" s="315">
        <f t="shared" si="9"/>
        <v>0</v>
      </c>
      <c r="Q21" s="314">
        <f>SUM(N18:N21)</f>
        <v>0</v>
      </c>
      <c r="R21" s="315">
        <f t="shared" si="3"/>
        <v>0</v>
      </c>
      <c r="S21" s="315">
        <f t="shared" si="4"/>
        <v>0</v>
      </c>
      <c r="T21" s="213"/>
      <c r="U21" s="213"/>
      <c r="V21" s="213"/>
      <c r="W21" s="213"/>
      <c r="X21" s="591"/>
      <c r="Y21" s="591"/>
    </row>
    <row r="22" spans="1:25" ht="14.85" customHeight="1">
      <c r="A22" s="619"/>
      <c r="B22" s="586"/>
      <c r="C22" s="259"/>
      <c r="D22" s="621"/>
      <c r="E22" s="351"/>
      <c r="F22" s="249"/>
      <c r="G22" s="254"/>
      <c r="H22" s="154"/>
      <c r="I22" s="154"/>
      <c r="J22" s="254"/>
      <c r="K22" s="311"/>
      <c r="L22" s="312"/>
      <c r="M22" s="313"/>
      <c r="N22" s="314"/>
      <c r="O22" s="315"/>
      <c r="P22" s="315"/>
      <c r="Q22" s="314"/>
      <c r="R22" s="315"/>
      <c r="S22" s="315"/>
      <c r="T22" s="269"/>
      <c r="U22" s="269"/>
      <c r="V22" s="269"/>
      <c r="W22" s="269"/>
      <c r="X22" s="591"/>
      <c r="Y22" s="591"/>
    </row>
    <row r="23" spans="1:25" ht="14.85" customHeight="1">
      <c r="A23" s="619"/>
      <c r="B23" s="586"/>
      <c r="C23" s="259"/>
      <c r="D23" s="621"/>
      <c r="E23" s="587"/>
      <c r="F23" s="272"/>
      <c r="G23" s="254"/>
      <c r="H23" s="154"/>
      <c r="I23" s="154"/>
      <c r="J23" s="254"/>
      <c r="K23" s="311">
        <f t="shared" si="11"/>
        <v>0</v>
      </c>
      <c r="L23" s="312">
        <f t="shared" si="12"/>
        <v>0</v>
      </c>
      <c r="M23" s="313">
        <f t="shared" si="13"/>
        <v>0</v>
      </c>
      <c r="N23" s="314">
        <f>L23</f>
        <v>0</v>
      </c>
      <c r="O23" s="315">
        <f t="shared" si="8"/>
        <v>0</v>
      </c>
      <c r="P23" s="315">
        <f t="shared" si="9"/>
        <v>0</v>
      </c>
      <c r="Q23" s="314"/>
      <c r="R23" s="315">
        <f t="shared" si="3"/>
        <v>0</v>
      </c>
      <c r="S23" s="315">
        <f t="shared" si="4"/>
        <v>0</v>
      </c>
      <c r="X23" s="591"/>
      <c r="Y23" s="591"/>
    </row>
    <row r="24" spans="1:25" ht="19.5" customHeight="1">
      <c r="A24" s="619"/>
      <c r="B24" s="586"/>
      <c r="C24" s="259"/>
      <c r="D24" s="621"/>
      <c r="E24" s="588"/>
      <c r="F24" s="154"/>
      <c r="G24" s="254"/>
      <c r="H24" s="154"/>
      <c r="I24" s="154"/>
      <c r="J24" s="254"/>
      <c r="K24" s="311">
        <f t="shared" si="11"/>
        <v>0</v>
      </c>
      <c r="L24" s="312">
        <f t="shared" si="12"/>
        <v>0</v>
      </c>
      <c r="M24" s="313">
        <f t="shared" si="13"/>
        <v>0</v>
      </c>
      <c r="N24" s="314">
        <f>L24</f>
        <v>0</v>
      </c>
      <c r="O24" s="315">
        <f t="shared" si="8"/>
        <v>0</v>
      </c>
      <c r="P24" s="315">
        <f t="shared" si="9"/>
        <v>0</v>
      </c>
      <c r="Q24" s="314"/>
      <c r="R24" s="315">
        <f t="shared" si="3"/>
        <v>0</v>
      </c>
      <c r="S24" s="315">
        <f t="shared" si="4"/>
        <v>0</v>
      </c>
      <c r="T24" s="213"/>
      <c r="U24" s="213"/>
      <c r="V24" s="213"/>
      <c r="W24" s="213"/>
      <c r="X24" s="591"/>
      <c r="Y24" s="591"/>
    </row>
    <row r="25" spans="1:25" ht="18" customHeight="1">
      <c r="A25" s="619"/>
      <c r="B25" s="586"/>
      <c r="C25" s="259"/>
      <c r="D25" s="621"/>
      <c r="E25" s="588"/>
      <c r="F25" s="604"/>
      <c r="G25" s="601"/>
      <c r="H25" s="154"/>
      <c r="I25" s="154"/>
      <c r="J25" s="254"/>
      <c r="K25" s="311">
        <f t="shared" si="11"/>
        <v>0</v>
      </c>
      <c r="L25" s="312">
        <f t="shared" si="12"/>
        <v>0</v>
      </c>
      <c r="M25" s="313">
        <f t="shared" si="13"/>
        <v>0</v>
      </c>
      <c r="N25" s="314"/>
      <c r="O25" s="315">
        <f t="shared" ref="O25:O99" si="14">ROUNDDOWN((N25/$O$11),0)</f>
        <v>0</v>
      </c>
      <c r="P25" s="315">
        <f t="shared" ref="P25:P99" si="15">ROUND((N25-(O25*$P$11)),0)</f>
        <v>0</v>
      </c>
      <c r="Q25" s="314"/>
      <c r="R25" s="315">
        <f t="shared" si="3"/>
        <v>0</v>
      </c>
      <c r="S25" s="315">
        <f t="shared" si="4"/>
        <v>0</v>
      </c>
      <c r="T25" s="213"/>
      <c r="U25" s="213"/>
      <c r="V25" s="213"/>
      <c r="W25" s="213"/>
      <c r="X25" s="591"/>
      <c r="Y25" s="591"/>
    </row>
    <row r="26" spans="1:25" ht="14.85" customHeight="1">
      <c r="A26" s="619"/>
      <c r="B26" s="586"/>
      <c r="C26" s="259"/>
      <c r="D26" s="621"/>
      <c r="E26" s="588"/>
      <c r="F26" s="617"/>
      <c r="G26" s="602"/>
      <c r="H26" s="154"/>
      <c r="I26" s="154"/>
      <c r="J26" s="254"/>
      <c r="K26" s="311">
        <f t="shared" si="11"/>
        <v>0</v>
      </c>
      <c r="L26" s="312">
        <f t="shared" si="12"/>
        <v>0</v>
      </c>
      <c r="M26" s="313">
        <f t="shared" si="13"/>
        <v>0</v>
      </c>
      <c r="N26" s="314"/>
      <c r="O26" s="315">
        <f t="shared" si="14"/>
        <v>0</v>
      </c>
      <c r="P26" s="315">
        <f t="shared" si="15"/>
        <v>0</v>
      </c>
      <c r="Q26" s="314"/>
      <c r="R26" s="315">
        <f t="shared" si="3"/>
        <v>0</v>
      </c>
      <c r="S26" s="315">
        <f t="shared" si="4"/>
        <v>0</v>
      </c>
      <c r="T26" s="213"/>
      <c r="U26" s="213"/>
      <c r="V26" s="213"/>
      <c r="W26" s="213"/>
      <c r="X26" s="591"/>
      <c r="Y26" s="591"/>
    </row>
    <row r="27" spans="1:25" ht="14.85" customHeight="1">
      <c r="A27" s="619"/>
      <c r="B27" s="586"/>
      <c r="C27" s="259"/>
      <c r="D27" s="621"/>
      <c r="E27" s="589"/>
      <c r="F27" s="605"/>
      <c r="G27" s="603"/>
      <c r="H27" s="154"/>
      <c r="I27" s="154"/>
      <c r="J27" s="254"/>
      <c r="K27" s="311">
        <f t="shared" si="11"/>
        <v>0</v>
      </c>
      <c r="L27" s="312">
        <f t="shared" si="12"/>
        <v>0</v>
      </c>
      <c r="M27" s="313">
        <f t="shared" si="13"/>
        <v>0</v>
      </c>
      <c r="N27" s="314">
        <f>L25+L26+L27</f>
        <v>0</v>
      </c>
      <c r="O27" s="315">
        <f t="shared" si="14"/>
        <v>0</v>
      </c>
      <c r="P27" s="315">
        <f t="shared" si="15"/>
        <v>0</v>
      </c>
      <c r="Q27" s="314">
        <f>SUM(N23:N27)</f>
        <v>0</v>
      </c>
      <c r="R27" s="315">
        <f t="shared" si="3"/>
        <v>0</v>
      </c>
      <c r="S27" s="315">
        <f t="shared" si="4"/>
        <v>0</v>
      </c>
      <c r="T27" s="213"/>
      <c r="U27" s="213"/>
      <c r="V27" s="213"/>
      <c r="W27" s="213"/>
      <c r="X27" s="591"/>
      <c r="Y27" s="591"/>
    </row>
    <row r="28" spans="1:25" ht="14.85" customHeight="1">
      <c r="A28" s="619"/>
      <c r="B28" s="586"/>
      <c r="C28" s="259"/>
      <c r="D28" s="621"/>
      <c r="E28" s="351"/>
      <c r="F28" s="249"/>
      <c r="G28" s="254"/>
      <c r="H28" s="243"/>
      <c r="I28" s="243"/>
      <c r="J28" s="254"/>
      <c r="K28" s="311"/>
      <c r="L28" s="312"/>
      <c r="M28" s="313"/>
      <c r="N28" s="314"/>
      <c r="O28" s="315"/>
      <c r="P28" s="315"/>
      <c r="Q28" s="314"/>
      <c r="R28" s="315"/>
      <c r="S28" s="315"/>
      <c r="T28" s="213"/>
      <c r="U28" s="213"/>
      <c r="V28" s="213"/>
      <c r="W28" s="213"/>
      <c r="X28" s="591"/>
      <c r="Y28" s="591"/>
    </row>
    <row r="29" spans="1:25" ht="14.85" customHeight="1">
      <c r="A29" s="619"/>
      <c r="B29" s="586"/>
      <c r="C29" s="259"/>
      <c r="D29" s="621"/>
      <c r="E29" s="587"/>
      <c r="F29" s="272"/>
      <c r="G29" s="254"/>
      <c r="H29" s="243"/>
      <c r="I29" s="604"/>
      <c r="J29" s="254"/>
      <c r="K29" s="311">
        <f t="shared" si="11"/>
        <v>0</v>
      </c>
      <c r="L29" s="312">
        <f t="shared" si="12"/>
        <v>0</v>
      </c>
      <c r="M29" s="313">
        <f t="shared" si="13"/>
        <v>0</v>
      </c>
      <c r="N29" s="314">
        <f>L29</f>
        <v>0</v>
      </c>
      <c r="O29" s="315">
        <f t="shared" si="14"/>
        <v>0</v>
      </c>
      <c r="P29" s="315">
        <f t="shared" si="15"/>
        <v>0</v>
      </c>
      <c r="Q29" s="314"/>
      <c r="R29" s="315">
        <f t="shared" si="3"/>
        <v>0</v>
      </c>
      <c r="S29" s="315">
        <f t="shared" si="4"/>
        <v>0</v>
      </c>
      <c r="T29" s="213"/>
      <c r="U29" s="213"/>
      <c r="V29" s="213"/>
      <c r="W29" s="213"/>
      <c r="X29" s="591"/>
      <c r="Y29" s="591"/>
    </row>
    <row r="30" spans="1:25" ht="14.85" customHeight="1">
      <c r="A30" s="619"/>
      <c r="B30" s="586"/>
      <c r="C30" s="259"/>
      <c r="D30" s="621"/>
      <c r="E30" s="588"/>
      <c r="F30" s="272"/>
      <c r="G30" s="254"/>
      <c r="H30" s="244"/>
      <c r="I30" s="617"/>
      <c r="J30" s="254"/>
      <c r="K30" s="311">
        <f t="shared" si="11"/>
        <v>0</v>
      </c>
      <c r="L30" s="312">
        <f t="shared" si="12"/>
        <v>0</v>
      </c>
      <c r="M30" s="313">
        <f t="shared" si="13"/>
        <v>0</v>
      </c>
      <c r="N30" s="314">
        <f t="shared" ref="N30:N31" si="16">L30</f>
        <v>0</v>
      </c>
      <c r="O30" s="315">
        <f t="shared" si="14"/>
        <v>0</v>
      </c>
      <c r="P30" s="315">
        <f t="shared" si="15"/>
        <v>0</v>
      </c>
      <c r="Q30" s="314"/>
      <c r="R30" s="315">
        <f t="shared" si="3"/>
        <v>0</v>
      </c>
      <c r="S30" s="315">
        <f t="shared" si="4"/>
        <v>0</v>
      </c>
      <c r="T30" s="213"/>
      <c r="U30" s="213"/>
      <c r="V30" s="213"/>
      <c r="W30" s="213"/>
      <c r="X30" s="591"/>
      <c r="Y30" s="591"/>
    </row>
    <row r="31" spans="1:25" ht="14.85" customHeight="1">
      <c r="A31" s="619"/>
      <c r="B31" s="586"/>
      <c r="C31" s="259"/>
      <c r="D31" s="621"/>
      <c r="E31" s="588"/>
      <c r="F31" s="272"/>
      <c r="G31" s="254"/>
      <c r="H31" s="245"/>
      <c r="I31" s="605"/>
      <c r="J31" s="254"/>
      <c r="K31" s="311">
        <f t="shared" si="11"/>
        <v>0</v>
      </c>
      <c r="L31" s="312">
        <f t="shared" si="12"/>
        <v>0</v>
      </c>
      <c r="M31" s="313">
        <f t="shared" si="13"/>
        <v>0</v>
      </c>
      <c r="N31" s="314">
        <f t="shared" si="16"/>
        <v>0</v>
      </c>
      <c r="O31" s="315">
        <f t="shared" si="14"/>
        <v>0</v>
      </c>
      <c r="P31" s="315">
        <f t="shared" si="15"/>
        <v>0</v>
      </c>
      <c r="Q31" s="314"/>
      <c r="R31" s="315">
        <f t="shared" si="3"/>
        <v>0</v>
      </c>
      <c r="S31" s="315">
        <f t="shared" si="4"/>
        <v>0</v>
      </c>
      <c r="T31" s="213"/>
      <c r="U31" s="213"/>
      <c r="V31" s="213"/>
      <c r="W31" s="213"/>
      <c r="X31" s="591"/>
      <c r="Y31" s="591"/>
    </row>
    <row r="32" spans="1:25" ht="14.85" customHeight="1">
      <c r="A32" s="619"/>
      <c r="B32" s="586"/>
      <c r="C32" s="259"/>
      <c r="D32" s="621"/>
      <c r="E32" s="589"/>
      <c r="F32" s="154"/>
      <c r="G32" s="254"/>
      <c r="H32" s="154"/>
      <c r="I32" s="154"/>
      <c r="J32" s="254"/>
      <c r="K32" s="311">
        <f t="shared" si="11"/>
        <v>0</v>
      </c>
      <c r="L32" s="312">
        <f t="shared" si="12"/>
        <v>0</v>
      </c>
      <c r="M32" s="313">
        <f t="shared" si="13"/>
        <v>0</v>
      </c>
      <c r="N32" s="314">
        <f>L32</f>
        <v>0</v>
      </c>
      <c r="O32" s="315">
        <f t="shared" si="14"/>
        <v>0</v>
      </c>
      <c r="P32" s="315">
        <f t="shared" si="15"/>
        <v>0</v>
      </c>
      <c r="Q32" s="314">
        <f>SUM(N29:N32)</f>
        <v>0</v>
      </c>
      <c r="R32" s="315">
        <f t="shared" si="3"/>
        <v>0</v>
      </c>
      <c r="S32" s="315">
        <f t="shared" si="4"/>
        <v>0</v>
      </c>
      <c r="T32" s="213"/>
      <c r="U32" s="213"/>
      <c r="V32" s="213"/>
      <c r="W32" s="213"/>
      <c r="X32" s="591"/>
      <c r="Y32" s="591"/>
    </row>
    <row r="33" spans="1:25" ht="14.85" customHeight="1">
      <c r="A33" s="619"/>
      <c r="B33" s="586"/>
      <c r="C33" s="259"/>
      <c r="D33" s="621"/>
      <c r="E33" s="351"/>
      <c r="F33" s="243"/>
      <c r="G33" s="254"/>
      <c r="H33" s="154"/>
      <c r="I33" s="154"/>
      <c r="J33" s="254"/>
      <c r="K33" s="311"/>
      <c r="L33" s="312"/>
      <c r="M33" s="313"/>
      <c r="N33" s="314"/>
      <c r="O33" s="315"/>
      <c r="P33" s="315"/>
      <c r="Q33" s="314"/>
      <c r="R33" s="315"/>
      <c r="S33" s="315"/>
      <c r="T33" s="213"/>
      <c r="U33" s="213"/>
      <c r="V33" s="213"/>
      <c r="W33" s="213"/>
      <c r="X33" s="591"/>
      <c r="Y33" s="591"/>
    </row>
    <row r="34" spans="1:25" ht="14.85" customHeight="1">
      <c r="A34" s="619"/>
      <c r="B34" s="586"/>
      <c r="C34" s="259"/>
      <c r="D34" s="621"/>
      <c r="E34" s="609"/>
      <c r="F34" s="587"/>
      <c r="G34" s="254"/>
      <c r="H34" s="154"/>
      <c r="I34" s="154"/>
      <c r="J34" s="254"/>
      <c r="K34" s="311">
        <f t="shared" si="11"/>
        <v>0</v>
      </c>
      <c r="L34" s="312">
        <f t="shared" si="12"/>
        <v>0</v>
      </c>
      <c r="M34" s="313">
        <f t="shared" si="13"/>
        <v>0</v>
      </c>
      <c r="N34" s="314"/>
      <c r="O34" s="315">
        <f t="shared" si="14"/>
        <v>0</v>
      </c>
      <c r="P34" s="315">
        <f t="shared" si="15"/>
        <v>0</v>
      </c>
      <c r="Q34" s="314"/>
      <c r="R34" s="315">
        <f t="shared" si="3"/>
        <v>0</v>
      </c>
      <c r="S34" s="315">
        <f t="shared" si="4"/>
        <v>0</v>
      </c>
      <c r="T34" s="213"/>
      <c r="U34" s="213"/>
      <c r="V34" s="213"/>
      <c r="W34" s="213"/>
      <c r="X34" s="591"/>
      <c r="Y34" s="591"/>
    </row>
    <row r="35" spans="1:25" ht="14.85" customHeight="1">
      <c r="A35" s="619"/>
      <c r="B35" s="586"/>
      <c r="C35" s="259"/>
      <c r="D35" s="621"/>
      <c r="E35" s="611"/>
      <c r="F35" s="589"/>
      <c r="G35" s="254"/>
      <c r="H35" s="154"/>
      <c r="I35" s="154"/>
      <c r="J35" s="254"/>
      <c r="K35" s="311">
        <f t="shared" si="11"/>
        <v>0</v>
      </c>
      <c r="L35" s="312">
        <f t="shared" si="12"/>
        <v>0</v>
      </c>
      <c r="M35" s="313">
        <f t="shared" si="13"/>
        <v>0</v>
      </c>
      <c r="N35" s="314">
        <f>L34+L35</f>
        <v>0</v>
      </c>
      <c r="O35" s="315">
        <f t="shared" si="14"/>
        <v>0</v>
      </c>
      <c r="P35" s="315">
        <f t="shared" si="15"/>
        <v>0</v>
      </c>
      <c r="Q35" s="314"/>
      <c r="R35" s="315">
        <f t="shared" si="3"/>
        <v>0</v>
      </c>
      <c r="S35" s="315">
        <f t="shared" si="4"/>
        <v>0</v>
      </c>
      <c r="T35" s="213"/>
      <c r="U35" s="213"/>
      <c r="V35" s="213"/>
      <c r="W35" s="213"/>
      <c r="X35" s="591"/>
      <c r="Y35" s="591"/>
    </row>
    <row r="36" spans="1:25" ht="14.85" customHeight="1">
      <c r="A36" s="619"/>
      <c r="B36" s="586"/>
      <c r="C36" s="259"/>
      <c r="D36" s="621"/>
      <c r="E36" s="611"/>
      <c r="F36" s="154"/>
      <c r="G36" s="254"/>
      <c r="H36" s="154"/>
      <c r="I36" s="154"/>
      <c r="J36" s="254"/>
      <c r="K36" s="311">
        <f t="shared" si="11"/>
        <v>0</v>
      </c>
      <c r="L36" s="312">
        <f t="shared" si="12"/>
        <v>0</v>
      </c>
      <c r="M36" s="313">
        <f t="shared" si="13"/>
        <v>0</v>
      </c>
      <c r="N36" s="314">
        <f>L36</f>
        <v>0</v>
      </c>
      <c r="O36" s="315">
        <f t="shared" si="14"/>
        <v>0</v>
      </c>
      <c r="P36" s="315">
        <f t="shared" si="15"/>
        <v>0</v>
      </c>
      <c r="Q36" s="314"/>
      <c r="R36" s="315">
        <f t="shared" si="3"/>
        <v>0</v>
      </c>
      <c r="S36" s="315">
        <f t="shared" si="4"/>
        <v>0</v>
      </c>
      <c r="T36" s="213"/>
      <c r="U36" s="213"/>
      <c r="V36" s="213"/>
      <c r="W36" s="213"/>
      <c r="X36" s="591"/>
      <c r="Y36" s="591"/>
    </row>
    <row r="37" spans="1:25" ht="14.85" customHeight="1">
      <c r="A37" s="619"/>
      <c r="B37" s="586"/>
      <c r="C37" s="259"/>
      <c r="D37" s="621"/>
      <c r="E37" s="611"/>
      <c r="F37" s="604"/>
      <c r="G37" s="254"/>
      <c r="H37" s="154"/>
      <c r="I37" s="154"/>
      <c r="J37" s="254"/>
      <c r="K37" s="311">
        <f t="shared" si="11"/>
        <v>0</v>
      </c>
      <c r="L37" s="312">
        <f t="shared" si="12"/>
        <v>0</v>
      </c>
      <c r="M37" s="313">
        <f t="shared" si="13"/>
        <v>0</v>
      </c>
      <c r="N37" s="314"/>
      <c r="O37" s="315">
        <f t="shared" si="14"/>
        <v>0</v>
      </c>
      <c r="P37" s="315">
        <f t="shared" si="15"/>
        <v>0</v>
      </c>
      <c r="Q37" s="314"/>
      <c r="R37" s="315">
        <f t="shared" si="3"/>
        <v>0</v>
      </c>
      <c r="S37" s="315">
        <f t="shared" si="4"/>
        <v>0</v>
      </c>
      <c r="T37" s="213"/>
      <c r="U37" s="213"/>
      <c r="V37" s="213"/>
      <c r="W37" s="213"/>
      <c r="X37" s="591"/>
      <c r="Y37" s="591"/>
    </row>
    <row r="38" spans="1:25" ht="14.85" customHeight="1">
      <c r="A38" s="619"/>
      <c r="B38" s="586"/>
      <c r="C38" s="259"/>
      <c r="D38" s="621"/>
      <c r="E38" s="610"/>
      <c r="F38" s="605"/>
      <c r="G38" s="254"/>
      <c r="H38" s="154"/>
      <c r="I38" s="154"/>
      <c r="J38" s="254"/>
      <c r="K38" s="311">
        <f t="shared" si="11"/>
        <v>0</v>
      </c>
      <c r="L38" s="312">
        <f t="shared" si="12"/>
        <v>0</v>
      </c>
      <c r="M38" s="313">
        <f t="shared" si="13"/>
        <v>0</v>
      </c>
      <c r="N38" s="314">
        <f>L37+L38</f>
        <v>0</v>
      </c>
      <c r="O38" s="315">
        <f t="shared" si="14"/>
        <v>0</v>
      </c>
      <c r="P38" s="315">
        <f t="shared" si="15"/>
        <v>0</v>
      </c>
      <c r="Q38" s="314">
        <f>SUM(N35:N38)</f>
        <v>0</v>
      </c>
      <c r="R38" s="315">
        <f t="shared" si="3"/>
        <v>0</v>
      </c>
      <c r="S38" s="315">
        <f t="shared" si="4"/>
        <v>0</v>
      </c>
      <c r="T38" s="213"/>
      <c r="U38" s="213"/>
      <c r="V38" s="213"/>
      <c r="W38" s="213"/>
      <c r="X38" s="591"/>
      <c r="Y38" s="591"/>
    </row>
    <row r="39" spans="1:25" ht="14.85" customHeight="1">
      <c r="A39" s="619"/>
      <c r="B39" s="586"/>
      <c r="C39" s="259"/>
      <c r="D39" s="621"/>
      <c r="E39" s="352"/>
      <c r="F39" s="248"/>
      <c r="G39" s="254"/>
      <c r="H39" s="154"/>
      <c r="I39" s="154"/>
      <c r="J39" s="254"/>
      <c r="K39" s="311"/>
      <c r="L39" s="312"/>
      <c r="M39" s="313"/>
      <c r="N39" s="314"/>
      <c r="O39" s="315"/>
      <c r="P39" s="315"/>
      <c r="Q39" s="314"/>
      <c r="R39" s="315"/>
      <c r="S39" s="315"/>
      <c r="T39" s="213"/>
      <c r="U39" s="213"/>
      <c r="V39" s="213"/>
      <c r="W39" s="213"/>
      <c r="X39" s="591"/>
      <c r="Y39" s="591"/>
    </row>
    <row r="40" spans="1:25" ht="14.85" customHeight="1">
      <c r="A40" s="619"/>
      <c r="B40" s="586"/>
      <c r="C40" s="259"/>
      <c r="D40" s="621"/>
      <c r="E40" s="587"/>
      <c r="F40" s="587"/>
      <c r="G40" s="254"/>
      <c r="H40" s="154"/>
      <c r="I40" s="154"/>
      <c r="J40" s="254"/>
      <c r="K40" s="311">
        <f t="shared" si="11"/>
        <v>0</v>
      </c>
      <c r="L40" s="312">
        <f t="shared" si="12"/>
        <v>0</v>
      </c>
      <c r="M40" s="313">
        <f t="shared" si="13"/>
        <v>0</v>
      </c>
      <c r="N40" s="314"/>
      <c r="O40" s="315">
        <f t="shared" si="14"/>
        <v>0</v>
      </c>
      <c r="P40" s="315">
        <f t="shared" si="15"/>
        <v>0</v>
      </c>
      <c r="Q40" s="314"/>
      <c r="R40" s="315">
        <f t="shared" si="3"/>
        <v>0</v>
      </c>
      <c r="S40" s="315">
        <f t="shared" si="4"/>
        <v>0</v>
      </c>
      <c r="T40" s="213"/>
      <c r="U40" s="213"/>
      <c r="V40" s="213"/>
      <c r="W40" s="213"/>
      <c r="X40" s="591"/>
      <c r="Y40" s="591"/>
    </row>
    <row r="41" spans="1:25" ht="14.85" customHeight="1">
      <c r="A41" s="619"/>
      <c r="B41" s="586"/>
      <c r="C41" s="259"/>
      <c r="D41" s="621"/>
      <c r="E41" s="588"/>
      <c r="F41" s="588"/>
      <c r="G41" s="254"/>
      <c r="H41" s="154"/>
      <c r="I41" s="154"/>
      <c r="J41" s="254"/>
      <c r="K41" s="311">
        <f t="shared" si="11"/>
        <v>0</v>
      </c>
      <c r="L41" s="312">
        <f t="shared" si="12"/>
        <v>0</v>
      </c>
      <c r="M41" s="313">
        <f t="shared" si="13"/>
        <v>0</v>
      </c>
      <c r="N41" s="314"/>
      <c r="O41" s="315">
        <f t="shared" si="14"/>
        <v>0</v>
      </c>
      <c r="P41" s="315">
        <f t="shared" si="15"/>
        <v>0</v>
      </c>
      <c r="Q41" s="314"/>
      <c r="R41" s="315">
        <f t="shared" si="3"/>
        <v>0</v>
      </c>
      <c r="S41" s="315">
        <f t="shared" si="4"/>
        <v>0</v>
      </c>
      <c r="T41" s="213"/>
      <c r="U41" s="213"/>
      <c r="V41" s="213"/>
      <c r="W41" s="213"/>
      <c r="X41" s="591"/>
      <c r="Y41" s="591"/>
    </row>
    <row r="42" spans="1:25" ht="14.85" customHeight="1">
      <c r="A42" s="619"/>
      <c r="B42" s="586"/>
      <c r="C42" s="259"/>
      <c r="D42" s="621"/>
      <c r="E42" s="588"/>
      <c r="F42" s="588"/>
      <c r="G42" s="254"/>
      <c r="H42" s="154"/>
      <c r="I42" s="154"/>
      <c r="J42" s="254"/>
      <c r="K42" s="311">
        <f t="shared" si="11"/>
        <v>0</v>
      </c>
      <c r="L42" s="312">
        <f t="shared" si="12"/>
        <v>0</v>
      </c>
      <c r="M42" s="313">
        <f t="shared" si="13"/>
        <v>0</v>
      </c>
      <c r="N42" s="314"/>
      <c r="O42" s="315">
        <f t="shared" si="14"/>
        <v>0</v>
      </c>
      <c r="P42" s="315">
        <f t="shared" si="15"/>
        <v>0</v>
      </c>
      <c r="Q42" s="314"/>
      <c r="R42" s="315">
        <f t="shared" si="3"/>
        <v>0</v>
      </c>
      <c r="S42" s="315">
        <f t="shared" si="4"/>
        <v>0</v>
      </c>
      <c r="T42" s="213"/>
      <c r="U42" s="213"/>
      <c r="V42" s="213"/>
      <c r="W42" s="213"/>
      <c r="X42" s="591"/>
      <c r="Y42" s="591"/>
    </row>
    <row r="43" spans="1:25" ht="14.85" customHeight="1">
      <c r="A43" s="619"/>
      <c r="B43" s="586"/>
      <c r="C43" s="259"/>
      <c r="D43" s="621"/>
      <c r="E43" s="588"/>
      <c r="F43" s="589"/>
      <c r="G43" s="254"/>
      <c r="H43" s="154"/>
      <c r="I43" s="154"/>
      <c r="J43" s="254"/>
      <c r="K43" s="311">
        <f t="shared" si="11"/>
        <v>0</v>
      </c>
      <c r="L43" s="312">
        <f t="shared" si="12"/>
        <v>0</v>
      </c>
      <c r="M43" s="313">
        <f t="shared" si="13"/>
        <v>0</v>
      </c>
      <c r="N43" s="314">
        <f>SUM(L40:L43)</f>
        <v>0</v>
      </c>
      <c r="O43" s="315">
        <f t="shared" si="14"/>
        <v>0</v>
      </c>
      <c r="P43" s="315">
        <f t="shared" si="15"/>
        <v>0</v>
      </c>
      <c r="Q43" s="314"/>
      <c r="R43" s="315">
        <f t="shared" si="3"/>
        <v>0</v>
      </c>
      <c r="S43" s="315">
        <f t="shared" si="4"/>
        <v>0</v>
      </c>
      <c r="T43" s="213"/>
      <c r="U43" s="213"/>
      <c r="V43" s="213"/>
      <c r="W43" s="213"/>
      <c r="X43" s="591"/>
      <c r="Y43" s="591"/>
    </row>
    <row r="44" spans="1:25" ht="14.85" customHeight="1">
      <c r="A44" s="619"/>
      <c r="B44" s="586"/>
      <c r="C44" s="259"/>
      <c r="D44" s="621"/>
      <c r="E44" s="588"/>
      <c r="F44" s="604"/>
      <c r="I44" s="154"/>
      <c r="K44" s="311">
        <f t="shared" si="11"/>
        <v>0</v>
      </c>
      <c r="L44" s="312">
        <f t="shared" si="12"/>
        <v>0</v>
      </c>
      <c r="M44" s="313">
        <f t="shared" si="13"/>
        <v>0</v>
      </c>
      <c r="N44" s="314"/>
      <c r="O44" s="315">
        <f t="shared" si="14"/>
        <v>0</v>
      </c>
      <c r="P44" s="315">
        <f t="shared" si="15"/>
        <v>0</v>
      </c>
      <c r="Q44" s="314"/>
      <c r="R44" s="315">
        <f t="shared" si="3"/>
        <v>0</v>
      </c>
      <c r="S44" s="315">
        <f t="shared" si="4"/>
        <v>0</v>
      </c>
      <c r="T44" s="213"/>
      <c r="U44" s="213"/>
      <c r="V44" s="213"/>
      <c r="W44" s="213"/>
      <c r="X44" s="591"/>
      <c r="Y44" s="591"/>
    </row>
    <row r="45" spans="1:25" ht="14.85" customHeight="1">
      <c r="A45" s="619"/>
      <c r="B45" s="586"/>
      <c r="C45" s="259"/>
      <c r="D45" s="621"/>
      <c r="E45" s="588"/>
      <c r="F45" s="617"/>
      <c r="G45" s="254"/>
      <c r="H45" s="154"/>
      <c r="I45" s="154"/>
      <c r="J45" s="254"/>
      <c r="K45" s="311">
        <f t="shared" si="11"/>
        <v>0</v>
      </c>
      <c r="L45" s="312">
        <f t="shared" si="12"/>
        <v>0</v>
      </c>
      <c r="M45" s="313">
        <f t="shared" si="13"/>
        <v>0</v>
      </c>
      <c r="N45" s="314"/>
      <c r="O45" s="315">
        <f t="shared" si="14"/>
        <v>0</v>
      </c>
      <c r="P45" s="315">
        <f t="shared" si="15"/>
        <v>0</v>
      </c>
      <c r="Q45" s="314"/>
      <c r="R45" s="315">
        <f t="shared" si="3"/>
        <v>0</v>
      </c>
      <c r="S45" s="315">
        <f t="shared" si="4"/>
        <v>0</v>
      </c>
      <c r="T45" s="213"/>
      <c r="U45" s="213"/>
      <c r="V45" s="213"/>
      <c r="W45" s="213"/>
      <c r="X45" s="591"/>
      <c r="Y45" s="591"/>
    </row>
    <row r="46" spans="1:25" ht="14.85" customHeight="1">
      <c r="A46" s="619"/>
      <c r="B46" s="586"/>
      <c r="C46" s="259"/>
      <c r="D46" s="621"/>
      <c r="E46" s="589"/>
      <c r="F46" s="605"/>
      <c r="G46" s="254"/>
      <c r="H46" s="154"/>
      <c r="I46" s="154"/>
      <c r="J46" s="254"/>
      <c r="K46" s="311">
        <f t="shared" si="11"/>
        <v>0</v>
      </c>
      <c r="L46" s="312">
        <f t="shared" si="12"/>
        <v>0</v>
      </c>
      <c r="M46" s="313">
        <f t="shared" si="13"/>
        <v>0</v>
      </c>
      <c r="N46" s="314">
        <f>SUM(L44:L46)</f>
        <v>0</v>
      </c>
      <c r="O46" s="315">
        <f t="shared" si="14"/>
        <v>0</v>
      </c>
      <c r="P46" s="315">
        <f t="shared" si="15"/>
        <v>0</v>
      </c>
      <c r="Q46" s="314">
        <f>SUM(N43:N46)</f>
        <v>0</v>
      </c>
      <c r="R46" s="315">
        <f t="shared" si="3"/>
        <v>0</v>
      </c>
      <c r="S46" s="315">
        <f t="shared" si="4"/>
        <v>0</v>
      </c>
      <c r="T46" s="213"/>
      <c r="U46" s="213"/>
      <c r="V46" s="213"/>
      <c r="W46" s="213"/>
      <c r="X46" s="591"/>
      <c r="Y46" s="591"/>
    </row>
    <row r="47" spans="1:25" ht="14.85" customHeight="1">
      <c r="A47" s="619"/>
      <c r="B47" s="586"/>
      <c r="C47" s="259"/>
      <c r="D47" s="621"/>
      <c r="E47" s="351"/>
      <c r="F47" s="248"/>
      <c r="G47" s="254"/>
      <c r="H47" s="154"/>
      <c r="I47" s="154"/>
      <c r="J47" s="254"/>
      <c r="K47" s="311"/>
      <c r="L47" s="312"/>
      <c r="M47" s="313"/>
      <c r="N47" s="314"/>
      <c r="O47" s="315"/>
      <c r="P47" s="315"/>
      <c r="Q47" s="314"/>
      <c r="R47" s="315"/>
      <c r="S47" s="315"/>
      <c r="T47" s="213"/>
      <c r="U47" s="213"/>
      <c r="V47" s="213"/>
      <c r="W47" s="213"/>
      <c r="X47" s="591"/>
      <c r="Y47" s="591"/>
    </row>
    <row r="48" spans="1:25" ht="14.85" customHeight="1">
      <c r="A48" s="619"/>
      <c r="B48" s="586"/>
      <c r="C48" s="259"/>
      <c r="D48" s="621"/>
      <c r="E48" s="587"/>
      <c r="F48" s="587"/>
      <c r="G48" s="254"/>
      <c r="H48" s="154"/>
      <c r="I48" s="154"/>
      <c r="J48" s="254"/>
      <c r="K48" s="311">
        <f t="shared" si="11"/>
        <v>0</v>
      </c>
      <c r="L48" s="312">
        <f t="shared" si="12"/>
        <v>0</v>
      </c>
      <c r="M48" s="313">
        <f t="shared" si="13"/>
        <v>0</v>
      </c>
      <c r="N48" s="314"/>
      <c r="O48" s="315">
        <f t="shared" si="14"/>
        <v>0</v>
      </c>
      <c r="P48" s="315">
        <f t="shared" si="15"/>
        <v>0</v>
      </c>
      <c r="Q48" s="314"/>
      <c r="R48" s="315">
        <f t="shared" si="3"/>
        <v>0</v>
      </c>
      <c r="S48" s="315">
        <f t="shared" si="4"/>
        <v>0</v>
      </c>
      <c r="T48" s="213"/>
      <c r="U48" s="213"/>
      <c r="V48" s="213"/>
      <c r="W48" s="213"/>
      <c r="X48" s="591"/>
      <c r="Y48" s="591"/>
    </row>
    <row r="49" spans="1:25" ht="14.85" customHeight="1">
      <c r="A49" s="619"/>
      <c r="B49" s="586"/>
      <c r="C49" s="259"/>
      <c r="D49" s="621"/>
      <c r="E49" s="588"/>
      <c r="F49" s="588"/>
      <c r="G49" s="254"/>
      <c r="H49" s="154"/>
      <c r="I49" s="154"/>
      <c r="J49" s="254"/>
      <c r="K49" s="311">
        <f t="shared" si="11"/>
        <v>0</v>
      </c>
      <c r="L49" s="312">
        <f t="shared" si="12"/>
        <v>0</v>
      </c>
      <c r="M49" s="313">
        <f t="shared" si="13"/>
        <v>0</v>
      </c>
      <c r="N49" s="314"/>
      <c r="O49" s="315">
        <f t="shared" si="14"/>
        <v>0</v>
      </c>
      <c r="P49" s="315">
        <f t="shared" si="15"/>
        <v>0</v>
      </c>
      <c r="Q49" s="314"/>
      <c r="R49" s="315">
        <f t="shared" si="3"/>
        <v>0</v>
      </c>
      <c r="S49" s="315">
        <f t="shared" si="4"/>
        <v>0</v>
      </c>
      <c r="T49" s="213"/>
      <c r="U49" s="213"/>
      <c r="V49" s="213"/>
      <c r="W49" s="213"/>
      <c r="X49" s="591"/>
      <c r="Y49" s="591"/>
    </row>
    <row r="50" spans="1:25" ht="14.85" customHeight="1">
      <c r="A50" s="619"/>
      <c r="B50" s="586"/>
      <c r="C50" s="259"/>
      <c r="D50" s="621"/>
      <c r="E50" s="588"/>
      <c r="F50" s="588"/>
      <c r="G50" s="254"/>
      <c r="H50" s="154"/>
      <c r="I50" s="154"/>
      <c r="J50" s="254"/>
      <c r="K50" s="311">
        <f t="shared" si="11"/>
        <v>0</v>
      </c>
      <c r="L50" s="312">
        <f t="shared" si="12"/>
        <v>0</v>
      </c>
      <c r="M50" s="313">
        <f t="shared" si="13"/>
        <v>0</v>
      </c>
      <c r="N50" s="314"/>
      <c r="O50" s="315">
        <f t="shared" si="14"/>
        <v>0</v>
      </c>
      <c r="P50" s="315">
        <f t="shared" si="15"/>
        <v>0</v>
      </c>
      <c r="Q50" s="314"/>
      <c r="R50" s="315">
        <f t="shared" si="3"/>
        <v>0</v>
      </c>
      <c r="S50" s="315">
        <f t="shared" si="4"/>
        <v>0</v>
      </c>
      <c r="T50" s="213"/>
      <c r="U50" s="213"/>
      <c r="V50" s="213"/>
      <c r="W50" s="213"/>
      <c r="X50" s="591"/>
      <c r="Y50" s="591"/>
    </row>
    <row r="51" spans="1:25" ht="14.85" customHeight="1">
      <c r="A51" s="619"/>
      <c r="B51" s="586"/>
      <c r="C51" s="259"/>
      <c r="D51" s="621"/>
      <c r="E51" s="588"/>
      <c r="F51" s="589"/>
      <c r="G51" s="254"/>
      <c r="H51" s="154"/>
      <c r="I51" s="154"/>
      <c r="J51" s="254"/>
      <c r="K51" s="311">
        <f t="shared" si="11"/>
        <v>0</v>
      </c>
      <c r="L51" s="312">
        <f t="shared" si="12"/>
        <v>0</v>
      </c>
      <c r="M51" s="313">
        <f t="shared" si="13"/>
        <v>0</v>
      </c>
      <c r="N51" s="314">
        <f>SUM(L48:L51)</f>
        <v>0</v>
      </c>
      <c r="O51" s="315">
        <f t="shared" si="14"/>
        <v>0</v>
      </c>
      <c r="P51" s="315">
        <f t="shared" si="15"/>
        <v>0</v>
      </c>
      <c r="Q51" s="314"/>
      <c r="R51" s="315">
        <f t="shared" ref="R51:R82" si="17">ROUNDDOWN((Q51/$O$11),0)</f>
        <v>0</v>
      </c>
      <c r="S51" s="315">
        <f t="shared" ref="S51:S82" si="18">ROUND((Q51-(R51*$P$11)),0)</f>
        <v>0</v>
      </c>
      <c r="T51" s="213"/>
      <c r="U51" s="213"/>
      <c r="V51" s="213"/>
      <c r="W51" s="213"/>
      <c r="X51" s="591"/>
      <c r="Y51" s="591"/>
    </row>
    <row r="52" spans="1:25" ht="14.85" customHeight="1">
      <c r="A52" s="619"/>
      <c r="B52" s="586"/>
      <c r="C52" s="259"/>
      <c r="D52" s="621"/>
      <c r="E52" s="588"/>
      <c r="F52" s="604"/>
      <c r="G52" s="254"/>
      <c r="H52" s="154"/>
      <c r="I52" s="154"/>
      <c r="J52" s="254"/>
      <c r="K52" s="311">
        <f t="shared" si="11"/>
        <v>0</v>
      </c>
      <c r="L52" s="312">
        <f t="shared" si="12"/>
        <v>0</v>
      </c>
      <c r="M52" s="313">
        <f t="shared" si="13"/>
        <v>0</v>
      </c>
      <c r="N52" s="314"/>
      <c r="O52" s="315">
        <f t="shared" si="14"/>
        <v>0</v>
      </c>
      <c r="P52" s="315">
        <f t="shared" si="15"/>
        <v>0</v>
      </c>
      <c r="Q52" s="314"/>
      <c r="R52" s="315">
        <f t="shared" si="17"/>
        <v>0</v>
      </c>
      <c r="S52" s="315">
        <f t="shared" si="18"/>
        <v>0</v>
      </c>
      <c r="T52" s="213"/>
      <c r="U52" s="213"/>
      <c r="V52" s="213"/>
      <c r="W52" s="213"/>
      <c r="X52" s="591"/>
      <c r="Y52" s="591"/>
    </row>
    <row r="53" spans="1:25" ht="14.85" customHeight="1">
      <c r="A53" s="619"/>
      <c r="B53" s="586"/>
      <c r="C53" s="259"/>
      <c r="D53" s="621"/>
      <c r="E53" s="588"/>
      <c r="F53" s="617"/>
      <c r="G53" s="254"/>
      <c r="H53" s="154"/>
      <c r="I53" s="154"/>
      <c r="J53" s="254"/>
      <c r="K53" s="311">
        <f t="shared" si="11"/>
        <v>0</v>
      </c>
      <c r="L53" s="312">
        <f t="shared" si="12"/>
        <v>0</v>
      </c>
      <c r="M53" s="313">
        <f t="shared" si="13"/>
        <v>0</v>
      </c>
      <c r="N53" s="314"/>
      <c r="O53" s="315">
        <f t="shared" si="14"/>
        <v>0</v>
      </c>
      <c r="P53" s="315">
        <f t="shared" si="15"/>
        <v>0</v>
      </c>
      <c r="Q53" s="314"/>
      <c r="R53" s="315">
        <f t="shared" si="17"/>
        <v>0</v>
      </c>
      <c r="S53" s="315">
        <f t="shared" si="18"/>
        <v>0</v>
      </c>
      <c r="T53" s="213"/>
      <c r="U53" s="213"/>
      <c r="V53" s="213"/>
      <c r="W53" s="213"/>
      <c r="X53" s="591"/>
      <c r="Y53" s="591"/>
    </row>
    <row r="54" spans="1:25" ht="14.85" customHeight="1">
      <c r="A54" s="619"/>
      <c r="B54" s="586"/>
      <c r="C54" s="259"/>
      <c r="D54" s="621"/>
      <c r="E54" s="589"/>
      <c r="F54" s="605"/>
      <c r="G54" s="254"/>
      <c r="H54" s="154"/>
      <c r="I54" s="154"/>
      <c r="J54" s="254"/>
      <c r="K54" s="311">
        <f t="shared" si="11"/>
        <v>0</v>
      </c>
      <c r="L54" s="312">
        <f t="shared" si="12"/>
        <v>0</v>
      </c>
      <c r="M54" s="313">
        <f t="shared" si="13"/>
        <v>0</v>
      </c>
      <c r="N54" s="314">
        <f>SUM(L52:L54)</f>
        <v>0</v>
      </c>
      <c r="O54" s="315">
        <f t="shared" si="14"/>
        <v>0</v>
      </c>
      <c r="P54" s="315">
        <f t="shared" si="15"/>
        <v>0</v>
      </c>
      <c r="Q54" s="314">
        <f>SUM(N51:N54)</f>
        <v>0</v>
      </c>
      <c r="R54" s="315">
        <f t="shared" si="17"/>
        <v>0</v>
      </c>
      <c r="S54" s="315">
        <f t="shared" si="18"/>
        <v>0</v>
      </c>
      <c r="T54" s="213"/>
      <c r="U54" s="213"/>
      <c r="V54" s="213"/>
      <c r="W54" s="213"/>
      <c r="X54" s="591"/>
      <c r="Y54" s="591"/>
    </row>
    <row r="55" spans="1:25" ht="14.85" customHeight="1">
      <c r="A55" s="619"/>
      <c r="B55" s="586"/>
      <c r="C55" s="259"/>
      <c r="D55" s="621"/>
      <c r="E55" s="351"/>
      <c r="F55" s="249"/>
      <c r="G55" s="254"/>
      <c r="H55" s="154"/>
      <c r="I55" s="154"/>
      <c r="J55" s="254"/>
      <c r="K55" s="311"/>
      <c r="L55" s="312"/>
      <c r="M55" s="313"/>
      <c r="N55" s="314"/>
      <c r="O55" s="315"/>
      <c r="P55" s="315"/>
      <c r="Q55" s="314"/>
      <c r="R55" s="315"/>
      <c r="S55" s="315"/>
      <c r="T55" s="213"/>
      <c r="U55" s="213"/>
      <c r="V55" s="213"/>
      <c r="W55" s="213"/>
      <c r="X55" s="591"/>
      <c r="Y55" s="591"/>
    </row>
    <row r="56" spans="1:25" ht="14.85" customHeight="1">
      <c r="A56" s="619"/>
      <c r="B56" s="586"/>
      <c r="C56" s="259"/>
      <c r="D56" s="621"/>
      <c r="E56" s="587"/>
      <c r="F56" s="272"/>
      <c r="G56" s="254"/>
      <c r="H56" s="154"/>
      <c r="I56" s="154"/>
      <c r="J56" s="254"/>
      <c r="K56" s="311">
        <f t="shared" si="11"/>
        <v>0</v>
      </c>
      <c r="L56" s="312">
        <f t="shared" si="12"/>
        <v>0</v>
      </c>
      <c r="M56" s="313">
        <f t="shared" si="13"/>
        <v>0</v>
      </c>
      <c r="N56" s="314">
        <f>L56</f>
        <v>0</v>
      </c>
      <c r="O56" s="315">
        <f t="shared" si="14"/>
        <v>0</v>
      </c>
      <c r="P56" s="315">
        <f t="shared" si="15"/>
        <v>0</v>
      </c>
      <c r="Q56" s="314"/>
      <c r="R56" s="315">
        <f t="shared" si="17"/>
        <v>0</v>
      </c>
      <c r="S56" s="315">
        <f t="shared" si="18"/>
        <v>0</v>
      </c>
      <c r="T56" s="213"/>
      <c r="U56" s="213"/>
      <c r="V56" s="213"/>
      <c r="W56" s="213"/>
      <c r="X56" s="591"/>
      <c r="Y56" s="591"/>
    </row>
    <row r="57" spans="1:25" ht="14.85" customHeight="1">
      <c r="A57" s="619"/>
      <c r="B57" s="586"/>
      <c r="C57" s="259"/>
      <c r="D57" s="621"/>
      <c r="E57" s="588"/>
      <c r="F57" s="272"/>
      <c r="G57" s="254"/>
      <c r="H57" s="154"/>
      <c r="I57" s="154"/>
      <c r="J57" s="254"/>
      <c r="K57" s="311">
        <f t="shared" si="11"/>
        <v>0</v>
      </c>
      <c r="L57" s="312">
        <f t="shared" si="12"/>
        <v>0</v>
      </c>
      <c r="M57" s="313">
        <f t="shared" si="13"/>
        <v>0</v>
      </c>
      <c r="N57" s="314">
        <f t="shared" ref="N57:N59" si="19">L57</f>
        <v>0</v>
      </c>
      <c r="O57" s="315">
        <f t="shared" si="14"/>
        <v>0</v>
      </c>
      <c r="P57" s="315">
        <f t="shared" si="15"/>
        <v>0</v>
      </c>
      <c r="Q57" s="314"/>
      <c r="R57" s="315">
        <f t="shared" si="17"/>
        <v>0</v>
      </c>
      <c r="S57" s="315">
        <f t="shared" si="18"/>
        <v>0</v>
      </c>
      <c r="T57" s="213"/>
      <c r="U57" s="213"/>
      <c r="V57" s="213"/>
      <c r="W57" s="213"/>
      <c r="X57" s="591"/>
      <c r="Y57" s="591"/>
    </row>
    <row r="58" spans="1:25" ht="14.85" customHeight="1">
      <c r="A58" s="619"/>
      <c r="B58" s="586"/>
      <c r="C58" s="259"/>
      <c r="D58" s="621"/>
      <c r="E58" s="588"/>
      <c r="F58" s="272"/>
      <c r="G58" s="254"/>
      <c r="H58" s="154"/>
      <c r="I58" s="154"/>
      <c r="J58" s="254"/>
      <c r="K58" s="311">
        <f t="shared" si="11"/>
        <v>0</v>
      </c>
      <c r="L58" s="312">
        <f t="shared" si="12"/>
        <v>0</v>
      </c>
      <c r="M58" s="313">
        <f t="shared" si="13"/>
        <v>0</v>
      </c>
      <c r="N58" s="314">
        <f t="shared" si="19"/>
        <v>0</v>
      </c>
      <c r="O58" s="315">
        <f t="shared" si="14"/>
        <v>0</v>
      </c>
      <c r="P58" s="315">
        <f t="shared" si="15"/>
        <v>0</v>
      </c>
      <c r="Q58" s="314"/>
      <c r="R58" s="315">
        <f t="shared" si="17"/>
        <v>0</v>
      </c>
      <c r="S58" s="315">
        <f t="shared" si="18"/>
        <v>0</v>
      </c>
      <c r="T58" s="213"/>
      <c r="U58" s="213"/>
      <c r="V58" s="213"/>
      <c r="W58" s="213"/>
      <c r="X58" s="591"/>
      <c r="Y58" s="591"/>
    </row>
    <row r="59" spans="1:25" ht="14.85" customHeight="1">
      <c r="A59" s="619"/>
      <c r="B59" s="586"/>
      <c r="C59" s="259"/>
      <c r="D59" s="621"/>
      <c r="E59" s="589"/>
      <c r="F59" s="154"/>
      <c r="G59" s="254"/>
      <c r="H59" s="154"/>
      <c r="I59" s="154"/>
      <c r="J59" s="254"/>
      <c r="K59" s="311">
        <f t="shared" si="11"/>
        <v>0</v>
      </c>
      <c r="L59" s="312">
        <f t="shared" si="12"/>
        <v>0</v>
      </c>
      <c r="M59" s="313">
        <f t="shared" si="13"/>
        <v>0</v>
      </c>
      <c r="N59" s="314">
        <f t="shared" si="19"/>
        <v>0</v>
      </c>
      <c r="O59" s="315">
        <f t="shared" si="14"/>
        <v>0</v>
      </c>
      <c r="P59" s="315">
        <f t="shared" si="15"/>
        <v>0</v>
      </c>
      <c r="Q59" s="314">
        <f>SUM(N56:N59)</f>
        <v>0</v>
      </c>
      <c r="R59" s="315">
        <f t="shared" si="17"/>
        <v>0</v>
      </c>
      <c r="S59" s="315">
        <f t="shared" si="18"/>
        <v>0</v>
      </c>
      <c r="T59" s="213"/>
      <c r="U59" s="213"/>
      <c r="V59" s="213"/>
      <c r="W59" s="213"/>
      <c r="X59" s="591"/>
      <c r="Y59" s="591"/>
    </row>
    <row r="60" spans="1:25" ht="14.85" customHeight="1">
      <c r="A60" s="619"/>
      <c r="B60" s="586"/>
      <c r="C60" s="259"/>
      <c r="D60" s="621"/>
      <c r="E60" s="351"/>
      <c r="F60" s="243"/>
      <c r="G60" s="254"/>
      <c r="H60" s="154"/>
      <c r="I60" s="154"/>
      <c r="J60" s="254"/>
      <c r="K60" s="311"/>
      <c r="L60" s="312"/>
      <c r="M60" s="313"/>
      <c r="N60" s="314"/>
      <c r="O60" s="315"/>
      <c r="P60" s="315"/>
      <c r="Q60" s="314"/>
      <c r="R60" s="315"/>
      <c r="S60" s="315"/>
      <c r="T60" s="213"/>
      <c r="U60" s="213"/>
      <c r="V60" s="213"/>
      <c r="W60" s="213"/>
      <c r="X60" s="591"/>
      <c r="Y60" s="591"/>
    </row>
    <row r="61" spans="1:25" ht="14.85" customHeight="1">
      <c r="A61" s="619"/>
      <c r="B61" s="586"/>
      <c r="C61" s="259"/>
      <c r="D61" s="621"/>
      <c r="E61" s="587"/>
      <c r="F61" s="587"/>
      <c r="G61" s="254"/>
      <c r="H61" s="154"/>
      <c r="I61" s="154"/>
      <c r="J61" s="254"/>
      <c r="K61" s="311">
        <f t="shared" si="11"/>
        <v>0</v>
      </c>
      <c r="L61" s="312">
        <f t="shared" si="12"/>
        <v>0</v>
      </c>
      <c r="M61" s="313">
        <f t="shared" si="13"/>
        <v>0</v>
      </c>
      <c r="N61" s="314"/>
      <c r="O61" s="315">
        <f t="shared" si="14"/>
        <v>0</v>
      </c>
      <c r="P61" s="315">
        <f t="shared" si="15"/>
        <v>0</v>
      </c>
      <c r="Q61" s="314"/>
      <c r="R61" s="315">
        <f t="shared" si="17"/>
        <v>0</v>
      </c>
      <c r="S61" s="315">
        <f t="shared" si="18"/>
        <v>0</v>
      </c>
      <c r="T61" s="213"/>
      <c r="U61" s="213"/>
      <c r="V61" s="213"/>
      <c r="W61" s="213"/>
      <c r="X61" s="591"/>
      <c r="Y61" s="591"/>
    </row>
    <row r="62" spans="1:25" ht="14.85" customHeight="1">
      <c r="A62" s="619"/>
      <c r="B62" s="586"/>
      <c r="C62" s="259"/>
      <c r="D62" s="621"/>
      <c r="E62" s="588"/>
      <c r="F62" s="588"/>
      <c r="G62" s="254"/>
      <c r="H62" s="154"/>
      <c r="I62" s="154"/>
      <c r="J62" s="254"/>
      <c r="K62" s="311">
        <f t="shared" si="11"/>
        <v>0</v>
      </c>
      <c r="L62" s="312">
        <f t="shared" si="12"/>
        <v>0</v>
      </c>
      <c r="M62" s="313">
        <f t="shared" si="13"/>
        <v>0</v>
      </c>
      <c r="N62" s="314"/>
      <c r="O62" s="315">
        <f t="shared" si="14"/>
        <v>0</v>
      </c>
      <c r="P62" s="315">
        <f t="shared" si="15"/>
        <v>0</v>
      </c>
      <c r="Q62" s="314"/>
      <c r="R62" s="315">
        <f t="shared" si="17"/>
        <v>0</v>
      </c>
      <c r="S62" s="315">
        <f t="shared" si="18"/>
        <v>0</v>
      </c>
      <c r="T62" s="213"/>
      <c r="U62" s="213"/>
      <c r="V62" s="213"/>
      <c r="W62" s="213"/>
      <c r="X62" s="591"/>
      <c r="Y62" s="591"/>
    </row>
    <row r="63" spans="1:25" ht="14.85" customHeight="1">
      <c r="A63" s="619"/>
      <c r="B63" s="586"/>
      <c r="C63" s="259"/>
      <c r="D63" s="621"/>
      <c r="E63" s="588"/>
      <c r="F63" s="589"/>
      <c r="G63" s="254"/>
      <c r="H63" s="154"/>
      <c r="I63" s="154"/>
      <c r="J63" s="254"/>
      <c r="K63" s="311">
        <f t="shared" si="11"/>
        <v>0</v>
      </c>
      <c r="L63" s="312">
        <f t="shared" si="12"/>
        <v>0</v>
      </c>
      <c r="M63" s="313">
        <f t="shared" si="13"/>
        <v>0</v>
      </c>
      <c r="N63" s="314">
        <f>L61+L62+L63</f>
        <v>0</v>
      </c>
      <c r="O63" s="315">
        <f t="shared" si="14"/>
        <v>0</v>
      </c>
      <c r="P63" s="315">
        <f t="shared" si="15"/>
        <v>0</v>
      </c>
      <c r="Q63" s="314"/>
      <c r="R63" s="315">
        <f t="shared" si="17"/>
        <v>0</v>
      </c>
      <c r="S63" s="315">
        <f t="shared" si="18"/>
        <v>0</v>
      </c>
      <c r="T63" s="213"/>
      <c r="U63" s="213"/>
      <c r="V63" s="213"/>
      <c r="W63" s="213"/>
      <c r="X63" s="591"/>
      <c r="Y63" s="591"/>
    </row>
    <row r="64" spans="1:25" ht="14.85" customHeight="1">
      <c r="A64" s="619"/>
      <c r="B64" s="586"/>
      <c r="C64" s="259"/>
      <c r="D64" s="621"/>
      <c r="E64" s="588"/>
      <c r="F64" s="609"/>
      <c r="G64" s="254"/>
      <c r="H64" s="154"/>
      <c r="I64" s="154"/>
      <c r="J64" s="254"/>
      <c r="K64" s="311">
        <f t="shared" si="11"/>
        <v>0</v>
      </c>
      <c r="L64" s="312">
        <f t="shared" si="12"/>
        <v>0</v>
      </c>
      <c r="M64" s="313">
        <f t="shared" si="13"/>
        <v>0</v>
      </c>
      <c r="N64" s="314"/>
      <c r="O64" s="315">
        <f t="shared" si="14"/>
        <v>0</v>
      </c>
      <c r="P64" s="315">
        <f t="shared" si="15"/>
        <v>0</v>
      </c>
      <c r="Q64" s="314"/>
      <c r="R64" s="315">
        <f t="shared" si="17"/>
        <v>0</v>
      </c>
      <c r="S64" s="315">
        <f t="shared" si="18"/>
        <v>0</v>
      </c>
      <c r="T64" s="213"/>
      <c r="U64" s="213"/>
      <c r="V64" s="213"/>
      <c r="W64" s="213"/>
      <c r="X64" s="591"/>
      <c r="Y64" s="591"/>
    </row>
    <row r="65" spans="1:25" ht="14.85" customHeight="1">
      <c r="A65" s="619"/>
      <c r="B65" s="586"/>
      <c r="C65" s="259"/>
      <c r="D65" s="621"/>
      <c r="E65" s="588"/>
      <c r="F65" s="610"/>
      <c r="G65" s="254"/>
      <c r="H65" s="154"/>
      <c r="I65" s="155"/>
      <c r="J65" s="254"/>
      <c r="K65" s="311">
        <f t="shared" si="11"/>
        <v>0</v>
      </c>
      <c r="L65" s="312">
        <f t="shared" si="12"/>
        <v>0</v>
      </c>
      <c r="M65" s="313">
        <f t="shared" si="13"/>
        <v>0</v>
      </c>
      <c r="N65" s="314">
        <f>L64+L65</f>
        <v>0</v>
      </c>
      <c r="O65" s="315">
        <f t="shared" si="14"/>
        <v>0</v>
      </c>
      <c r="P65" s="315">
        <f t="shared" si="15"/>
        <v>0</v>
      </c>
      <c r="Q65" s="314"/>
      <c r="R65" s="315">
        <f t="shared" si="17"/>
        <v>0</v>
      </c>
      <c r="S65" s="315">
        <f t="shared" si="18"/>
        <v>0</v>
      </c>
      <c r="T65" s="213"/>
      <c r="U65" s="213"/>
      <c r="V65" s="213"/>
      <c r="W65" s="213"/>
      <c r="X65" s="591"/>
      <c r="Y65" s="591"/>
    </row>
    <row r="66" spans="1:25" ht="14.85" customHeight="1">
      <c r="A66" s="619"/>
      <c r="B66" s="586"/>
      <c r="C66" s="259"/>
      <c r="D66" s="621"/>
      <c r="E66" s="588"/>
      <c r="F66" s="609"/>
      <c r="G66" s="254"/>
      <c r="H66" s="155"/>
      <c r="I66" s="155"/>
      <c r="J66" s="279"/>
      <c r="K66" s="311">
        <f t="shared" si="11"/>
        <v>0</v>
      </c>
      <c r="L66" s="312">
        <f t="shared" si="12"/>
        <v>0</v>
      </c>
      <c r="M66" s="313">
        <f t="shared" si="13"/>
        <v>0</v>
      </c>
      <c r="N66" s="314"/>
      <c r="O66" s="315">
        <f t="shared" si="14"/>
        <v>0</v>
      </c>
      <c r="P66" s="315">
        <f t="shared" si="15"/>
        <v>0</v>
      </c>
      <c r="Q66" s="314"/>
      <c r="R66" s="315">
        <f t="shared" si="17"/>
        <v>0</v>
      </c>
      <c r="S66" s="315">
        <f t="shared" si="18"/>
        <v>0</v>
      </c>
      <c r="T66" s="213"/>
      <c r="U66" s="213"/>
      <c r="V66" s="213"/>
      <c r="W66" s="213"/>
      <c r="X66" s="591"/>
      <c r="Y66" s="591"/>
    </row>
    <row r="67" spans="1:25" ht="14.85" customHeight="1">
      <c r="A67" s="619"/>
      <c r="B67" s="586"/>
      <c r="C67" s="259"/>
      <c r="D67" s="621"/>
      <c r="E67" s="588"/>
      <c r="F67" s="611"/>
      <c r="I67" s="155"/>
      <c r="J67" s="279"/>
      <c r="K67" s="311">
        <f t="shared" si="11"/>
        <v>0</v>
      </c>
      <c r="L67" s="312">
        <f t="shared" si="12"/>
        <v>0</v>
      </c>
      <c r="M67" s="313">
        <f t="shared" si="13"/>
        <v>0</v>
      </c>
      <c r="N67" s="314"/>
      <c r="O67" s="315">
        <f t="shared" si="14"/>
        <v>0</v>
      </c>
      <c r="P67" s="315">
        <f t="shared" si="15"/>
        <v>0</v>
      </c>
      <c r="Q67" s="314"/>
      <c r="R67" s="315">
        <f t="shared" si="17"/>
        <v>0</v>
      </c>
      <c r="S67" s="315">
        <f t="shared" si="18"/>
        <v>0</v>
      </c>
      <c r="T67" s="213"/>
      <c r="U67" s="213"/>
      <c r="V67" s="213"/>
      <c r="W67" s="213"/>
      <c r="X67" s="591"/>
      <c r="Y67" s="591"/>
    </row>
    <row r="68" spans="1:25" ht="14.85" customHeight="1">
      <c r="A68" s="619"/>
      <c r="B68" s="586"/>
      <c r="C68" s="259"/>
      <c r="D68" s="621"/>
      <c r="E68" s="589"/>
      <c r="F68" s="610"/>
      <c r="G68" s="254"/>
      <c r="H68" s="154"/>
      <c r="I68" s="154"/>
      <c r="J68" s="279"/>
      <c r="K68" s="311">
        <f t="shared" si="11"/>
        <v>0</v>
      </c>
      <c r="L68" s="312">
        <f t="shared" si="12"/>
        <v>0</v>
      </c>
      <c r="M68" s="313">
        <f t="shared" si="13"/>
        <v>0</v>
      </c>
      <c r="N68" s="314">
        <f>SUM(L66:L68)</f>
        <v>0</v>
      </c>
      <c r="O68" s="315">
        <f t="shared" si="14"/>
        <v>0</v>
      </c>
      <c r="P68" s="315">
        <f t="shared" si="15"/>
        <v>0</v>
      </c>
      <c r="Q68" s="314">
        <f>SUM(N63:N68)</f>
        <v>0</v>
      </c>
      <c r="R68" s="315">
        <f t="shared" si="17"/>
        <v>0</v>
      </c>
      <c r="S68" s="315">
        <f t="shared" si="18"/>
        <v>0</v>
      </c>
      <c r="T68" s="213"/>
      <c r="U68" s="213"/>
      <c r="V68" s="213"/>
      <c r="W68" s="213"/>
      <c r="X68" s="591"/>
      <c r="Y68" s="591"/>
    </row>
    <row r="69" spans="1:25" ht="14.85" customHeight="1">
      <c r="A69" s="619"/>
      <c r="B69" s="586"/>
      <c r="C69" s="259"/>
      <c r="D69" s="621"/>
      <c r="E69" s="353"/>
      <c r="F69" s="354"/>
      <c r="G69" s="254"/>
      <c r="H69" s="154"/>
      <c r="I69" s="154"/>
      <c r="J69" s="279"/>
      <c r="K69" s="311"/>
      <c r="L69" s="312"/>
      <c r="M69" s="313"/>
      <c r="N69" s="314"/>
      <c r="O69" s="315"/>
      <c r="P69" s="315"/>
      <c r="Q69" s="314"/>
      <c r="R69" s="315"/>
      <c r="S69" s="315"/>
      <c r="T69" s="213"/>
      <c r="U69" s="213"/>
      <c r="V69" s="213"/>
      <c r="W69" s="213"/>
      <c r="X69" s="591"/>
      <c r="Y69" s="591"/>
    </row>
    <row r="70" spans="1:25" ht="14.85" customHeight="1">
      <c r="A70" s="619"/>
      <c r="B70" s="586"/>
      <c r="C70" s="259"/>
      <c r="D70" s="621"/>
      <c r="E70" s="272"/>
      <c r="F70" s="272"/>
      <c r="G70" s="254"/>
      <c r="H70" s="154"/>
      <c r="I70" s="154"/>
      <c r="J70" s="254"/>
      <c r="K70" s="311">
        <f t="shared" si="11"/>
        <v>0</v>
      </c>
      <c r="L70" s="312">
        <f t="shared" si="12"/>
        <v>0</v>
      </c>
      <c r="M70" s="313">
        <f t="shared" si="13"/>
        <v>0</v>
      </c>
      <c r="N70" s="314">
        <f>L70</f>
        <v>0</v>
      </c>
      <c r="O70" s="315">
        <f t="shared" si="14"/>
        <v>0</v>
      </c>
      <c r="P70" s="315">
        <f t="shared" si="15"/>
        <v>0</v>
      </c>
      <c r="Q70" s="314">
        <f>N70</f>
        <v>0</v>
      </c>
      <c r="R70" s="315">
        <f t="shared" si="17"/>
        <v>0</v>
      </c>
      <c r="S70" s="315">
        <f t="shared" si="18"/>
        <v>0</v>
      </c>
      <c r="T70" s="213"/>
      <c r="U70" s="213"/>
      <c r="V70" s="213"/>
      <c r="W70" s="213"/>
      <c r="X70" s="591"/>
      <c r="Y70" s="591"/>
    </row>
    <row r="71" spans="1:25" ht="14.85" customHeight="1">
      <c r="A71" s="619"/>
      <c r="B71" s="586"/>
      <c r="C71" s="259"/>
      <c r="D71" s="621"/>
      <c r="E71" s="355"/>
      <c r="F71" s="355"/>
      <c r="G71" s="254"/>
      <c r="H71" s="154"/>
      <c r="I71" s="154"/>
      <c r="J71" s="254"/>
      <c r="K71" s="311"/>
      <c r="L71" s="312"/>
      <c r="M71" s="313"/>
      <c r="N71" s="314"/>
      <c r="O71" s="315"/>
      <c r="P71" s="315"/>
      <c r="Q71" s="314"/>
      <c r="R71" s="315"/>
      <c r="S71" s="315"/>
      <c r="T71" s="213"/>
      <c r="U71" s="213"/>
      <c r="V71" s="213"/>
      <c r="W71" s="213"/>
      <c r="X71" s="591"/>
      <c r="Y71" s="591"/>
    </row>
    <row r="72" spans="1:25" ht="14.85" customHeight="1">
      <c r="A72" s="619"/>
      <c r="B72" s="586"/>
      <c r="C72" s="259"/>
      <c r="D72" s="621"/>
      <c r="E72" s="587"/>
      <c r="F72" s="587"/>
      <c r="G72" s="254"/>
      <c r="H72" s="154"/>
      <c r="I72" s="154"/>
      <c r="J72" s="254"/>
      <c r="K72" s="311">
        <f t="shared" si="11"/>
        <v>0</v>
      </c>
      <c r="L72" s="312">
        <f t="shared" si="12"/>
        <v>0</v>
      </c>
      <c r="M72" s="313">
        <f t="shared" si="13"/>
        <v>0</v>
      </c>
      <c r="N72" s="314"/>
      <c r="O72" s="315">
        <f t="shared" si="14"/>
        <v>0</v>
      </c>
      <c r="P72" s="315">
        <f t="shared" si="15"/>
        <v>0</v>
      </c>
      <c r="Q72" s="314"/>
      <c r="R72" s="315">
        <f t="shared" si="17"/>
        <v>0</v>
      </c>
      <c r="S72" s="315">
        <f t="shared" si="18"/>
        <v>0</v>
      </c>
      <c r="T72" s="213"/>
      <c r="U72" s="213"/>
      <c r="V72" s="213"/>
      <c r="W72" s="213"/>
      <c r="X72" s="591"/>
      <c r="Y72" s="591"/>
    </row>
    <row r="73" spans="1:25" ht="14.85" customHeight="1">
      <c r="A73" s="619"/>
      <c r="B73" s="586"/>
      <c r="C73" s="259"/>
      <c r="D73" s="621"/>
      <c r="E73" s="588"/>
      <c r="F73" s="588"/>
      <c r="G73" s="254"/>
      <c r="H73" s="154"/>
      <c r="I73" s="154"/>
      <c r="J73" s="254"/>
      <c r="K73" s="311">
        <f t="shared" si="11"/>
        <v>0</v>
      </c>
      <c r="L73" s="312">
        <f t="shared" si="12"/>
        <v>0</v>
      </c>
      <c r="M73" s="313">
        <f t="shared" si="13"/>
        <v>0</v>
      </c>
      <c r="N73" s="314"/>
      <c r="O73" s="315">
        <f t="shared" si="14"/>
        <v>0</v>
      </c>
      <c r="P73" s="315">
        <f t="shared" si="15"/>
        <v>0</v>
      </c>
      <c r="Q73" s="314"/>
      <c r="R73" s="315">
        <f t="shared" si="17"/>
        <v>0</v>
      </c>
      <c r="S73" s="315">
        <f t="shared" si="18"/>
        <v>0</v>
      </c>
      <c r="T73" s="213"/>
      <c r="U73" s="213"/>
      <c r="V73" s="213"/>
      <c r="W73" s="213"/>
      <c r="X73" s="591"/>
      <c r="Y73" s="591"/>
    </row>
    <row r="74" spans="1:25" ht="14.85" customHeight="1">
      <c r="A74" s="619"/>
      <c r="B74" s="586"/>
      <c r="C74" s="259"/>
      <c r="D74" s="621"/>
      <c r="E74" s="588"/>
      <c r="F74" s="589"/>
      <c r="G74" s="254"/>
      <c r="H74" s="154"/>
      <c r="I74" s="154"/>
      <c r="J74" s="254"/>
      <c r="K74" s="311">
        <f t="shared" si="11"/>
        <v>0</v>
      </c>
      <c r="L74" s="312">
        <f t="shared" si="12"/>
        <v>0</v>
      </c>
      <c r="M74" s="313">
        <f t="shared" si="13"/>
        <v>0</v>
      </c>
      <c r="N74" s="314">
        <f>SUM(L72:L74)</f>
        <v>0</v>
      </c>
      <c r="O74" s="315">
        <f t="shared" si="14"/>
        <v>0</v>
      </c>
      <c r="P74" s="315">
        <f t="shared" si="15"/>
        <v>0</v>
      </c>
      <c r="Q74" s="314"/>
      <c r="R74" s="315">
        <f t="shared" si="17"/>
        <v>0</v>
      </c>
      <c r="S74" s="315">
        <f t="shared" si="18"/>
        <v>0</v>
      </c>
      <c r="T74" s="213"/>
      <c r="U74" s="213"/>
      <c r="V74" s="213"/>
      <c r="W74" s="213"/>
      <c r="X74" s="591"/>
      <c r="Y74" s="591"/>
    </row>
    <row r="75" spans="1:25" ht="14.85" customHeight="1">
      <c r="A75" s="619"/>
      <c r="B75" s="586"/>
      <c r="C75" s="259"/>
      <c r="D75" s="621"/>
      <c r="E75" s="588"/>
      <c r="F75" s="604"/>
      <c r="G75" s="254"/>
      <c r="H75" s="154"/>
      <c r="I75" s="154"/>
      <c r="J75" s="254"/>
      <c r="K75" s="311">
        <f t="shared" si="11"/>
        <v>0</v>
      </c>
      <c r="L75" s="312">
        <f t="shared" si="12"/>
        <v>0</v>
      </c>
      <c r="M75" s="313">
        <f t="shared" si="13"/>
        <v>0</v>
      </c>
      <c r="N75" s="314"/>
      <c r="O75" s="315">
        <f t="shared" si="14"/>
        <v>0</v>
      </c>
      <c r="P75" s="315">
        <f t="shared" si="15"/>
        <v>0</v>
      </c>
      <c r="Q75" s="314"/>
      <c r="R75" s="315">
        <f t="shared" si="17"/>
        <v>0</v>
      </c>
      <c r="S75" s="315">
        <f t="shared" si="18"/>
        <v>0</v>
      </c>
      <c r="T75" s="213"/>
      <c r="U75" s="213"/>
      <c r="V75" s="213"/>
      <c r="W75" s="213"/>
      <c r="X75" s="591"/>
      <c r="Y75" s="591"/>
    </row>
    <row r="76" spans="1:25" ht="14.85" customHeight="1">
      <c r="A76" s="619"/>
      <c r="B76" s="586"/>
      <c r="C76" s="259"/>
      <c r="D76" s="621"/>
      <c r="E76" s="588"/>
      <c r="F76" s="617"/>
      <c r="I76" s="154"/>
      <c r="J76" s="254"/>
      <c r="K76" s="311">
        <f t="shared" si="11"/>
        <v>0</v>
      </c>
      <c r="L76" s="312">
        <f t="shared" si="12"/>
        <v>0</v>
      </c>
      <c r="M76" s="313">
        <f t="shared" si="13"/>
        <v>0</v>
      </c>
      <c r="N76" s="314"/>
      <c r="O76" s="315">
        <f t="shared" si="14"/>
        <v>0</v>
      </c>
      <c r="P76" s="315">
        <f t="shared" si="15"/>
        <v>0</v>
      </c>
      <c r="Q76" s="314"/>
      <c r="R76" s="315">
        <f t="shared" si="17"/>
        <v>0</v>
      </c>
      <c r="S76" s="315">
        <f t="shared" si="18"/>
        <v>0</v>
      </c>
      <c r="T76" s="213"/>
      <c r="U76" s="213"/>
      <c r="V76" s="213"/>
      <c r="W76" s="213"/>
      <c r="X76" s="591"/>
      <c r="Y76" s="591"/>
    </row>
    <row r="77" spans="1:25" ht="14.85" customHeight="1">
      <c r="A77" s="619"/>
      <c r="B77" s="586"/>
      <c r="C77" s="259"/>
      <c r="D77" s="621"/>
      <c r="E77" s="589"/>
      <c r="F77" s="605"/>
      <c r="G77" s="254"/>
      <c r="H77" s="154"/>
      <c r="I77" s="154"/>
      <c r="J77" s="254"/>
      <c r="K77" s="311">
        <f t="shared" si="11"/>
        <v>0</v>
      </c>
      <c r="L77" s="312">
        <f t="shared" si="12"/>
        <v>0</v>
      </c>
      <c r="M77" s="313">
        <f t="shared" si="13"/>
        <v>0</v>
      </c>
      <c r="N77" s="314">
        <f>SUM(L75:L77)</f>
        <v>0</v>
      </c>
      <c r="O77" s="315">
        <f t="shared" si="14"/>
        <v>0</v>
      </c>
      <c r="P77" s="315">
        <f t="shared" si="15"/>
        <v>0</v>
      </c>
      <c r="Q77" s="314">
        <f>SUM(N74:N77)</f>
        <v>0</v>
      </c>
      <c r="R77" s="315">
        <f t="shared" si="17"/>
        <v>0</v>
      </c>
      <c r="S77" s="315">
        <f t="shared" si="18"/>
        <v>0</v>
      </c>
      <c r="T77" s="213"/>
      <c r="U77" s="213"/>
      <c r="V77" s="213"/>
      <c r="W77" s="213"/>
      <c r="X77" s="591"/>
      <c r="Y77" s="591"/>
    </row>
    <row r="78" spans="1:25" ht="14.85" customHeight="1">
      <c r="A78" s="619"/>
      <c r="B78" s="586"/>
      <c r="C78" s="259"/>
      <c r="D78" s="621"/>
      <c r="E78" s="351"/>
      <c r="F78" s="248"/>
      <c r="G78" s="254"/>
      <c r="H78" s="154"/>
      <c r="I78" s="154"/>
      <c r="J78" s="254"/>
      <c r="K78" s="311"/>
      <c r="L78" s="312"/>
      <c r="M78" s="313"/>
      <c r="N78" s="314"/>
      <c r="O78" s="315"/>
      <c r="P78" s="315"/>
      <c r="Q78" s="314"/>
      <c r="R78" s="315"/>
      <c r="S78" s="315"/>
      <c r="T78" s="213"/>
      <c r="U78" s="213"/>
      <c r="V78" s="213"/>
      <c r="W78" s="213"/>
      <c r="X78" s="591"/>
      <c r="Y78" s="591"/>
    </row>
    <row r="79" spans="1:25" ht="14.85" customHeight="1">
      <c r="A79" s="619"/>
      <c r="B79" s="586"/>
      <c r="C79" s="259"/>
      <c r="D79" s="621"/>
      <c r="E79" s="587"/>
      <c r="F79" s="587"/>
      <c r="G79" s="254"/>
      <c r="H79" s="154"/>
      <c r="I79" s="154"/>
      <c r="J79" s="254"/>
      <c r="K79" s="311">
        <f t="shared" si="11"/>
        <v>0</v>
      </c>
      <c r="L79" s="312">
        <f t="shared" si="12"/>
        <v>0</v>
      </c>
      <c r="M79" s="313">
        <f t="shared" si="13"/>
        <v>0</v>
      </c>
      <c r="N79" s="314"/>
      <c r="O79" s="315">
        <f t="shared" si="14"/>
        <v>0</v>
      </c>
      <c r="P79" s="315">
        <f t="shared" si="15"/>
        <v>0</v>
      </c>
      <c r="Q79" s="314"/>
      <c r="R79" s="315">
        <f t="shared" si="17"/>
        <v>0</v>
      </c>
      <c r="S79" s="315">
        <f t="shared" si="18"/>
        <v>0</v>
      </c>
      <c r="T79" s="213"/>
      <c r="U79" s="213"/>
      <c r="V79" s="213"/>
      <c r="W79" s="213"/>
      <c r="X79" s="591"/>
      <c r="Y79" s="591"/>
    </row>
    <row r="80" spans="1:25" ht="14.85" customHeight="1">
      <c r="A80" s="619"/>
      <c r="B80" s="586"/>
      <c r="C80" s="259"/>
      <c r="D80" s="621"/>
      <c r="E80" s="588"/>
      <c r="F80" s="588"/>
      <c r="G80" s="254"/>
      <c r="H80" s="154"/>
      <c r="I80" s="154"/>
      <c r="J80" s="254"/>
      <c r="K80" s="311">
        <f t="shared" si="11"/>
        <v>0</v>
      </c>
      <c r="L80" s="312">
        <f t="shared" si="12"/>
        <v>0</v>
      </c>
      <c r="M80" s="313">
        <f t="shared" si="13"/>
        <v>0</v>
      </c>
      <c r="N80" s="314"/>
      <c r="O80" s="315">
        <f t="shared" si="14"/>
        <v>0</v>
      </c>
      <c r="P80" s="315">
        <f t="shared" si="15"/>
        <v>0</v>
      </c>
      <c r="Q80" s="314"/>
      <c r="R80" s="315">
        <f t="shared" si="17"/>
        <v>0</v>
      </c>
      <c r="S80" s="315">
        <f t="shared" si="18"/>
        <v>0</v>
      </c>
      <c r="T80" s="213"/>
      <c r="U80" s="213"/>
      <c r="V80" s="213"/>
      <c r="W80" s="213"/>
      <c r="X80" s="591"/>
      <c r="Y80" s="591"/>
    </row>
    <row r="81" spans="1:25" ht="14.85" customHeight="1">
      <c r="A81" s="619"/>
      <c r="B81" s="586"/>
      <c r="C81" s="259"/>
      <c r="D81" s="621"/>
      <c r="E81" s="588"/>
      <c r="F81" s="588"/>
      <c r="G81" s="254"/>
      <c r="H81" s="154"/>
      <c r="I81" s="154"/>
      <c r="J81" s="254"/>
      <c r="K81" s="311">
        <f t="shared" si="11"/>
        <v>0</v>
      </c>
      <c r="L81" s="312">
        <f t="shared" si="12"/>
        <v>0</v>
      </c>
      <c r="M81" s="313">
        <f t="shared" si="13"/>
        <v>0</v>
      </c>
      <c r="N81" s="314"/>
      <c r="O81" s="315">
        <f t="shared" si="14"/>
        <v>0</v>
      </c>
      <c r="P81" s="315">
        <f t="shared" si="15"/>
        <v>0</v>
      </c>
      <c r="Q81" s="314"/>
      <c r="R81" s="315">
        <f t="shared" si="17"/>
        <v>0</v>
      </c>
      <c r="S81" s="315">
        <f t="shared" si="18"/>
        <v>0</v>
      </c>
      <c r="T81" s="213"/>
      <c r="U81" s="213"/>
      <c r="V81" s="213"/>
      <c r="W81" s="213"/>
      <c r="X81" s="591"/>
      <c r="Y81" s="591"/>
    </row>
    <row r="82" spans="1:25" ht="14.85" customHeight="1">
      <c r="A82" s="619"/>
      <c r="B82" s="586"/>
      <c r="C82" s="259"/>
      <c r="D82" s="621"/>
      <c r="E82" s="589"/>
      <c r="F82" s="589"/>
      <c r="G82" s="254"/>
      <c r="H82" s="154"/>
      <c r="I82" s="154"/>
      <c r="J82" s="254"/>
      <c r="K82" s="311">
        <f t="shared" si="11"/>
        <v>0</v>
      </c>
      <c r="L82" s="312">
        <f t="shared" si="12"/>
        <v>0</v>
      </c>
      <c r="M82" s="313">
        <f t="shared" si="13"/>
        <v>0</v>
      </c>
      <c r="N82" s="314">
        <f>SUM(L79:L82)</f>
        <v>0</v>
      </c>
      <c r="O82" s="315">
        <f t="shared" si="14"/>
        <v>0</v>
      </c>
      <c r="P82" s="315">
        <f t="shared" si="15"/>
        <v>0</v>
      </c>
      <c r="Q82" s="314">
        <f>N82</f>
        <v>0</v>
      </c>
      <c r="R82" s="315">
        <f t="shared" si="17"/>
        <v>0</v>
      </c>
      <c r="S82" s="315">
        <f t="shared" si="18"/>
        <v>0</v>
      </c>
      <c r="T82" s="213"/>
      <c r="U82" s="213"/>
      <c r="V82" s="213"/>
      <c r="W82" s="213"/>
      <c r="X82" s="591"/>
      <c r="Y82" s="591"/>
    </row>
    <row r="83" spans="1:25" s="287" customFormat="1">
      <c r="A83" s="211" t="s">
        <v>129</v>
      </c>
      <c r="B83" s="211">
        <f>COUNTA(B13:B82)</f>
        <v>0</v>
      </c>
      <c r="C83" s="211"/>
      <c r="D83" s="211">
        <f>COUNTA(D13:D82)</f>
        <v>0</v>
      </c>
      <c r="E83" s="212">
        <f>COUNTA(E13:E82)</f>
        <v>0</v>
      </c>
      <c r="F83" s="211">
        <f>COUNTA(F13:F82)</f>
        <v>0</v>
      </c>
      <c r="G83" s="211">
        <f>COUNTA(G13:G82)</f>
        <v>0</v>
      </c>
      <c r="H83" s="211"/>
      <c r="I83" s="211">
        <f>COUNTA(I13:I82)</f>
        <v>0</v>
      </c>
      <c r="J83" s="280">
        <f>SUM(J13:J82)</f>
        <v>0</v>
      </c>
      <c r="K83" s="161">
        <f>SUM(K13:K82)</f>
        <v>0</v>
      </c>
      <c r="L83" s="161">
        <f>SUM(L13:L82)</f>
        <v>0</v>
      </c>
      <c r="M83" s="161">
        <f>SUM(M13:M82)</f>
        <v>0</v>
      </c>
      <c r="N83" s="161">
        <f>SUM(N13:N82)</f>
        <v>0</v>
      </c>
      <c r="O83" s="315">
        <f t="shared" si="14"/>
        <v>0</v>
      </c>
      <c r="P83" s="315">
        <f t="shared" si="15"/>
        <v>0</v>
      </c>
      <c r="Q83" s="161">
        <f>SUM(Q13:Q82)</f>
        <v>0</v>
      </c>
      <c r="R83" s="161">
        <f t="shared" ref="R83:R125" si="20">ROUNDDOWN((Q83/$O$11),0)</f>
        <v>0</v>
      </c>
      <c r="S83" s="161">
        <f t="shared" ref="S83:S125" si="21">ROUND((Q83-(R83*$P$11)),0)</f>
        <v>0</v>
      </c>
      <c r="T83" s="211"/>
      <c r="U83" s="211"/>
      <c r="V83" s="211"/>
      <c r="W83" s="211"/>
      <c r="X83" s="161" t="str">
        <f>IF(X13&lt;1.4,"1",IF(X13&lt;=2.3,"2",IF(X13&gt;2.3, ROUND(X13,0))))</f>
        <v>1</v>
      </c>
      <c r="Y83" s="161">
        <f>$Y$11*F83</f>
        <v>0</v>
      </c>
    </row>
    <row r="84" spans="1:25">
      <c r="A84" s="618"/>
      <c r="B84" s="585"/>
      <c r="C84" s="258"/>
      <c r="D84" s="620"/>
      <c r="E84" s="612"/>
      <c r="F84" s="613"/>
      <c r="G84" s="254"/>
      <c r="H84" s="154"/>
      <c r="I84" s="154"/>
      <c r="J84" s="254"/>
      <c r="K84" s="311">
        <f t="shared" ref="K84" si="22">J84/$K$11</f>
        <v>0</v>
      </c>
      <c r="L84" s="312">
        <f t="shared" ref="L84" si="23">J84/$L$11</f>
        <v>0</v>
      </c>
      <c r="M84" s="313">
        <f t="shared" ref="M84" si="24">ROUND((L84/$M$11),0)</f>
        <v>0</v>
      </c>
      <c r="N84" s="314"/>
      <c r="O84" s="315">
        <f t="shared" si="14"/>
        <v>0</v>
      </c>
      <c r="P84" s="315">
        <f t="shared" si="15"/>
        <v>0</v>
      </c>
      <c r="Q84" s="314"/>
      <c r="R84" s="315">
        <f t="shared" si="20"/>
        <v>0</v>
      </c>
      <c r="S84" s="315">
        <f t="shared" si="21"/>
        <v>0</v>
      </c>
      <c r="T84" s="213"/>
      <c r="U84" s="213"/>
      <c r="V84" s="213"/>
      <c r="W84" s="213"/>
      <c r="X84" s="590">
        <f>F133/$X$11</f>
        <v>0</v>
      </c>
      <c r="Y84" s="590"/>
    </row>
    <row r="85" spans="1:25">
      <c r="A85" s="619"/>
      <c r="B85" s="586"/>
      <c r="C85" s="259"/>
      <c r="D85" s="621"/>
      <c r="E85" s="612"/>
      <c r="F85" s="613"/>
      <c r="G85" s="254"/>
      <c r="H85" s="154"/>
      <c r="I85" s="154"/>
      <c r="J85" s="254"/>
      <c r="K85" s="311">
        <f t="shared" ref="K85:K131" si="25">J85/$K$11</f>
        <v>0</v>
      </c>
      <c r="L85" s="312">
        <f t="shared" ref="L85:L131" si="26">J85/$L$11</f>
        <v>0</v>
      </c>
      <c r="M85" s="313">
        <f t="shared" ref="M85:M131" si="27">ROUND((L85/$M$11),0)</f>
        <v>0</v>
      </c>
      <c r="N85" s="314"/>
      <c r="O85" s="315">
        <f t="shared" si="14"/>
        <v>0</v>
      </c>
      <c r="P85" s="315">
        <f t="shared" si="15"/>
        <v>0</v>
      </c>
      <c r="Q85" s="314"/>
      <c r="R85" s="315">
        <f t="shared" si="20"/>
        <v>0</v>
      </c>
      <c r="S85" s="315">
        <f t="shared" si="21"/>
        <v>0</v>
      </c>
      <c r="T85" s="213"/>
      <c r="U85" s="213"/>
      <c r="V85" s="213"/>
      <c r="W85" s="213"/>
      <c r="X85" s="591"/>
      <c r="Y85" s="591"/>
    </row>
    <row r="86" spans="1:25" ht="14.85" customHeight="1">
      <c r="A86" s="619"/>
      <c r="B86" s="586"/>
      <c r="C86" s="259"/>
      <c r="D86" s="621"/>
      <c r="E86" s="612"/>
      <c r="F86" s="613"/>
      <c r="G86" s="254"/>
      <c r="H86" s="154"/>
      <c r="I86" s="154"/>
      <c r="J86" s="254"/>
      <c r="K86" s="311">
        <f t="shared" si="25"/>
        <v>0</v>
      </c>
      <c r="L86" s="312">
        <f t="shared" si="26"/>
        <v>0</v>
      </c>
      <c r="M86" s="313">
        <f t="shared" si="27"/>
        <v>0</v>
      </c>
      <c r="N86" s="314"/>
      <c r="O86" s="315">
        <f t="shared" si="14"/>
        <v>0</v>
      </c>
      <c r="P86" s="315">
        <f t="shared" si="15"/>
        <v>0</v>
      </c>
      <c r="Q86" s="314"/>
      <c r="R86" s="315">
        <f t="shared" si="20"/>
        <v>0</v>
      </c>
      <c r="S86" s="315">
        <f t="shared" si="21"/>
        <v>0</v>
      </c>
      <c r="T86" s="213"/>
      <c r="U86" s="213"/>
      <c r="V86" s="213"/>
      <c r="W86" s="213"/>
      <c r="X86" s="591"/>
      <c r="Y86" s="591"/>
    </row>
    <row r="87" spans="1:25" ht="14.85" customHeight="1">
      <c r="A87" s="619"/>
      <c r="B87" s="586"/>
      <c r="C87" s="259"/>
      <c r="D87" s="621"/>
      <c r="E87" s="612"/>
      <c r="F87" s="613"/>
      <c r="G87" s="254"/>
      <c r="H87" s="154"/>
      <c r="I87" s="154"/>
      <c r="J87" s="254"/>
      <c r="K87" s="311">
        <f t="shared" si="25"/>
        <v>0</v>
      </c>
      <c r="L87" s="312">
        <f t="shared" si="26"/>
        <v>0</v>
      </c>
      <c r="M87" s="313">
        <f t="shared" si="27"/>
        <v>0</v>
      </c>
      <c r="N87" s="314">
        <f>SUM(L84:L87)</f>
        <v>0</v>
      </c>
      <c r="O87" s="315">
        <f t="shared" si="14"/>
        <v>0</v>
      </c>
      <c r="P87" s="315">
        <f t="shared" si="15"/>
        <v>0</v>
      </c>
      <c r="Q87" s="314"/>
      <c r="R87" s="315">
        <f t="shared" si="20"/>
        <v>0</v>
      </c>
      <c r="S87" s="315">
        <f t="shared" si="21"/>
        <v>0</v>
      </c>
      <c r="T87" s="213"/>
      <c r="U87" s="213"/>
      <c r="V87" s="213"/>
      <c r="W87" s="213"/>
      <c r="X87" s="591"/>
      <c r="Y87" s="591"/>
    </row>
    <row r="88" spans="1:25" ht="14.85" customHeight="1">
      <c r="A88" s="619"/>
      <c r="B88" s="586"/>
      <c r="C88" s="259"/>
      <c r="D88" s="621"/>
      <c r="E88" s="612"/>
      <c r="F88" s="613"/>
      <c r="G88" s="254"/>
      <c r="H88" s="154"/>
      <c r="I88" s="154"/>
      <c r="J88" s="254"/>
      <c r="K88" s="311">
        <f t="shared" si="25"/>
        <v>0</v>
      </c>
      <c r="L88" s="312">
        <f t="shared" si="26"/>
        <v>0</v>
      </c>
      <c r="M88" s="313">
        <f t="shared" si="27"/>
        <v>0</v>
      </c>
      <c r="N88" s="314"/>
      <c r="O88" s="315">
        <f t="shared" si="14"/>
        <v>0</v>
      </c>
      <c r="P88" s="315">
        <f t="shared" si="15"/>
        <v>0</v>
      </c>
      <c r="Q88" s="314"/>
      <c r="R88" s="315">
        <f t="shared" si="20"/>
        <v>0</v>
      </c>
      <c r="S88" s="315">
        <f t="shared" si="21"/>
        <v>0</v>
      </c>
      <c r="T88" s="213"/>
      <c r="U88" s="213"/>
      <c r="V88" s="213"/>
      <c r="W88" s="213"/>
      <c r="X88" s="591"/>
      <c r="Y88" s="591"/>
    </row>
    <row r="89" spans="1:25" ht="14.85" customHeight="1">
      <c r="A89" s="619"/>
      <c r="B89" s="586"/>
      <c r="C89" s="259"/>
      <c r="D89" s="621"/>
      <c r="E89" s="612"/>
      <c r="F89" s="613"/>
      <c r="G89" s="254"/>
      <c r="H89" s="154"/>
      <c r="I89" s="154"/>
      <c r="J89" s="254"/>
      <c r="K89" s="311">
        <f t="shared" si="25"/>
        <v>0</v>
      </c>
      <c r="L89" s="312">
        <f t="shared" si="26"/>
        <v>0</v>
      </c>
      <c r="M89" s="313">
        <f t="shared" si="27"/>
        <v>0</v>
      </c>
      <c r="N89" s="314">
        <f>L88+L89</f>
        <v>0</v>
      </c>
      <c r="O89" s="315">
        <f t="shared" si="14"/>
        <v>0</v>
      </c>
      <c r="P89" s="315">
        <f t="shared" si="15"/>
        <v>0</v>
      </c>
      <c r="Q89" s="314"/>
      <c r="R89" s="315">
        <f t="shared" si="20"/>
        <v>0</v>
      </c>
      <c r="S89" s="315">
        <f t="shared" si="21"/>
        <v>0</v>
      </c>
      <c r="T89" s="213"/>
      <c r="U89" s="213"/>
      <c r="V89" s="213"/>
      <c r="W89" s="213"/>
      <c r="X89" s="591"/>
      <c r="Y89" s="591"/>
    </row>
    <row r="90" spans="1:25" ht="14.85" customHeight="1">
      <c r="A90" s="619"/>
      <c r="B90" s="586"/>
      <c r="C90" s="259"/>
      <c r="D90" s="621"/>
      <c r="E90" s="612"/>
      <c r="F90" s="613"/>
      <c r="G90" s="254"/>
      <c r="H90" s="154"/>
      <c r="I90" s="154"/>
      <c r="J90" s="254"/>
      <c r="K90" s="311">
        <f t="shared" si="25"/>
        <v>0</v>
      </c>
      <c r="L90" s="312">
        <f t="shared" si="26"/>
        <v>0</v>
      </c>
      <c r="M90" s="313">
        <f t="shared" si="27"/>
        <v>0</v>
      </c>
      <c r="N90" s="314"/>
      <c r="O90" s="315">
        <f t="shared" si="14"/>
        <v>0</v>
      </c>
      <c r="P90" s="315">
        <f t="shared" si="15"/>
        <v>0</v>
      </c>
      <c r="Q90" s="314"/>
      <c r="R90" s="315">
        <f t="shared" si="20"/>
        <v>0</v>
      </c>
      <c r="S90" s="315">
        <f t="shared" si="21"/>
        <v>0</v>
      </c>
      <c r="T90" s="213"/>
      <c r="U90" s="213"/>
      <c r="V90" s="213"/>
      <c r="W90" s="213"/>
      <c r="X90" s="591"/>
      <c r="Y90" s="591"/>
    </row>
    <row r="91" spans="1:25" ht="14.85" customHeight="1">
      <c r="A91" s="619"/>
      <c r="B91" s="586"/>
      <c r="C91" s="259"/>
      <c r="D91" s="621"/>
      <c r="E91" s="612"/>
      <c r="F91" s="613"/>
      <c r="G91" s="254"/>
      <c r="H91" s="154"/>
      <c r="I91" s="154"/>
      <c r="J91" s="254"/>
      <c r="K91" s="311">
        <f t="shared" si="25"/>
        <v>0</v>
      </c>
      <c r="L91" s="312">
        <f t="shared" si="26"/>
        <v>0</v>
      </c>
      <c r="M91" s="313">
        <f t="shared" si="27"/>
        <v>0</v>
      </c>
      <c r="N91" s="314">
        <f>L90+L91</f>
        <v>0</v>
      </c>
      <c r="O91" s="315">
        <f t="shared" si="14"/>
        <v>0</v>
      </c>
      <c r="P91" s="315">
        <f t="shared" si="15"/>
        <v>0</v>
      </c>
      <c r="Q91" s="314">
        <f>SUM(N87:N91)</f>
        <v>0</v>
      </c>
      <c r="R91" s="315">
        <f t="shared" si="20"/>
        <v>0</v>
      </c>
      <c r="S91" s="315">
        <f t="shared" si="21"/>
        <v>0</v>
      </c>
      <c r="T91" s="213"/>
      <c r="U91" s="213"/>
      <c r="V91" s="213"/>
      <c r="W91" s="213"/>
      <c r="X91" s="591"/>
      <c r="Y91" s="591"/>
    </row>
    <row r="92" spans="1:25" ht="14.85" customHeight="1">
      <c r="A92" s="619"/>
      <c r="B92" s="586"/>
      <c r="C92" s="259"/>
      <c r="D92" s="621"/>
      <c r="E92" s="356"/>
      <c r="F92" s="262"/>
      <c r="G92" s="254"/>
      <c r="H92" s="154"/>
      <c r="I92" s="154"/>
      <c r="J92" s="254"/>
      <c r="K92" s="311"/>
      <c r="L92" s="312"/>
      <c r="M92" s="313"/>
      <c r="N92" s="314"/>
      <c r="O92" s="315"/>
      <c r="P92" s="315"/>
      <c r="Q92" s="314"/>
      <c r="R92" s="315"/>
      <c r="S92" s="315"/>
      <c r="T92" s="213"/>
      <c r="U92" s="213"/>
      <c r="V92" s="213"/>
      <c r="W92" s="213"/>
      <c r="X92" s="591"/>
      <c r="Y92" s="591"/>
    </row>
    <row r="93" spans="1:25" ht="14.85" customHeight="1">
      <c r="A93" s="619"/>
      <c r="B93" s="586"/>
      <c r="C93" s="259"/>
      <c r="D93" s="621"/>
      <c r="E93" s="612"/>
      <c r="F93" s="613"/>
      <c r="G93" s="254"/>
      <c r="H93" s="154"/>
      <c r="I93" s="154"/>
      <c r="J93" s="254"/>
      <c r="K93" s="311">
        <f t="shared" si="25"/>
        <v>0</v>
      </c>
      <c r="L93" s="312">
        <f t="shared" si="26"/>
        <v>0</v>
      </c>
      <c r="M93" s="313">
        <f t="shared" si="27"/>
        <v>0</v>
      </c>
      <c r="N93" s="314"/>
      <c r="O93" s="315">
        <f t="shared" si="14"/>
        <v>0</v>
      </c>
      <c r="P93" s="315">
        <f t="shared" si="15"/>
        <v>0</v>
      </c>
      <c r="Q93" s="314"/>
      <c r="R93" s="315">
        <f t="shared" si="20"/>
        <v>0</v>
      </c>
      <c r="S93" s="315">
        <f t="shared" si="21"/>
        <v>0</v>
      </c>
      <c r="T93" s="213"/>
      <c r="U93" s="213"/>
      <c r="V93" s="213"/>
      <c r="W93" s="213"/>
      <c r="X93" s="591"/>
      <c r="Y93" s="591"/>
    </row>
    <row r="94" spans="1:25" ht="14.85" customHeight="1">
      <c r="A94" s="619"/>
      <c r="B94" s="586"/>
      <c r="C94" s="259"/>
      <c r="D94" s="621"/>
      <c r="E94" s="612"/>
      <c r="F94" s="613"/>
      <c r="G94" s="254"/>
      <c r="H94" s="154"/>
      <c r="I94" s="154"/>
      <c r="J94" s="254"/>
      <c r="K94" s="311">
        <f t="shared" si="25"/>
        <v>0</v>
      </c>
      <c r="L94" s="312">
        <f t="shared" si="26"/>
        <v>0</v>
      </c>
      <c r="M94" s="313">
        <f t="shared" si="27"/>
        <v>0</v>
      </c>
      <c r="N94" s="314"/>
      <c r="O94" s="315">
        <f t="shared" si="14"/>
        <v>0</v>
      </c>
      <c r="P94" s="315">
        <f t="shared" si="15"/>
        <v>0</v>
      </c>
      <c r="Q94" s="314"/>
      <c r="R94" s="315">
        <f t="shared" si="20"/>
        <v>0</v>
      </c>
      <c r="S94" s="315">
        <f t="shared" si="21"/>
        <v>0</v>
      </c>
      <c r="T94" s="213"/>
      <c r="U94" s="213"/>
      <c r="V94" s="213"/>
      <c r="W94" s="213"/>
      <c r="X94" s="591"/>
      <c r="Y94" s="591"/>
    </row>
    <row r="95" spans="1:25" ht="14.85" customHeight="1">
      <c r="A95" s="619"/>
      <c r="B95" s="586"/>
      <c r="C95" s="259"/>
      <c r="D95" s="621"/>
      <c r="E95" s="612"/>
      <c r="F95" s="613"/>
      <c r="G95" s="254"/>
      <c r="H95" s="154"/>
      <c r="I95" s="154"/>
      <c r="J95" s="254"/>
      <c r="K95" s="311">
        <f t="shared" si="25"/>
        <v>0</v>
      </c>
      <c r="L95" s="312">
        <f t="shared" si="26"/>
        <v>0</v>
      </c>
      <c r="M95" s="313">
        <f t="shared" si="27"/>
        <v>0</v>
      </c>
      <c r="N95" s="314"/>
      <c r="O95" s="315">
        <f t="shared" si="14"/>
        <v>0</v>
      </c>
      <c r="P95" s="315">
        <f t="shared" si="15"/>
        <v>0</v>
      </c>
      <c r="Q95" s="314"/>
      <c r="R95" s="315">
        <f t="shared" si="20"/>
        <v>0</v>
      </c>
      <c r="S95" s="315">
        <f t="shared" si="21"/>
        <v>0</v>
      </c>
      <c r="T95" s="213"/>
      <c r="U95" s="213"/>
      <c r="V95" s="213"/>
      <c r="W95" s="213"/>
      <c r="X95" s="591"/>
      <c r="Y95" s="591"/>
    </row>
    <row r="96" spans="1:25" ht="14.85" customHeight="1">
      <c r="A96" s="619"/>
      <c r="B96" s="586"/>
      <c r="C96" s="259"/>
      <c r="D96" s="621"/>
      <c r="E96" s="612"/>
      <c r="F96" s="613"/>
      <c r="G96" s="254"/>
      <c r="H96" s="154"/>
      <c r="I96" s="154"/>
      <c r="J96" s="254"/>
      <c r="K96" s="311">
        <f t="shared" si="25"/>
        <v>0</v>
      </c>
      <c r="L96" s="312">
        <f t="shared" si="26"/>
        <v>0</v>
      </c>
      <c r="M96" s="313">
        <f t="shared" si="27"/>
        <v>0</v>
      </c>
      <c r="N96" s="314">
        <f>SUM(L93:L96)</f>
        <v>0</v>
      </c>
      <c r="O96" s="315">
        <f t="shared" si="14"/>
        <v>0</v>
      </c>
      <c r="P96" s="315">
        <f t="shared" si="15"/>
        <v>0</v>
      </c>
      <c r="Q96" s="314">
        <f>N96</f>
        <v>0</v>
      </c>
      <c r="R96" s="315">
        <f t="shared" si="20"/>
        <v>0</v>
      </c>
      <c r="S96" s="315">
        <f t="shared" si="21"/>
        <v>0</v>
      </c>
      <c r="T96" s="213"/>
      <c r="U96" s="213"/>
      <c r="V96" s="213"/>
      <c r="W96" s="213"/>
      <c r="X96" s="591"/>
      <c r="Y96" s="591"/>
    </row>
    <row r="97" spans="1:25" ht="14.85" customHeight="1">
      <c r="A97" s="619"/>
      <c r="B97" s="586"/>
      <c r="C97" s="259"/>
      <c r="D97" s="621"/>
      <c r="E97" s="356"/>
      <c r="F97" s="262"/>
      <c r="G97" s="254"/>
      <c r="H97" s="154"/>
      <c r="I97" s="154"/>
      <c r="J97" s="254"/>
      <c r="K97" s="311"/>
      <c r="L97" s="312"/>
      <c r="M97" s="313"/>
      <c r="N97" s="314"/>
      <c r="O97" s="315"/>
      <c r="P97" s="315"/>
      <c r="Q97" s="314"/>
      <c r="R97" s="315"/>
      <c r="S97" s="315"/>
      <c r="T97" s="213"/>
      <c r="U97" s="213"/>
      <c r="V97" s="213"/>
      <c r="W97" s="213"/>
      <c r="X97" s="591"/>
      <c r="Y97" s="591"/>
    </row>
    <row r="98" spans="1:25" ht="14.85" customHeight="1">
      <c r="A98" s="619"/>
      <c r="B98" s="586"/>
      <c r="C98" s="259"/>
      <c r="D98" s="621"/>
      <c r="E98" s="613"/>
      <c r="F98" s="613"/>
      <c r="G98" s="254"/>
      <c r="H98" s="154"/>
      <c r="I98" s="154"/>
      <c r="J98" s="254"/>
      <c r="K98" s="311">
        <f t="shared" si="25"/>
        <v>0</v>
      </c>
      <c r="L98" s="312">
        <f t="shared" si="26"/>
        <v>0</v>
      </c>
      <c r="M98" s="313">
        <f t="shared" si="27"/>
        <v>0</v>
      </c>
      <c r="N98" s="314"/>
      <c r="O98" s="315">
        <f t="shared" si="14"/>
        <v>0</v>
      </c>
      <c r="P98" s="315">
        <f t="shared" si="15"/>
        <v>0</v>
      </c>
      <c r="Q98" s="314"/>
      <c r="R98" s="315">
        <f t="shared" si="20"/>
        <v>0</v>
      </c>
      <c r="S98" s="315">
        <f t="shared" si="21"/>
        <v>0</v>
      </c>
      <c r="T98" s="213"/>
      <c r="U98" s="213"/>
      <c r="V98" s="213"/>
      <c r="W98" s="213"/>
      <c r="X98" s="591"/>
      <c r="Y98" s="591"/>
    </row>
    <row r="99" spans="1:25" ht="14.85" customHeight="1">
      <c r="A99" s="619"/>
      <c r="B99" s="586"/>
      <c r="C99" s="259"/>
      <c r="D99" s="621"/>
      <c r="E99" s="613"/>
      <c r="F99" s="613"/>
      <c r="G99" s="318"/>
      <c r="H99" s="285"/>
      <c r="I99" s="154"/>
      <c r="J99" s="254"/>
      <c r="K99" s="311">
        <f t="shared" si="25"/>
        <v>0</v>
      </c>
      <c r="L99" s="312">
        <f t="shared" si="26"/>
        <v>0</v>
      </c>
      <c r="M99" s="313">
        <f t="shared" si="27"/>
        <v>0</v>
      </c>
      <c r="N99" s="314">
        <f>L98+L99</f>
        <v>0</v>
      </c>
      <c r="O99" s="315">
        <f t="shared" si="14"/>
        <v>0</v>
      </c>
      <c r="P99" s="315">
        <f t="shared" si="15"/>
        <v>0</v>
      </c>
      <c r="Q99" s="314"/>
      <c r="R99" s="315">
        <f t="shared" si="20"/>
        <v>0</v>
      </c>
      <c r="S99" s="315">
        <f t="shared" si="21"/>
        <v>0</v>
      </c>
      <c r="T99" s="213"/>
      <c r="U99" s="213"/>
      <c r="V99" s="213"/>
      <c r="W99" s="213"/>
      <c r="X99" s="591"/>
      <c r="Y99" s="591"/>
    </row>
    <row r="100" spans="1:25" ht="14.85" customHeight="1">
      <c r="A100" s="619"/>
      <c r="B100" s="586"/>
      <c r="C100" s="259"/>
      <c r="D100" s="621"/>
      <c r="E100" s="613"/>
      <c r="F100" s="613"/>
      <c r="G100" s="254"/>
      <c r="H100" s="154"/>
      <c r="I100" s="154"/>
      <c r="J100" s="254"/>
      <c r="K100" s="311">
        <f t="shared" si="25"/>
        <v>0</v>
      </c>
      <c r="L100" s="312">
        <f t="shared" si="26"/>
        <v>0</v>
      </c>
      <c r="M100" s="313">
        <f t="shared" si="27"/>
        <v>0</v>
      </c>
      <c r="N100" s="314"/>
      <c r="O100" s="315">
        <f t="shared" ref="O100:O129" si="28">ROUNDDOWN((N100/$O$11),0)</f>
        <v>0</v>
      </c>
      <c r="P100" s="315">
        <f t="shared" ref="P100:P129" si="29">ROUND((N100-(O100*$P$11)),0)</f>
        <v>0</v>
      </c>
      <c r="Q100" s="314"/>
      <c r="R100" s="315">
        <f t="shared" si="20"/>
        <v>0</v>
      </c>
      <c r="S100" s="315">
        <f t="shared" si="21"/>
        <v>0</v>
      </c>
      <c r="T100" s="213"/>
      <c r="U100" s="213"/>
      <c r="V100" s="213"/>
      <c r="W100" s="213"/>
      <c r="X100" s="591"/>
      <c r="Y100" s="591"/>
    </row>
    <row r="101" spans="1:25" ht="14.85" customHeight="1">
      <c r="A101" s="619"/>
      <c r="B101" s="586"/>
      <c r="C101" s="259"/>
      <c r="D101" s="621"/>
      <c r="E101" s="613"/>
      <c r="F101" s="613"/>
      <c r="G101" s="318"/>
      <c r="H101" s="285"/>
      <c r="I101" s="154"/>
      <c r="J101" s="254"/>
      <c r="K101" s="311">
        <f t="shared" si="25"/>
        <v>0</v>
      </c>
      <c r="L101" s="312">
        <f t="shared" si="26"/>
        <v>0</v>
      </c>
      <c r="M101" s="313">
        <f t="shared" si="27"/>
        <v>0</v>
      </c>
      <c r="N101" s="314">
        <f>L100+L101</f>
        <v>0</v>
      </c>
      <c r="O101" s="315">
        <f t="shared" si="28"/>
        <v>0</v>
      </c>
      <c r="P101" s="315">
        <f t="shared" si="29"/>
        <v>0</v>
      </c>
      <c r="Q101" s="314">
        <f>SUM(N99:N101)</f>
        <v>0</v>
      </c>
      <c r="R101" s="315">
        <f t="shared" si="20"/>
        <v>0</v>
      </c>
      <c r="S101" s="315">
        <f t="shared" si="21"/>
        <v>0</v>
      </c>
      <c r="T101" s="213"/>
      <c r="U101" s="213"/>
      <c r="V101" s="213"/>
      <c r="W101" s="213"/>
      <c r="X101" s="591"/>
      <c r="Y101" s="591"/>
    </row>
    <row r="102" spans="1:25" ht="14.85" customHeight="1">
      <c r="A102" s="619"/>
      <c r="B102" s="586"/>
      <c r="C102" s="259"/>
      <c r="D102" s="621"/>
      <c r="E102" s="262"/>
      <c r="F102" s="262"/>
      <c r="G102" s="318"/>
      <c r="H102" s="285"/>
      <c r="I102" s="154"/>
      <c r="J102" s="254"/>
      <c r="K102" s="311"/>
      <c r="L102" s="312"/>
      <c r="M102" s="313"/>
      <c r="N102" s="314"/>
      <c r="O102" s="315"/>
      <c r="P102" s="315"/>
      <c r="Q102" s="314"/>
      <c r="R102" s="315"/>
      <c r="S102" s="315"/>
      <c r="T102" s="213"/>
      <c r="U102" s="213"/>
      <c r="V102" s="213"/>
      <c r="W102" s="213"/>
      <c r="X102" s="591"/>
      <c r="Y102" s="591"/>
    </row>
    <row r="103" spans="1:25" ht="14.85" customHeight="1">
      <c r="A103" s="619"/>
      <c r="B103" s="586"/>
      <c r="C103" s="259"/>
      <c r="D103" s="621"/>
      <c r="E103" s="612"/>
      <c r="F103" s="613"/>
      <c r="G103" s="254"/>
      <c r="H103" s="154"/>
      <c r="I103" s="154"/>
      <c r="J103" s="254"/>
      <c r="K103" s="311">
        <f t="shared" si="25"/>
        <v>0</v>
      </c>
      <c r="L103" s="312">
        <f t="shared" si="26"/>
        <v>0</v>
      </c>
      <c r="M103" s="313">
        <f t="shared" si="27"/>
        <v>0</v>
      </c>
      <c r="N103" s="314"/>
      <c r="O103" s="315">
        <f t="shared" si="28"/>
        <v>0</v>
      </c>
      <c r="P103" s="315">
        <f t="shared" si="29"/>
        <v>0</v>
      </c>
      <c r="Q103" s="314"/>
      <c r="R103" s="315">
        <f t="shared" si="20"/>
        <v>0</v>
      </c>
      <c r="S103" s="315">
        <f t="shared" si="21"/>
        <v>0</v>
      </c>
      <c r="T103" s="213"/>
      <c r="U103" s="213"/>
      <c r="V103" s="213"/>
      <c r="W103" s="213"/>
      <c r="X103" s="591"/>
      <c r="Y103" s="591"/>
    </row>
    <row r="104" spans="1:25" ht="14.85" customHeight="1">
      <c r="A104" s="619"/>
      <c r="B104" s="586"/>
      <c r="C104" s="259"/>
      <c r="D104" s="621"/>
      <c r="E104" s="612"/>
      <c r="F104" s="613"/>
      <c r="G104" s="254"/>
      <c r="H104" s="154"/>
      <c r="I104" s="154"/>
      <c r="J104" s="254"/>
      <c r="K104" s="311">
        <f t="shared" si="25"/>
        <v>0</v>
      </c>
      <c r="L104" s="312">
        <f t="shared" si="26"/>
        <v>0</v>
      </c>
      <c r="M104" s="313">
        <f t="shared" si="27"/>
        <v>0</v>
      </c>
      <c r="N104" s="314">
        <f>L103+L104</f>
        <v>0</v>
      </c>
      <c r="O104" s="315">
        <f t="shared" si="28"/>
        <v>0</v>
      </c>
      <c r="P104" s="315">
        <f t="shared" si="29"/>
        <v>0</v>
      </c>
      <c r="Q104" s="314"/>
      <c r="R104" s="315">
        <f t="shared" si="20"/>
        <v>0</v>
      </c>
      <c r="S104" s="315">
        <f t="shared" si="21"/>
        <v>0</v>
      </c>
      <c r="T104" s="213"/>
      <c r="U104" s="213"/>
      <c r="V104" s="213"/>
      <c r="W104" s="213"/>
      <c r="X104" s="591"/>
      <c r="Y104" s="591"/>
    </row>
    <row r="105" spans="1:25" ht="14.85" customHeight="1">
      <c r="A105" s="619"/>
      <c r="B105" s="586"/>
      <c r="C105" s="259"/>
      <c r="D105" s="621"/>
      <c r="E105" s="612"/>
      <c r="F105" s="613"/>
      <c r="G105" s="254"/>
      <c r="H105" s="154"/>
      <c r="I105" s="154"/>
      <c r="J105" s="254"/>
      <c r="K105" s="311">
        <f t="shared" si="25"/>
        <v>0</v>
      </c>
      <c r="L105" s="312">
        <f t="shared" si="26"/>
        <v>0</v>
      </c>
      <c r="M105" s="313">
        <f t="shared" si="27"/>
        <v>0</v>
      </c>
      <c r="N105" s="314"/>
      <c r="O105" s="315">
        <f t="shared" si="28"/>
        <v>0</v>
      </c>
      <c r="P105" s="315">
        <f t="shared" si="29"/>
        <v>0</v>
      </c>
      <c r="Q105" s="314"/>
      <c r="R105" s="315">
        <f t="shared" si="20"/>
        <v>0</v>
      </c>
      <c r="S105" s="315">
        <f t="shared" si="21"/>
        <v>0</v>
      </c>
      <c r="T105" s="213"/>
      <c r="U105" s="213"/>
      <c r="V105" s="213"/>
      <c r="W105" s="213"/>
      <c r="X105" s="591"/>
      <c r="Y105" s="591"/>
    </row>
    <row r="106" spans="1:25" ht="14.85" customHeight="1">
      <c r="A106" s="619"/>
      <c r="B106" s="586"/>
      <c r="C106" s="259"/>
      <c r="D106" s="621"/>
      <c r="E106" s="612"/>
      <c r="F106" s="613"/>
      <c r="G106" s="318"/>
      <c r="H106" s="285"/>
      <c r="I106" s="154"/>
      <c r="J106" s="254"/>
      <c r="K106" s="311">
        <f t="shared" si="25"/>
        <v>0</v>
      </c>
      <c r="L106" s="312">
        <f t="shared" si="26"/>
        <v>0</v>
      </c>
      <c r="M106" s="313">
        <f t="shared" si="27"/>
        <v>0</v>
      </c>
      <c r="N106" s="314">
        <f>L105+L106</f>
        <v>0</v>
      </c>
      <c r="O106" s="315">
        <f t="shared" si="28"/>
        <v>0</v>
      </c>
      <c r="P106" s="315">
        <f t="shared" si="29"/>
        <v>0</v>
      </c>
      <c r="Q106" s="314">
        <f>SUM(N104:N106)</f>
        <v>0</v>
      </c>
      <c r="R106" s="315">
        <f t="shared" si="20"/>
        <v>0</v>
      </c>
      <c r="S106" s="315">
        <f t="shared" si="21"/>
        <v>0</v>
      </c>
      <c r="T106" s="213"/>
      <c r="U106" s="213"/>
      <c r="V106" s="213"/>
      <c r="W106" s="213"/>
      <c r="X106" s="591"/>
      <c r="Y106" s="591"/>
    </row>
    <row r="107" spans="1:25" ht="14.85" customHeight="1">
      <c r="A107" s="619"/>
      <c r="B107" s="586"/>
      <c r="C107" s="259"/>
      <c r="D107" s="621"/>
      <c r="E107" s="356"/>
      <c r="F107" s="262"/>
      <c r="G107" s="318"/>
      <c r="H107" s="285"/>
      <c r="I107" s="154"/>
      <c r="J107" s="254"/>
      <c r="K107" s="311"/>
      <c r="L107" s="312"/>
      <c r="M107" s="313"/>
      <c r="N107" s="314"/>
      <c r="O107" s="315"/>
      <c r="P107" s="315"/>
      <c r="Q107" s="314"/>
      <c r="R107" s="315"/>
      <c r="S107" s="315"/>
      <c r="T107" s="213"/>
      <c r="U107" s="213"/>
      <c r="V107" s="213"/>
      <c r="W107" s="213"/>
      <c r="X107" s="591"/>
      <c r="Y107" s="591"/>
    </row>
    <row r="108" spans="1:25" ht="14.85" customHeight="1">
      <c r="A108" s="619"/>
      <c r="B108" s="586"/>
      <c r="C108" s="259"/>
      <c r="D108" s="621"/>
      <c r="E108" s="612"/>
      <c r="F108" s="613"/>
      <c r="G108" s="254"/>
      <c r="H108" s="154"/>
      <c r="I108" s="154"/>
      <c r="J108" s="254"/>
      <c r="K108" s="311">
        <f t="shared" si="25"/>
        <v>0</v>
      </c>
      <c r="L108" s="312">
        <f t="shared" si="26"/>
        <v>0</v>
      </c>
      <c r="M108" s="313">
        <f t="shared" si="27"/>
        <v>0</v>
      </c>
      <c r="N108" s="314"/>
      <c r="O108" s="315">
        <f t="shared" si="28"/>
        <v>0</v>
      </c>
      <c r="P108" s="315">
        <f t="shared" si="29"/>
        <v>0</v>
      </c>
      <c r="Q108" s="314"/>
      <c r="R108" s="315">
        <f t="shared" si="20"/>
        <v>0</v>
      </c>
      <c r="S108" s="315">
        <f t="shared" si="21"/>
        <v>0</v>
      </c>
      <c r="T108" s="213"/>
      <c r="U108" s="213"/>
      <c r="V108" s="213"/>
      <c r="W108" s="213"/>
      <c r="X108" s="591"/>
      <c r="Y108" s="591"/>
    </row>
    <row r="109" spans="1:25" ht="14.85" customHeight="1">
      <c r="A109" s="619"/>
      <c r="B109" s="586"/>
      <c r="C109" s="259"/>
      <c r="D109" s="621"/>
      <c r="E109" s="612"/>
      <c r="F109" s="613"/>
      <c r="G109" s="254"/>
      <c r="H109" s="154"/>
      <c r="I109" s="154"/>
      <c r="J109" s="254"/>
      <c r="K109" s="311">
        <f t="shared" si="25"/>
        <v>0</v>
      </c>
      <c r="L109" s="312">
        <f t="shared" si="26"/>
        <v>0</v>
      </c>
      <c r="M109" s="313">
        <f t="shared" si="27"/>
        <v>0</v>
      </c>
      <c r="N109" s="314"/>
      <c r="O109" s="315">
        <f t="shared" si="28"/>
        <v>0</v>
      </c>
      <c r="P109" s="315">
        <f t="shared" si="29"/>
        <v>0</v>
      </c>
      <c r="Q109" s="314"/>
      <c r="R109" s="315">
        <f t="shared" si="20"/>
        <v>0</v>
      </c>
      <c r="S109" s="315">
        <f t="shared" si="21"/>
        <v>0</v>
      </c>
      <c r="T109" s="213"/>
      <c r="U109" s="213"/>
      <c r="V109" s="213"/>
      <c r="W109" s="213"/>
      <c r="X109" s="591"/>
      <c r="Y109" s="591"/>
    </row>
    <row r="110" spans="1:25" ht="14.85" customHeight="1">
      <c r="A110" s="619"/>
      <c r="B110" s="586"/>
      <c r="C110" s="259"/>
      <c r="D110" s="621"/>
      <c r="E110" s="612"/>
      <c r="F110" s="613"/>
      <c r="G110" s="254"/>
      <c r="H110" s="154"/>
      <c r="I110" s="154"/>
      <c r="J110" s="254"/>
      <c r="K110" s="311">
        <f t="shared" si="25"/>
        <v>0</v>
      </c>
      <c r="L110" s="312">
        <f t="shared" si="26"/>
        <v>0</v>
      </c>
      <c r="M110" s="313">
        <f t="shared" si="27"/>
        <v>0</v>
      </c>
      <c r="N110" s="314"/>
      <c r="O110" s="315">
        <f t="shared" si="28"/>
        <v>0</v>
      </c>
      <c r="P110" s="315">
        <f t="shared" si="29"/>
        <v>0</v>
      </c>
      <c r="Q110" s="314"/>
      <c r="R110" s="315">
        <f t="shared" si="20"/>
        <v>0</v>
      </c>
      <c r="S110" s="315">
        <f t="shared" si="21"/>
        <v>0</v>
      </c>
      <c r="T110" s="213"/>
      <c r="U110" s="213"/>
      <c r="V110" s="213"/>
      <c r="W110" s="213"/>
      <c r="X110" s="591"/>
      <c r="Y110" s="591"/>
    </row>
    <row r="111" spans="1:25" ht="14.85" customHeight="1">
      <c r="A111" s="619"/>
      <c r="B111" s="586"/>
      <c r="C111" s="259"/>
      <c r="D111" s="621"/>
      <c r="E111" s="612"/>
      <c r="F111" s="613"/>
      <c r="G111" s="254"/>
      <c r="H111" s="154"/>
      <c r="I111" s="154"/>
      <c r="J111" s="254"/>
      <c r="K111" s="311">
        <f t="shared" si="25"/>
        <v>0</v>
      </c>
      <c r="L111" s="312">
        <f t="shared" si="26"/>
        <v>0</v>
      </c>
      <c r="M111" s="313">
        <f t="shared" si="27"/>
        <v>0</v>
      </c>
      <c r="N111" s="314"/>
      <c r="O111" s="315">
        <f t="shared" si="28"/>
        <v>0</v>
      </c>
      <c r="P111" s="315">
        <f t="shared" si="29"/>
        <v>0</v>
      </c>
      <c r="Q111" s="314"/>
      <c r="R111" s="315">
        <f t="shared" si="20"/>
        <v>0</v>
      </c>
      <c r="S111" s="315">
        <f t="shared" si="21"/>
        <v>0</v>
      </c>
      <c r="T111" s="213"/>
      <c r="U111" s="213"/>
      <c r="V111" s="213"/>
      <c r="W111" s="213"/>
      <c r="X111" s="591"/>
      <c r="Y111" s="591"/>
    </row>
    <row r="112" spans="1:25" ht="14.85" customHeight="1">
      <c r="A112" s="619"/>
      <c r="B112" s="586"/>
      <c r="C112" s="259"/>
      <c r="D112" s="621"/>
      <c r="E112" s="612"/>
      <c r="F112" s="613"/>
      <c r="G112" s="254"/>
      <c r="H112" s="154"/>
      <c r="I112" s="154"/>
      <c r="J112" s="254"/>
      <c r="K112" s="311">
        <f t="shared" si="25"/>
        <v>0</v>
      </c>
      <c r="L112" s="312">
        <f t="shared" si="26"/>
        <v>0</v>
      </c>
      <c r="M112" s="313">
        <f t="shared" si="27"/>
        <v>0</v>
      </c>
      <c r="N112" s="314">
        <f>SUM(L108:L112)</f>
        <v>0</v>
      </c>
      <c r="O112" s="315">
        <f t="shared" si="28"/>
        <v>0</v>
      </c>
      <c r="P112" s="315">
        <f t="shared" si="29"/>
        <v>0</v>
      </c>
      <c r="Q112" s="314"/>
      <c r="R112" s="315">
        <f t="shared" si="20"/>
        <v>0</v>
      </c>
      <c r="S112" s="315">
        <f t="shared" si="21"/>
        <v>0</v>
      </c>
      <c r="T112" s="213"/>
      <c r="U112" s="213"/>
      <c r="V112" s="213"/>
      <c r="W112" s="213"/>
      <c r="X112" s="591"/>
      <c r="Y112" s="591"/>
    </row>
    <row r="113" spans="1:25" ht="14.85" customHeight="1">
      <c r="A113" s="619"/>
      <c r="B113" s="586"/>
      <c r="C113" s="259"/>
      <c r="D113" s="621"/>
      <c r="E113" s="612"/>
      <c r="F113" s="613"/>
      <c r="G113" s="254"/>
      <c r="H113" s="154"/>
      <c r="I113" s="154"/>
      <c r="J113" s="254"/>
      <c r="K113" s="311">
        <f t="shared" si="25"/>
        <v>0</v>
      </c>
      <c r="L113" s="312">
        <f t="shared" si="26"/>
        <v>0</v>
      </c>
      <c r="M113" s="313">
        <f t="shared" si="27"/>
        <v>0</v>
      </c>
      <c r="N113" s="314"/>
      <c r="O113" s="315">
        <f t="shared" si="28"/>
        <v>0</v>
      </c>
      <c r="P113" s="315">
        <f t="shared" si="29"/>
        <v>0</v>
      </c>
      <c r="Q113" s="314"/>
      <c r="R113" s="315">
        <f t="shared" si="20"/>
        <v>0</v>
      </c>
      <c r="S113" s="315">
        <f t="shared" si="21"/>
        <v>0</v>
      </c>
      <c r="T113" s="213"/>
      <c r="U113" s="213"/>
      <c r="V113" s="213"/>
      <c r="W113" s="213"/>
      <c r="X113" s="591"/>
      <c r="Y113" s="591"/>
    </row>
    <row r="114" spans="1:25" ht="14.85" customHeight="1">
      <c r="A114" s="619"/>
      <c r="B114" s="586"/>
      <c r="C114" s="259"/>
      <c r="D114" s="621"/>
      <c r="E114" s="612"/>
      <c r="F114" s="613"/>
      <c r="G114" s="254"/>
      <c r="H114" s="154"/>
      <c r="I114" s="154"/>
      <c r="J114" s="281"/>
      <c r="K114" s="311">
        <f t="shared" si="25"/>
        <v>0</v>
      </c>
      <c r="L114" s="312">
        <f t="shared" si="26"/>
        <v>0</v>
      </c>
      <c r="M114" s="313">
        <f t="shared" si="27"/>
        <v>0</v>
      </c>
      <c r="N114" s="314"/>
      <c r="O114" s="315">
        <f t="shared" si="28"/>
        <v>0</v>
      </c>
      <c r="P114" s="315">
        <f t="shared" si="29"/>
        <v>0</v>
      </c>
      <c r="Q114" s="314"/>
      <c r="R114" s="315">
        <f t="shared" si="20"/>
        <v>0</v>
      </c>
      <c r="S114" s="315">
        <f t="shared" si="21"/>
        <v>0</v>
      </c>
      <c r="T114" s="213"/>
      <c r="U114" s="213"/>
      <c r="V114" s="213"/>
      <c r="W114" s="213"/>
      <c r="X114" s="591"/>
      <c r="Y114" s="591"/>
    </row>
    <row r="115" spans="1:25" ht="14.85" customHeight="1">
      <c r="A115" s="619"/>
      <c r="B115" s="586"/>
      <c r="C115" s="259"/>
      <c r="D115" s="621"/>
      <c r="E115" s="612"/>
      <c r="F115" s="613"/>
      <c r="G115" s="254"/>
      <c r="H115" s="154"/>
      <c r="I115" s="154"/>
      <c r="J115" s="281"/>
      <c r="K115" s="311">
        <f t="shared" si="25"/>
        <v>0</v>
      </c>
      <c r="L115" s="312">
        <f t="shared" si="26"/>
        <v>0</v>
      </c>
      <c r="M115" s="313">
        <f t="shared" si="27"/>
        <v>0</v>
      </c>
      <c r="N115" s="314">
        <f>SUM(L113:L115)</f>
        <v>0</v>
      </c>
      <c r="O115" s="315">
        <f t="shared" si="28"/>
        <v>0</v>
      </c>
      <c r="P115" s="315">
        <f t="shared" si="29"/>
        <v>0</v>
      </c>
      <c r="Q115" s="314">
        <f>SUM(N112:N115)</f>
        <v>0</v>
      </c>
      <c r="R115" s="315">
        <f t="shared" si="20"/>
        <v>0</v>
      </c>
      <c r="S115" s="315">
        <f t="shared" si="21"/>
        <v>0</v>
      </c>
      <c r="T115" s="213"/>
      <c r="U115" s="213"/>
      <c r="V115" s="213"/>
      <c r="W115" s="213"/>
      <c r="X115" s="591"/>
      <c r="Y115" s="591"/>
    </row>
    <row r="116" spans="1:25" ht="14.85" customHeight="1">
      <c r="A116" s="619"/>
      <c r="B116" s="586"/>
      <c r="C116" s="259"/>
      <c r="D116" s="621"/>
      <c r="E116" s="357"/>
      <c r="F116" s="262"/>
      <c r="G116" s="254"/>
      <c r="H116" s="154"/>
      <c r="I116" s="154"/>
      <c r="J116" s="281"/>
      <c r="K116" s="311"/>
      <c r="L116" s="312"/>
      <c r="M116" s="313"/>
      <c r="N116" s="314"/>
      <c r="O116" s="315"/>
      <c r="P116" s="315"/>
      <c r="Q116" s="314"/>
      <c r="R116" s="315"/>
      <c r="S116" s="315"/>
      <c r="T116" s="213"/>
      <c r="U116" s="213"/>
      <c r="V116" s="213"/>
      <c r="W116" s="213"/>
      <c r="X116" s="591"/>
      <c r="Y116" s="591"/>
    </row>
    <row r="117" spans="1:25" ht="14.85" customHeight="1">
      <c r="A117" s="619"/>
      <c r="B117" s="586"/>
      <c r="C117" s="259"/>
      <c r="D117" s="621"/>
      <c r="E117" s="614"/>
      <c r="F117" s="273"/>
      <c r="G117" s="254"/>
      <c r="H117" s="154"/>
      <c r="I117" s="154"/>
      <c r="J117" s="281"/>
      <c r="K117" s="311">
        <f t="shared" si="25"/>
        <v>0</v>
      </c>
      <c r="L117" s="312">
        <f t="shared" si="26"/>
        <v>0</v>
      </c>
      <c r="M117" s="313">
        <f t="shared" si="27"/>
        <v>0</v>
      </c>
      <c r="N117" s="314">
        <f>L117</f>
        <v>0</v>
      </c>
      <c r="O117" s="315">
        <f t="shared" si="28"/>
        <v>0</v>
      </c>
      <c r="P117" s="315">
        <f t="shared" si="29"/>
        <v>0</v>
      </c>
      <c r="Q117" s="314"/>
      <c r="R117" s="315">
        <f t="shared" si="20"/>
        <v>0</v>
      </c>
      <c r="S117" s="315">
        <f t="shared" si="21"/>
        <v>0</v>
      </c>
      <c r="T117" s="213"/>
      <c r="U117" s="213"/>
      <c r="V117" s="213"/>
      <c r="W117" s="213"/>
      <c r="X117" s="591"/>
      <c r="Y117" s="591"/>
    </row>
    <row r="118" spans="1:25" ht="14.85" customHeight="1">
      <c r="A118" s="619"/>
      <c r="B118" s="586"/>
      <c r="C118" s="259"/>
      <c r="D118" s="621"/>
      <c r="E118" s="615"/>
      <c r="F118" s="598"/>
      <c r="G118" s="254"/>
      <c r="H118" s="154"/>
      <c r="I118" s="154"/>
      <c r="J118" s="281"/>
      <c r="K118" s="311">
        <f t="shared" si="25"/>
        <v>0</v>
      </c>
      <c r="L118" s="312">
        <f t="shared" si="26"/>
        <v>0</v>
      </c>
      <c r="M118" s="313">
        <f t="shared" si="27"/>
        <v>0</v>
      </c>
      <c r="N118" s="314"/>
      <c r="O118" s="315">
        <f t="shared" si="28"/>
        <v>0</v>
      </c>
      <c r="P118" s="315">
        <f t="shared" si="29"/>
        <v>0</v>
      </c>
      <c r="Q118" s="314"/>
      <c r="R118" s="315">
        <f t="shared" si="20"/>
        <v>0</v>
      </c>
      <c r="S118" s="315">
        <f t="shared" si="21"/>
        <v>0</v>
      </c>
      <c r="T118" s="213"/>
      <c r="U118" s="213"/>
      <c r="V118" s="213"/>
      <c r="W118" s="213"/>
      <c r="X118" s="591"/>
      <c r="Y118" s="591"/>
    </row>
    <row r="119" spans="1:25" ht="14.85" customHeight="1">
      <c r="A119" s="619"/>
      <c r="B119" s="586"/>
      <c r="C119" s="259"/>
      <c r="D119" s="621"/>
      <c r="E119" s="615"/>
      <c r="F119" s="599"/>
      <c r="G119" s="254"/>
      <c r="H119" s="154"/>
      <c r="I119" s="154"/>
      <c r="J119" s="281"/>
      <c r="K119" s="311">
        <f t="shared" si="25"/>
        <v>0</v>
      </c>
      <c r="L119" s="312">
        <f t="shared" si="26"/>
        <v>0</v>
      </c>
      <c r="M119" s="313">
        <f t="shared" si="27"/>
        <v>0</v>
      </c>
      <c r="N119" s="314"/>
      <c r="O119" s="315">
        <f t="shared" si="28"/>
        <v>0</v>
      </c>
      <c r="P119" s="315">
        <f t="shared" si="29"/>
        <v>0</v>
      </c>
      <c r="Q119" s="314"/>
      <c r="R119" s="315">
        <f t="shared" si="20"/>
        <v>0</v>
      </c>
      <c r="S119" s="315">
        <f t="shared" si="21"/>
        <v>0</v>
      </c>
      <c r="T119" s="213"/>
      <c r="U119" s="213"/>
      <c r="V119" s="213"/>
      <c r="W119" s="213"/>
      <c r="X119" s="591"/>
      <c r="Y119" s="591"/>
    </row>
    <row r="120" spans="1:25" ht="14.85" customHeight="1">
      <c r="A120" s="619"/>
      <c r="B120" s="586"/>
      <c r="C120" s="259"/>
      <c r="D120" s="621"/>
      <c r="E120" s="615"/>
      <c r="F120" s="600"/>
      <c r="G120" s="254"/>
      <c r="H120" s="154"/>
      <c r="I120" s="154"/>
      <c r="J120" s="281"/>
      <c r="K120" s="311">
        <f t="shared" si="25"/>
        <v>0</v>
      </c>
      <c r="L120" s="312">
        <f t="shared" si="26"/>
        <v>0</v>
      </c>
      <c r="M120" s="313">
        <f t="shared" si="27"/>
        <v>0</v>
      </c>
      <c r="N120" s="314">
        <f>SUM(L118:L120)</f>
        <v>0</v>
      </c>
      <c r="O120" s="315">
        <f t="shared" si="28"/>
        <v>0</v>
      </c>
      <c r="P120" s="315">
        <f t="shared" si="29"/>
        <v>0</v>
      </c>
      <c r="Q120" s="314"/>
      <c r="R120" s="315">
        <f t="shared" si="20"/>
        <v>0</v>
      </c>
      <c r="S120" s="315">
        <f t="shared" si="21"/>
        <v>0</v>
      </c>
      <c r="T120" s="213"/>
      <c r="U120" s="213"/>
      <c r="V120" s="213"/>
      <c r="W120" s="213"/>
      <c r="X120" s="591"/>
      <c r="Y120" s="591"/>
    </row>
    <row r="121" spans="1:25" ht="14.85" customHeight="1">
      <c r="A121" s="619"/>
      <c r="B121" s="586"/>
      <c r="C121" s="259"/>
      <c r="D121" s="621"/>
      <c r="E121" s="615"/>
      <c r="F121" s="598"/>
      <c r="G121" s="254"/>
      <c r="H121" s="154"/>
      <c r="I121" s="154"/>
      <c r="J121" s="281"/>
      <c r="K121" s="311">
        <f t="shared" si="25"/>
        <v>0</v>
      </c>
      <c r="L121" s="312">
        <f t="shared" si="26"/>
        <v>0</v>
      </c>
      <c r="M121" s="313">
        <f t="shared" si="27"/>
        <v>0</v>
      </c>
      <c r="N121" s="314"/>
      <c r="O121" s="315">
        <f t="shared" si="28"/>
        <v>0</v>
      </c>
      <c r="P121" s="315">
        <f t="shared" si="29"/>
        <v>0</v>
      </c>
      <c r="Q121" s="314"/>
      <c r="R121" s="315">
        <f t="shared" si="20"/>
        <v>0</v>
      </c>
      <c r="S121" s="315">
        <f t="shared" si="21"/>
        <v>0</v>
      </c>
      <c r="T121" s="213"/>
      <c r="U121" s="213"/>
      <c r="V121" s="213"/>
      <c r="W121" s="213"/>
      <c r="X121" s="591"/>
      <c r="Y121" s="591"/>
    </row>
    <row r="122" spans="1:25" ht="14.85" customHeight="1">
      <c r="A122" s="619"/>
      <c r="B122" s="586"/>
      <c r="C122" s="259"/>
      <c r="D122" s="621"/>
      <c r="E122" s="616"/>
      <c r="F122" s="600"/>
      <c r="G122" s="254"/>
      <c r="H122" s="154"/>
      <c r="I122" s="154"/>
      <c r="J122" s="281"/>
      <c r="K122" s="311">
        <f t="shared" si="25"/>
        <v>0</v>
      </c>
      <c r="L122" s="312">
        <f t="shared" si="26"/>
        <v>0</v>
      </c>
      <c r="M122" s="313">
        <f t="shared" si="27"/>
        <v>0</v>
      </c>
      <c r="N122" s="314">
        <f>L122+L121</f>
        <v>0</v>
      </c>
      <c r="O122" s="315">
        <f t="shared" si="28"/>
        <v>0</v>
      </c>
      <c r="P122" s="315">
        <f t="shared" si="29"/>
        <v>0</v>
      </c>
      <c r="Q122" s="314">
        <f>SUM(N117:N122)</f>
        <v>0</v>
      </c>
      <c r="R122" s="315">
        <f t="shared" si="20"/>
        <v>0</v>
      </c>
      <c r="S122" s="315">
        <f t="shared" si="21"/>
        <v>0</v>
      </c>
      <c r="T122" s="213"/>
      <c r="U122" s="213"/>
      <c r="V122" s="213"/>
      <c r="W122" s="213"/>
      <c r="X122" s="591"/>
      <c r="Y122" s="591"/>
    </row>
    <row r="123" spans="1:25" ht="14.85" customHeight="1">
      <c r="A123" s="619"/>
      <c r="B123" s="586"/>
      <c r="C123" s="259"/>
      <c r="D123" s="621"/>
      <c r="E123" s="358"/>
      <c r="F123" s="359"/>
      <c r="G123" s="254"/>
      <c r="H123" s="154"/>
      <c r="I123" s="154"/>
      <c r="J123" s="281"/>
      <c r="K123" s="311"/>
      <c r="L123" s="312"/>
      <c r="M123" s="313"/>
      <c r="N123" s="314"/>
      <c r="O123" s="315"/>
      <c r="P123" s="315"/>
      <c r="Q123" s="314"/>
      <c r="R123" s="315"/>
      <c r="S123" s="315"/>
      <c r="T123" s="213"/>
      <c r="U123" s="213"/>
      <c r="V123" s="213"/>
      <c r="W123" s="213"/>
      <c r="X123" s="591"/>
      <c r="Y123" s="591"/>
    </row>
    <row r="124" spans="1:25" ht="14.85" customHeight="1">
      <c r="A124" s="619"/>
      <c r="B124" s="586"/>
      <c r="C124" s="259"/>
      <c r="D124" s="621"/>
      <c r="E124" s="587"/>
      <c r="F124" s="598"/>
      <c r="G124" s="254"/>
      <c r="H124" s="154"/>
      <c r="I124" s="154"/>
      <c r="J124" s="281"/>
      <c r="K124" s="311">
        <f t="shared" si="25"/>
        <v>0</v>
      </c>
      <c r="L124" s="312">
        <f t="shared" si="26"/>
        <v>0</v>
      </c>
      <c r="M124" s="313">
        <f t="shared" si="27"/>
        <v>0</v>
      </c>
      <c r="N124" s="314"/>
      <c r="O124" s="315">
        <f t="shared" si="28"/>
        <v>0</v>
      </c>
      <c r="P124" s="315">
        <f t="shared" si="29"/>
        <v>0</v>
      </c>
      <c r="Q124" s="314"/>
      <c r="R124" s="315">
        <f t="shared" si="20"/>
        <v>0</v>
      </c>
      <c r="S124" s="315">
        <f t="shared" si="21"/>
        <v>0</v>
      </c>
      <c r="T124" s="213"/>
      <c r="U124" s="213"/>
      <c r="V124" s="213"/>
      <c r="W124" s="213"/>
      <c r="X124" s="591"/>
      <c r="Y124" s="591"/>
    </row>
    <row r="125" spans="1:25" ht="14.85" customHeight="1">
      <c r="A125" s="619"/>
      <c r="B125" s="586"/>
      <c r="C125" s="259"/>
      <c r="D125" s="621"/>
      <c r="E125" s="588"/>
      <c r="F125" s="599"/>
      <c r="G125" s="254"/>
      <c r="H125" s="154"/>
      <c r="I125" s="154"/>
      <c r="J125" s="281"/>
      <c r="K125" s="311">
        <f t="shared" si="25"/>
        <v>0</v>
      </c>
      <c r="L125" s="312">
        <f t="shared" si="26"/>
        <v>0</v>
      </c>
      <c r="M125" s="313">
        <f t="shared" si="27"/>
        <v>0</v>
      </c>
      <c r="N125" s="314"/>
      <c r="O125" s="315">
        <f t="shared" si="28"/>
        <v>0</v>
      </c>
      <c r="P125" s="315">
        <f t="shared" si="29"/>
        <v>0</v>
      </c>
      <c r="Q125" s="314"/>
      <c r="R125" s="315">
        <f t="shared" si="20"/>
        <v>0</v>
      </c>
      <c r="S125" s="315">
        <f t="shared" si="21"/>
        <v>0</v>
      </c>
      <c r="T125" s="213"/>
      <c r="U125" s="213"/>
      <c r="V125" s="213"/>
      <c r="W125" s="213"/>
      <c r="X125" s="591"/>
      <c r="Y125" s="591"/>
    </row>
    <row r="126" spans="1:25" ht="14.85" customHeight="1">
      <c r="A126" s="619"/>
      <c r="B126" s="586"/>
      <c r="C126" s="259"/>
      <c r="D126" s="621"/>
      <c r="E126" s="588"/>
      <c r="F126" s="599"/>
      <c r="G126" s="254"/>
      <c r="H126" s="154"/>
      <c r="I126" s="154"/>
      <c r="J126" s="281"/>
      <c r="K126" s="311">
        <f t="shared" si="25"/>
        <v>0</v>
      </c>
      <c r="L126" s="312">
        <f t="shared" si="26"/>
        <v>0</v>
      </c>
      <c r="M126" s="313">
        <f t="shared" si="27"/>
        <v>0</v>
      </c>
      <c r="N126" s="314"/>
      <c r="O126" s="315">
        <f t="shared" si="28"/>
        <v>0</v>
      </c>
      <c r="P126" s="315">
        <f t="shared" si="29"/>
        <v>0</v>
      </c>
      <c r="Q126" s="314"/>
      <c r="R126" s="315">
        <f t="shared" ref="R126:R136" si="30">ROUNDDOWN((Q126/$O$11),0)</f>
        <v>0</v>
      </c>
      <c r="S126" s="315">
        <f t="shared" ref="S126:S136" si="31">ROUND((Q126-(R126*$P$11)),0)</f>
        <v>0</v>
      </c>
      <c r="T126" s="213"/>
      <c r="U126" s="213"/>
      <c r="V126" s="213"/>
      <c r="W126" s="213"/>
      <c r="X126" s="591"/>
      <c r="Y126" s="591"/>
    </row>
    <row r="127" spans="1:25" ht="14.85" customHeight="1">
      <c r="A127" s="619"/>
      <c r="B127" s="586"/>
      <c r="C127" s="259"/>
      <c r="D127" s="621"/>
      <c r="E127" s="588"/>
      <c r="F127" s="600"/>
      <c r="G127" s="254"/>
      <c r="H127" s="154"/>
      <c r="I127" s="154"/>
      <c r="J127" s="281"/>
      <c r="K127" s="311">
        <f t="shared" si="25"/>
        <v>0</v>
      </c>
      <c r="L127" s="312">
        <f t="shared" si="26"/>
        <v>0</v>
      </c>
      <c r="M127" s="313">
        <f t="shared" si="27"/>
        <v>0</v>
      </c>
      <c r="N127" s="314">
        <f>SUM(L124:L127)</f>
        <v>0</v>
      </c>
      <c r="O127" s="315">
        <f t="shared" si="28"/>
        <v>0</v>
      </c>
      <c r="P127" s="315">
        <f t="shared" si="29"/>
        <v>0</v>
      </c>
      <c r="Q127" s="314"/>
      <c r="R127" s="315">
        <f t="shared" si="30"/>
        <v>0</v>
      </c>
      <c r="S127" s="315">
        <f t="shared" si="31"/>
        <v>0</v>
      </c>
      <c r="T127" s="213"/>
      <c r="U127" s="213"/>
      <c r="V127" s="213"/>
      <c r="W127" s="213"/>
      <c r="X127" s="591"/>
      <c r="Y127" s="591"/>
    </row>
    <row r="128" spans="1:25" ht="14.85" customHeight="1">
      <c r="A128" s="619"/>
      <c r="B128" s="586"/>
      <c r="C128" s="259"/>
      <c r="D128" s="621"/>
      <c r="E128" s="588"/>
      <c r="F128" s="598"/>
      <c r="G128" s="254"/>
      <c r="H128" s="154"/>
      <c r="I128" s="154"/>
      <c r="J128" s="281"/>
      <c r="K128" s="311">
        <f t="shared" si="25"/>
        <v>0</v>
      </c>
      <c r="L128" s="312">
        <f t="shared" si="26"/>
        <v>0</v>
      </c>
      <c r="M128" s="313">
        <f t="shared" si="27"/>
        <v>0</v>
      </c>
      <c r="N128" s="314"/>
      <c r="O128" s="315">
        <f t="shared" si="28"/>
        <v>0</v>
      </c>
      <c r="P128" s="315">
        <f t="shared" si="29"/>
        <v>0</v>
      </c>
      <c r="Q128" s="314"/>
      <c r="R128" s="315">
        <f t="shared" si="30"/>
        <v>0</v>
      </c>
      <c r="S128" s="315">
        <f t="shared" si="31"/>
        <v>0</v>
      </c>
      <c r="T128" s="213"/>
      <c r="U128" s="213"/>
      <c r="V128" s="213"/>
      <c r="W128" s="213"/>
      <c r="X128" s="591"/>
      <c r="Y128" s="591"/>
    </row>
    <row r="129" spans="1:25" ht="14.85" customHeight="1">
      <c r="A129" s="619"/>
      <c r="B129" s="586"/>
      <c r="C129" s="259"/>
      <c r="D129" s="621"/>
      <c r="E129" s="589"/>
      <c r="F129" s="600"/>
      <c r="G129" s="254"/>
      <c r="H129" s="154"/>
      <c r="I129" s="154"/>
      <c r="J129" s="281"/>
      <c r="K129" s="311">
        <f t="shared" si="25"/>
        <v>0</v>
      </c>
      <c r="L129" s="312">
        <f t="shared" si="26"/>
        <v>0</v>
      </c>
      <c r="M129" s="313">
        <f t="shared" si="27"/>
        <v>0</v>
      </c>
      <c r="N129" s="314">
        <f>L128+L129</f>
        <v>0</v>
      </c>
      <c r="O129" s="315">
        <f t="shared" si="28"/>
        <v>0</v>
      </c>
      <c r="P129" s="315">
        <f t="shared" si="29"/>
        <v>0</v>
      </c>
      <c r="Q129" s="314">
        <f>N127+N129</f>
        <v>0</v>
      </c>
      <c r="R129" s="315">
        <f t="shared" si="30"/>
        <v>0</v>
      </c>
      <c r="S129" s="315">
        <f t="shared" si="31"/>
        <v>0</v>
      </c>
      <c r="T129" s="213"/>
      <c r="U129" s="213"/>
      <c r="V129" s="213"/>
      <c r="W129" s="213"/>
      <c r="X129" s="591"/>
      <c r="Y129" s="591"/>
    </row>
    <row r="130" spans="1:25" ht="14.85" customHeight="1">
      <c r="A130" s="316"/>
      <c r="B130" s="259"/>
      <c r="C130" s="259"/>
      <c r="D130" s="256"/>
      <c r="E130" s="360"/>
      <c r="F130" s="361"/>
      <c r="G130" s="254"/>
      <c r="H130" s="154"/>
      <c r="I130" s="154"/>
      <c r="J130" s="281"/>
      <c r="K130" s="311">
        <f t="shared" si="25"/>
        <v>0</v>
      </c>
      <c r="L130" s="312">
        <f t="shared" si="26"/>
        <v>0</v>
      </c>
      <c r="M130" s="313">
        <f t="shared" si="27"/>
        <v>0</v>
      </c>
      <c r="N130" s="314"/>
      <c r="O130" s="315">
        <f t="shared" ref="O130:O132" si="32">ROUNDDOWN((N130/$O$11),0)</f>
        <v>0</v>
      </c>
      <c r="P130" s="315">
        <f t="shared" ref="P130:P132" si="33">ROUND((N130-(O130*$P$11)),0)</f>
        <v>0</v>
      </c>
      <c r="Q130" s="314"/>
      <c r="R130" s="315">
        <f t="shared" ref="R130:R132" si="34">ROUNDDOWN((Q130/$O$11),0)</f>
        <v>0</v>
      </c>
      <c r="S130" s="315">
        <f t="shared" ref="S130:S132" si="35">ROUND((Q130-(R130*$P$11)),0)</f>
        <v>0</v>
      </c>
      <c r="T130" s="213"/>
      <c r="U130" s="213"/>
      <c r="V130" s="213"/>
      <c r="W130" s="213"/>
      <c r="X130" s="317"/>
      <c r="Y130" s="317"/>
    </row>
    <row r="131" spans="1:25" ht="14.85" customHeight="1">
      <c r="A131" s="316"/>
      <c r="B131" s="259"/>
      <c r="C131" s="259"/>
      <c r="D131" s="256"/>
      <c r="E131" s="360"/>
      <c r="F131" s="361"/>
      <c r="G131" s="254"/>
      <c r="H131" s="154"/>
      <c r="I131" s="154"/>
      <c r="J131" s="281"/>
      <c r="K131" s="311">
        <f t="shared" si="25"/>
        <v>0</v>
      </c>
      <c r="L131" s="312">
        <f t="shared" si="26"/>
        <v>0</v>
      </c>
      <c r="M131" s="313">
        <f t="shared" si="27"/>
        <v>0</v>
      </c>
      <c r="N131" s="314">
        <f>L130+L131</f>
        <v>0</v>
      </c>
      <c r="O131" s="315">
        <f t="shared" si="32"/>
        <v>0</v>
      </c>
      <c r="P131" s="315">
        <f t="shared" si="33"/>
        <v>0</v>
      </c>
      <c r="Q131" s="314">
        <f>N131</f>
        <v>0</v>
      </c>
      <c r="R131" s="315">
        <f t="shared" si="34"/>
        <v>0</v>
      </c>
      <c r="S131" s="315">
        <f t="shared" si="35"/>
        <v>0</v>
      </c>
      <c r="T131" s="213"/>
      <c r="U131" s="213"/>
      <c r="V131" s="213"/>
      <c r="W131" s="213"/>
      <c r="X131" s="317"/>
      <c r="Y131" s="317"/>
    </row>
    <row r="132" spans="1:25" ht="14.85" customHeight="1">
      <c r="A132" s="316"/>
      <c r="B132" s="259"/>
      <c r="C132" s="259"/>
      <c r="D132" s="256"/>
      <c r="E132" s="360"/>
      <c r="F132" s="361"/>
      <c r="G132" s="254"/>
      <c r="H132" s="154"/>
      <c r="I132" s="154"/>
      <c r="J132" s="281"/>
      <c r="K132" s="311"/>
      <c r="L132" s="312"/>
      <c r="M132" s="313"/>
      <c r="N132" s="314"/>
      <c r="O132" s="315">
        <f t="shared" si="32"/>
        <v>0</v>
      </c>
      <c r="P132" s="315">
        <f t="shared" si="33"/>
        <v>0</v>
      </c>
      <c r="Q132" s="314"/>
      <c r="R132" s="315">
        <f t="shared" si="34"/>
        <v>0</v>
      </c>
      <c r="S132" s="315">
        <f t="shared" si="35"/>
        <v>0</v>
      </c>
      <c r="T132" s="213"/>
      <c r="U132" s="213"/>
      <c r="V132" s="213"/>
      <c r="W132" s="213"/>
      <c r="X132" s="317"/>
      <c r="Y132" s="317"/>
    </row>
    <row r="133" spans="1:25" s="287" customFormat="1">
      <c r="A133" s="211" t="s">
        <v>129</v>
      </c>
      <c r="B133" s="211">
        <f>COUNTA(B84:B129)</f>
        <v>0</v>
      </c>
      <c r="C133" s="211"/>
      <c r="D133" s="211">
        <f>COUNTA(D84:D129)</f>
        <v>0</v>
      </c>
      <c r="E133" s="212">
        <f>COUNTA(E84:E129)</f>
        <v>0</v>
      </c>
      <c r="F133" s="211">
        <f>COUNTA(F84:F132)</f>
        <v>0</v>
      </c>
      <c r="G133" s="211">
        <f>COUNTA(G84:G132)</f>
        <v>0</v>
      </c>
      <c r="H133" s="211"/>
      <c r="I133" s="211">
        <f>COUNTA(I84:I131)</f>
        <v>0</v>
      </c>
      <c r="J133" s="280">
        <f>SUM(J84:J131)</f>
        <v>0</v>
      </c>
      <c r="K133" s="161">
        <f>SUM(K84:K129)</f>
        <v>0</v>
      </c>
      <c r="L133" s="161">
        <f>SUM(L84:L129)</f>
        <v>0</v>
      </c>
      <c r="M133" s="161">
        <f>SUM(M84:M129)</f>
        <v>0</v>
      </c>
      <c r="N133" s="161">
        <f>SUM(N84:N129)</f>
        <v>0</v>
      </c>
      <c r="O133" s="315">
        <f t="shared" ref="O133:O187" si="36">ROUNDDOWN((N133/$O$11),0)</f>
        <v>0</v>
      </c>
      <c r="P133" s="315">
        <f t="shared" ref="P133:P187" si="37">ROUND((N133-(O133*$P$11)),0)</f>
        <v>0</v>
      </c>
      <c r="Q133" s="161">
        <f>SUM(Q84:Q129)</f>
        <v>0</v>
      </c>
      <c r="R133" s="161">
        <f t="shared" si="30"/>
        <v>0</v>
      </c>
      <c r="S133" s="161">
        <f t="shared" si="31"/>
        <v>0</v>
      </c>
      <c r="T133" s="211"/>
      <c r="U133" s="211"/>
      <c r="V133" s="211"/>
      <c r="W133" s="211"/>
      <c r="X133" s="161" t="str">
        <f>IF(X84&lt;1.4,"1",IF(X84&lt;=2.3,"2",IF(X84&gt;2.3, ROUND(X84,0))))</f>
        <v>1</v>
      </c>
      <c r="Y133" s="161">
        <f>$Y$11*F133</f>
        <v>0</v>
      </c>
    </row>
    <row r="134" spans="1:25">
      <c r="A134" s="618"/>
      <c r="B134" s="585"/>
      <c r="C134" s="258"/>
      <c r="D134" s="620"/>
      <c r="E134" s="587"/>
      <c r="F134" s="154"/>
      <c r="G134" s="254"/>
      <c r="H134" s="154"/>
      <c r="I134" s="154"/>
      <c r="J134" s="254"/>
      <c r="K134" s="311">
        <f t="shared" ref="K134" si="38">J134/$K$11</f>
        <v>0</v>
      </c>
      <c r="L134" s="312">
        <f t="shared" ref="L134" si="39">J134/$L$11</f>
        <v>0</v>
      </c>
      <c r="M134" s="313">
        <f t="shared" ref="M134" si="40">ROUND((L134/$M$11),0)</f>
        <v>0</v>
      </c>
      <c r="N134" s="314">
        <f>L134</f>
        <v>0</v>
      </c>
      <c r="O134" s="315">
        <f t="shared" si="36"/>
        <v>0</v>
      </c>
      <c r="P134" s="315">
        <f t="shared" si="37"/>
        <v>0</v>
      </c>
      <c r="Q134" s="314"/>
      <c r="R134" s="315">
        <f t="shared" si="30"/>
        <v>0</v>
      </c>
      <c r="S134" s="315">
        <f t="shared" si="31"/>
        <v>0</v>
      </c>
      <c r="T134" s="213"/>
      <c r="U134" s="213"/>
      <c r="V134" s="213"/>
      <c r="W134" s="213"/>
      <c r="X134" s="590">
        <f>F177/$X$11</f>
        <v>0</v>
      </c>
      <c r="Y134" s="590"/>
    </row>
    <row r="135" spans="1:25" ht="14.85" customHeight="1">
      <c r="A135" s="619"/>
      <c r="B135" s="586"/>
      <c r="C135" s="259"/>
      <c r="D135" s="621"/>
      <c r="E135" s="588"/>
      <c r="F135" s="604"/>
      <c r="G135" s="254"/>
      <c r="H135" s="154"/>
      <c r="I135" s="154"/>
      <c r="J135" s="254"/>
      <c r="K135" s="311">
        <f t="shared" ref="K135:K175" si="41">J135/$K$11</f>
        <v>0</v>
      </c>
      <c r="L135" s="312">
        <f t="shared" ref="L135:L175" si="42">J135/$L$11</f>
        <v>0</v>
      </c>
      <c r="M135" s="313">
        <f t="shared" ref="M135:M175" si="43">ROUND((L135/$M$11),0)</f>
        <v>0</v>
      </c>
      <c r="N135" s="314"/>
      <c r="O135" s="315">
        <f t="shared" si="36"/>
        <v>0</v>
      </c>
      <c r="P135" s="315">
        <f t="shared" si="37"/>
        <v>0</v>
      </c>
      <c r="Q135" s="314"/>
      <c r="R135" s="315">
        <f t="shared" si="30"/>
        <v>0</v>
      </c>
      <c r="S135" s="315">
        <f t="shared" si="31"/>
        <v>0</v>
      </c>
      <c r="T135" s="213"/>
      <c r="U135" s="213"/>
      <c r="V135" s="213"/>
      <c r="W135" s="213"/>
      <c r="X135" s="591"/>
      <c r="Y135" s="591"/>
    </row>
    <row r="136" spans="1:25" ht="14.85" customHeight="1">
      <c r="A136" s="619"/>
      <c r="B136" s="586"/>
      <c r="C136" s="259"/>
      <c r="D136" s="621"/>
      <c r="E136" s="588"/>
      <c r="F136" s="617"/>
      <c r="G136" s="254"/>
      <c r="H136" s="154"/>
      <c r="I136" s="154"/>
      <c r="J136" s="254"/>
      <c r="K136" s="311">
        <f t="shared" si="41"/>
        <v>0</v>
      </c>
      <c r="L136" s="312">
        <f t="shared" si="42"/>
        <v>0</v>
      </c>
      <c r="M136" s="313">
        <f t="shared" si="43"/>
        <v>0</v>
      </c>
      <c r="N136" s="314"/>
      <c r="O136" s="315">
        <f t="shared" si="36"/>
        <v>0</v>
      </c>
      <c r="P136" s="315">
        <f t="shared" si="37"/>
        <v>0</v>
      </c>
      <c r="Q136" s="314"/>
      <c r="R136" s="315">
        <f t="shared" si="30"/>
        <v>0</v>
      </c>
      <c r="S136" s="315">
        <f t="shared" si="31"/>
        <v>0</v>
      </c>
      <c r="T136" s="213"/>
      <c r="U136" s="213"/>
      <c r="V136" s="213"/>
      <c r="W136" s="213"/>
      <c r="X136" s="591"/>
      <c r="Y136" s="591"/>
    </row>
    <row r="137" spans="1:25" ht="14.85" customHeight="1">
      <c r="A137" s="619"/>
      <c r="B137" s="586"/>
      <c r="C137" s="259"/>
      <c r="D137" s="621"/>
      <c r="E137" s="589"/>
      <c r="F137" s="605"/>
      <c r="G137" s="254"/>
      <c r="H137" s="154"/>
      <c r="I137" s="154"/>
      <c r="J137" s="254"/>
      <c r="K137" s="311">
        <f t="shared" si="41"/>
        <v>0</v>
      </c>
      <c r="L137" s="312">
        <f t="shared" si="42"/>
        <v>0</v>
      </c>
      <c r="M137" s="313">
        <f t="shared" si="43"/>
        <v>0</v>
      </c>
      <c r="N137" s="314">
        <f>SUM(L135:L137)</f>
        <v>0</v>
      </c>
      <c r="O137" s="315">
        <f t="shared" si="36"/>
        <v>0</v>
      </c>
      <c r="P137" s="315">
        <f t="shared" si="37"/>
        <v>0</v>
      </c>
      <c r="Q137" s="314">
        <f>SUM(N134:N137)</f>
        <v>0</v>
      </c>
      <c r="R137" s="315">
        <f t="shared" ref="R137:R175" si="44">ROUNDDOWN((Q137/$O$11),0)</f>
        <v>0</v>
      </c>
      <c r="S137" s="315">
        <f t="shared" ref="S137:S175" si="45">ROUND((Q137-(R137*$P$11)),0)</f>
        <v>0</v>
      </c>
      <c r="T137" s="213"/>
      <c r="U137" s="213"/>
      <c r="V137" s="213"/>
      <c r="W137" s="213"/>
      <c r="X137" s="591"/>
      <c r="Y137" s="591"/>
    </row>
    <row r="138" spans="1:25" ht="14.85" customHeight="1">
      <c r="A138" s="619"/>
      <c r="B138" s="586"/>
      <c r="C138" s="259"/>
      <c r="D138" s="621"/>
      <c r="E138" s="351"/>
      <c r="F138" s="248"/>
      <c r="G138" s="254"/>
      <c r="H138" s="154"/>
      <c r="I138" s="154"/>
      <c r="J138" s="254"/>
      <c r="K138" s="311"/>
      <c r="L138" s="312"/>
      <c r="M138" s="313"/>
      <c r="N138" s="314"/>
      <c r="O138" s="315"/>
      <c r="P138" s="315"/>
      <c r="Q138" s="314"/>
      <c r="R138" s="315"/>
      <c r="S138" s="315"/>
      <c r="T138" s="213"/>
      <c r="U138" s="213"/>
      <c r="V138" s="213"/>
      <c r="W138" s="213"/>
      <c r="X138" s="591"/>
      <c r="Y138" s="591"/>
    </row>
    <row r="139" spans="1:25" ht="14.85" customHeight="1">
      <c r="A139" s="619"/>
      <c r="B139" s="586"/>
      <c r="C139" s="259"/>
      <c r="D139" s="621"/>
      <c r="E139" s="587"/>
      <c r="F139" s="604"/>
      <c r="G139" s="254"/>
      <c r="H139" s="154"/>
      <c r="I139" s="154"/>
      <c r="J139" s="254"/>
      <c r="K139" s="311">
        <f t="shared" si="41"/>
        <v>0</v>
      </c>
      <c r="L139" s="312">
        <f t="shared" si="42"/>
        <v>0</v>
      </c>
      <c r="M139" s="313">
        <f t="shared" si="43"/>
        <v>0</v>
      </c>
      <c r="N139" s="314"/>
      <c r="O139" s="315">
        <f t="shared" si="36"/>
        <v>0</v>
      </c>
      <c r="P139" s="315">
        <f t="shared" si="37"/>
        <v>0</v>
      </c>
      <c r="Q139" s="314"/>
      <c r="R139" s="315">
        <f t="shared" si="44"/>
        <v>0</v>
      </c>
      <c r="S139" s="315">
        <f t="shared" si="45"/>
        <v>0</v>
      </c>
      <c r="T139" s="213"/>
      <c r="U139" s="213"/>
      <c r="V139" s="213"/>
      <c r="W139" s="213"/>
      <c r="X139" s="591"/>
      <c r="Y139" s="591"/>
    </row>
    <row r="140" spans="1:25" ht="14.85" customHeight="1">
      <c r="A140" s="619"/>
      <c r="B140" s="586"/>
      <c r="C140" s="259"/>
      <c r="D140" s="621"/>
      <c r="E140" s="588"/>
      <c r="F140" s="617"/>
      <c r="G140" s="254"/>
      <c r="H140" s="154"/>
      <c r="I140" s="154"/>
      <c r="J140" s="254"/>
      <c r="K140" s="311">
        <f t="shared" si="41"/>
        <v>0</v>
      </c>
      <c r="L140" s="312">
        <f t="shared" si="42"/>
        <v>0</v>
      </c>
      <c r="M140" s="313">
        <f t="shared" si="43"/>
        <v>0</v>
      </c>
      <c r="N140" s="314"/>
      <c r="O140" s="315">
        <f t="shared" si="36"/>
        <v>0</v>
      </c>
      <c r="P140" s="315">
        <f t="shared" si="37"/>
        <v>0</v>
      </c>
      <c r="Q140" s="314"/>
      <c r="R140" s="315">
        <f t="shared" si="44"/>
        <v>0</v>
      </c>
      <c r="S140" s="315">
        <f t="shared" si="45"/>
        <v>0</v>
      </c>
      <c r="T140" s="213"/>
      <c r="U140" s="213"/>
      <c r="V140" s="213"/>
      <c r="W140" s="213"/>
      <c r="X140" s="591"/>
      <c r="Y140" s="591"/>
    </row>
    <row r="141" spans="1:25" ht="14.85" customHeight="1">
      <c r="A141" s="619"/>
      <c r="B141" s="586"/>
      <c r="C141" s="259"/>
      <c r="D141" s="621"/>
      <c r="E141" s="588"/>
      <c r="F141" s="605"/>
      <c r="G141" s="254"/>
      <c r="H141" s="154"/>
      <c r="I141" s="154"/>
      <c r="J141" s="254"/>
      <c r="K141" s="311">
        <f t="shared" si="41"/>
        <v>0</v>
      </c>
      <c r="L141" s="312">
        <f t="shared" si="42"/>
        <v>0</v>
      </c>
      <c r="M141" s="313">
        <f t="shared" si="43"/>
        <v>0</v>
      </c>
      <c r="N141" s="314">
        <f>SUM(L139:L141)</f>
        <v>0</v>
      </c>
      <c r="O141" s="315">
        <f t="shared" si="36"/>
        <v>0</v>
      </c>
      <c r="P141" s="315">
        <f t="shared" si="37"/>
        <v>0</v>
      </c>
      <c r="Q141" s="314"/>
      <c r="R141" s="315">
        <f t="shared" si="44"/>
        <v>0</v>
      </c>
      <c r="S141" s="315">
        <f t="shared" si="45"/>
        <v>0</v>
      </c>
      <c r="T141" s="213"/>
      <c r="U141" s="213"/>
      <c r="V141" s="213"/>
      <c r="W141" s="213"/>
      <c r="X141" s="591"/>
      <c r="Y141" s="591"/>
    </row>
    <row r="142" spans="1:25" ht="14.85" customHeight="1">
      <c r="A142" s="619"/>
      <c r="B142" s="586"/>
      <c r="C142" s="259"/>
      <c r="D142" s="621"/>
      <c r="E142" s="588"/>
      <c r="F142" s="604"/>
      <c r="G142" s="254"/>
      <c r="H142" s="154"/>
      <c r="I142" s="154"/>
      <c r="J142" s="254"/>
      <c r="K142" s="311">
        <f t="shared" si="41"/>
        <v>0</v>
      </c>
      <c r="L142" s="312">
        <f t="shared" si="42"/>
        <v>0</v>
      </c>
      <c r="M142" s="313">
        <f t="shared" si="43"/>
        <v>0</v>
      </c>
      <c r="N142" s="314"/>
      <c r="O142" s="315">
        <f t="shared" si="36"/>
        <v>0</v>
      </c>
      <c r="P142" s="315">
        <f t="shared" si="37"/>
        <v>0</v>
      </c>
      <c r="Q142" s="314"/>
      <c r="R142" s="315">
        <f t="shared" si="44"/>
        <v>0</v>
      </c>
      <c r="S142" s="315">
        <f t="shared" si="45"/>
        <v>0</v>
      </c>
      <c r="T142" s="213"/>
      <c r="U142" s="213"/>
      <c r="V142" s="213"/>
      <c r="W142" s="213"/>
      <c r="X142" s="591"/>
      <c r="Y142" s="591"/>
    </row>
    <row r="143" spans="1:25" ht="14.85" customHeight="1">
      <c r="A143" s="619"/>
      <c r="B143" s="586"/>
      <c r="C143" s="259"/>
      <c r="D143" s="621"/>
      <c r="E143" s="588"/>
      <c r="F143" s="617"/>
      <c r="G143" s="254"/>
      <c r="H143" s="154"/>
      <c r="I143" s="154"/>
      <c r="J143" s="254"/>
      <c r="K143" s="311">
        <f t="shared" si="41"/>
        <v>0</v>
      </c>
      <c r="L143" s="312">
        <f t="shared" si="42"/>
        <v>0</v>
      </c>
      <c r="M143" s="313">
        <f t="shared" si="43"/>
        <v>0</v>
      </c>
      <c r="N143" s="314"/>
      <c r="O143" s="315">
        <f t="shared" si="36"/>
        <v>0</v>
      </c>
      <c r="P143" s="315">
        <f t="shared" si="37"/>
        <v>0</v>
      </c>
      <c r="Q143" s="314"/>
      <c r="R143" s="315">
        <f t="shared" si="44"/>
        <v>0</v>
      </c>
      <c r="S143" s="315">
        <f t="shared" si="45"/>
        <v>0</v>
      </c>
      <c r="T143" s="213"/>
      <c r="U143" s="213"/>
      <c r="V143" s="213"/>
      <c r="W143" s="213"/>
      <c r="X143" s="591"/>
      <c r="Y143" s="591"/>
    </row>
    <row r="144" spans="1:25" ht="14.85" customHeight="1">
      <c r="A144" s="619"/>
      <c r="B144" s="586"/>
      <c r="C144" s="259"/>
      <c r="D144" s="621"/>
      <c r="E144" s="589"/>
      <c r="F144" s="605"/>
      <c r="G144" s="254"/>
      <c r="H144" s="154"/>
      <c r="I144" s="154"/>
      <c r="J144" s="254"/>
      <c r="K144" s="311">
        <f t="shared" si="41"/>
        <v>0</v>
      </c>
      <c r="L144" s="312">
        <f t="shared" si="42"/>
        <v>0</v>
      </c>
      <c r="M144" s="313">
        <f t="shared" si="43"/>
        <v>0</v>
      </c>
      <c r="N144" s="314">
        <f>SUM(L142:L144)</f>
        <v>0</v>
      </c>
      <c r="O144" s="315">
        <f t="shared" si="36"/>
        <v>0</v>
      </c>
      <c r="P144" s="315">
        <f t="shared" si="37"/>
        <v>0</v>
      </c>
      <c r="Q144" s="314">
        <f>SUM(N141:N144)</f>
        <v>0</v>
      </c>
      <c r="R144" s="315">
        <f t="shared" si="44"/>
        <v>0</v>
      </c>
      <c r="S144" s="315">
        <f t="shared" si="45"/>
        <v>0</v>
      </c>
      <c r="T144" s="213"/>
      <c r="U144" s="213"/>
      <c r="V144" s="213"/>
      <c r="W144" s="213"/>
      <c r="X144" s="591"/>
      <c r="Y144" s="591"/>
    </row>
    <row r="145" spans="1:25" ht="14.85" customHeight="1">
      <c r="A145" s="619"/>
      <c r="B145" s="586"/>
      <c r="C145" s="259"/>
      <c r="D145" s="621"/>
      <c r="E145" s="362"/>
      <c r="F145" s="249"/>
      <c r="G145" s="254"/>
      <c r="H145" s="154"/>
      <c r="I145" s="154"/>
      <c r="J145" s="254"/>
      <c r="K145" s="311"/>
      <c r="L145" s="312"/>
      <c r="M145" s="313"/>
      <c r="N145" s="314"/>
      <c r="O145" s="315"/>
      <c r="P145" s="315"/>
      <c r="Q145" s="314"/>
      <c r="R145" s="315"/>
      <c r="S145" s="315"/>
      <c r="T145" s="213"/>
      <c r="U145" s="213"/>
      <c r="V145" s="213"/>
      <c r="W145" s="213"/>
      <c r="X145" s="591"/>
      <c r="Y145" s="591"/>
    </row>
    <row r="146" spans="1:25" ht="14.85" customHeight="1">
      <c r="A146" s="619"/>
      <c r="B146" s="586"/>
      <c r="C146" s="259"/>
      <c r="D146" s="621"/>
      <c r="E146" s="625"/>
      <c r="F146" s="613"/>
      <c r="G146" s="254"/>
      <c r="H146" s="154"/>
      <c r="I146" s="154"/>
      <c r="J146" s="254"/>
      <c r="K146" s="311">
        <f t="shared" si="41"/>
        <v>0</v>
      </c>
      <c r="L146" s="312">
        <f t="shared" si="42"/>
        <v>0</v>
      </c>
      <c r="M146" s="313">
        <f t="shared" si="43"/>
        <v>0</v>
      </c>
      <c r="N146" s="314"/>
      <c r="O146" s="315">
        <f t="shared" si="36"/>
        <v>0</v>
      </c>
      <c r="P146" s="315">
        <f t="shared" si="37"/>
        <v>0</v>
      </c>
      <c r="Q146" s="314"/>
      <c r="R146" s="315">
        <f t="shared" si="44"/>
        <v>0</v>
      </c>
      <c r="S146" s="315">
        <f t="shared" si="45"/>
        <v>0</v>
      </c>
      <c r="T146" s="213"/>
      <c r="U146" s="213"/>
      <c r="V146" s="213"/>
      <c r="W146" s="213"/>
      <c r="X146" s="591"/>
      <c r="Y146" s="591"/>
    </row>
    <row r="147" spans="1:25" ht="14.85" customHeight="1">
      <c r="A147" s="619"/>
      <c r="B147" s="586"/>
      <c r="C147" s="259"/>
      <c r="D147" s="621"/>
      <c r="E147" s="626"/>
      <c r="F147" s="613"/>
      <c r="G147" s="318"/>
      <c r="H147" s="285"/>
      <c r="I147" s="285"/>
      <c r="K147" s="311">
        <f t="shared" si="41"/>
        <v>0</v>
      </c>
      <c r="L147" s="312">
        <f t="shared" si="42"/>
        <v>0</v>
      </c>
      <c r="M147" s="313">
        <f t="shared" si="43"/>
        <v>0</v>
      </c>
      <c r="N147" s="314">
        <f>SUM(L146:L147)</f>
        <v>0</v>
      </c>
      <c r="O147" s="315">
        <f t="shared" si="36"/>
        <v>0</v>
      </c>
      <c r="P147" s="315">
        <f t="shared" si="37"/>
        <v>0</v>
      </c>
      <c r="Q147" s="314"/>
      <c r="R147" s="315">
        <f t="shared" si="44"/>
        <v>0</v>
      </c>
      <c r="S147" s="315">
        <f t="shared" si="45"/>
        <v>0</v>
      </c>
      <c r="T147" s="213"/>
      <c r="U147" s="213"/>
      <c r="V147" s="213"/>
      <c r="W147" s="213"/>
      <c r="X147" s="591"/>
      <c r="Y147" s="591"/>
    </row>
    <row r="148" spans="1:25" ht="14.85" customHeight="1">
      <c r="A148" s="619"/>
      <c r="B148" s="586"/>
      <c r="C148" s="259"/>
      <c r="D148" s="621"/>
      <c r="E148" s="627"/>
      <c r="F148" s="285"/>
      <c r="G148" s="318"/>
      <c r="H148" s="285"/>
      <c r="I148" s="285"/>
      <c r="K148" s="311">
        <f t="shared" si="41"/>
        <v>0</v>
      </c>
      <c r="L148" s="312">
        <f t="shared" si="42"/>
        <v>0</v>
      </c>
      <c r="M148" s="313">
        <f t="shared" si="43"/>
        <v>0</v>
      </c>
      <c r="N148" s="314">
        <f>L148</f>
        <v>0</v>
      </c>
      <c r="O148" s="315">
        <f t="shared" si="36"/>
        <v>0</v>
      </c>
      <c r="P148" s="315">
        <f t="shared" si="37"/>
        <v>0</v>
      </c>
      <c r="Q148" s="314">
        <f>SUM(N147:N148)</f>
        <v>0</v>
      </c>
      <c r="R148" s="315">
        <f t="shared" si="44"/>
        <v>0</v>
      </c>
      <c r="S148" s="315">
        <f t="shared" si="45"/>
        <v>0</v>
      </c>
      <c r="T148" s="213"/>
      <c r="U148" s="213"/>
      <c r="V148" s="213"/>
      <c r="W148" s="213"/>
      <c r="X148" s="591"/>
      <c r="Y148" s="591"/>
    </row>
    <row r="149" spans="1:25" ht="14.85" customHeight="1">
      <c r="A149" s="619"/>
      <c r="B149" s="586"/>
      <c r="C149" s="259"/>
      <c r="D149" s="621"/>
      <c r="E149" s="362"/>
      <c r="F149" s="285"/>
      <c r="G149" s="318"/>
      <c r="H149" s="285"/>
      <c r="I149" s="285"/>
      <c r="K149" s="311"/>
      <c r="L149" s="312"/>
      <c r="M149" s="313"/>
      <c r="N149" s="314"/>
      <c r="O149" s="315"/>
      <c r="P149" s="315"/>
      <c r="Q149" s="314"/>
      <c r="R149" s="315"/>
      <c r="S149" s="315"/>
      <c r="T149" s="213"/>
      <c r="U149" s="213"/>
      <c r="V149" s="213"/>
      <c r="W149" s="213"/>
      <c r="X149" s="591"/>
      <c r="Y149" s="591"/>
    </row>
    <row r="150" spans="1:25" ht="14.85" customHeight="1">
      <c r="A150" s="619"/>
      <c r="B150" s="586"/>
      <c r="C150" s="259"/>
      <c r="D150" s="621"/>
      <c r="E150" s="587"/>
      <c r="F150" s="154"/>
      <c r="G150" s="254"/>
      <c r="H150" s="154"/>
      <c r="I150" s="154"/>
      <c r="J150" s="254"/>
      <c r="K150" s="311">
        <f t="shared" si="41"/>
        <v>0</v>
      </c>
      <c r="L150" s="312">
        <f t="shared" si="42"/>
        <v>0</v>
      </c>
      <c r="M150" s="313">
        <f t="shared" si="43"/>
        <v>0</v>
      </c>
      <c r="N150" s="314">
        <f>L150</f>
        <v>0</v>
      </c>
      <c r="O150" s="315">
        <f t="shared" si="36"/>
        <v>0</v>
      </c>
      <c r="P150" s="315">
        <f t="shared" si="37"/>
        <v>0</v>
      </c>
      <c r="Q150" s="314"/>
      <c r="R150" s="315">
        <f t="shared" si="44"/>
        <v>0</v>
      </c>
      <c r="S150" s="315">
        <f t="shared" si="45"/>
        <v>0</v>
      </c>
      <c r="T150" s="213"/>
      <c r="U150" s="213"/>
      <c r="V150" s="213"/>
      <c r="W150" s="213"/>
      <c r="X150" s="591"/>
      <c r="Y150" s="591"/>
    </row>
    <row r="151" spans="1:25" ht="14.85" customHeight="1">
      <c r="A151" s="619"/>
      <c r="B151" s="586"/>
      <c r="C151" s="259"/>
      <c r="D151" s="621"/>
      <c r="E151" s="588"/>
      <c r="F151" s="154"/>
      <c r="G151" s="254"/>
      <c r="H151" s="154"/>
      <c r="I151" s="154"/>
      <c r="J151" s="254"/>
      <c r="K151" s="311">
        <f t="shared" si="41"/>
        <v>0</v>
      </c>
      <c r="L151" s="312">
        <f t="shared" si="42"/>
        <v>0</v>
      </c>
      <c r="M151" s="313">
        <f t="shared" si="43"/>
        <v>0</v>
      </c>
      <c r="N151" s="314">
        <f>L151</f>
        <v>0</v>
      </c>
      <c r="O151" s="315">
        <f t="shared" si="36"/>
        <v>0</v>
      </c>
      <c r="P151" s="315">
        <f t="shared" si="37"/>
        <v>0</v>
      </c>
      <c r="Q151" s="314"/>
      <c r="R151" s="315">
        <f t="shared" si="44"/>
        <v>0</v>
      </c>
      <c r="S151" s="315">
        <f t="shared" si="45"/>
        <v>0</v>
      </c>
      <c r="T151" s="213"/>
      <c r="U151" s="213"/>
      <c r="V151" s="213"/>
      <c r="W151" s="213"/>
      <c r="X151" s="591"/>
      <c r="Y151" s="591"/>
    </row>
    <row r="152" spans="1:25" ht="14.85" customHeight="1">
      <c r="A152" s="619"/>
      <c r="B152" s="586"/>
      <c r="C152" s="259"/>
      <c r="D152" s="621"/>
      <c r="E152" s="589"/>
      <c r="F152" s="154"/>
      <c r="G152" s="254"/>
      <c r="H152" s="154"/>
      <c r="I152" s="154"/>
      <c r="J152" s="254"/>
      <c r="K152" s="311">
        <f t="shared" si="41"/>
        <v>0</v>
      </c>
      <c r="L152" s="312">
        <f t="shared" si="42"/>
        <v>0</v>
      </c>
      <c r="M152" s="313">
        <f t="shared" si="43"/>
        <v>0</v>
      </c>
      <c r="N152" s="314">
        <f>L152</f>
        <v>0</v>
      </c>
      <c r="O152" s="315">
        <f t="shared" si="36"/>
        <v>0</v>
      </c>
      <c r="P152" s="315">
        <f t="shared" si="37"/>
        <v>0</v>
      </c>
      <c r="Q152" s="314">
        <f>SUM(N150:N152)</f>
        <v>0</v>
      </c>
      <c r="R152" s="315">
        <f t="shared" si="44"/>
        <v>0</v>
      </c>
      <c r="S152" s="315">
        <f t="shared" si="45"/>
        <v>0</v>
      </c>
      <c r="T152" s="213"/>
      <c r="U152" s="213"/>
      <c r="V152" s="213"/>
      <c r="W152" s="213"/>
      <c r="X152" s="591"/>
      <c r="Y152" s="591"/>
    </row>
    <row r="153" spans="1:25" ht="14.85" customHeight="1">
      <c r="A153" s="619"/>
      <c r="B153" s="586"/>
      <c r="C153" s="259"/>
      <c r="D153" s="621"/>
      <c r="E153" s="362"/>
      <c r="F153" s="243"/>
      <c r="G153" s="254"/>
      <c r="H153" s="154"/>
      <c r="I153" s="154"/>
      <c r="J153" s="254"/>
      <c r="K153" s="311"/>
      <c r="L153" s="312"/>
      <c r="M153" s="313"/>
      <c r="N153" s="314"/>
      <c r="O153" s="315"/>
      <c r="P153" s="315"/>
      <c r="Q153" s="314"/>
      <c r="R153" s="315"/>
      <c r="S153" s="315"/>
      <c r="T153" s="213"/>
      <c r="U153" s="213"/>
      <c r="V153" s="213"/>
      <c r="W153" s="213"/>
      <c r="X153" s="591"/>
      <c r="Y153" s="591"/>
    </row>
    <row r="154" spans="1:25" ht="14.85" customHeight="1">
      <c r="A154" s="619"/>
      <c r="B154" s="586"/>
      <c r="C154" s="259"/>
      <c r="D154" s="621"/>
      <c r="E154" s="625"/>
      <c r="F154" s="604"/>
      <c r="G154" s="254"/>
      <c r="H154" s="154"/>
      <c r="I154" s="154"/>
      <c r="J154" s="254"/>
      <c r="K154" s="311">
        <f t="shared" si="41"/>
        <v>0</v>
      </c>
      <c r="L154" s="312">
        <f t="shared" si="42"/>
        <v>0</v>
      </c>
      <c r="M154" s="313">
        <f t="shared" si="43"/>
        <v>0</v>
      </c>
      <c r="N154" s="314"/>
      <c r="O154" s="315">
        <f t="shared" si="36"/>
        <v>0</v>
      </c>
      <c r="P154" s="315">
        <f t="shared" si="37"/>
        <v>0</v>
      </c>
      <c r="Q154" s="314"/>
      <c r="R154" s="315">
        <f t="shared" si="44"/>
        <v>0</v>
      </c>
      <c r="S154" s="315">
        <f t="shared" si="45"/>
        <v>0</v>
      </c>
      <c r="T154" s="213"/>
      <c r="U154" s="213"/>
      <c r="V154" s="213"/>
      <c r="W154" s="213"/>
      <c r="X154" s="591"/>
      <c r="Y154" s="591"/>
    </row>
    <row r="155" spans="1:25" ht="14.85" customHeight="1">
      <c r="A155" s="619"/>
      <c r="B155" s="586"/>
      <c r="C155" s="259"/>
      <c r="D155" s="621"/>
      <c r="E155" s="626"/>
      <c r="F155" s="605"/>
      <c r="G155" s="156"/>
      <c r="H155" s="157"/>
      <c r="I155" s="285"/>
      <c r="J155" s="318"/>
      <c r="K155" s="311">
        <f t="shared" si="41"/>
        <v>0</v>
      </c>
      <c r="L155" s="312">
        <f t="shared" si="42"/>
        <v>0</v>
      </c>
      <c r="M155" s="313">
        <f t="shared" si="43"/>
        <v>0</v>
      </c>
      <c r="N155" s="314">
        <f>SUM(L154:L155)</f>
        <v>0</v>
      </c>
      <c r="O155" s="315">
        <f t="shared" si="36"/>
        <v>0</v>
      </c>
      <c r="P155" s="315">
        <f t="shared" si="37"/>
        <v>0</v>
      </c>
      <c r="Q155" s="314"/>
      <c r="R155" s="315">
        <f t="shared" si="44"/>
        <v>0</v>
      </c>
      <c r="S155" s="315">
        <f t="shared" si="45"/>
        <v>0</v>
      </c>
      <c r="T155" s="213"/>
      <c r="U155" s="213"/>
      <c r="V155" s="213"/>
      <c r="W155" s="213"/>
      <c r="X155" s="591"/>
      <c r="Y155" s="591"/>
    </row>
    <row r="156" spans="1:25" ht="14.85" customHeight="1">
      <c r="A156" s="619"/>
      <c r="B156" s="586"/>
      <c r="C156" s="259"/>
      <c r="D156" s="621"/>
      <c r="E156" s="626"/>
      <c r="F156" s="595"/>
      <c r="H156" s="285"/>
      <c r="I156" s="285"/>
      <c r="J156" s="318"/>
      <c r="K156" s="311">
        <f t="shared" si="41"/>
        <v>0</v>
      </c>
      <c r="L156" s="312">
        <f t="shared" si="42"/>
        <v>0</v>
      </c>
      <c r="M156" s="313">
        <f t="shared" si="43"/>
        <v>0</v>
      </c>
      <c r="N156" s="314"/>
      <c r="O156" s="315">
        <f t="shared" si="36"/>
        <v>0</v>
      </c>
      <c r="P156" s="315">
        <f t="shared" si="37"/>
        <v>0</v>
      </c>
      <c r="Q156" s="314"/>
      <c r="R156" s="315">
        <f t="shared" si="44"/>
        <v>0</v>
      </c>
      <c r="S156" s="315">
        <f t="shared" si="45"/>
        <v>0</v>
      </c>
      <c r="T156" s="213"/>
      <c r="U156" s="213"/>
      <c r="V156" s="213"/>
      <c r="W156" s="213"/>
      <c r="X156" s="591"/>
      <c r="Y156" s="591"/>
    </row>
    <row r="157" spans="1:25" ht="14.85" customHeight="1">
      <c r="A157" s="619"/>
      <c r="B157" s="586"/>
      <c r="C157" s="259"/>
      <c r="D157" s="621"/>
      <c r="E157" s="626"/>
      <c r="F157" s="596"/>
      <c r="G157" s="254"/>
      <c r="H157" s="154"/>
      <c r="I157" s="154"/>
      <c r="J157" s="254"/>
      <c r="K157" s="311">
        <f t="shared" si="41"/>
        <v>0</v>
      </c>
      <c r="L157" s="312">
        <f t="shared" si="42"/>
        <v>0</v>
      </c>
      <c r="M157" s="313">
        <f t="shared" si="43"/>
        <v>0</v>
      </c>
      <c r="N157" s="314"/>
      <c r="O157" s="315">
        <f t="shared" si="36"/>
        <v>0</v>
      </c>
      <c r="P157" s="315">
        <f t="shared" si="37"/>
        <v>0</v>
      </c>
      <c r="Q157" s="314"/>
      <c r="R157" s="315">
        <f t="shared" si="44"/>
        <v>0</v>
      </c>
      <c r="S157" s="315">
        <f t="shared" si="45"/>
        <v>0</v>
      </c>
      <c r="T157" s="213"/>
      <c r="U157" s="213"/>
      <c r="V157" s="213"/>
      <c r="W157" s="213"/>
      <c r="X157" s="591"/>
      <c r="Y157" s="591"/>
    </row>
    <row r="158" spans="1:25" ht="14.85" customHeight="1">
      <c r="A158" s="619"/>
      <c r="B158" s="586"/>
      <c r="C158" s="259"/>
      <c r="D158" s="621"/>
      <c r="E158" s="626"/>
      <c r="F158" s="597"/>
      <c r="I158" s="154"/>
      <c r="J158" s="254"/>
      <c r="K158" s="311">
        <f t="shared" si="41"/>
        <v>0</v>
      </c>
      <c r="L158" s="312">
        <f t="shared" si="42"/>
        <v>0</v>
      </c>
      <c r="M158" s="313">
        <f t="shared" si="43"/>
        <v>0</v>
      </c>
      <c r="N158" s="314">
        <f>SUM(L156:L158)</f>
        <v>0</v>
      </c>
      <c r="O158" s="315">
        <f t="shared" si="36"/>
        <v>0</v>
      </c>
      <c r="P158" s="315">
        <f t="shared" si="37"/>
        <v>0</v>
      </c>
      <c r="Q158" s="314"/>
      <c r="R158" s="315">
        <f t="shared" si="44"/>
        <v>0</v>
      </c>
      <c r="S158" s="315">
        <f t="shared" si="45"/>
        <v>0</v>
      </c>
      <c r="T158" s="213"/>
      <c r="U158" s="213"/>
      <c r="V158" s="213"/>
      <c r="W158" s="213"/>
      <c r="X158" s="591"/>
      <c r="Y158" s="591"/>
    </row>
    <row r="159" spans="1:25" ht="14.85" customHeight="1">
      <c r="A159" s="619"/>
      <c r="B159" s="586"/>
      <c r="C159" s="259"/>
      <c r="D159" s="621"/>
      <c r="E159" s="626"/>
      <c r="F159" s="604"/>
      <c r="G159" s="254"/>
      <c r="H159" s="154"/>
      <c r="I159" s="154"/>
      <c r="J159" s="254"/>
      <c r="K159" s="311">
        <f t="shared" si="41"/>
        <v>0</v>
      </c>
      <c r="L159" s="312">
        <f t="shared" si="42"/>
        <v>0</v>
      </c>
      <c r="M159" s="313">
        <f t="shared" si="43"/>
        <v>0</v>
      </c>
      <c r="N159" s="314"/>
      <c r="O159" s="315">
        <f t="shared" si="36"/>
        <v>0</v>
      </c>
      <c r="P159" s="315">
        <f t="shared" si="37"/>
        <v>0</v>
      </c>
      <c r="Q159" s="314"/>
      <c r="R159" s="315">
        <f t="shared" si="44"/>
        <v>0</v>
      </c>
      <c r="S159" s="315">
        <f t="shared" si="45"/>
        <v>0</v>
      </c>
      <c r="T159" s="213"/>
      <c r="U159" s="213"/>
      <c r="V159" s="213"/>
      <c r="W159" s="213"/>
      <c r="X159" s="591"/>
      <c r="Y159" s="591"/>
    </row>
    <row r="160" spans="1:25" ht="14.85" customHeight="1">
      <c r="A160" s="619"/>
      <c r="B160" s="586"/>
      <c r="C160" s="259"/>
      <c r="D160" s="621"/>
      <c r="E160" s="627"/>
      <c r="F160" s="605"/>
      <c r="I160" s="154"/>
      <c r="K160" s="311">
        <f t="shared" si="41"/>
        <v>0</v>
      </c>
      <c r="L160" s="312">
        <f t="shared" si="42"/>
        <v>0</v>
      </c>
      <c r="M160" s="313">
        <f t="shared" si="43"/>
        <v>0</v>
      </c>
      <c r="N160" s="314">
        <f>SUM(L159:L160)</f>
        <v>0</v>
      </c>
      <c r="O160" s="315">
        <f t="shared" si="36"/>
        <v>0</v>
      </c>
      <c r="P160" s="315">
        <f t="shared" si="37"/>
        <v>0</v>
      </c>
      <c r="Q160" s="314">
        <f>SUM(N155:N160)</f>
        <v>0</v>
      </c>
      <c r="R160" s="315">
        <f t="shared" si="44"/>
        <v>0</v>
      </c>
      <c r="S160" s="315">
        <f t="shared" si="45"/>
        <v>0</v>
      </c>
      <c r="T160" s="213"/>
      <c r="U160" s="213"/>
      <c r="V160" s="213"/>
      <c r="W160" s="213"/>
      <c r="X160" s="591"/>
      <c r="Y160" s="591"/>
    </row>
    <row r="161" spans="1:25" ht="14.85" customHeight="1">
      <c r="A161" s="619"/>
      <c r="B161" s="586"/>
      <c r="C161" s="259"/>
      <c r="D161" s="621"/>
      <c r="E161" s="362"/>
      <c r="F161" s="248"/>
      <c r="I161" s="154"/>
      <c r="K161" s="311"/>
      <c r="L161" s="312"/>
      <c r="M161" s="313"/>
      <c r="N161" s="314"/>
      <c r="O161" s="315"/>
      <c r="P161" s="315"/>
      <c r="Q161" s="314"/>
      <c r="R161" s="315"/>
      <c r="S161" s="315"/>
      <c r="T161" s="213"/>
      <c r="U161" s="213"/>
      <c r="V161" s="213"/>
      <c r="W161" s="213"/>
      <c r="X161" s="591"/>
      <c r="Y161" s="591"/>
    </row>
    <row r="162" spans="1:25" ht="14.85" customHeight="1">
      <c r="A162" s="619"/>
      <c r="B162" s="586"/>
      <c r="C162" s="259"/>
      <c r="D162" s="621"/>
      <c r="E162" s="628"/>
      <c r="F162" s="606"/>
      <c r="G162" s="254"/>
      <c r="H162" s="154"/>
      <c r="I162" s="154"/>
      <c r="J162" s="254"/>
      <c r="K162" s="311">
        <f t="shared" si="41"/>
        <v>0</v>
      </c>
      <c r="L162" s="312">
        <f t="shared" si="42"/>
        <v>0</v>
      </c>
      <c r="M162" s="313">
        <f t="shared" si="43"/>
        <v>0</v>
      </c>
      <c r="N162" s="314"/>
      <c r="O162" s="315">
        <f t="shared" si="36"/>
        <v>0</v>
      </c>
      <c r="P162" s="315">
        <f t="shared" si="37"/>
        <v>0</v>
      </c>
      <c r="Q162" s="314"/>
      <c r="R162" s="315">
        <f t="shared" si="44"/>
        <v>0</v>
      </c>
      <c r="S162" s="315">
        <f t="shared" si="45"/>
        <v>0</v>
      </c>
      <c r="T162" s="213"/>
      <c r="U162" s="213"/>
      <c r="V162" s="213"/>
      <c r="W162" s="213"/>
      <c r="X162" s="591"/>
      <c r="Y162" s="591"/>
    </row>
    <row r="163" spans="1:25" ht="14.85" customHeight="1">
      <c r="A163" s="619"/>
      <c r="B163" s="586"/>
      <c r="C163" s="259"/>
      <c r="D163" s="621"/>
      <c r="E163" s="629"/>
      <c r="F163" s="607"/>
      <c r="G163" s="254"/>
      <c r="H163" s="154"/>
      <c r="I163" s="154"/>
      <c r="J163" s="279"/>
      <c r="K163" s="311">
        <f t="shared" si="41"/>
        <v>0</v>
      </c>
      <c r="L163" s="312">
        <f t="shared" si="42"/>
        <v>0</v>
      </c>
      <c r="M163" s="313">
        <f t="shared" si="43"/>
        <v>0</v>
      </c>
      <c r="N163" s="314"/>
      <c r="O163" s="315">
        <f t="shared" si="36"/>
        <v>0</v>
      </c>
      <c r="P163" s="315">
        <f t="shared" si="37"/>
        <v>0</v>
      </c>
      <c r="Q163" s="314"/>
      <c r="R163" s="315">
        <f t="shared" si="44"/>
        <v>0</v>
      </c>
      <c r="S163" s="315">
        <f t="shared" si="45"/>
        <v>0</v>
      </c>
      <c r="T163" s="213"/>
      <c r="U163" s="213"/>
      <c r="V163" s="213"/>
      <c r="W163" s="213"/>
      <c r="X163" s="591"/>
      <c r="Y163" s="591"/>
    </row>
    <row r="164" spans="1:25" ht="14.85" customHeight="1">
      <c r="A164" s="619"/>
      <c r="B164" s="586"/>
      <c r="C164" s="259"/>
      <c r="D164" s="621"/>
      <c r="E164" s="630"/>
      <c r="F164" s="608"/>
      <c r="G164" s="254"/>
      <c r="H164" s="154"/>
      <c r="I164" s="154"/>
      <c r="J164" s="279"/>
      <c r="K164" s="311">
        <f t="shared" si="41"/>
        <v>0</v>
      </c>
      <c r="L164" s="312">
        <f t="shared" si="42"/>
        <v>0</v>
      </c>
      <c r="M164" s="313">
        <f t="shared" si="43"/>
        <v>0</v>
      </c>
      <c r="N164" s="314">
        <f>SUM(L162:L164)</f>
        <v>0</v>
      </c>
      <c r="O164" s="315">
        <f t="shared" si="36"/>
        <v>0</v>
      </c>
      <c r="P164" s="315">
        <f t="shared" si="37"/>
        <v>0</v>
      </c>
      <c r="Q164" s="314">
        <f>N164</f>
        <v>0</v>
      </c>
      <c r="R164" s="315">
        <f t="shared" si="44"/>
        <v>0</v>
      </c>
      <c r="S164" s="315">
        <f t="shared" si="45"/>
        <v>0</v>
      </c>
      <c r="T164" s="213"/>
      <c r="U164" s="213"/>
      <c r="V164" s="213"/>
      <c r="W164" s="213"/>
      <c r="X164" s="591"/>
      <c r="Y164" s="591"/>
    </row>
    <row r="165" spans="1:25" ht="14.85" customHeight="1">
      <c r="A165" s="619"/>
      <c r="B165" s="586"/>
      <c r="C165" s="259"/>
      <c r="D165" s="621"/>
      <c r="E165" s="260"/>
      <c r="F165" s="319"/>
      <c r="G165" s="254"/>
      <c r="H165" s="154"/>
      <c r="I165" s="154"/>
      <c r="J165" s="279"/>
      <c r="K165" s="311"/>
      <c r="L165" s="312"/>
      <c r="M165" s="313"/>
      <c r="N165" s="314"/>
      <c r="O165" s="315"/>
      <c r="P165" s="315"/>
      <c r="Q165" s="314"/>
      <c r="R165" s="315"/>
      <c r="S165" s="315"/>
      <c r="T165" s="213"/>
      <c r="U165" s="213"/>
      <c r="V165" s="213"/>
      <c r="W165" s="213"/>
      <c r="X165" s="591"/>
      <c r="Y165" s="591"/>
    </row>
    <row r="166" spans="1:25" ht="14.85" customHeight="1">
      <c r="A166" s="619"/>
      <c r="B166" s="586"/>
      <c r="C166" s="259"/>
      <c r="D166" s="621"/>
      <c r="E166" s="587"/>
      <c r="F166" s="609"/>
      <c r="G166" s="254"/>
      <c r="H166" s="154"/>
      <c r="I166" s="154"/>
      <c r="J166" s="279"/>
      <c r="K166" s="311">
        <f t="shared" si="41"/>
        <v>0</v>
      </c>
      <c r="L166" s="312">
        <f t="shared" si="42"/>
        <v>0</v>
      </c>
      <c r="M166" s="313">
        <f t="shared" si="43"/>
        <v>0</v>
      </c>
      <c r="N166" s="314"/>
      <c r="O166" s="315">
        <f t="shared" si="36"/>
        <v>0</v>
      </c>
      <c r="P166" s="315">
        <f t="shared" si="37"/>
        <v>0</v>
      </c>
      <c r="Q166" s="314"/>
      <c r="R166" s="315">
        <f t="shared" si="44"/>
        <v>0</v>
      </c>
      <c r="S166" s="315">
        <f t="shared" si="45"/>
        <v>0</v>
      </c>
      <c r="T166" s="213"/>
      <c r="U166" s="213"/>
      <c r="V166" s="213"/>
      <c r="W166" s="213"/>
      <c r="X166" s="591"/>
      <c r="Y166" s="591"/>
    </row>
    <row r="167" spans="1:25" ht="14.85" customHeight="1">
      <c r="A167" s="619"/>
      <c r="B167" s="586"/>
      <c r="C167" s="259"/>
      <c r="D167" s="621"/>
      <c r="E167" s="588"/>
      <c r="F167" s="610"/>
      <c r="G167" s="254"/>
      <c r="H167" s="154"/>
      <c r="I167" s="154"/>
      <c r="J167" s="279"/>
      <c r="K167" s="311">
        <f t="shared" si="41"/>
        <v>0</v>
      </c>
      <c r="L167" s="312">
        <f t="shared" si="42"/>
        <v>0</v>
      </c>
      <c r="M167" s="313">
        <f t="shared" si="43"/>
        <v>0</v>
      </c>
      <c r="N167" s="314">
        <f>SUM(L166:L167)</f>
        <v>0</v>
      </c>
      <c r="O167" s="315">
        <f t="shared" si="36"/>
        <v>0</v>
      </c>
      <c r="P167" s="315">
        <f t="shared" si="37"/>
        <v>0</v>
      </c>
      <c r="Q167" s="314"/>
      <c r="R167" s="315">
        <f t="shared" si="44"/>
        <v>0</v>
      </c>
      <c r="S167" s="315">
        <f t="shared" si="45"/>
        <v>0</v>
      </c>
      <c r="T167" s="213"/>
      <c r="U167" s="213"/>
      <c r="V167" s="213"/>
      <c r="W167" s="213"/>
      <c r="X167" s="591"/>
      <c r="Y167" s="591"/>
    </row>
    <row r="168" spans="1:25" ht="14.85" customHeight="1">
      <c r="A168" s="619"/>
      <c r="B168" s="586"/>
      <c r="C168" s="259"/>
      <c r="D168" s="621"/>
      <c r="E168" s="588"/>
      <c r="F168" s="609"/>
      <c r="G168" s="254"/>
      <c r="H168" s="154"/>
      <c r="I168" s="154"/>
      <c r="J168" s="279"/>
      <c r="K168" s="311">
        <f t="shared" si="41"/>
        <v>0</v>
      </c>
      <c r="L168" s="312">
        <f t="shared" si="42"/>
        <v>0</v>
      </c>
      <c r="M168" s="313">
        <f t="shared" si="43"/>
        <v>0</v>
      </c>
      <c r="N168" s="314"/>
      <c r="O168" s="315">
        <f t="shared" si="36"/>
        <v>0</v>
      </c>
      <c r="P168" s="315">
        <f t="shared" si="37"/>
        <v>0</v>
      </c>
      <c r="Q168" s="314"/>
      <c r="R168" s="315">
        <f t="shared" si="44"/>
        <v>0</v>
      </c>
      <c r="S168" s="315">
        <f t="shared" si="45"/>
        <v>0</v>
      </c>
      <c r="T168" s="213"/>
      <c r="U168" s="213"/>
      <c r="V168" s="213"/>
      <c r="W168" s="213"/>
      <c r="X168" s="591"/>
      <c r="Y168" s="591"/>
    </row>
    <row r="169" spans="1:25" ht="14.85" customHeight="1">
      <c r="A169" s="619"/>
      <c r="B169" s="586"/>
      <c r="C169" s="259"/>
      <c r="D169" s="621"/>
      <c r="E169" s="588"/>
      <c r="F169" s="611"/>
      <c r="G169" s="254"/>
      <c r="H169" s="154"/>
      <c r="I169" s="154"/>
      <c r="J169" s="279"/>
      <c r="K169" s="311">
        <f t="shared" si="41"/>
        <v>0</v>
      </c>
      <c r="L169" s="312">
        <f t="shared" si="42"/>
        <v>0</v>
      </c>
      <c r="M169" s="313">
        <f t="shared" si="43"/>
        <v>0</v>
      </c>
      <c r="N169" s="314">
        <f>SUM(L168:L169)</f>
        <v>0</v>
      </c>
      <c r="O169" s="315">
        <f t="shared" si="36"/>
        <v>0</v>
      </c>
      <c r="P169" s="315">
        <f t="shared" si="37"/>
        <v>0</v>
      </c>
      <c r="Q169" s="314"/>
      <c r="R169" s="315">
        <f t="shared" si="44"/>
        <v>0</v>
      </c>
      <c r="S169" s="315">
        <f t="shared" si="45"/>
        <v>0</v>
      </c>
      <c r="T169" s="213"/>
      <c r="U169" s="213"/>
      <c r="V169" s="213"/>
      <c r="W169" s="213"/>
      <c r="X169" s="591"/>
      <c r="Y169" s="591"/>
    </row>
    <row r="170" spans="1:25" ht="14.85" customHeight="1">
      <c r="A170" s="619"/>
      <c r="B170" s="586"/>
      <c r="C170" s="259"/>
      <c r="D170" s="621"/>
      <c r="E170" s="589"/>
      <c r="F170" s="262"/>
      <c r="G170" s="254"/>
      <c r="H170" s="154"/>
      <c r="I170" s="154"/>
      <c r="J170" s="279"/>
      <c r="K170" s="311">
        <f t="shared" si="41"/>
        <v>0</v>
      </c>
      <c r="L170" s="312">
        <f t="shared" si="42"/>
        <v>0</v>
      </c>
      <c r="M170" s="313">
        <f t="shared" si="43"/>
        <v>0</v>
      </c>
      <c r="N170" s="314">
        <f>L170</f>
        <v>0</v>
      </c>
      <c r="O170" s="315">
        <f t="shared" si="36"/>
        <v>0</v>
      </c>
      <c r="P170" s="315">
        <f t="shared" si="37"/>
        <v>0</v>
      </c>
      <c r="Q170" s="314">
        <f>SUM(N167:N170)</f>
        <v>0</v>
      </c>
      <c r="R170" s="315">
        <f t="shared" si="44"/>
        <v>0</v>
      </c>
      <c r="S170" s="315">
        <f t="shared" si="45"/>
        <v>0</v>
      </c>
      <c r="T170" s="213"/>
      <c r="U170" s="213"/>
      <c r="V170" s="213"/>
      <c r="W170" s="213"/>
      <c r="X170" s="591"/>
      <c r="Y170" s="591"/>
    </row>
    <row r="171" spans="1:25" ht="14.85" customHeight="1">
      <c r="A171" s="619"/>
      <c r="B171" s="586"/>
      <c r="C171" s="259"/>
      <c r="D171" s="621"/>
      <c r="E171" s="351"/>
      <c r="F171" s="262"/>
      <c r="G171" s="254"/>
      <c r="H171" s="154"/>
      <c r="I171" s="154"/>
      <c r="J171" s="279"/>
      <c r="K171" s="311"/>
      <c r="L171" s="312"/>
      <c r="M171" s="313"/>
      <c r="N171" s="314"/>
      <c r="O171" s="315"/>
      <c r="P171" s="315"/>
      <c r="Q171" s="314"/>
      <c r="R171" s="315"/>
      <c r="S171" s="315"/>
      <c r="T171" s="213"/>
      <c r="U171" s="213"/>
      <c r="V171" s="213"/>
      <c r="W171" s="213"/>
      <c r="X171" s="591"/>
      <c r="Y171" s="591"/>
    </row>
    <row r="172" spans="1:25" ht="14.85" customHeight="1">
      <c r="A172" s="619"/>
      <c r="B172" s="586"/>
      <c r="C172" s="259"/>
      <c r="D172" s="621"/>
      <c r="E172" s="587"/>
      <c r="F172" s="154"/>
      <c r="G172" s="254"/>
      <c r="H172" s="154"/>
      <c r="I172" s="154"/>
      <c r="J172" s="254"/>
      <c r="K172" s="311">
        <f t="shared" si="41"/>
        <v>0</v>
      </c>
      <c r="L172" s="312">
        <f t="shared" si="42"/>
        <v>0</v>
      </c>
      <c r="M172" s="313">
        <f t="shared" si="43"/>
        <v>0</v>
      </c>
      <c r="N172" s="314">
        <f>L172</f>
        <v>0</v>
      </c>
      <c r="O172" s="315">
        <f t="shared" si="36"/>
        <v>0</v>
      </c>
      <c r="P172" s="315">
        <f t="shared" si="37"/>
        <v>0</v>
      </c>
      <c r="Q172" s="314"/>
      <c r="R172" s="315">
        <f t="shared" si="44"/>
        <v>0</v>
      </c>
      <c r="S172" s="315">
        <f t="shared" si="45"/>
        <v>0</v>
      </c>
      <c r="T172" s="213"/>
      <c r="U172" s="213"/>
      <c r="V172" s="213"/>
      <c r="W172" s="213"/>
      <c r="X172" s="591"/>
      <c r="Y172" s="591"/>
    </row>
    <row r="173" spans="1:25" ht="14.85" customHeight="1">
      <c r="A173" s="619"/>
      <c r="B173" s="586"/>
      <c r="C173" s="259"/>
      <c r="D173" s="621"/>
      <c r="E173" s="588"/>
      <c r="F173" s="154"/>
      <c r="G173" s="254"/>
      <c r="H173" s="154"/>
      <c r="I173" s="154"/>
      <c r="J173" s="254"/>
      <c r="K173" s="311">
        <f t="shared" si="41"/>
        <v>0</v>
      </c>
      <c r="L173" s="312">
        <f t="shared" si="42"/>
        <v>0</v>
      </c>
      <c r="M173" s="313">
        <f t="shared" si="43"/>
        <v>0</v>
      </c>
      <c r="N173" s="314"/>
      <c r="O173" s="315">
        <f t="shared" si="36"/>
        <v>0</v>
      </c>
      <c r="P173" s="315">
        <f t="shared" si="37"/>
        <v>0</v>
      </c>
      <c r="Q173" s="314"/>
      <c r="R173" s="315">
        <f t="shared" si="44"/>
        <v>0</v>
      </c>
      <c r="S173" s="315">
        <f t="shared" si="45"/>
        <v>0</v>
      </c>
      <c r="T173" s="213"/>
      <c r="U173" s="213"/>
      <c r="V173" s="213"/>
      <c r="W173" s="213"/>
      <c r="X173" s="591"/>
      <c r="Y173" s="591"/>
    </row>
    <row r="174" spans="1:25" ht="14.85" customHeight="1">
      <c r="A174" s="619"/>
      <c r="B174" s="586"/>
      <c r="C174" s="259"/>
      <c r="D174" s="621"/>
      <c r="E174" s="588"/>
      <c r="F174" s="154"/>
      <c r="G174" s="254"/>
      <c r="H174" s="154"/>
      <c r="I174" s="154"/>
      <c r="J174" s="254"/>
      <c r="K174" s="311">
        <f t="shared" si="41"/>
        <v>0</v>
      </c>
      <c r="L174" s="312">
        <f t="shared" si="42"/>
        <v>0</v>
      </c>
      <c r="M174" s="313">
        <f t="shared" si="43"/>
        <v>0</v>
      </c>
      <c r="N174" s="314"/>
      <c r="O174" s="315">
        <f t="shared" si="36"/>
        <v>0</v>
      </c>
      <c r="P174" s="315">
        <f t="shared" si="37"/>
        <v>0</v>
      </c>
      <c r="Q174" s="314"/>
      <c r="R174" s="315">
        <f t="shared" si="44"/>
        <v>0</v>
      </c>
      <c r="S174" s="315">
        <f t="shared" si="45"/>
        <v>0</v>
      </c>
      <c r="T174" s="213"/>
      <c r="U174" s="213"/>
      <c r="V174" s="213"/>
      <c r="W174" s="213"/>
      <c r="X174" s="591"/>
      <c r="Y174" s="591"/>
    </row>
    <row r="175" spans="1:25" ht="14.85" customHeight="1">
      <c r="A175" s="619"/>
      <c r="B175" s="586"/>
      <c r="C175" s="259"/>
      <c r="D175" s="621"/>
      <c r="E175" s="589"/>
      <c r="F175" s="154"/>
      <c r="G175" s="254"/>
      <c r="H175" s="154"/>
      <c r="I175" s="154"/>
      <c r="J175" s="254"/>
      <c r="K175" s="311">
        <f t="shared" si="41"/>
        <v>0</v>
      </c>
      <c r="L175" s="312">
        <f t="shared" si="42"/>
        <v>0</v>
      </c>
      <c r="M175" s="313">
        <f t="shared" si="43"/>
        <v>0</v>
      </c>
      <c r="N175" s="314">
        <f>SUM(L173:L175)</f>
        <v>0</v>
      </c>
      <c r="O175" s="315">
        <f t="shared" si="36"/>
        <v>0</v>
      </c>
      <c r="P175" s="315">
        <f t="shared" si="37"/>
        <v>0</v>
      </c>
      <c r="Q175" s="314">
        <f>SUM(N172:N175)</f>
        <v>0</v>
      </c>
      <c r="R175" s="315">
        <f t="shared" si="44"/>
        <v>0</v>
      </c>
      <c r="S175" s="315">
        <f t="shared" si="45"/>
        <v>0</v>
      </c>
      <c r="T175" s="213"/>
      <c r="U175" s="213"/>
      <c r="V175" s="213"/>
      <c r="W175" s="213"/>
      <c r="X175" s="591"/>
      <c r="Y175" s="591"/>
    </row>
    <row r="176" spans="1:25" ht="14.85" customHeight="1">
      <c r="A176" s="316"/>
      <c r="B176" s="259"/>
      <c r="C176" s="259"/>
      <c r="D176" s="256"/>
      <c r="E176" s="360"/>
      <c r="F176" s="154"/>
      <c r="G176" s="254"/>
      <c r="H176" s="154"/>
      <c r="I176" s="154"/>
      <c r="J176" s="254"/>
      <c r="K176" s="311"/>
      <c r="L176" s="312"/>
      <c r="M176" s="313"/>
      <c r="N176" s="314"/>
      <c r="O176" s="315"/>
      <c r="P176" s="315"/>
      <c r="Q176" s="314"/>
      <c r="R176" s="315"/>
      <c r="S176" s="315"/>
      <c r="T176" s="213"/>
      <c r="U176" s="213"/>
      <c r="V176" s="213"/>
      <c r="W176" s="213"/>
      <c r="X176" s="317"/>
      <c r="Y176" s="317"/>
    </row>
    <row r="177" spans="1:25" s="287" customFormat="1">
      <c r="A177" s="211" t="s">
        <v>129</v>
      </c>
      <c r="B177" s="211">
        <f>COUNTA(B134:B175)</f>
        <v>0</v>
      </c>
      <c r="C177" s="211"/>
      <c r="D177" s="211">
        <f>COUNTA(D134:D175)</f>
        <v>0</v>
      </c>
      <c r="E177" s="212">
        <f>COUNTA(E134:E175)</f>
        <v>0</v>
      </c>
      <c r="F177" s="211">
        <f>COUNTA(F134:F175)</f>
        <v>0</v>
      </c>
      <c r="G177" s="211">
        <f>COUNTA(G134:G175)</f>
        <v>0</v>
      </c>
      <c r="H177" s="211"/>
      <c r="I177" s="211">
        <f>COUNTA(I134:I175)</f>
        <v>0</v>
      </c>
      <c r="J177" s="280">
        <f>SUM(J134:J175)</f>
        <v>0</v>
      </c>
      <c r="K177" s="161">
        <f>SUM(K134:K175)</f>
        <v>0</v>
      </c>
      <c r="L177" s="161">
        <f>SUM(L134:L175)</f>
        <v>0</v>
      </c>
      <c r="M177" s="161">
        <f>SUM(M134:M175)</f>
        <v>0</v>
      </c>
      <c r="N177" s="161">
        <f>SUM(N134:N175)</f>
        <v>0</v>
      </c>
      <c r="O177" s="315">
        <f t="shared" si="36"/>
        <v>0</v>
      </c>
      <c r="P177" s="315">
        <f t="shared" si="37"/>
        <v>0</v>
      </c>
      <c r="Q177" s="161">
        <f>SUM(Q134:Q175)</f>
        <v>0</v>
      </c>
      <c r="R177" s="161">
        <f t="shared" ref="R177:R178" si="46">ROUNDDOWN((Q177/$O$11),0)</f>
        <v>0</v>
      </c>
      <c r="S177" s="161">
        <f t="shared" ref="S177:S178" si="47">ROUND((Q177-(R177*$P$11)),0)</f>
        <v>0</v>
      </c>
      <c r="T177" s="211"/>
      <c r="U177" s="211"/>
      <c r="V177" s="211"/>
      <c r="W177" s="211"/>
      <c r="X177" s="161" t="str">
        <f>IF(X134&lt;1.4,"1",IF(X134&lt;=2.3,"2",IF(X134&gt;2.3, ROUND(X134,0))))</f>
        <v>1</v>
      </c>
      <c r="Y177" s="161">
        <f>$Y$11*F177</f>
        <v>0</v>
      </c>
    </row>
    <row r="178" spans="1:25">
      <c r="A178" s="618"/>
      <c r="B178" s="585"/>
      <c r="C178" s="258"/>
      <c r="D178" s="620"/>
      <c r="E178" s="631"/>
      <c r="F178" s="601"/>
      <c r="G178" s="217"/>
      <c r="H178" s="413"/>
      <c r="I178" s="154"/>
      <c r="J178" s="270"/>
      <c r="K178" s="311">
        <f t="shared" ref="K178" si="48">J178/$K$11</f>
        <v>0</v>
      </c>
      <c r="L178" s="312">
        <f t="shared" ref="L178" si="49">J178/$L$11</f>
        <v>0</v>
      </c>
      <c r="M178" s="313">
        <f t="shared" ref="M178" si="50">ROUND((L178/$M$11),0)</f>
        <v>0</v>
      </c>
      <c r="N178" s="314"/>
      <c r="O178" s="315">
        <f t="shared" si="36"/>
        <v>0</v>
      </c>
      <c r="P178" s="315">
        <f t="shared" si="37"/>
        <v>0</v>
      </c>
      <c r="Q178" s="314"/>
      <c r="R178" s="315">
        <f t="shared" si="46"/>
        <v>0</v>
      </c>
      <c r="S178" s="315">
        <f t="shared" si="47"/>
        <v>0</v>
      </c>
      <c r="T178" s="213"/>
      <c r="U178" s="213"/>
      <c r="V178" s="213"/>
      <c r="W178" s="213"/>
      <c r="X178" s="590">
        <f>F258/$X$11</f>
        <v>0</v>
      </c>
      <c r="Y178" s="590"/>
    </row>
    <row r="179" spans="1:25">
      <c r="A179" s="619"/>
      <c r="B179" s="586"/>
      <c r="C179" s="259"/>
      <c r="D179" s="621"/>
      <c r="E179" s="632"/>
      <c r="F179" s="602"/>
      <c r="G179" s="217"/>
      <c r="H179" s="413"/>
      <c r="I179" s="154"/>
      <c r="J179" s="270"/>
      <c r="K179" s="311">
        <f t="shared" ref="K179:K221" si="51">J179/$K$11</f>
        <v>0</v>
      </c>
      <c r="L179" s="312">
        <f t="shared" ref="L179:L221" si="52">J179/$L$11</f>
        <v>0</v>
      </c>
      <c r="M179" s="313">
        <f t="shared" ref="M179:M221" si="53">ROUND((L179/$M$11),0)</f>
        <v>0</v>
      </c>
      <c r="N179" s="314"/>
      <c r="O179" s="315">
        <f t="shared" si="36"/>
        <v>0</v>
      </c>
      <c r="P179" s="315">
        <f t="shared" si="37"/>
        <v>0</v>
      </c>
      <c r="Q179" s="314"/>
      <c r="R179" s="315">
        <f t="shared" ref="R179:R256" si="54">ROUNDDOWN((Q179/$O$11),0)</f>
        <v>0</v>
      </c>
      <c r="S179" s="315">
        <f t="shared" ref="S179:S256" si="55">ROUND((Q179-(R179*$P$11)),0)</f>
        <v>0</v>
      </c>
      <c r="T179" s="213"/>
      <c r="U179" s="213"/>
      <c r="V179" s="213"/>
      <c r="W179" s="213"/>
      <c r="X179" s="591"/>
      <c r="Y179" s="591"/>
    </row>
    <row r="180" spans="1:25">
      <c r="A180" s="619"/>
      <c r="B180" s="586"/>
      <c r="C180" s="259"/>
      <c r="D180" s="621"/>
      <c r="E180" s="632"/>
      <c r="F180" s="602"/>
      <c r="G180" s="217"/>
      <c r="H180" s="413"/>
      <c r="I180" s="154"/>
      <c r="J180" s="270"/>
      <c r="K180" s="311">
        <f t="shared" si="51"/>
        <v>0</v>
      </c>
      <c r="L180" s="312">
        <f t="shared" si="52"/>
        <v>0</v>
      </c>
      <c r="M180" s="313">
        <f t="shared" si="53"/>
        <v>0</v>
      </c>
      <c r="N180" s="314"/>
      <c r="O180" s="315">
        <f t="shared" si="36"/>
        <v>0</v>
      </c>
      <c r="P180" s="315">
        <f t="shared" si="37"/>
        <v>0</v>
      </c>
      <c r="Q180" s="314"/>
      <c r="R180" s="315">
        <f t="shared" si="54"/>
        <v>0</v>
      </c>
      <c r="S180" s="315">
        <f t="shared" si="55"/>
        <v>0</v>
      </c>
      <c r="T180" s="213"/>
      <c r="U180" s="213"/>
      <c r="V180" s="213"/>
      <c r="W180" s="213"/>
      <c r="X180" s="591"/>
      <c r="Y180" s="591"/>
    </row>
    <row r="181" spans="1:25">
      <c r="A181" s="619"/>
      <c r="B181" s="586"/>
      <c r="C181" s="259"/>
      <c r="D181" s="621"/>
      <c r="E181" s="632"/>
      <c r="F181" s="603"/>
      <c r="G181" s="217"/>
      <c r="H181" s="413"/>
      <c r="I181" s="154"/>
      <c r="J181" s="270"/>
      <c r="K181" s="311">
        <f t="shared" si="51"/>
        <v>0</v>
      </c>
      <c r="L181" s="312">
        <f t="shared" si="52"/>
        <v>0</v>
      </c>
      <c r="M181" s="313">
        <f t="shared" si="53"/>
        <v>0</v>
      </c>
      <c r="N181" s="314">
        <f>SUM(L178:L181)</f>
        <v>0</v>
      </c>
      <c r="O181" s="315">
        <f t="shared" si="36"/>
        <v>0</v>
      </c>
      <c r="P181" s="315">
        <f t="shared" si="37"/>
        <v>0</v>
      </c>
      <c r="Q181" s="314"/>
      <c r="R181" s="315">
        <f t="shared" si="54"/>
        <v>0</v>
      </c>
      <c r="S181" s="315">
        <f t="shared" si="55"/>
        <v>0</v>
      </c>
      <c r="T181" s="213"/>
      <c r="U181" s="213"/>
      <c r="V181" s="213"/>
      <c r="W181" s="213"/>
      <c r="X181" s="591"/>
      <c r="Y181" s="591"/>
    </row>
    <row r="182" spans="1:25">
      <c r="A182" s="619"/>
      <c r="B182" s="586"/>
      <c r="C182" s="259"/>
      <c r="D182" s="621"/>
      <c r="E182" s="632"/>
      <c r="F182" s="154"/>
      <c r="G182" s="237"/>
      <c r="H182" s="414"/>
      <c r="I182" s="154"/>
      <c r="J182" s="270"/>
      <c r="K182" s="311">
        <f t="shared" si="51"/>
        <v>0</v>
      </c>
      <c r="L182" s="312">
        <f t="shared" si="52"/>
        <v>0</v>
      </c>
      <c r="M182" s="313">
        <f t="shared" si="53"/>
        <v>0</v>
      </c>
      <c r="N182" s="314">
        <f>L182</f>
        <v>0</v>
      </c>
      <c r="O182" s="315">
        <f t="shared" si="36"/>
        <v>0</v>
      </c>
      <c r="P182" s="315">
        <f t="shared" si="37"/>
        <v>0</v>
      </c>
      <c r="Q182" s="314"/>
      <c r="R182" s="315">
        <f t="shared" si="54"/>
        <v>0</v>
      </c>
      <c r="S182" s="315">
        <f t="shared" si="55"/>
        <v>0</v>
      </c>
      <c r="T182" s="213"/>
      <c r="U182" s="213"/>
      <c r="V182" s="213"/>
      <c r="W182" s="213"/>
      <c r="X182" s="591"/>
      <c r="Y182" s="591"/>
    </row>
    <row r="183" spans="1:25" ht="14.85" customHeight="1">
      <c r="A183" s="619"/>
      <c r="B183" s="586"/>
      <c r="C183" s="259"/>
      <c r="D183" s="621"/>
      <c r="E183" s="632"/>
      <c r="F183" s="601"/>
      <c r="G183" s="254"/>
      <c r="H183" s="415"/>
      <c r="J183" s="270"/>
      <c r="K183" s="311">
        <f t="shared" si="51"/>
        <v>0</v>
      </c>
      <c r="L183" s="312">
        <f t="shared" si="52"/>
        <v>0</v>
      </c>
      <c r="M183" s="313">
        <f t="shared" si="53"/>
        <v>0</v>
      </c>
      <c r="N183" s="314"/>
      <c r="O183" s="315">
        <f t="shared" si="36"/>
        <v>0</v>
      </c>
      <c r="P183" s="315">
        <f t="shared" si="37"/>
        <v>0</v>
      </c>
      <c r="Q183" s="314"/>
      <c r="R183" s="315">
        <f t="shared" si="54"/>
        <v>0</v>
      </c>
      <c r="S183" s="315">
        <f t="shared" si="55"/>
        <v>0</v>
      </c>
      <c r="T183" s="213"/>
      <c r="U183" s="213"/>
      <c r="V183" s="213"/>
      <c r="W183" s="213"/>
      <c r="X183" s="591"/>
      <c r="Y183" s="591"/>
    </row>
    <row r="184" spans="1:25" ht="14.85" customHeight="1">
      <c r="A184" s="619"/>
      <c r="B184" s="586"/>
      <c r="C184" s="259"/>
      <c r="D184" s="621"/>
      <c r="E184" s="633"/>
      <c r="F184" s="603"/>
      <c r="G184" s="254"/>
      <c r="H184" s="262"/>
      <c r="I184" s="154"/>
      <c r="J184" s="276"/>
      <c r="K184" s="311">
        <f t="shared" si="51"/>
        <v>0</v>
      </c>
      <c r="L184" s="312">
        <f t="shared" si="52"/>
        <v>0</v>
      </c>
      <c r="M184" s="313">
        <f t="shared" si="53"/>
        <v>0</v>
      </c>
      <c r="N184" s="314">
        <f>SUM(L183:L184)</f>
        <v>0</v>
      </c>
      <c r="O184" s="315">
        <f t="shared" si="36"/>
        <v>0</v>
      </c>
      <c r="P184" s="315">
        <f t="shared" si="37"/>
        <v>0</v>
      </c>
      <c r="Q184" s="314">
        <f>SUM(N181:N184)</f>
        <v>0</v>
      </c>
      <c r="R184" s="315">
        <f t="shared" si="54"/>
        <v>0</v>
      </c>
      <c r="S184" s="315">
        <f t="shared" si="55"/>
        <v>0</v>
      </c>
      <c r="T184" s="213"/>
      <c r="U184" s="213"/>
      <c r="V184" s="213"/>
      <c r="W184" s="213"/>
      <c r="X184" s="591"/>
      <c r="Y184" s="591"/>
    </row>
    <row r="185" spans="1:25" ht="14.85" customHeight="1">
      <c r="A185" s="619"/>
      <c r="B185" s="586"/>
      <c r="C185" s="259"/>
      <c r="D185" s="621"/>
      <c r="E185" s="363"/>
      <c r="F185" s="252"/>
      <c r="G185" s="254"/>
      <c r="H185" s="415"/>
      <c r="I185" s="214"/>
      <c r="J185" s="276"/>
      <c r="K185" s="311"/>
      <c r="L185" s="312"/>
      <c r="M185" s="313"/>
      <c r="N185" s="314"/>
      <c r="O185" s="315"/>
      <c r="P185" s="315"/>
      <c r="Q185" s="314"/>
      <c r="R185" s="315"/>
      <c r="S185" s="315"/>
      <c r="T185" s="213"/>
      <c r="U185" s="213"/>
      <c r="V185" s="213"/>
      <c r="W185" s="213"/>
      <c r="X185" s="591"/>
      <c r="Y185" s="591"/>
    </row>
    <row r="186" spans="1:25" ht="14.85" customHeight="1">
      <c r="A186" s="619"/>
      <c r="B186" s="586"/>
      <c r="C186" s="259"/>
      <c r="D186" s="621"/>
      <c r="E186" s="631"/>
      <c r="F186" s="601"/>
      <c r="G186" s="215"/>
      <c r="H186" s="416"/>
      <c r="J186" s="254"/>
      <c r="K186" s="311">
        <f t="shared" si="51"/>
        <v>0</v>
      </c>
      <c r="L186" s="312">
        <f t="shared" si="52"/>
        <v>0</v>
      </c>
      <c r="M186" s="313">
        <f t="shared" si="53"/>
        <v>0</v>
      </c>
      <c r="N186" s="314"/>
      <c r="O186" s="315">
        <f t="shared" si="36"/>
        <v>0</v>
      </c>
      <c r="P186" s="315">
        <f t="shared" si="37"/>
        <v>0</v>
      </c>
      <c r="Q186" s="314"/>
      <c r="R186" s="315">
        <f t="shared" si="54"/>
        <v>0</v>
      </c>
      <c r="S186" s="315">
        <f t="shared" si="55"/>
        <v>0</v>
      </c>
      <c r="T186" s="213"/>
      <c r="U186" s="213"/>
      <c r="V186" s="213"/>
      <c r="W186" s="213"/>
      <c r="X186" s="591"/>
      <c r="Y186" s="591"/>
    </row>
    <row r="187" spans="1:25" ht="14.85" customHeight="1">
      <c r="A187" s="619"/>
      <c r="B187" s="586"/>
      <c r="C187" s="259"/>
      <c r="D187" s="621"/>
      <c r="E187" s="632"/>
      <c r="F187" s="602"/>
      <c r="G187" s="215"/>
      <c r="H187" s="417"/>
      <c r="I187" s="154"/>
      <c r="J187" s="254"/>
      <c r="K187" s="311">
        <f t="shared" si="51"/>
        <v>0</v>
      </c>
      <c r="L187" s="312">
        <f t="shared" si="52"/>
        <v>0</v>
      </c>
      <c r="M187" s="313">
        <f t="shared" si="53"/>
        <v>0</v>
      </c>
      <c r="N187" s="314"/>
      <c r="O187" s="315">
        <f t="shared" si="36"/>
        <v>0</v>
      </c>
      <c r="P187" s="315">
        <f t="shared" si="37"/>
        <v>0</v>
      </c>
      <c r="Q187" s="314"/>
      <c r="R187" s="315">
        <f t="shared" si="54"/>
        <v>0</v>
      </c>
      <c r="S187" s="315">
        <f t="shared" si="55"/>
        <v>0</v>
      </c>
      <c r="T187" s="213"/>
      <c r="U187" s="213"/>
      <c r="V187" s="213"/>
      <c r="W187" s="213"/>
      <c r="X187" s="591"/>
      <c r="Y187" s="591"/>
    </row>
    <row r="188" spans="1:25" ht="14.85" customHeight="1">
      <c r="A188" s="619"/>
      <c r="B188" s="586"/>
      <c r="C188" s="259"/>
      <c r="D188" s="621"/>
      <c r="E188" s="632"/>
      <c r="F188" s="603"/>
      <c r="G188" s="215"/>
      <c r="H188" s="417"/>
      <c r="I188" s="154"/>
      <c r="J188" s="254"/>
      <c r="K188" s="311">
        <f t="shared" si="51"/>
        <v>0</v>
      </c>
      <c r="L188" s="312">
        <f t="shared" si="52"/>
        <v>0</v>
      </c>
      <c r="M188" s="313">
        <f t="shared" si="53"/>
        <v>0</v>
      </c>
      <c r="N188" s="314">
        <f>SUM(L186:L188)</f>
        <v>0</v>
      </c>
      <c r="O188" s="315">
        <f t="shared" ref="O188:O260" si="56">ROUNDDOWN((N188/$O$11),0)</f>
        <v>0</v>
      </c>
      <c r="P188" s="315">
        <f t="shared" ref="P188:P260" si="57">ROUND((N188-(O188*$P$11)),0)</f>
        <v>0</v>
      </c>
      <c r="Q188" s="314"/>
      <c r="R188" s="315">
        <f t="shared" si="54"/>
        <v>0</v>
      </c>
      <c r="S188" s="315">
        <f t="shared" si="55"/>
        <v>0</v>
      </c>
      <c r="T188" s="213"/>
      <c r="U188" s="213"/>
      <c r="V188" s="213"/>
      <c r="W188" s="213"/>
      <c r="X188" s="591"/>
      <c r="Y188" s="591"/>
    </row>
    <row r="189" spans="1:25" ht="14.85" customHeight="1">
      <c r="A189" s="619"/>
      <c r="B189" s="586"/>
      <c r="C189" s="259"/>
      <c r="D189" s="621"/>
      <c r="E189" s="632"/>
      <c r="F189" s="601"/>
      <c r="G189" s="254"/>
      <c r="H189" s="262"/>
      <c r="I189" s="154"/>
      <c r="J189" s="270"/>
      <c r="K189" s="311">
        <f t="shared" si="51"/>
        <v>0</v>
      </c>
      <c r="L189" s="312">
        <f t="shared" si="52"/>
        <v>0</v>
      </c>
      <c r="M189" s="313">
        <f t="shared" si="53"/>
        <v>0</v>
      </c>
      <c r="N189" s="314"/>
      <c r="O189" s="315">
        <f t="shared" si="56"/>
        <v>0</v>
      </c>
      <c r="P189" s="315">
        <f t="shared" si="57"/>
        <v>0</v>
      </c>
      <c r="Q189" s="314"/>
      <c r="R189" s="315">
        <f t="shared" si="54"/>
        <v>0</v>
      </c>
      <c r="S189" s="315">
        <f t="shared" si="55"/>
        <v>0</v>
      </c>
      <c r="T189" s="213"/>
      <c r="U189" s="213"/>
      <c r="V189" s="213"/>
      <c r="W189" s="213"/>
      <c r="X189" s="591"/>
      <c r="Y189" s="591"/>
    </row>
    <row r="190" spans="1:25" ht="14.85" customHeight="1">
      <c r="A190" s="619"/>
      <c r="B190" s="586"/>
      <c r="C190" s="259"/>
      <c r="D190" s="621"/>
      <c r="E190" s="632"/>
      <c r="F190" s="602"/>
      <c r="G190" s="254"/>
      <c r="H190" s="415"/>
      <c r="I190" s="214"/>
      <c r="J190" s="270"/>
      <c r="K190" s="311">
        <f t="shared" si="51"/>
        <v>0</v>
      </c>
      <c r="L190" s="312">
        <f t="shared" si="52"/>
        <v>0</v>
      </c>
      <c r="M190" s="313">
        <f t="shared" si="53"/>
        <v>0</v>
      </c>
      <c r="N190" s="314"/>
      <c r="O190" s="315">
        <f t="shared" si="56"/>
        <v>0</v>
      </c>
      <c r="P190" s="315">
        <f t="shared" si="57"/>
        <v>0</v>
      </c>
      <c r="Q190" s="314"/>
      <c r="R190" s="315">
        <f t="shared" si="54"/>
        <v>0</v>
      </c>
      <c r="S190" s="315">
        <f t="shared" si="55"/>
        <v>0</v>
      </c>
      <c r="T190" s="213"/>
      <c r="U190" s="213"/>
      <c r="V190" s="213"/>
      <c r="W190" s="213"/>
      <c r="X190" s="591"/>
      <c r="Y190" s="591"/>
    </row>
    <row r="191" spans="1:25" ht="14.85" customHeight="1">
      <c r="A191" s="619"/>
      <c r="B191" s="586"/>
      <c r="C191" s="259"/>
      <c r="D191" s="621"/>
      <c r="E191" s="632"/>
      <c r="F191" s="603"/>
      <c r="G191" s="254"/>
      <c r="H191" s="415"/>
      <c r="I191" s="214"/>
      <c r="J191" s="270"/>
      <c r="K191" s="311">
        <f t="shared" si="51"/>
        <v>0</v>
      </c>
      <c r="L191" s="312">
        <f t="shared" si="52"/>
        <v>0</v>
      </c>
      <c r="M191" s="313">
        <f t="shared" si="53"/>
        <v>0</v>
      </c>
      <c r="N191" s="314">
        <f>SUM(J189:J191)</f>
        <v>0</v>
      </c>
      <c r="O191" s="315">
        <f t="shared" si="56"/>
        <v>0</v>
      </c>
      <c r="P191" s="315">
        <f t="shared" si="57"/>
        <v>0</v>
      </c>
      <c r="Q191" s="314"/>
      <c r="R191" s="315">
        <f t="shared" si="54"/>
        <v>0</v>
      </c>
      <c r="S191" s="315">
        <f t="shared" si="55"/>
        <v>0</v>
      </c>
      <c r="T191" s="213"/>
      <c r="U191" s="213"/>
      <c r="V191" s="213"/>
      <c r="W191" s="213"/>
      <c r="X191" s="591"/>
      <c r="Y191" s="591"/>
    </row>
    <row r="192" spans="1:25" ht="14.85" customHeight="1">
      <c r="A192" s="619"/>
      <c r="B192" s="586"/>
      <c r="C192" s="259"/>
      <c r="D192" s="621"/>
      <c r="E192" s="632"/>
      <c r="F192" s="601"/>
      <c r="G192" s="254"/>
      <c r="H192" s="415"/>
      <c r="J192" s="254"/>
      <c r="K192" s="311">
        <f t="shared" si="51"/>
        <v>0</v>
      </c>
      <c r="L192" s="312">
        <f t="shared" si="52"/>
        <v>0</v>
      </c>
      <c r="M192" s="313">
        <f t="shared" si="53"/>
        <v>0</v>
      </c>
      <c r="N192" s="314"/>
      <c r="O192" s="315">
        <f t="shared" si="56"/>
        <v>0</v>
      </c>
      <c r="P192" s="315">
        <f t="shared" si="57"/>
        <v>0</v>
      </c>
      <c r="Q192" s="314"/>
      <c r="R192" s="315">
        <f t="shared" si="54"/>
        <v>0</v>
      </c>
      <c r="S192" s="315">
        <f t="shared" si="55"/>
        <v>0</v>
      </c>
      <c r="T192" s="213"/>
      <c r="U192" s="213"/>
      <c r="V192" s="213"/>
      <c r="W192" s="213"/>
      <c r="X192" s="591"/>
      <c r="Y192" s="591"/>
    </row>
    <row r="193" spans="1:25" ht="14.85" customHeight="1">
      <c r="A193" s="619"/>
      <c r="B193" s="586"/>
      <c r="C193" s="259"/>
      <c r="D193" s="621"/>
      <c r="E193" s="633"/>
      <c r="F193" s="603"/>
      <c r="G193" s="254"/>
      <c r="H193" s="262"/>
      <c r="I193" s="154"/>
      <c r="J193" s="254"/>
      <c r="K193" s="311">
        <f t="shared" si="51"/>
        <v>0</v>
      </c>
      <c r="L193" s="312">
        <f t="shared" si="52"/>
        <v>0</v>
      </c>
      <c r="M193" s="313">
        <f t="shared" si="53"/>
        <v>0</v>
      </c>
      <c r="N193" s="314">
        <f>SUM(L192:L193)</f>
        <v>0</v>
      </c>
      <c r="O193" s="315">
        <f t="shared" si="56"/>
        <v>0</v>
      </c>
      <c r="P193" s="315">
        <f t="shared" si="57"/>
        <v>0</v>
      </c>
      <c r="Q193" s="314">
        <f>SUM(N188:N193)</f>
        <v>0</v>
      </c>
      <c r="R193" s="315">
        <f t="shared" si="54"/>
        <v>0</v>
      </c>
      <c r="S193" s="315">
        <f t="shared" si="55"/>
        <v>0</v>
      </c>
      <c r="T193" s="213"/>
      <c r="U193" s="213"/>
      <c r="V193" s="213"/>
      <c r="W193" s="213"/>
      <c r="X193" s="591"/>
      <c r="Y193" s="591"/>
    </row>
    <row r="194" spans="1:25" ht="14.85" customHeight="1">
      <c r="A194" s="619"/>
      <c r="B194" s="586"/>
      <c r="C194" s="259"/>
      <c r="D194" s="621"/>
      <c r="E194" s="363"/>
      <c r="F194" s="251"/>
      <c r="G194" s="254"/>
      <c r="H194" s="262"/>
      <c r="I194" s="154"/>
      <c r="J194" s="254"/>
      <c r="K194" s="311"/>
      <c r="L194" s="312"/>
      <c r="M194" s="313"/>
      <c r="N194" s="314"/>
      <c r="O194" s="315"/>
      <c r="P194" s="315"/>
      <c r="Q194" s="314"/>
      <c r="R194" s="315"/>
      <c r="S194" s="315"/>
      <c r="T194" s="213"/>
      <c r="U194" s="213"/>
      <c r="V194" s="213"/>
      <c r="W194" s="213"/>
      <c r="X194" s="591"/>
      <c r="Y194" s="591"/>
    </row>
    <row r="195" spans="1:25" ht="14.85" customHeight="1">
      <c r="A195" s="619"/>
      <c r="B195" s="586"/>
      <c r="C195" s="259"/>
      <c r="D195" s="621"/>
      <c r="E195" s="631"/>
      <c r="F195" s="154"/>
      <c r="G195" s="215"/>
      <c r="H195" s="417"/>
      <c r="I195" s="154"/>
      <c r="J195" s="270"/>
      <c r="K195" s="311">
        <f t="shared" si="51"/>
        <v>0</v>
      </c>
      <c r="L195" s="312">
        <f t="shared" si="52"/>
        <v>0</v>
      </c>
      <c r="M195" s="313">
        <f t="shared" si="53"/>
        <v>0</v>
      </c>
      <c r="N195" s="314">
        <f>L195</f>
        <v>0</v>
      </c>
      <c r="O195" s="315">
        <f t="shared" si="56"/>
        <v>0</v>
      </c>
      <c r="P195" s="315">
        <f t="shared" si="57"/>
        <v>0</v>
      </c>
      <c r="Q195" s="314"/>
      <c r="R195" s="315">
        <f t="shared" si="54"/>
        <v>0</v>
      </c>
      <c r="S195" s="315">
        <f t="shared" si="55"/>
        <v>0</v>
      </c>
      <c r="T195" s="213"/>
      <c r="U195" s="213"/>
      <c r="V195" s="213"/>
      <c r="W195" s="213"/>
      <c r="X195" s="591"/>
      <c r="Y195" s="591"/>
    </row>
    <row r="196" spans="1:25" ht="14.85" customHeight="1">
      <c r="A196" s="619"/>
      <c r="B196" s="586"/>
      <c r="C196" s="259"/>
      <c r="D196" s="621"/>
      <c r="E196" s="632"/>
      <c r="F196" s="601"/>
      <c r="G196" s="254"/>
      <c r="H196" s="262"/>
      <c r="I196" s="154"/>
      <c r="J196" s="270"/>
      <c r="K196" s="311">
        <f t="shared" si="51"/>
        <v>0</v>
      </c>
      <c r="L196" s="312">
        <f t="shared" si="52"/>
        <v>0</v>
      </c>
      <c r="M196" s="313">
        <f t="shared" si="53"/>
        <v>0</v>
      </c>
      <c r="N196" s="314"/>
      <c r="O196" s="315">
        <f t="shared" si="56"/>
        <v>0</v>
      </c>
      <c r="P196" s="315">
        <f t="shared" si="57"/>
        <v>0</v>
      </c>
      <c r="Q196" s="314"/>
      <c r="R196" s="315">
        <f t="shared" si="54"/>
        <v>0</v>
      </c>
      <c r="S196" s="315">
        <f t="shared" si="55"/>
        <v>0</v>
      </c>
      <c r="T196" s="213"/>
      <c r="U196" s="213"/>
      <c r="V196" s="213"/>
      <c r="W196" s="213"/>
      <c r="X196" s="591"/>
      <c r="Y196" s="591"/>
    </row>
    <row r="197" spans="1:25" ht="14.85" customHeight="1">
      <c r="A197" s="619"/>
      <c r="B197" s="586"/>
      <c r="C197" s="259"/>
      <c r="D197" s="621"/>
      <c r="E197" s="632"/>
      <c r="F197" s="602"/>
      <c r="G197" s="254"/>
      <c r="H197" s="262"/>
      <c r="I197" s="154"/>
      <c r="J197" s="270"/>
      <c r="K197" s="311">
        <f t="shared" si="51"/>
        <v>0</v>
      </c>
      <c r="L197" s="312">
        <f t="shared" si="52"/>
        <v>0</v>
      </c>
      <c r="M197" s="313">
        <f t="shared" si="53"/>
        <v>0</v>
      </c>
      <c r="N197" s="314"/>
      <c r="O197" s="315">
        <f t="shared" si="56"/>
        <v>0</v>
      </c>
      <c r="P197" s="315">
        <f t="shared" si="57"/>
        <v>0</v>
      </c>
      <c r="Q197" s="314"/>
      <c r="R197" s="315">
        <f t="shared" si="54"/>
        <v>0</v>
      </c>
      <c r="S197" s="315">
        <f t="shared" si="55"/>
        <v>0</v>
      </c>
      <c r="T197" s="213"/>
      <c r="U197" s="213"/>
      <c r="V197" s="213"/>
      <c r="W197" s="213"/>
      <c r="X197" s="591"/>
      <c r="Y197" s="591"/>
    </row>
    <row r="198" spans="1:25" ht="14.85" customHeight="1">
      <c r="A198" s="619"/>
      <c r="B198" s="586"/>
      <c r="C198" s="259"/>
      <c r="D198" s="621"/>
      <c r="E198" s="633"/>
      <c r="F198" s="603"/>
      <c r="G198" s="254"/>
      <c r="H198" s="262"/>
      <c r="I198" s="154"/>
      <c r="J198" s="254"/>
      <c r="K198" s="311">
        <f t="shared" si="51"/>
        <v>0</v>
      </c>
      <c r="L198" s="312">
        <f t="shared" si="52"/>
        <v>0</v>
      </c>
      <c r="M198" s="313">
        <f t="shared" si="53"/>
        <v>0</v>
      </c>
      <c r="N198" s="314">
        <f>SUM(L196:L198)</f>
        <v>0</v>
      </c>
      <c r="O198" s="315">
        <f t="shared" si="56"/>
        <v>0</v>
      </c>
      <c r="P198" s="315">
        <f t="shared" si="57"/>
        <v>0</v>
      </c>
      <c r="Q198" s="314">
        <f>SUM(N195:N198)</f>
        <v>0</v>
      </c>
      <c r="R198" s="315">
        <f t="shared" si="54"/>
        <v>0</v>
      </c>
      <c r="S198" s="315">
        <f t="shared" si="55"/>
        <v>0</v>
      </c>
      <c r="T198" s="213"/>
      <c r="U198" s="213"/>
      <c r="V198" s="213"/>
      <c r="W198" s="213"/>
      <c r="X198" s="591"/>
      <c r="Y198" s="591"/>
    </row>
    <row r="199" spans="1:25" ht="14.85" customHeight="1">
      <c r="A199" s="619"/>
      <c r="B199" s="586"/>
      <c r="C199" s="259"/>
      <c r="D199" s="621"/>
      <c r="E199" s="363"/>
      <c r="F199" s="252"/>
      <c r="G199" s="254"/>
      <c r="H199" s="262"/>
      <c r="I199" s="154"/>
      <c r="J199" s="254"/>
      <c r="K199" s="311"/>
      <c r="L199" s="312"/>
      <c r="M199" s="313"/>
      <c r="N199" s="314"/>
      <c r="O199" s="315"/>
      <c r="P199" s="315"/>
      <c r="Q199" s="314"/>
      <c r="R199" s="315"/>
      <c r="S199" s="315"/>
      <c r="T199" s="213"/>
      <c r="U199" s="213"/>
      <c r="V199" s="213"/>
      <c r="W199" s="213"/>
      <c r="X199" s="591"/>
      <c r="Y199" s="591"/>
    </row>
    <row r="200" spans="1:25" ht="14.85" customHeight="1">
      <c r="A200" s="619"/>
      <c r="B200" s="586"/>
      <c r="C200" s="259"/>
      <c r="D200" s="621"/>
      <c r="E200" s="631"/>
      <c r="F200" s="601"/>
      <c r="G200" s="216"/>
      <c r="H200" s="418"/>
      <c r="I200" s="154"/>
      <c r="J200" s="270"/>
      <c r="K200" s="311">
        <f t="shared" si="51"/>
        <v>0</v>
      </c>
      <c r="L200" s="312">
        <f t="shared" si="52"/>
        <v>0</v>
      </c>
      <c r="M200" s="313">
        <f t="shared" si="53"/>
        <v>0</v>
      </c>
      <c r="N200" s="314"/>
      <c r="O200" s="315">
        <f t="shared" si="56"/>
        <v>0</v>
      </c>
      <c r="P200" s="315">
        <f t="shared" si="57"/>
        <v>0</v>
      </c>
      <c r="Q200" s="314"/>
      <c r="R200" s="315">
        <f t="shared" si="54"/>
        <v>0</v>
      </c>
      <c r="S200" s="315">
        <f t="shared" si="55"/>
        <v>0</v>
      </c>
      <c r="T200" s="213"/>
      <c r="U200" s="213"/>
      <c r="V200" s="213"/>
      <c r="W200" s="213"/>
      <c r="X200" s="591"/>
      <c r="Y200" s="591"/>
    </row>
    <row r="201" spans="1:25" ht="14.85" customHeight="1">
      <c r="A201" s="619"/>
      <c r="B201" s="586"/>
      <c r="C201" s="259"/>
      <c r="D201" s="621"/>
      <c r="E201" s="632"/>
      <c r="F201" s="603"/>
      <c r="G201" s="216"/>
      <c r="H201" s="418"/>
      <c r="I201" s="154"/>
      <c r="J201" s="270"/>
      <c r="K201" s="311">
        <f t="shared" si="51"/>
        <v>0</v>
      </c>
      <c r="L201" s="312">
        <f t="shared" si="52"/>
        <v>0</v>
      </c>
      <c r="M201" s="313">
        <f t="shared" si="53"/>
        <v>0</v>
      </c>
      <c r="N201" s="314">
        <f>SUM(L200:L201)</f>
        <v>0</v>
      </c>
      <c r="O201" s="315">
        <f t="shared" si="56"/>
        <v>0</v>
      </c>
      <c r="P201" s="315">
        <f t="shared" si="57"/>
        <v>0</v>
      </c>
      <c r="Q201" s="314"/>
      <c r="R201" s="315">
        <f t="shared" si="54"/>
        <v>0</v>
      </c>
      <c r="S201" s="315">
        <f t="shared" si="55"/>
        <v>0</v>
      </c>
      <c r="T201" s="213"/>
      <c r="U201" s="213"/>
      <c r="V201" s="213"/>
      <c r="W201" s="213"/>
      <c r="X201" s="591"/>
      <c r="Y201" s="591"/>
    </row>
    <row r="202" spans="1:25" ht="14.85" customHeight="1">
      <c r="A202" s="619"/>
      <c r="B202" s="586"/>
      <c r="C202" s="259"/>
      <c r="D202" s="621"/>
      <c r="E202" s="632"/>
      <c r="F202" s="601"/>
      <c r="G202" s="254"/>
      <c r="H202" s="262"/>
      <c r="I202" s="154"/>
      <c r="J202" s="270"/>
      <c r="K202" s="311">
        <f t="shared" si="51"/>
        <v>0</v>
      </c>
      <c r="L202" s="312">
        <f t="shared" si="52"/>
        <v>0</v>
      </c>
      <c r="M202" s="313">
        <f t="shared" si="53"/>
        <v>0</v>
      </c>
      <c r="N202" s="314"/>
      <c r="O202" s="315">
        <f t="shared" si="56"/>
        <v>0</v>
      </c>
      <c r="P202" s="315">
        <f t="shared" si="57"/>
        <v>0</v>
      </c>
      <c r="Q202" s="314"/>
      <c r="R202" s="315">
        <f t="shared" si="54"/>
        <v>0</v>
      </c>
      <c r="S202" s="315">
        <f t="shared" si="55"/>
        <v>0</v>
      </c>
      <c r="T202" s="213"/>
      <c r="U202" s="213"/>
      <c r="V202" s="213"/>
      <c r="W202" s="213"/>
      <c r="X202" s="591"/>
      <c r="Y202" s="591"/>
    </row>
    <row r="203" spans="1:25" ht="14.85" customHeight="1">
      <c r="A203" s="619"/>
      <c r="B203" s="586"/>
      <c r="C203" s="259"/>
      <c r="D203" s="621"/>
      <c r="E203" s="632"/>
      <c r="F203" s="602"/>
      <c r="G203" s="254"/>
      <c r="H203" s="262"/>
      <c r="I203" s="154"/>
      <c r="J203" s="254"/>
      <c r="K203" s="311">
        <f t="shared" si="51"/>
        <v>0</v>
      </c>
      <c r="L203" s="312">
        <f t="shared" si="52"/>
        <v>0</v>
      </c>
      <c r="M203" s="313">
        <f t="shared" si="53"/>
        <v>0</v>
      </c>
      <c r="N203" s="314"/>
      <c r="O203" s="315">
        <f t="shared" si="56"/>
        <v>0</v>
      </c>
      <c r="P203" s="315">
        <f t="shared" si="57"/>
        <v>0</v>
      </c>
      <c r="Q203" s="314"/>
      <c r="R203" s="315">
        <f t="shared" si="54"/>
        <v>0</v>
      </c>
      <c r="S203" s="315">
        <f t="shared" si="55"/>
        <v>0</v>
      </c>
      <c r="T203" s="213"/>
      <c r="U203" s="213"/>
      <c r="V203" s="213"/>
      <c r="W203" s="213"/>
      <c r="X203" s="591"/>
      <c r="Y203" s="591"/>
    </row>
    <row r="204" spans="1:25" ht="14.85" customHeight="1">
      <c r="A204" s="619"/>
      <c r="B204" s="586"/>
      <c r="C204" s="259"/>
      <c r="D204" s="621"/>
      <c r="E204" s="633"/>
      <c r="F204" s="603"/>
      <c r="G204" s="254"/>
      <c r="H204" s="262"/>
      <c r="I204" s="154"/>
      <c r="J204" s="254"/>
      <c r="K204" s="311">
        <f t="shared" si="51"/>
        <v>0</v>
      </c>
      <c r="L204" s="312">
        <f t="shared" si="52"/>
        <v>0</v>
      </c>
      <c r="M204" s="313">
        <f t="shared" si="53"/>
        <v>0</v>
      </c>
      <c r="N204" s="314">
        <f>SUM(L202:L204)</f>
        <v>0</v>
      </c>
      <c r="O204" s="315">
        <f t="shared" si="56"/>
        <v>0</v>
      </c>
      <c r="P204" s="315">
        <f t="shared" si="57"/>
        <v>0</v>
      </c>
      <c r="Q204" s="314">
        <f>SUM(N201:N204)</f>
        <v>0</v>
      </c>
      <c r="R204" s="315">
        <f t="shared" si="54"/>
        <v>0</v>
      </c>
      <c r="S204" s="315">
        <f t="shared" si="55"/>
        <v>0</v>
      </c>
      <c r="T204" s="213"/>
      <c r="U204" s="213"/>
      <c r="V204" s="213"/>
      <c r="W204" s="213"/>
      <c r="X204" s="591"/>
      <c r="Y204" s="591"/>
    </row>
    <row r="205" spans="1:25" ht="14.85" customHeight="1">
      <c r="A205" s="619"/>
      <c r="B205" s="586"/>
      <c r="C205" s="259"/>
      <c r="D205" s="621"/>
      <c r="E205" s="363"/>
      <c r="F205" s="252"/>
      <c r="G205" s="254"/>
      <c r="H205" s="415"/>
      <c r="I205" s="214"/>
      <c r="J205" s="254"/>
      <c r="K205" s="311"/>
      <c r="L205" s="312"/>
      <c r="M205" s="313"/>
      <c r="N205" s="314"/>
      <c r="O205" s="315"/>
      <c r="P205" s="315"/>
      <c r="Q205" s="314"/>
      <c r="R205" s="315"/>
      <c r="S205" s="315"/>
      <c r="T205" s="213"/>
      <c r="U205" s="213"/>
      <c r="V205" s="213"/>
      <c r="W205" s="213"/>
      <c r="X205" s="591"/>
      <c r="Y205" s="591"/>
    </row>
    <row r="206" spans="1:25" ht="14.85" customHeight="1">
      <c r="A206" s="619"/>
      <c r="B206" s="586"/>
      <c r="C206" s="259"/>
      <c r="D206" s="621"/>
      <c r="E206" s="631"/>
      <c r="F206" s="601"/>
      <c r="G206" s="215"/>
      <c r="H206" s="416"/>
      <c r="J206" s="270"/>
      <c r="K206" s="311">
        <f t="shared" si="51"/>
        <v>0</v>
      </c>
      <c r="L206" s="312">
        <f t="shared" si="52"/>
        <v>0</v>
      </c>
      <c r="M206" s="313">
        <f t="shared" si="53"/>
        <v>0</v>
      </c>
      <c r="N206" s="314"/>
      <c r="O206" s="315">
        <f t="shared" si="56"/>
        <v>0</v>
      </c>
      <c r="P206" s="315">
        <f t="shared" si="57"/>
        <v>0</v>
      </c>
      <c r="Q206" s="314"/>
      <c r="R206" s="315">
        <f t="shared" si="54"/>
        <v>0</v>
      </c>
      <c r="S206" s="315">
        <f t="shared" si="55"/>
        <v>0</v>
      </c>
      <c r="T206" s="213"/>
      <c r="U206" s="213"/>
      <c r="V206" s="213"/>
      <c r="W206" s="213"/>
      <c r="X206" s="591"/>
      <c r="Y206" s="591"/>
    </row>
    <row r="207" spans="1:25" ht="14.85" customHeight="1">
      <c r="A207" s="619"/>
      <c r="B207" s="586"/>
      <c r="C207" s="259"/>
      <c r="D207" s="621"/>
      <c r="E207" s="632"/>
      <c r="F207" s="602"/>
      <c r="G207" s="215"/>
      <c r="H207" s="416"/>
      <c r="J207" s="270"/>
      <c r="K207" s="311">
        <f t="shared" ref="K207:K209" si="58">J207/$K$11</f>
        <v>0</v>
      </c>
      <c r="L207" s="312">
        <f t="shared" ref="L207:L209" si="59">J207/$L$11</f>
        <v>0</v>
      </c>
      <c r="M207" s="313">
        <f t="shared" ref="M207:M209" si="60">ROUND((L207/$M$11),0)</f>
        <v>0</v>
      </c>
      <c r="N207" s="314"/>
      <c r="O207" s="315">
        <f t="shared" si="56"/>
        <v>0</v>
      </c>
      <c r="P207" s="315">
        <f t="shared" si="57"/>
        <v>0</v>
      </c>
      <c r="Q207" s="314"/>
      <c r="R207" s="315">
        <f t="shared" si="54"/>
        <v>0</v>
      </c>
      <c r="S207" s="315">
        <f t="shared" si="55"/>
        <v>0</v>
      </c>
      <c r="T207" s="213"/>
      <c r="U207" s="213"/>
      <c r="V207" s="213"/>
      <c r="W207" s="213"/>
      <c r="X207" s="591"/>
      <c r="Y207" s="591"/>
    </row>
    <row r="208" spans="1:25" ht="14.85" customHeight="1">
      <c r="A208" s="619"/>
      <c r="B208" s="586"/>
      <c r="C208" s="259"/>
      <c r="D208" s="621"/>
      <c r="E208" s="632"/>
      <c r="F208" s="602"/>
      <c r="G208" s="215"/>
      <c r="H208" s="416"/>
      <c r="J208" s="270"/>
      <c r="K208" s="311">
        <f t="shared" si="58"/>
        <v>0</v>
      </c>
      <c r="L208" s="312">
        <f t="shared" si="59"/>
        <v>0</v>
      </c>
      <c r="M208" s="313">
        <f t="shared" si="60"/>
        <v>0</v>
      </c>
      <c r="N208" s="314"/>
      <c r="O208" s="315">
        <f t="shared" si="56"/>
        <v>0</v>
      </c>
      <c r="P208" s="315">
        <f t="shared" si="57"/>
        <v>0</v>
      </c>
      <c r="Q208" s="314"/>
      <c r="R208" s="315">
        <f t="shared" si="54"/>
        <v>0</v>
      </c>
      <c r="S208" s="315">
        <f t="shared" si="55"/>
        <v>0</v>
      </c>
      <c r="T208" s="213"/>
      <c r="U208" s="213"/>
      <c r="V208" s="213"/>
      <c r="W208" s="213"/>
      <c r="X208" s="591"/>
      <c r="Y208" s="591"/>
    </row>
    <row r="209" spans="1:25" ht="14.85" customHeight="1">
      <c r="A209" s="619"/>
      <c r="B209" s="586"/>
      <c r="C209" s="259"/>
      <c r="D209" s="621"/>
      <c r="E209" s="632"/>
      <c r="F209" s="603"/>
      <c r="G209" s="215"/>
      <c r="H209" s="416"/>
      <c r="J209" s="270"/>
      <c r="K209" s="311">
        <f t="shared" si="58"/>
        <v>0</v>
      </c>
      <c r="L209" s="312">
        <f t="shared" si="59"/>
        <v>0</v>
      </c>
      <c r="M209" s="313">
        <f t="shared" si="60"/>
        <v>0</v>
      </c>
      <c r="N209" s="314">
        <f>SUM(L206:L209)</f>
        <v>0</v>
      </c>
      <c r="O209" s="315">
        <f t="shared" si="56"/>
        <v>0</v>
      </c>
      <c r="P209" s="315">
        <f t="shared" si="57"/>
        <v>0</v>
      </c>
      <c r="Q209" s="314"/>
      <c r="R209" s="315">
        <f t="shared" si="54"/>
        <v>0</v>
      </c>
      <c r="S209" s="315">
        <f t="shared" si="55"/>
        <v>0</v>
      </c>
      <c r="T209" s="213"/>
      <c r="U209" s="213"/>
      <c r="V209" s="213"/>
      <c r="W209" s="213"/>
      <c r="X209" s="591"/>
      <c r="Y209" s="591"/>
    </row>
    <row r="210" spans="1:25" ht="14.85" customHeight="1">
      <c r="A210" s="619"/>
      <c r="B210" s="586"/>
      <c r="C210" s="259"/>
      <c r="D210" s="621"/>
      <c r="E210" s="632"/>
      <c r="F210" s="601"/>
      <c r="G210" s="254"/>
      <c r="H210" s="262"/>
      <c r="I210" s="154"/>
      <c r="J210" s="270"/>
      <c r="K210" s="311">
        <f t="shared" si="51"/>
        <v>0</v>
      </c>
      <c r="L210" s="312">
        <f t="shared" si="52"/>
        <v>0</v>
      </c>
      <c r="M210" s="313">
        <f t="shared" si="53"/>
        <v>0</v>
      </c>
      <c r="N210" s="314"/>
      <c r="O210" s="315">
        <f t="shared" si="56"/>
        <v>0</v>
      </c>
      <c r="P210" s="315">
        <f t="shared" si="57"/>
        <v>0</v>
      </c>
      <c r="Q210" s="314"/>
      <c r="R210" s="315">
        <f t="shared" si="54"/>
        <v>0</v>
      </c>
      <c r="S210" s="315">
        <f t="shared" si="55"/>
        <v>0</v>
      </c>
      <c r="T210" s="213"/>
      <c r="U210" s="213"/>
      <c r="V210" s="213"/>
      <c r="W210" s="213"/>
      <c r="X210" s="591"/>
      <c r="Y210" s="591"/>
    </row>
    <row r="211" spans="1:25" ht="14.85" customHeight="1">
      <c r="A211" s="619"/>
      <c r="B211" s="586"/>
      <c r="C211" s="259"/>
      <c r="D211" s="621"/>
      <c r="E211" s="632"/>
      <c r="F211" s="602"/>
      <c r="G211" s="254"/>
      <c r="H211" s="262"/>
      <c r="I211" s="154"/>
      <c r="J211" s="270"/>
      <c r="K211" s="311">
        <f t="shared" si="51"/>
        <v>0</v>
      </c>
      <c r="L211" s="312">
        <f t="shared" si="52"/>
        <v>0</v>
      </c>
      <c r="M211" s="313">
        <f t="shared" si="53"/>
        <v>0</v>
      </c>
      <c r="N211" s="314"/>
      <c r="O211" s="315">
        <f t="shared" si="56"/>
        <v>0</v>
      </c>
      <c r="P211" s="315">
        <f t="shared" si="57"/>
        <v>0</v>
      </c>
      <c r="Q211" s="314"/>
      <c r="R211" s="315">
        <f t="shared" si="54"/>
        <v>0</v>
      </c>
      <c r="S211" s="315">
        <f t="shared" si="55"/>
        <v>0</v>
      </c>
      <c r="T211" s="213"/>
      <c r="U211" s="213"/>
      <c r="V211" s="213"/>
      <c r="W211" s="213"/>
      <c r="X211" s="591"/>
      <c r="Y211" s="591"/>
    </row>
    <row r="212" spans="1:25" ht="14.85" customHeight="1">
      <c r="A212" s="619"/>
      <c r="B212" s="586"/>
      <c r="C212" s="259"/>
      <c r="D212" s="621"/>
      <c r="E212" s="632"/>
      <c r="F212" s="603"/>
      <c r="G212" s="254"/>
      <c r="H212" s="262"/>
      <c r="I212" s="154"/>
      <c r="J212" s="270"/>
      <c r="K212" s="311">
        <f t="shared" si="51"/>
        <v>0</v>
      </c>
      <c r="L212" s="312">
        <f t="shared" si="52"/>
        <v>0</v>
      </c>
      <c r="M212" s="313">
        <f t="shared" si="53"/>
        <v>0</v>
      </c>
      <c r="N212" s="314">
        <f>SUM(L210:L212)</f>
        <v>0</v>
      </c>
      <c r="O212" s="315">
        <f t="shared" si="56"/>
        <v>0</v>
      </c>
      <c r="P212" s="315">
        <f t="shared" si="57"/>
        <v>0</v>
      </c>
      <c r="Q212" s="314"/>
      <c r="R212" s="315">
        <f t="shared" si="54"/>
        <v>0</v>
      </c>
      <c r="S212" s="315">
        <f t="shared" si="55"/>
        <v>0</v>
      </c>
      <c r="T212" s="213"/>
      <c r="U212" s="213"/>
      <c r="V212" s="213"/>
      <c r="W212" s="213"/>
      <c r="X212" s="591"/>
      <c r="Y212" s="591"/>
    </row>
    <row r="213" spans="1:25" ht="14.85" customHeight="1">
      <c r="A213" s="619"/>
      <c r="B213" s="586"/>
      <c r="C213" s="259"/>
      <c r="D213" s="621"/>
      <c r="E213" s="632"/>
      <c r="F213" s="601"/>
      <c r="G213" s="254"/>
      <c r="H213" s="262"/>
      <c r="I213" s="154"/>
      <c r="J213" s="270"/>
      <c r="K213" s="311">
        <f t="shared" si="51"/>
        <v>0</v>
      </c>
      <c r="L213" s="312">
        <f t="shared" si="52"/>
        <v>0</v>
      </c>
      <c r="M213" s="313">
        <f t="shared" si="53"/>
        <v>0</v>
      </c>
      <c r="N213" s="314"/>
      <c r="O213" s="315">
        <f t="shared" si="56"/>
        <v>0</v>
      </c>
      <c r="P213" s="315">
        <f t="shared" si="57"/>
        <v>0</v>
      </c>
      <c r="Q213" s="314"/>
      <c r="R213" s="315">
        <f t="shared" si="54"/>
        <v>0</v>
      </c>
      <c r="S213" s="315">
        <f t="shared" si="55"/>
        <v>0</v>
      </c>
      <c r="T213" s="213"/>
      <c r="U213" s="213"/>
      <c r="V213" s="213"/>
      <c r="W213" s="213"/>
      <c r="X213" s="591"/>
      <c r="Y213" s="591"/>
    </row>
    <row r="214" spans="1:25" ht="14.85" customHeight="1">
      <c r="A214" s="619"/>
      <c r="B214" s="586"/>
      <c r="C214" s="259"/>
      <c r="D214" s="621"/>
      <c r="E214" s="633"/>
      <c r="F214" s="603"/>
      <c r="G214" s="254"/>
      <c r="H214" s="262"/>
      <c r="I214" s="154"/>
      <c r="J214" s="254"/>
      <c r="K214" s="311">
        <f t="shared" si="51"/>
        <v>0</v>
      </c>
      <c r="L214" s="312">
        <f t="shared" si="52"/>
        <v>0</v>
      </c>
      <c r="M214" s="313">
        <f t="shared" si="53"/>
        <v>0</v>
      </c>
      <c r="N214" s="314">
        <f>SUM(L213:L214)</f>
        <v>0</v>
      </c>
      <c r="O214" s="315">
        <f t="shared" si="56"/>
        <v>0</v>
      </c>
      <c r="P214" s="315">
        <f t="shared" si="57"/>
        <v>0</v>
      </c>
      <c r="Q214" s="314">
        <f>SUM(N209:N214)</f>
        <v>0</v>
      </c>
      <c r="R214" s="315">
        <f t="shared" si="54"/>
        <v>0</v>
      </c>
      <c r="S214" s="315">
        <f t="shared" si="55"/>
        <v>0</v>
      </c>
      <c r="T214" s="213"/>
      <c r="U214" s="213"/>
      <c r="V214" s="213"/>
      <c r="W214" s="213"/>
      <c r="X214" s="591"/>
      <c r="Y214" s="591"/>
    </row>
    <row r="215" spans="1:25" ht="14.85" customHeight="1">
      <c r="A215" s="619"/>
      <c r="B215" s="586"/>
      <c r="C215" s="259"/>
      <c r="D215" s="621"/>
      <c r="E215" s="363"/>
      <c r="F215" s="251"/>
      <c r="G215" s="254"/>
      <c r="H215" s="262"/>
      <c r="I215" s="154"/>
      <c r="J215" s="254"/>
      <c r="K215" s="311"/>
      <c r="L215" s="312"/>
      <c r="M215" s="313"/>
      <c r="N215" s="314"/>
      <c r="O215" s="315"/>
      <c r="P215" s="315"/>
      <c r="Q215" s="314"/>
      <c r="R215" s="315"/>
      <c r="S215" s="315"/>
      <c r="T215" s="213"/>
      <c r="U215" s="213"/>
      <c r="V215" s="213"/>
      <c r="W215" s="213"/>
      <c r="X215" s="591"/>
      <c r="Y215" s="591"/>
    </row>
    <row r="216" spans="1:25" ht="14.85" customHeight="1">
      <c r="A216" s="619"/>
      <c r="B216" s="586"/>
      <c r="C216" s="259"/>
      <c r="D216" s="621"/>
      <c r="E216" s="631"/>
      <c r="F216" s="273"/>
      <c r="G216" s="364"/>
      <c r="H216" s="419"/>
      <c r="I216" s="155"/>
      <c r="J216" s="270"/>
      <c r="K216" s="311">
        <f t="shared" si="51"/>
        <v>0</v>
      </c>
      <c r="L216" s="312">
        <f t="shared" si="52"/>
        <v>0</v>
      </c>
      <c r="M216" s="313">
        <f t="shared" si="53"/>
        <v>0</v>
      </c>
      <c r="N216" s="314">
        <f>L216</f>
        <v>0</v>
      </c>
      <c r="O216" s="315">
        <f t="shared" si="56"/>
        <v>0</v>
      </c>
      <c r="P216" s="315">
        <f t="shared" si="57"/>
        <v>0</v>
      </c>
      <c r="Q216" s="314"/>
      <c r="R216" s="315">
        <f t="shared" si="54"/>
        <v>0</v>
      </c>
      <c r="S216" s="315">
        <f t="shared" si="55"/>
        <v>0</v>
      </c>
      <c r="T216" s="213"/>
      <c r="U216" s="213"/>
      <c r="V216" s="213"/>
      <c r="W216" s="213"/>
      <c r="X216" s="591"/>
      <c r="Y216" s="591"/>
    </row>
    <row r="217" spans="1:25" ht="14.85" customHeight="1">
      <c r="A217" s="619"/>
      <c r="B217" s="586"/>
      <c r="C217" s="259"/>
      <c r="D217" s="621"/>
      <c r="E217" s="632"/>
      <c r="F217" s="635"/>
      <c r="G217" s="254"/>
      <c r="H217" s="262"/>
      <c r="I217" s="155"/>
      <c r="J217" s="270"/>
      <c r="K217" s="311">
        <f t="shared" si="51"/>
        <v>0</v>
      </c>
      <c r="L217" s="312">
        <f t="shared" si="52"/>
        <v>0</v>
      </c>
      <c r="M217" s="313">
        <f t="shared" si="53"/>
        <v>0</v>
      </c>
      <c r="N217" s="314"/>
      <c r="O217" s="315">
        <f t="shared" si="56"/>
        <v>0</v>
      </c>
      <c r="P217" s="315">
        <f t="shared" si="57"/>
        <v>0</v>
      </c>
      <c r="Q217" s="314"/>
      <c r="R217" s="315">
        <f t="shared" si="54"/>
        <v>0</v>
      </c>
      <c r="S217" s="315">
        <f t="shared" si="55"/>
        <v>0</v>
      </c>
      <c r="T217" s="213"/>
      <c r="U217" s="213"/>
      <c r="V217" s="213"/>
      <c r="W217" s="213"/>
      <c r="X217" s="591"/>
      <c r="Y217" s="591"/>
    </row>
    <row r="218" spans="1:25" ht="14.85" customHeight="1">
      <c r="A218" s="619"/>
      <c r="B218" s="586"/>
      <c r="C218" s="259"/>
      <c r="D218" s="621"/>
      <c r="E218" s="632"/>
      <c r="F218" s="636"/>
      <c r="G218" s="254"/>
      <c r="H218" s="262"/>
      <c r="I218" s="155"/>
      <c r="J218" s="270"/>
      <c r="K218" s="311">
        <f t="shared" ref="K218" si="61">J218/$K$11</f>
        <v>0</v>
      </c>
      <c r="L218" s="312">
        <f t="shared" ref="L218" si="62">J218/$L$11</f>
        <v>0</v>
      </c>
      <c r="M218" s="313">
        <f t="shared" ref="M218" si="63">ROUND((L218/$M$11),0)</f>
        <v>0</v>
      </c>
      <c r="N218" s="314"/>
      <c r="O218" s="315">
        <f t="shared" si="56"/>
        <v>0</v>
      </c>
      <c r="P218" s="315">
        <f t="shared" si="57"/>
        <v>0</v>
      </c>
      <c r="Q218" s="314"/>
      <c r="R218" s="315">
        <f t="shared" si="54"/>
        <v>0</v>
      </c>
      <c r="S218" s="315">
        <f t="shared" ref="S218:S219" si="64">ROUND((Q218-(R218*$P$11)),0)</f>
        <v>0</v>
      </c>
      <c r="T218" s="213"/>
      <c r="U218" s="213"/>
      <c r="V218" s="213"/>
      <c r="W218" s="213"/>
      <c r="X218" s="591"/>
      <c r="Y218" s="591"/>
    </row>
    <row r="219" spans="1:25" ht="14.85" customHeight="1">
      <c r="A219" s="619"/>
      <c r="B219" s="586"/>
      <c r="C219" s="259"/>
      <c r="D219" s="621"/>
      <c r="E219" s="632"/>
      <c r="F219" s="637"/>
      <c r="G219" s="254"/>
      <c r="H219" s="262"/>
      <c r="I219" s="155"/>
      <c r="J219" s="270"/>
      <c r="K219" s="311">
        <f t="shared" ref="K219" si="65">J219/$K$11</f>
        <v>0</v>
      </c>
      <c r="L219" s="312">
        <f t="shared" ref="L219" si="66">J219/$L$11</f>
        <v>0</v>
      </c>
      <c r="M219" s="313">
        <f t="shared" ref="M219" si="67">ROUND((L219/$M$11),0)</f>
        <v>0</v>
      </c>
      <c r="N219" s="314">
        <f>SUM(L217:L219)</f>
        <v>0</v>
      </c>
      <c r="O219" s="315">
        <f t="shared" si="56"/>
        <v>0</v>
      </c>
      <c r="P219" s="315">
        <f t="shared" si="57"/>
        <v>0</v>
      </c>
      <c r="Q219" s="314"/>
      <c r="R219" s="315">
        <f t="shared" si="54"/>
        <v>0</v>
      </c>
      <c r="S219" s="315">
        <f t="shared" si="64"/>
        <v>0</v>
      </c>
      <c r="T219" s="213"/>
      <c r="U219" s="213"/>
      <c r="V219" s="213"/>
      <c r="W219" s="213"/>
      <c r="X219" s="591"/>
      <c r="Y219" s="591"/>
    </row>
    <row r="220" spans="1:25" ht="14.85" customHeight="1">
      <c r="A220" s="619"/>
      <c r="B220" s="586"/>
      <c r="C220" s="259"/>
      <c r="D220" s="621"/>
      <c r="E220" s="632"/>
      <c r="F220" s="635"/>
      <c r="G220" s="254"/>
      <c r="H220" s="262"/>
      <c r="I220" s="155"/>
      <c r="J220" s="276"/>
      <c r="K220" s="311">
        <f t="shared" si="51"/>
        <v>0</v>
      </c>
      <c r="L220" s="312">
        <f t="shared" si="52"/>
        <v>0</v>
      </c>
      <c r="M220" s="313">
        <f t="shared" si="53"/>
        <v>0</v>
      </c>
      <c r="N220" s="314"/>
      <c r="O220" s="315">
        <f t="shared" si="56"/>
        <v>0</v>
      </c>
      <c r="P220" s="315">
        <f t="shared" si="57"/>
        <v>0</v>
      </c>
      <c r="Q220" s="314"/>
      <c r="R220" s="315">
        <f t="shared" si="54"/>
        <v>0</v>
      </c>
      <c r="S220" s="315">
        <f t="shared" si="55"/>
        <v>0</v>
      </c>
      <c r="T220" s="213"/>
      <c r="U220" s="213"/>
      <c r="V220" s="213"/>
      <c r="W220" s="213"/>
      <c r="X220" s="591"/>
      <c r="Y220" s="591"/>
    </row>
    <row r="221" spans="1:25" ht="14.85" customHeight="1">
      <c r="A221" s="619"/>
      <c r="B221" s="586"/>
      <c r="C221" s="259"/>
      <c r="D221" s="621"/>
      <c r="E221" s="633"/>
      <c r="F221" s="637"/>
      <c r="G221" s="254"/>
      <c r="H221" s="262"/>
      <c r="I221" s="155"/>
      <c r="J221" s="238"/>
      <c r="K221" s="311">
        <f t="shared" si="51"/>
        <v>0</v>
      </c>
      <c r="L221" s="312">
        <f t="shared" si="52"/>
        <v>0</v>
      </c>
      <c r="M221" s="313">
        <f t="shared" si="53"/>
        <v>0</v>
      </c>
      <c r="N221" s="314">
        <f>SUM(L223:L224)</f>
        <v>0</v>
      </c>
      <c r="O221" s="315">
        <f t="shared" si="56"/>
        <v>0</v>
      </c>
      <c r="P221" s="315">
        <f t="shared" si="57"/>
        <v>0</v>
      </c>
      <c r="Q221" s="314">
        <f>SUM(N216:N221)</f>
        <v>0</v>
      </c>
      <c r="R221" s="315">
        <f t="shared" si="54"/>
        <v>0</v>
      </c>
      <c r="S221" s="315">
        <f t="shared" si="55"/>
        <v>0</v>
      </c>
      <c r="T221" s="213"/>
      <c r="U221" s="213"/>
      <c r="V221" s="213"/>
      <c r="W221" s="213"/>
      <c r="X221" s="591"/>
      <c r="Y221" s="591"/>
    </row>
    <row r="222" spans="1:25" ht="14.85" customHeight="1">
      <c r="A222" s="619"/>
      <c r="B222" s="586"/>
      <c r="C222" s="259"/>
      <c r="D222" s="621"/>
      <c r="E222" s="363"/>
      <c r="F222" s="365"/>
      <c r="G222" s="254"/>
      <c r="H222" s="262"/>
      <c r="I222" s="155"/>
      <c r="J222" s="238"/>
      <c r="K222" s="311"/>
      <c r="L222" s="312"/>
      <c r="M222" s="313"/>
      <c r="N222" s="314"/>
      <c r="O222" s="315"/>
      <c r="P222" s="315"/>
      <c r="Q222" s="314"/>
      <c r="R222" s="315"/>
      <c r="S222" s="315"/>
      <c r="T222" s="213"/>
      <c r="U222" s="213"/>
      <c r="V222" s="213"/>
      <c r="W222" s="213"/>
      <c r="X222" s="591"/>
      <c r="Y222" s="591"/>
    </row>
    <row r="223" spans="1:25" ht="14.85" customHeight="1">
      <c r="A223" s="619"/>
      <c r="B223" s="586"/>
      <c r="C223" s="259"/>
      <c r="D223" s="621"/>
      <c r="E223" s="631"/>
      <c r="F223" s="635"/>
      <c r="G223" s="217"/>
      <c r="H223" s="413"/>
      <c r="I223" s="155"/>
      <c r="J223" s="270"/>
      <c r="K223" s="311">
        <f t="shared" ref="K223:K256" si="68">J223/$K$11</f>
        <v>0</v>
      </c>
      <c r="L223" s="312">
        <f t="shared" ref="L223:L256" si="69">J223/$L$11</f>
        <v>0</v>
      </c>
      <c r="M223" s="313">
        <f t="shared" ref="M223:M256" si="70">ROUND((L223/$M$11),0)</f>
        <v>0</v>
      </c>
      <c r="N223" s="314"/>
      <c r="O223" s="315">
        <f t="shared" si="56"/>
        <v>0</v>
      </c>
      <c r="P223" s="315">
        <f t="shared" si="57"/>
        <v>0</v>
      </c>
      <c r="Q223" s="314"/>
      <c r="R223" s="315">
        <f t="shared" si="54"/>
        <v>0</v>
      </c>
      <c r="S223" s="315">
        <f t="shared" si="55"/>
        <v>0</v>
      </c>
      <c r="T223" s="213"/>
      <c r="U223" s="213"/>
      <c r="V223" s="213"/>
      <c r="W223" s="213"/>
      <c r="X223" s="591"/>
      <c r="Y223" s="591"/>
    </row>
    <row r="224" spans="1:25" ht="14.85" customHeight="1">
      <c r="A224" s="619"/>
      <c r="B224" s="586"/>
      <c r="C224" s="259"/>
      <c r="D224" s="621"/>
      <c r="E224" s="632"/>
      <c r="F224" s="637"/>
      <c r="G224" s="217"/>
      <c r="H224" s="413"/>
      <c r="I224" s="155"/>
      <c r="J224" s="270"/>
      <c r="K224" s="311">
        <f t="shared" ref="K224" si="71">J224/$K$11</f>
        <v>0</v>
      </c>
      <c r="L224" s="312">
        <f t="shared" ref="L224" si="72">J224/$L$11</f>
        <v>0</v>
      </c>
      <c r="M224" s="313">
        <f t="shared" ref="M224" si="73">ROUND((L224/$M$11),0)</f>
        <v>0</v>
      </c>
      <c r="N224" s="314">
        <f>SUM(L223:L224)</f>
        <v>0</v>
      </c>
      <c r="O224" s="315">
        <f t="shared" si="56"/>
        <v>0</v>
      </c>
      <c r="P224" s="315">
        <f t="shared" si="57"/>
        <v>0</v>
      </c>
      <c r="Q224" s="314"/>
      <c r="R224" s="315"/>
      <c r="S224" s="315"/>
      <c r="T224" s="213"/>
      <c r="U224" s="213"/>
      <c r="V224" s="213"/>
      <c r="W224" s="213"/>
      <c r="X224" s="591"/>
      <c r="Y224" s="591"/>
    </row>
    <row r="225" spans="1:25" ht="14.85" customHeight="1">
      <c r="A225" s="619"/>
      <c r="B225" s="586"/>
      <c r="C225" s="259"/>
      <c r="D225" s="621"/>
      <c r="E225" s="632"/>
      <c r="F225" s="635"/>
      <c r="G225" s="217"/>
      <c r="H225" s="413"/>
      <c r="I225" s="155"/>
      <c r="J225" s="270"/>
      <c r="K225" s="311">
        <f t="shared" ref="K225" si="74">J225/$K$11</f>
        <v>0</v>
      </c>
      <c r="L225" s="312">
        <f t="shared" ref="L225" si="75">J225/$L$11</f>
        <v>0</v>
      </c>
      <c r="M225" s="313">
        <f t="shared" ref="M225" si="76">ROUND((L225/$M$11),0)</f>
        <v>0</v>
      </c>
      <c r="N225" s="314"/>
      <c r="O225" s="315">
        <f t="shared" si="56"/>
        <v>0</v>
      </c>
      <c r="P225" s="315">
        <f t="shared" si="57"/>
        <v>0</v>
      </c>
      <c r="Q225" s="314"/>
      <c r="R225" s="315"/>
      <c r="S225" s="315"/>
      <c r="T225" s="213"/>
      <c r="U225" s="213"/>
      <c r="V225" s="213"/>
      <c r="W225" s="213"/>
      <c r="X225" s="591"/>
      <c r="Y225" s="591"/>
    </row>
    <row r="226" spans="1:25" ht="14.85" customHeight="1">
      <c r="A226" s="619"/>
      <c r="B226" s="586"/>
      <c r="C226" s="259"/>
      <c r="D226" s="621"/>
      <c r="E226" s="632"/>
      <c r="F226" s="636"/>
      <c r="G226" s="254"/>
      <c r="H226" s="262"/>
      <c r="I226" s="155"/>
      <c r="J226" s="276"/>
      <c r="K226" s="311">
        <f t="shared" si="68"/>
        <v>0</v>
      </c>
      <c r="L226" s="312">
        <f t="shared" si="69"/>
        <v>0</v>
      </c>
      <c r="M226" s="313">
        <f t="shared" si="70"/>
        <v>0</v>
      </c>
      <c r="N226" s="314"/>
      <c r="O226" s="315">
        <f t="shared" si="56"/>
        <v>0</v>
      </c>
      <c r="P226" s="315">
        <f t="shared" si="57"/>
        <v>0</v>
      </c>
      <c r="Q226" s="314"/>
      <c r="R226" s="315">
        <f t="shared" si="54"/>
        <v>0</v>
      </c>
      <c r="S226" s="315">
        <f t="shared" si="55"/>
        <v>0</v>
      </c>
      <c r="T226" s="213"/>
      <c r="U226" s="213"/>
      <c r="V226" s="213"/>
      <c r="W226" s="213"/>
      <c r="X226" s="591"/>
      <c r="Y226" s="591"/>
    </row>
    <row r="227" spans="1:25" ht="14.85" customHeight="1">
      <c r="A227" s="619"/>
      <c r="B227" s="586"/>
      <c r="C227" s="259"/>
      <c r="D227" s="621"/>
      <c r="E227" s="632"/>
      <c r="F227" s="636"/>
      <c r="G227" s="254"/>
      <c r="H227" s="262"/>
      <c r="I227" s="155"/>
      <c r="J227" s="238"/>
      <c r="K227" s="311">
        <f t="shared" si="68"/>
        <v>0</v>
      </c>
      <c r="L227" s="312">
        <f t="shared" si="69"/>
        <v>0</v>
      </c>
      <c r="M227" s="313">
        <f t="shared" si="70"/>
        <v>0</v>
      </c>
      <c r="N227" s="314"/>
      <c r="O227" s="315">
        <f t="shared" si="56"/>
        <v>0</v>
      </c>
      <c r="P227" s="315">
        <f t="shared" si="57"/>
        <v>0</v>
      </c>
      <c r="Q227" s="314"/>
      <c r="R227" s="315">
        <f t="shared" si="54"/>
        <v>0</v>
      </c>
      <c r="S227" s="315">
        <f t="shared" si="55"/>
        <v>0</v>
      </c>
      <c r="T227" s="213"/>
      <c r="U227" s="213"/>
      <c r="V227" s="213"/>
      <c r="W227" s="213"/>
      <c r="X227" s="591"/>
      <c r="Y227" s="591"/>
    </row>
    <row r="228" spans="1:25" ht="14.85" customHeight="1">
      <c r="A228" s="619"/>
      <c r="B228" s="586"/>
      <c r="C228" s="259"/>
      <c r="D228" s="621"/>
      <c r="E228" s="632"/>
      <c r="F228" s="636"/>
      <c r="G228" s="254"/>
      <c r="H228" s="262"/>
      <c r="I228" s="155"/>
      <c r="J228" s="238"/>
      <c r="K228" s="311">
        <f t="shared" si="68"/>
        <v>0</v>
      </c>
      <c r="L228" s="312">
        <f t="shared" si="69"/>
        <v>0</v>
      </c>
      <c r="M228" s="313">
        <f t="shared" si="70"/>
        <v>0</v>
      </c>
      <c r="N228" s="314"/>
      <c r="O228" s="315">
        <f t="shared" si="56"/>
        <v>0</v>
      </c>
      <c r="P228" s="315">
        <f t="shared" si="57"/>
        <v>0</v>
      </c>
      <c r="Q228" s="314"/>
      <c r="R228" s="315"/>
      <c r="S228" s="315"/>
      <c r="T228" s="213"/>
      <c r="U228" s="213"/>
      <c r="V228" s="213"/>
      <c r="W228" s="213"/>
      <c r="X228" s="591"/>
      <c r="Y228" s="591"/>
    </row>
    <row r="229" spans="1:25" ht="14.85" customHeight="1">
      <c r="A229" s="619"/>
      <c r="B229" s="586"/>
      <c r="C229" s="259"/>
      <c r="D229" s="621"/>
      <c r="E229" s="633"/>
      <c r="F229" s="637"/>
      <c r="G229" s="254"/>
      <c r="H229" s="262"/>
      <c r="I229" s="155"/>
      <c r="J229" s="238"/>
      <c r="K229" s="311">
        <f t="shared" ref="K229" si="77">J229/$K$11</f>
        <v>0</v>
      </c>
      <c r="L229" s="312">
        <f t="shared" ref="L229" si="78">J229/$L$11</f>
        <v>0</v>
      </c>
      <c r="M229" s="313">
        <f t="shared" ref="M229" si="79">ROUND((L229/$M$11),0)</f>
        <v>0</v>
      </c>
      <c r="N229" s="314">
        <f>SUM(L225:L229)</f>
        <v>0</v>
      </c>
      <c r="O229" s="315">
        <f t="shared" si="56"/>
        <v>0</v>
      </c>
      <c r="P229" s="315">
        <f t="shared" si="57"/>
        <v>0</v>
      </c>
      <c r="Q229" s="314">
        <f>SUM(N224:N229)</f>
        <v>0</v>
      </c>
      <c r="R229" s="315"/>
      <c r="S229" s="315"/>
      <c r="T229" s="213"/>
      <c r="U229" s="213"/>
      <c r="V229" s="213"/>
      <c r="W229" s="213"/>
      <c r="X229" s="591"/>
      <c r="Y229" s="591"/>
    </row>
    <row r="230" spans="1:25" ht="14.85" customHeight="1">
      <c r="A230" s="619"/>
      <c r="B230" s="586"/>
      <c r="C230" s="259"/>
      <c r="D230" s="621"/>
      <c r="E230" s="363"/>
      <c r="F230" s="365"/>
      <c r="G230" s="254"/>
      <c r="H230" s="262"/>
      <c r="I230" s="155"/>
      <c r="J230" s="238"/>
      <c r="K230" s="311"/>
      <c r="L230" s="312"/>
      <c r="M230" s="313"/>
      <c r="N230" s="314"/>
      <c r="O230" s="315"/>
      <c r="P230" s="315"/>
      <c r="Q230" s="314"/>
      <c r="R230" s="315"/>
      <c r="S230" s="315"/>
      <c r="T230" s="213"/>
      <c r="U230" s="213"/>
      <c r="V230" s="213"/>
      <c r="W230" s="213"/>
      <c r="X230" s="591"/>
      <c r="Y230" s="591"/>
    </row>
    <row r="231" spans="1:25" ht="14.85" customHeight="1">
      <c r="A231" s="619"/>
      <c r="B231" s="586"/>
      <c r="C231" s="259"/>
      <c r="D231" s="621"/>
      <c r="E231" s="631"/>
      <c r="F231" s="601"/>
      <c r="G231" s="217"/>
      <c r="H231" s="413"/>
      <c r="I231" s="155"/>
      <c r="J231" s="270"/>
      <c r="K231" s="311">
        <f t="shared" si="68"/>
        <v>0</v>
      </c>
      <c r="L231" s="312">
        <f t="shared" si="69"/>
        <v>0</v>
      </c>
      <c r="M231" s="313">
        <f t="shared" si="70"/>
        <v>0</v>
      </c>
      <c r="N231" s="314"/>
      <c r="O231" s="315">
        <f t="shared" si="56"/>
        <v>0</v>
      </c>
      <c r="P231" s="315">
        <f t="shared" si="57"/>
        <v>0</v>
      </c>
      <c r="Q231" s="314"/>
      <c r="R231" s="315">
        <f t="shared" si="54"/>
        <v>0</v>
      </c>
      <c r="S231" s="315">
        <f t="shared" si="55"/>
        <v>0</v>
      </c>
      <c r="T231" s="213"/>
      <c r="U231" s="213"/>
      <c r="V231" s="213"/>
      <c r="W231" s="213"/>
      <c r="X231" s="591"/>
      <c r="Y231" s="591"/>
    </row>
    <row r="232" spans="1:25" ht="14.85" customHeight="1">
      <c r="A232" s="619"/>
      <c r="B232" s="586"/>
      <c r="C232" s="259"/>
      <c r="D232" s="621"/>
      <c r="E232" s="632"/>
      <c r="F232" s="603"/>
      <c r="G232" s="217"/>
      <c r="H232" s="413"/>
      <c r="I232" s="155"/>
      <c r="J232" s="270"/>
      <c r="K232" s="311">
        <f t="shared" si="68"/>
        <v>0</v>
      </c>
      <c r="L232" s="312">
        <f t="shared" si="69"/>
        <v>0</v>
      </c>
      <c r="M232" s="313">
        <f t="shared" si="70"/>
        <v>0</v>
      </c>
      <c r="N232" s="314">
        <f>SUM(L231:L232)</f>
        <v>0</v>
      </c>
      <c r="O232" s="315">
        <f t="shared" si="56"/>
        <v>0</v>
      </c>
      <c r="P232" s="315">
        <f t="shared" si="57"/>
        <v>0</v>
      </c>
      <c r="Q232" s="314"/>
      <c r="R232" s="315"/>
      <c r="S232" s="315"/>
      <c r="T232" s="213"/>
      <c r="U232" s="213"/>
      <c r="V232" s="213"/>
      <c r="W232" s="213"/>
      <c r="X232" s="591"/>
      <c r="Y232" s="591"/>
    </row>
    <row r="233" spans="1:25" ht="14.85" customHeight="1">
      <c r="A233" s="619"/>
      <c r="B233" s="586"/>
      <c r="C233" s="259"/>
      <c r="D233" s="621"/>
      <c r="E233" s="632"/>
      <c r="F233" s="601"/>
      <c r="G233" s="254"/>
      <c r="H233" s="262"/>
      <c r="I233" s="155"/>
      <c r="J233" s="276"/>
      <c r="K233" s="311">
        <f t="shared" si="68"/>
        <v>0</v>
      </c>
      <c r="L233" s="312">
        <f t="shared" si="69"/>
        <v>0</v>
      </c>
      <c r="M233" s="313">
        <f t="shared" si="70"/>
        <v>0</v>
      </c>
      <c r="N233" s="314"/>
      <c r="O233" s="315">
        <f t="shared" si="56"/>
        <v>0</v>
      </c>
      <c r="P233" s="315">
        <f t="shared" si="57"/>
        <v>0</v>
      </c>
      <c r="Q233" s="314"/>
      <c r="R233" s="315">
        <f t="shared" si="54"/>
        <v>0</v>
      </c>
      <c r="S233" s="315">
        <f t="shared" si="55"/>
        <v>0</v>
      </c>
      <c r="T233" s="213"/>
      <c r="U233" s="213"/>
      <c r="V233" s="213"/>
      <c r="W233" s="213"/>
      <c r="X233" s="591"/>
      <c r="Y233" s="591"/>
    </row>
    <row r="234" spans="1:25" ht="14.85" customHeight="1">
      <c r="A234" s="619"/>
      <c r="B234" s="586"/>
      <c r="C234" s="259"/>
      <c r="D234" s="621"/>
      <c r="E234" s="632"/>
      <c r="F234" s="602"/>
      <c r="G234" s="254"/>
      <c r="H234" s="262"/>
      <c r="I234" s="155"/>
      <c r="J234" s="276"/>
      <c r="K234" s="311">
        <f t="shared" si="68"/>
        <v>0</v>
      </c>
      <c r="L234" s="312">
        <f t="shared" si="69"/>
        <v>0</v>
      </c>
      <c r="M234" s="313">
        <f t="shared" si="70"/>
        <v>0</v>
      </c>
      <c r="N234" s="314"/>
      <c r="O234" s="315">
        <f t="shared" si="56"/>
        <v>0</v>
      </c>
      <c r="P234" s="315">
        <f t="shared" si="57"/>
        <v>0</v>
      </c>
      <c r="Q234" s="314"/>
      <c r="R234" s="315"/>
      <c r="S234" s="315"/>
      <c r="T234" s="213"/>
      <c r="U234" s="213"/>
      <c r="V234" s="213"/>
      <c r="W234" s="213"/>
      <c r="X234" s="591"/>
      <c r="Y234" s="591"/>
    </row>
    <row r="235" spans="1:25" ht="14.85" customHeight="1">
      <c r="A235" s="619"/>
      <c r="B235" s="586"/>
      <c r="C235" s="259"/>
      <c r="D235" s="621"/>
      <c r="E235" s="632"/>
      <c r="F235" s="603"/>
      <c r="G235" s="254"/>
      <c r="H235" s="262"/>
      <c r="I235" s="155"/>
      <c r="J235" s="276"/>
      <c r="K235" s="311">
        <f t="shared" ref="K235" si="80">J235/$K$11</f>
        <v>0</v>
      </c>
      <c r="L235" s="312">
        <f t="shared" ref="L235" si="81">J235/$L$11</f>
        <v>0</v>
      </c>
      <c r="M235" s="313">
        <f t="shared" ref="M235" si="82">ROUND((L235/$M$11),0)</f>
        <v>0</v>
      </c>
      <c r="N235" s="314">
        <f>SUM(L233:L235)</f>
        <v>0</v>
      </c>
      <c r="O235" s="315">
        <f t="shared" si="56"/>
        <v>0</v>
      </c>
      <c r="P235" s="315">
        <f t="shared" si="57"/>
        <v>0</v>
      </c>
      <c r="Q235" s="314"/>
      <c r="R235" s="315"/>
      <c r="S235" s="315"/>
      <c r="T235" s="213"/>
      <c r="U235" s="213"/>
      <c r="V235" s="213"/>
      <c r="W235" s="213"/>
      <c r="X235" s="591"/>
      <c r="Y235" s="591"/>
    </row>
    <row r="236" spans="1:25" ht="14.85" customHeight="1">
      <c r="A236" s="619"/>
      <c r="B236" s="586"/>
      <c r="C236" s="259"/>
      <c r="D236" s="621"/>
      <c r="E236" s="632"/>
      <c r="F236" s="601"/>
      <c r="G236" s="254"/>
      <c r="H236" s="262"/>
      <c r="I236" s="155"/>
      <c r="J236" s="276"/>
      <c r="K236" s="311">
        <f t="shared" si="68"/>
        <v>0</v>
      </c>
      <c r="L236" s="312">
        <f t="shared" si="69"/>
        <v>0</v>
      </c>
      <c r="M236" s="313">
        <f t="shared" si="70"/>
        <v>0</v>
      </c>
      <c r="N236" s="314"/>
      <c r="O236" s="315">
        <f t="shared" si="56"/>
        <v>0</v>
      </c>
      <c r="P236" s="315">
        <f t="shared" si="57"/>
        <v>0</v>
      </c>
      <c r="Q236" s="314"/>
      <c r="R236" s="315">
        <f t="shared" si="54"/>
        <v>0</v>
      </c>
      <c r="S236" s="315">
        <f t="shared" si="55"/>
        <v>0</v>
      </c>
      <c r="T236" s="213"/>
      <c r="U236" s="213"/>
      <c r="V236" s="213"/>
      <c r="W236" s="213"/>
      <c r="X236" s="591"/>
      <c r="Y236" s="591"/>
    </row>
    <row r="237" spans="1:25" ht="14.85" customHeight="1">
      <c r="A237" s="619"/>
      <c r="B237" s="586"/>
      <c r="C237" s="259"/>
      <c r="D237" s="621"/>
      <c r="E237" s="633"/>
      <c r="F237" s="603"/>
      <c r="G237" s="254"/>
      <c r="H237" s="262"/>
      <c r="I237" s="155"/>
      <c r="J237" s="279"/>
      <c r="K237" s="311">
        <f t="shared" si="68"/>
        <v>0</v>
      </c>
      <c r="L237" s="312">
        <f t="shared" si="69"/>
        <v>0</v>
      </c>
      <c r="M237" s="313">
        <f t="shared" si="70"/>
        <v>0</v>
      </c>
      <c r="N237" s="314">
        <f>SUM(L236:L237)</f>
        <v>0</v>
      </c>
      <c r="O237" s="315">
        <f t="shared" si="56"/>
        <v>0</v>
      </c>
      <c r="P237" s="315">
        <f t="shared" si="57"/>
        <v>0</v>
      </c>
      <c r="Q237" s="314">
        <f>SUM(N232:N237)</f>
        <v>0</v>
      </c>
      <c r="R237" s="315">
        <f t="shared" si="54"/>
        <v>0</v>
      </c>
      <c r="S237" s="315">
        <f t="shared" si="55"/>
        <v>0</v>
      </c>
      <c r="T237" s="213"/>
      <c r="U237" s="213"/>
      <c r="V237" s="213"/>
      <c r="W237" s="213"/>
      <c r="X237" s="591"/>
      <c r="Y237" s="591"/>
    </row>
    <row r="238" spans="1:25" ht="14.85" customHeight="1">
      <c r="A238" s="619"/>
      <c r="B238" s="586"/>
      <c r="C238" s="259"/>
      <c r="D238" s="621"/>
      <c r="E238" s="363"/>
      <c r="F238" s="252"/>
      <c r="G238" s="254"/>
      <c r="H238" s="262"/>
      <c r="I238" s="155"/>
      <c r="J238" s="279"/>
      <c r="K238" s="311"/>
      <c r="L238" s="312"/>
      <c r="M238" s="313"/>
      <c r="N238" s="314"/>
      <c r="O238" s="315"/>
      <c r="P238" s="315"/>
      <c r="Q238" s="314"/>
      <c r="R238" s="315"/>
      <c r="S238" s="315"/>
      <c r="T238" s="213"/>
      <c r="U238" s="213"/>
      <c r="V238" s="213"/>
      <c r="W238" s="213"/>
      <c r="X238" s="591"/>
      <c r="Y238" s="591"/>
    </row>
    <row r="239" spans="1:25" ht="14.85" customHeight="1">
      <c r="A239" s="619"/>
      <c r="B239" s="586"/>
      <c r="C239" s="259"/>
      <c r="D239" s="621"/>
      <c r="E239" s="631"/>
      <c r="F239" s="601"/>
      <c r="G239" s="217"/>
      <c r="H239" s="413"/>
      <c r="I239" s="155"/>
      <c r="J239" s="366"/>
      <c r="K239" s="311">
        <f t="shared" si="68"/>
        <v>0</v>
      </c>
      <c r="L239" s="312">
        <f t="shared" si="69"/>
        <v>0</v>
      </c>
      <c r="M239" s="313">
        <f t="shared" si="70"/>
        <v>0</v>
      </c>
      <c r="N239" s="314"/>
      <c r="O239" s="315">
        <f t="shared" si="56"/>
        <v>0</v>
      </c>
      <c r="P239" s="315">
        <f t="shared" si="57"/>
        <v>0</v>
      </c>
      <c r="Q239" s="314"/>
      <c r="R239" s="315">
        <f t="shared" si="54"/>
        <v>0</v>
      </c>
      <c r="S239" s="315">
        <f t="shared" si="55"/>
        <v>0</v>
      </c>
      <c r="T239" s="213"/>
      <c r="U239" s="213"/>
      <c r="V239" s="213"/>
      <c r="W239" s="213"/>
      <c r="X239" s="591"/>
      <c r="Y239" s="591"/>
    </row>
    <row r="240" spans="1:25" ht="14.85" customHeight="1">
      <c r="A240" s="619"/>
      <c r="B240" s="586"/>
      <c r="C240" s="259"/>
      <c r="D240" s="621"/>
      <c r="E240" s="632"/>
      <c r="F240" s="602"/>
      <c r="G240" s="217"/>
      <c r="H240" s="413"/>
      <c r="I240" s="155"/>
      <c r="J240" s="366"/>
      <c r="K240" s="311">
        <f t="shared" ref="K240:K241" si="83">J240/$K$11</f>
        <v>0</v>
      </c>
      <c r="L240" s="312">
        <f t="shared" ref="L240:L241" si="84">J240/$L$11</f>
        <v>0</v>
      </c>
      <c r="M240" s="313">
        <f t="shared" ref="M240:M241" si="85">ROUND((L240/$M$11),0)</f>
        <v>0</v>
      </c>
      <c r="N240" s="314"/>
      <c r="O240" s="315">
        <f t="shared" si="56"/>
        <v>0</v>
      </c>
      <c r="P240" s="315">
        <f t="shared" si="57"/>
        <v>0</v>
      </c>
      <c r="Q240" s="314"/>
      <c r="R240" s="315"/>
      <c r="S240" s="315"/>
      <c r="T240" s="213"/>
      <c r="U240" s="213"/>
      <c r="V240" s="213"/>
      <c r="W240" s="213"/>
      <c r="X240" s="591"/>
      <c r="Y240" s="591"/>
    </row>
    <row r="241" spans="1:25" ht="14.85" customHeight="1">
      <c r="A241" s="619"/>
      <c r="B241" s="586"/>
      <c r="C241" s="259"/>
      <c r="D241" s="621"/>
      <c r="E241" s="632"/>
      <c r="F241" s="603"/>
      <c r="G241" s="217"/>
      <c r="H241" s="413"/>
      <c r="I241" s="155"/>
      <c r="J241" s="270"/>
      <c r="K241" s="311">
        <f t="shared" si="83"/>
        <v>0</v>
      </c>
      <c r="L241" s="312">
        <f t="shared" si="84"/>
        <v>0</v>
      </c>
      <c r="M241" s="313">
        <f t="shared" si="85"/>
        <v>0</v>
      </c>
      <c r="N241" s="314">
        <f>SUM(L239:L241)</f>
        <v>0</v>
      </c>
      <c r="O241" s="315">
        <f t="shared" si="56"/>
        <v>0</v>
      </c>
      <c r="P241" s="315">
        <f t="shared" si="57"/>
        <v>0</v>
      </c>
      <c r="Q241" s="314"/>
      <c r="R241" s="315"/>
      <c r="S241" s="315"/>
      <c r="T241" s="213"/>
      <c r="U241" s="213"/>
      <c r="V241" s="213"/>
      <c r="W241" s="213"/>
      <c r="X241" s="591"/>
      <c r="Y241" s="591"/>
    </row>
    <row r="242" spans="1:25" ht="14.85" customHeight="1">
      <c r="A242" s="619"/>
      <c r="B242" s="586"/>
      <c r="C242" s="259"/>
      <c r="D242" s="621"/>
      <c r="E242" s="632"/>
      <c r="F242" s="601"/>
      <c r="G242" s="254"/>
      <c r="H242" s="262"/>
      <c r="I242" s="155"/>
      <c r="J242" s="270"/>
      <c r="K242" s="311">
        <f t="shared" si="68"/>
        <v>0</v>
      </c>
      <c r="L242" s="312">
        <f t="shared" si="69"/>
        <v>0</v>
      </c>
      <c r="M242" s="313">
        <f t="shared" si="70"/>
        <v>0</v>
      </c>
      <c r="N242" s="314"/>
      <c r="O242" s="315">
        <f t="shared" si="56"/>
        <v>0</v>
      </c>
      <c r="P242" s="315">
        <f t="shared" si="57"/>
        <v>0</v>
      </c>
      <c r="Q242" s="314"/>
      <c r="R242" s="315">
        <f t="shared" si="54"/>
        <v>0</v>
      </c>
      <c r="S242" s="315">
        <f t="shared" si="55"/>
        <v>0</v>
      </c>
      <c r="T242" s="213"/>
      <c r="U242" s="213"/>
      <c r="V242" s="213"/>
      <c r="W242" s="213"/>
      <c r="X242" s="591"/>
      <c r="Y242" s="591"/>
    </row>
    <row r="243" spans="1:25" ht="14.85" customHeight="1">
      <c r="A243" s="619"/>
      <c r="B243" s="586"/>
      <c r="C243" s="259"/>
      <c r="D243" s="621"/>
      <c r="E243" s="632"/>
      <c r="F243" s="602"/>
      <c r="G243" s="254"/>
      <c r="H243" s="262"/>
      <c r="I243" s="155"/>
      <c r="J243" s="270"/>
      <c r="K243" s="311">
        <f t="shared" si="68"/>
        <v>0</v>
      </c>
      <c r="L243" s="312">
        <f t="shared" si="69"/>
        <v>0</v>
      </c>
      <c r="M243" s="313">
        <f t="shared" si="70"/>
        <v>0</v>
      </c>
      <c r="N243" s="314"/>
      <c r="O243" s="315">
        <f t="shared" si="56"/>
        <v>0</v>
      </c>
      <c r="P243" s="315">
        <f t="shared" si="57"/>
        <v>0</v>
      </c>
      <c r="Q243" s="314"/>
      <c r="R243" s="315"/>
      <c r="S243" s="315"/>
      <c r="T243" s="213"/>
      <c r="U243" s="213"/>
      <c r="V243" s="213"/>
      <c r="W243" s="213"/>
      <c r="X243" s="591"/>
      <c r="Y243" s="591"/>
    </row>
    <row r="244" spans="1:25" ht="14.85" customHeight="1">
      <c r="A244" s="619"/>
      <c r="B244" s="586"/>
      <c r="C244" s="259"/>
      <c r="D244" s="621"/>
      <c r="E244" s="632"/>
      <c r="F244" s="602"/>
      <c r="G244" s="254"/>
      <c r="H244" s="262"/>
      <c r="I244" s="155"/>
      <c r="J244" s="270"/>
      <c r="K244" s="311">
        <f t="shared" si="68"/>
        <v>0</v>
      </c>
      <c r="L244" s="312">
        <f t="shared" si="69"/>
        <v>0</v>
      </c>
      <c r="M244" s="313">
        <f t="shared" si="70"/>
        <v>0</v>
      </c>
      <c r="N244" s="314"/>
      <c r="O244" s="315">
        <f t="shared" si="56"/>
        <v>0</v>
      </c>
      <c r="P244" s="315">
        <f t="shared" si="57"/>
        <v>0</v>
      </c>
      <c r="Q244" s="314"/>
      <c r="R244" s="315"/>
      <c r="S244" s="315"/>
      <c r="T244" s="213"/>
      <c r="U244" s="213"/>
      <c r="V244" s="213"/>
      <c r="W244" s="213"/>
      <c r="X244" s="591"/>
      <c r="Y244" s="591"/>
    </row>
    <row r="245" spans="1:25" ht="14.85" customHeight="1">
      <c r="A245" s="619"/>
      <c r="B245" s="586"/>
      <c r="C245" s="259"/>
      <c r="D245" s="621"/>
      <c r="E245" s="632"/>
      <c r="F245" s="603"/>
      <c r="G245" s="254"/>
      <c r="H245" s="262"/>
      <c r="I245" s="155"/>
      <c r="J245" s="270"/>
      <c r="K245" s="311">
        <f t="shared" si="68"/>
        <v>0</v>
      </c>
      <c r="L245" s="312">
        <f t="shared" si="69"/>
        <v>0</v>
      </c>
      <c r="M245" s="313">
        <f t="shared" si="70"/>
        <v>0</v>
      </c>
      <c r="N245" s="314">
        <f>SUM(L242:L245)</f>
        <v>0</v>
      </c>
      <c r="O245" s="315">
        <f t="shared" si="56"/>
        <v>0</v>
      </c>
      <c r="P245" s="315">
        <f t="shared" si="57"/>
        <v>0</v>
      </c>
      <c r="Q245" s="314"/>
      <c r="R245" s="315"/>
      <c r="S245" s="315"/>
      <c r="T245" s="213"/>
      <c r="U245" s="213"/>
      <c r="V245" s="213"/>
      <c r="W245" s="213"/>
      <c r="X245" s="591"/>
      <c r="Y245" s="591"/>
    </row>
    <row r="246" spans="1:25" ht="14.85" customHeight="1">
      <c r="A246" s="619"/>
      <c r="B246" s="586"/>
      <c r="C246" s="259"/>
      <c r="D246" s="621"/>
      <c r="E246" s="632"/>
      <c r="F246" s="601"/>
      <c r="G246" s="254"/>
      <c r="H246" s="262"/>
      <c r="I246" s="155"/>
      <c r="J246" s="276"/>
      <c r="K246" s="311">
        <f t="shared" si="68"/>
        <v>0</v>
      </c>
      <c r="L246" s="312">
        <f t="shared" si="69"/>
        <v>0</v>
      </c>
      <c r="M246" s="313">
        <f t="shared" si="70"/>
        <v>0</v>
      </c>
      <c r="N246" s="314"/>
      <c r="O246" s="315">
        <f t="shared" si="56"/>
        <v>0</v>
      </c>
      <c r="P246" s="315">
        <f t="shared" si="57"/>
        <v>0</v>
      </c>
      <c r="Q246" s="314"/>
      <c r="R246" s="315">
        <f t="shared" si="54"/>
        <v>0</v>
      </c>
      <c r="S246" s="315">
        <f t="shared" si="55"/>
        <v>0</v>
      </c>
      <c r="T246" s="213"/>
      <c r="U246" s="213"/>
      <c r="V246" s="213"/>
      <c r="W246" s="213"/>
      <c r="X246" s="591"/>
      <c r="Y246" s="591"/>
    </row>
    <row r="247" spans="1:25" ht="14.85" customHeight="1">
      <c r="A247" s="619"/>
      <c r="B247" s="586"/>
      <c r="C247" s="259"/>
      <c r="D247" s="621"/>
      <c r="E247" s="632"/>
      <c r="F247" s="602"/>
      <c r="G247" s="254"/>
      <c r="H247" s="262"/>
      <c r="I247" s="155"/>
      <c r="J247" s="279"/>
      <c r="K247" s="311">
        <f t="shared" si="68"/>
        <v>0</v>
      </c>
      <c r="L247" s="312">
        <f t="shared" si="69"/>
        <v>0</v>
      </c>
      <c r="M247" s="313">
        <f t="shared" si="70"/>
        <v>0</v>
      </c>
      <c r="N247" s="314"/>
      <c r="O247" s="315">
        <f t="shared" si="56"/>
        <v>0</v>
      </c>
      <c r="P247" s="315">
        <f t="shared" si="57"/>
        <v>0</v>
      </c>
      <c r="Q247" s="314"/>
      <c r="R247" s="315">
        <f t="shared" si="54"/>
        <v>0</v>
      </c>
      <c r="S247" s="315">
        <f t="shared" si="55"/>
        <v>0</v>
      </c>
      <c r="T247" s="213"/>
      <c r="U247" s="213"/>
      <c r="V247" s="213"/>
      <c r="W247" s="213"/>
      <c r="X247" s="591"/>
      <c r="Y247" s="591"/>
    </row>
    <row r="248" spans="1:25" ht="14.85" customHeight="1">
      <c r="A248" s="619"/>
      <c r="B248" s="586"/>
      <c r="C248" s="259"/>
      <c r="D248" s="621"/>
      <c r="E248" s="632"/>
      <c r="F248" s="602"/>
      <c r="G248" s="254"/>
      <c r="H248" s="262"/>
      <c r="I248" s="155"/>
      <c r="J248" s="279"/>
      <c r="K248" s="311">
        <f t="shared" si="68"/>
        <v>0</v>
      </c>
      <c r="L248" s="312">
        <f t="shared" si="69"/>
        <v>0</v>
      </c>
      <c r="M248" s="313">
        <f t="shared" si="70"/>
        <v>0</v>
      </c>
      <c r="N248" s="314"/>
      <c r="O248" s="315">
        <f t="shared" si="56"/>
        <v>0</v>
      </c>
      <c r="P248" s="315">
        <f t="shared" si="57"/>
        <v>0</v>
      </c>
      <c r="Q248" s="314"/>
      <c r="R248" s="315">
        <f t="shared" si="54"/>
        <v>0</v>
      </c>
      <c r="S248" s="315">
        <f t="shared" si="55"/>
        <v>0</v>
      </c>
      <c r="T248" s="213"/>
      <c r="U248" s="213"/>
      <c r="V248" s="213"/>
      <c r="W248" s="213"/>
      <c r="X248" s="591"/>
      <c r="Y248" s="591"/>
    </row>
    <row r="249" spans="1:25" ht="14.85" customHeight="1">
      <c r="A249" s="619"/>
      <c r="B249" s="586"/>
      <c r="C249" s="259"/>
      <c r="D249" s="621"/>
      <c r="E249" s="633"/>
      <c r="F249" s="603"/>
      <c r="G249" s="254"/>
      <c r="H249" s="262"/>
      <c r="I249" s="155"/>
      <c r="J249" s="279"/>
      <c r="K249" s="311">
        <f t="shared" si="68"/>
        <v>0</v>
      </c>
      <c r="L249" s="312">
        <f t="shared" si="69"/>
        <v>0</v>
      </c>
      <c r="M249" s="313">
        <f t="shared" si="70"/>
        <v>0</v>
      </c>
      <c r="N249" s="314">
        <f>SUM(L246:L249)</f>
        <v>0</v>
      </c>
      <c r="O249" s="315">
        <f t="shared" si="56"/>
        <v>0</v>
      </c>
      <c r="P249" s="315">
        <f t="shared" si="57"/>
        <v>0</v>
      </c>
      <c r="Q249" s="314">
        <f>SUM(N241:N249)</f>
        <v>0</v>
      </c>
      <c r="R249" s="315">
        <f t="shared" si="54"/>
        <v>0</v>
      </c>
      <c r="S249" s="315">
        <f t="shared" si="55"/>
        <v>0</v>
      </c>
      <c r="T249" s="213"/>
      <c r="U249" s="213"/>
      <c r="V249" s="213"/>
      <c r="W249" s="213"/>
      <c r="X249" s="591"/>
      <c r="Y249" s="591"/>
    </row>
    <row r="250" spans="1:25" ht="14.85" customHeight="1">
      <c r="A250" s="619"/>
      <c r="B250" s="586"/>
      <c r="C250" s="259"/>
      <c r="D250" s="621"/>
      <c r="E250" s="367"/>
      <c r="F250" s="251"/>
      <c r="G250" s="254"/>
      <c r="H250" s="262"/>
      <c r="I250" s="155"/>
      <c r="J250" s="279"/>
      <c r="K250" s="311"/>
      <c r="L250" s="312"/>
      <c r="M250" s="313"/>
      <c r="N250" s="314"/>
      <c r="O250" s="315"/>
      <c r="P250" s="315"/>
      <c r="Q250" s="314"/>
      <c r="R250" s="315"/>
      <c r="S250" s="315"/>
      <c r="T250" s="213"/>
      <c r="U250" s="213"/>
      <c r="V250" s="213"/>
      <c r="W250" s="213"/>
      <c r="X250" s="591"/>
      <c r="Y250" s="591"/>
    </row>
    <row r="251" spans="1:25" ht="14.85" customHeight="1">
      <c r="A251" s="619"/>
      <c r="B251" s="586"/>
      <c r="C251" s="259"/>
      <c r="D251" s="621"/>
      <c r="E251" s="641"/>
      <c r="F251" s="634"/>
      <c r="G251" s="254"/>
      <c r="H251" s="262"/>
      <c r="I251" s="154"/>
      <c r="J251" s="270"/>
      <c r="K251" s="311">
        <f t="shared" ref="K251:K252" si="86">J251/$K$11</f>
        <v>0</v>
      </c>
      <c r="L251" s="312">
        <f t="shared" ref="L251:L252" si="87">J251/$L$11</f>
        <v>0</v>
      </c>
      <c r="M251" s="313">
        <f t="shared" ref="M251:M252" si="88">ROUND((L251/$M$11),0)</f>
        <v>0</v>
      </c>
      <c r="N251" s="314"/>
      <c r="O251" s="315">
        <f t="shared" si="56"/>
        <v>0</v>
      </c>
      <c r="P251" s="315">
        <f t="shared" si="57"/>
        <v>0</v>
      </c>
      <c r="Q251" s="314"/>
      <c r="R251" s="315">
        <f t="shared" si="54"/>
        <v>0</v>
      </c>
      <c r="S251" s="315">
        <f t="shared" si="55"/>
        <v>0</v>
      </c>
      <c r="T251" s="213"/>
      <c r="U251" s="213"/>
      <c r="V251" s="213"/>
      <c r="W251" s="213"/>
      <c r="X251" s="591"/>
      <c r="Y251" s="591"/>
    </row>
    <row r="252" spans="1:25" ht="14.85" customHeight="1">
      <c r="A252" s="619"/>
      <c r="B252" s="586"/>
      <c r="C252" s="259"/>
      <c r="D252" s="621"/>
      <c r="E252" s="642"/>
      <c r="F252" s="634"/>
      <c r="G252" s="254"/>
      <c r="H252" s="262"/>
      <c r="I252" s="154"/>
      <c r="J252" s="270"/>
      <c r="K252" s="311">
        <f t="shared" si="86"/>
        <v>0</v>
      </c>
      <c r="L252" s="312">
        <f t="shared" si="87"/>
        <v>0</v>
      </c>
      <c r="M252" s="313">
        <f t="shared" si="88"/>
        <v>0</v>
      </c>
      <c r="N252" s="314">
        <f>SUM(L251:L252)</f>
        <v>0</v>
      </c>
      <c r="O252" s="315">
        <f t="shared" si="56"/>
        <v>0</v>
      </c>
      <c r="P252" s="315">
        <f t="shared" si="57"/>
        <v>0</v>
      </c>
      <c r="Q252" s="314"/>
      <c r="R252" s="315">
        <f t="shared" si="54"/>
        <v>0</v>
      </c>
      <c r="S252" s="315">
        <f t="shared" si="55"/>
        <v>0</v>
      </c>
      <c r="T252" s="213"/>
      <c r="U252" s="213"/>
      <c r="V252" s="213"/>
      <c r="W252" s="213"/>
      <c r="X252" s="591"/>
      <c r="Y252" s="591"/>
    </row>
    <row r="253" spans="1:25" ht="14.85" customHeight="1">
      <c r="A253" s="619"/>
      <c r="B253" s="586"/>
      <c r="C253" s="259"/>
      <c r="D253" s="621"/>
      <c r="E253" s="642"/>
      <c r="F253" s="601"/>
      <c r="G253" s="254"/>
      <c r="H253" s="262"/>
      <c r="I253" s="154"/>
      <c r="J253" s="254"/>
      <c r="K253" s="311">
        <f t="shared" si="68"/>
        <v>0</v>
      </c>
      <c r="L253" s="312">
        <f t="shared" si="69"/>
        <v>0</v>
      </c>
      <c r="M253" s="313">
        <f t="shared" si="70"/>
        <v>0</v>
      </c>
      <c r="N253" s="314"/>
      <c r="O253" s="315">
        <f t="shared" si="56"/>
        <v>0</v>
      </c>
      <c r="P253" s="315">
        <f t="shared" si="57"/>
        <v>0</v>
      </c>
      <c r="Q253" s="314"/>
      <c r="R253" s="315">
        <f t="shared" si="54"/>
        <v>0</v>
      </c>
      <c r="S253" s="315">
        <f t="shared" si="55"/>
        <v>0</v>
      </c>
      <c r="T253" s="213"/>
      <c r="U253" s="213"/>
      <c r="V253" s="213"/>
      <c r="W253" s="213"/>
      <c r="X253" s="591"/>
      <c r="Y253" s="591"/>
    </row>
    <row r="254" spans="1:25" ht="14.85" customHeight="1">
      <c r="A254" s="619"/>
      <c r="B254" s="586"/>
      <c r="C254" s="259"/>
      <c r="D254" s="621"/>
      <c r="E254" s="642"/>
      <c r="F254" s="602"/>
      <c r="G254" s="254"/>
      <c r="H254" s="262"/>
      <c r="I254" s="154"/>
      <c r="J254" s="254"/>
      <c r="K254" s="311">
        <f t="shared" si="68"/>
        <v>0</v>
      </c>
      <c r="L254" s="312">
        <f t="shared" si="69"/>
        <v>0</v>
      </c>
      <c r="M254" s="313">
        <f t="shared" si="70"/>
        <v>0</v>
      </c>
      <c r="N254" s="314"/>
      <c r="O254" s="315">
        <f t="shared" si="56"/>
        <v>0</v>
      </c>
      <c r="P254" s="315">
        <f t="shared" si="57"/>
        <v>0</v>
      </c>
      <c r="Q254" s="314"/>
      <c r="R254" s="315">
        <f t="shared" si="54"/>
        <v>0</v>
      </c>
      <c r="S254" s="315">
        <f t="shared" si="55"/>
        <v>0</v>
      </c>
      <c r="T254" s="213"/>
      <c r="U254" s="213"/>
      <c r="V254" s="213"/>
      <c r="W254" s="213"/>
      <c r="X254" s="591"/>
      <c r="Y254" s="591"/>
    </row>
    <row r="255" spans="1:25" ht="14.85" customHeight="1">
      <c r="A255" s="619"/>
      <c r="B255" s="586"/>
      <c r="C255" s="259"/>
      <c r="D255" s="621"/>
      <c r="E255" s="642"/>
      <c r="F255" s="602"/>
      <c r="G255" s="254"/>
      <c r="H255" s="262"/>
      <c r="I255" s="154"/>
      <c r="J255" s="254"/>
      <c r="K255" s="311">
        <f t="shared" si="68"/>
        <v>0</v>
      </c>
      <c r="L255" s="312">
        <f t="shared" si="69"/>
        <v>0</v>
      </c>
      <c r="M255" s="313">
        <f t="shared" si="70"/>
        <v>0</v>
      </c>
      <c r="N255" s="314"/>
      <c r="O255" s="315">
        <f t="shared" si="56"/>
        <v>0</v>
      </c>
      <c r="P255" s="315">
        <f t="shared" si="57"/>
        <v>0</v>
      </c>
      <c r="Q255" s="314"/>
      <c r="R255" s="315">
        <f t="shared" si="54"/>
        <v>0</v>
      </c>
      <c r="S255" s="315">
        <f t="shared" si="55"/>
        <v>0</v>
      </c>
      <c r="T255" s="213"/>
      <c r="U255" s="213"/>
      <c r="V255" s="213"/>
      <c r="W255" s="213"/>
      <c r="X255" s="591"/>
      <c r="Y255" s="591"/>
    </row>
    <row r="256" spans="1:25" ht="14.85" customHeight="1">
      <c r="A256" s="619"/>
      <c r="B256" s="586"/>
      <c r="C256" s="259"/>
      <c r="D256" s="621"/>
      <c r="E256" s="643"/>
      <c r="F256" s="603"/>
      <c r="G256" s="254"/>
      <c r="H256" s="262"/>
      <c r="I256" s="154"/>
      <c r="J256" s="254"/>
      <c r="K256" s="311">
        <f t="shared" si="68"/>
        <v>0</v>
      </c>
      <c r="L256" s="312">
        <f t="shared" si="69"/>
        <v>0</v>
      </c>
      <c r="M256" s="313">
        <f t="shared" si="70"/>
        <v>0</v>
      </c>
      <c r="N256" s="314">
        <f>SUM(L253:L256)</f>
        <v>0</v>
      </c>
      <c r="O256" s="315">
        <f t="shared" si="56"/>
        <v>0</v>
      </c>
      <c r="P256" s="315">
        <f t="shared" si="57"/>
        <v>0</v>
      </c>
      <c r="Q256" s="314">
        <f>SUM(N252:N256)</f>
        <v>0</v>
      </c>
      <c r="R256" s="315">
        <f t="shared" si="54"/>
        <v>0</v>
      </c>
      <c r="S256" s="315">
        <f t="shared" si="55"/>
        <v>0</v>
      </c>
      <c r="T256" s="213"/>
      <c r="U256" s="213"/>
      <c r="V256" s="213"/>
      <c r="W256" s="213"/>
      <c r="X256" s="591"/>
      <c r="Y256" s="591"/>
    </row>
    <row r="257" spans="1:25" ht="14.85" customHeight="1">
      <c r="A257" s="316"/>
      <c r="B257" s="259"/>
      <c r="C257" s="259"/>
      <c r="D257" s="256"/>
      <c r="E257" s="253"/>
      <c r="F257" s="251"/>
      <c r="G257" s="254"/>
      <c r="H257" s="154"/>
      <c r="I257" s="154"/>
      <c r="J257" s="254"/>
      <c r="K257" s="311"/>
      <c r="L257" s="312"/>
      <c r="M257" s="313"/>
      <c r="N257" s="314"/>
      <c r="O257" s="315"/>
      <c r="P257" s="315"/>
      <c r="Q257" s="314"/>
      <c r="R257" s="315"/>
      <c r="S257" s="315"/>
      <c r="T257" s="213"/>
      <c r="U257" s="213"/>
      <c r="V257" s="213"/>
      <c r="W257" s="213"/>
      <c r="X257" s="317"/>
      <c r="Y257" s="317"/>
    </row>
    <row r="258" spans="1:25" s="287" customFormat="1">
      <c r="A258" s="211" t="s">
        <v>129</v>
      </c>
      <c r="B258" s="211">
        <f>COUNTA(B178:B256)</f>
        <v>0</v>
      </c>
      <c r="C258" s="211"/>
      <c r="D258" s="211">
        <f>COUNTA(D178:D256)</f>
        <v>0</v>
      </c>
      <c r="E258" s="212">
        <f>COUNTA(E178:E256)</f>
        <v>0</v>
      </c>
      <c r="F258" s="211">
        <f>COUNTA(F178:F256)</f>
        <v>0</v>
      </c>
      <c r="G258" s="211">
        <f>COUNTA(G178:G256)</f>
        <v>0</v>
      </c>
      <c r="H258" s="211"/>
      <c r="I258" s="211">
        <f>COUNTA(I178:I256)</f>
        <v>0</v>
      </c>
      <c r="J258" s="280">
        <f>SUM(J178:J256)</f>
        <v>0</v>
      </c>
      <c r="K258" s="161">
        <f>SUM(K178:K256)</f>
        <v>0</v>
      </c>
      <c r="L258" s="161">
        <f>SUM(L178:L256)</f>
        <v>0</v>
      </c>
      <c r="M258" s="161">
        <f>SUM(M178:M256)</f>
        <v>0</v>
      </c>
      <c r="N258" s="161">
        <f>SUM(N177:N256)</f>
        <v>0</v>
      </c>
      <c r="O258" s="315">
        <f t="shared" si="56"/>
        <v>0</v>
      </c>
      <c r="P258" s="315">
        <f t="shared" si="57"/>
        <v>0</v>
      </c>
      <c r="Q258" s="161">
        <f>SUM(Q177:Q256)</f>
        <v>0</v>
      </c>
      <c r="R258" s="161">
        <f t="shared" ref="R258:R259" si="89">ROUNDDOWN((Q258/$O$11),0)</f>
        <v>0</v>
      </c>
      <c r="S258" s="161">
        <f t="shared" ref="S258:S259" si="90">ROUND((Q258-(R258*$P$11)),0)</f>
        <v>0</v>
      </c>
      <c r="T258" s="211"/>
      <c r="U258" s="211"/>
      <c r="V258" s="211"/>
      <c r="W258" s="211"/>
      <c r="X258" s="161" t="str">
        <f>IF(X178&lt;1.4,"1",IF(X178&lt;=2.3,"2",IF(X178&gt;2.3, ROUND(X178,0))))</f>
        <v>1</v>
      </c>
      <c r="Y258" s="161">
        <f>$Y$11*F258</f>
        <v>0</v>
      </c>
    </row>
    <row r="259" spans="1:25">
      <c r="A259" s="618"/>
      <c r="B259" s="585"/>
      <c r="C259" s="258"/>
      <c r="D259" s="620"/>
      <c r="E259" s="625"/>
      <c r="F259" s="154"/>
      <c r="H259" s="154"/>
      <c r="I259" s="154"/>
      <c r="J259" s="276"/>
      <c r="K259" s="311">
        <f t="shared" ref="K259" si="91">J259/$K$11</f>
        <v>0</v>
      </c>
      <c r="L259" s="312">
        <f t="shared" ref="L259" si="92">J259/$L$11</f>
        <v>0</v>
      </c>
      <c r="M259" s="313">
        <f t="shared" ref="M259" si="93">ROUND((L259/$M$11),0)</f>
        <v>0</v>
      </c>
      <c r="N259" s="314">
        <f>L259</f>
        <v>0</v>
      </c>
      <c r="O259" s="315">
        <f t="shared" si="56"/>
        <v>0</v>
      </c>
      <c r="P259" s="315">
        <f t="shared" si="57"/>
        <v>0</v>
      </c>
      <c r="Q259" s="314"/>
      <c r="R259" s="315">
        <f t="shared" si="89"/>
        <v>0</v>
      </c>
      <c r="S259" s="315">
        <f t="shared" si="90"/>
        <v>0</v>
      </c>
      <c r="T259" s="213"/>
      <c r="U259" s="213"/>
      <c r="V259" s="213"/>
      <c r="W259" s="213"/>
      <c r="X259" s="590">
        <f>F326/$X$11</f>
        <v>0</v>
      </c>
      <c r="Y259" s="590"/>
    </row>
    <row r="260" spans="1:25" ht="14.85" customHeight="1">
      <c r="A260" s="619"/>
      <c r="B260" s="586"/>
      <c r="C260" s="259"/>
      <c r="D260" s="621"/>
      <c r="E260" s="626"/>
      <c r="F260" s="154"/>
      <c r="G260" s="215"/>
      <c r="H260" s="154"/>
      <c r="I260" s="154"/>
      <c r="J260" s="276"/>
      <c r="K260" s="311">
        <f t="shared" ref="K260:K324" si="94">J260/$K$11</f>
        <v>0</v>
      </c>
      <c r="L260" s="312">
        <f t="shared" ref="L260:L324" si="95">J260/$L$11</f>
        <v>0</v>
      </c>
      <c r="M260" s="313">
        <f t="shared" ref="M260:M324" si="96">ROUND((L260/$M$11),0)</f>
        <v>0</v>
      </c>
      <c r="N260" s="314">
        <f>L260</f>
        <v>0</v>
      </c>
      <c r="O260" s="315">
        <f t="shared" si="56"/>
        <v>0</v>
      </c>
      <c r="P260" s="315">
        <f t="shared" si="57"/>
        <v>0</v>
      </c>
      <c r="Q260" s="314"/>
      <c r="R260" s="315">
        <f t="shared" ref="R260:R300" si="97">ROUNDDOWN((Q260/$O$11),0)</f>
        <v>0</v>
      </c>
      <c r="S260" s="315">
        <f t="shared" ref="S260:S300" si="98">ROUND((Q260-(R260*$P$11)),0)</f>
        <v>0</v>
      </c>
      <c r="T260" s="213"/>
      <c r="U260" s="213"/>
      <c r="V260" s="213"/>
      <c r="W260" s="213"/>
      <c r="X260" s="591"/>
      <c r="Y260" s="591"/>
    </row>
    <row r="261" spans="1:25" ht="14.85" customHeight="1">
      <c r="A261" s="619"/>
      <c r="B261" s="586"/>
      <c r="C261" s="259"/>
      <c r="D261" s="621"/>
      <c r="E261" s="626"/>
      <c r="F261" s="154"/>
      <c r="G261" s="234"/>
      <c r="H261" s="154"/>
      <c r="I261" s="154"/>
      <c r="J261" s="276"/>
      <c r="K261" s="311">
        <f t="shared" si="94"/>
        <v>0</v>
      </c>
      <c r="L261" s="312">
        <f t="shared" si="95"/>
        <v>0</v>
      </c>
      <c r="M261" s="313">
        <f t="shared" si="96"/>
        <v>0</v>
      </c>
      <c r="N261" s="314">
        <f>L261</f>
        <v>0</v>
      </c>
      <c r="O261" s="315">
        <f t="shared" ref="O261:O269" si="99">ROUNDDOWN((N261/$O$11),0)</f>
        <v>0</v>
      </c>
      <c r="P261" s="315">
        <f t="shared" ref="P261:P269" si="100">ROUND((N261-(O261*$P$11)),0)</f>
        <v>0</v>
      </c>
      <c r="Q261" s="314"/>
      <c r="R261" s="315">
        <f t="shared" si="97"/>
        <v>0</v>
      </c>
      <c r="S261" s="315">
        <f t="shared" si="98"/>
        <v>0</v>
      </c>
      <c r="T261" s="213"/>
      <c r="U261" s="213"/>
      <c r="V261" s="213"/>
      <c r="W261" s="213"/>
      <c r="X261" s="591"/>
      <c r="Y261" s="591"/>
    </row>
    <row r="262" spans="1:25" ht="14.85" customHeight="1">
      <c r="A262" s="619"/>
      <c r="B262" s="586"/>
      <c r="C262" s="259"/>
      <c r="D262" s="621"/>
      <c r="E262" s="626"/>
      <c r="F262" s="273"/>
      <c r="G262" s="254"/>
      <c r="H262" s="154"/>
      <c r="I262" s="154"/>
      <c r="J262" s="276"/>
      <c r="K262" s="311">
        <f t="shared" si="94"/>
        <v>0</v>
      </c>
      <c r="L262" s="312">
        <f t="shared" si="95"/>
        <v>0</v>
      </c>
      <c r="M262" s="313">
        <f t="shared" si="96"/>
        <v>0</v>
      </c>
      <c r="N262" s="314">
        <f>L262</f>
        <v>0</v>
      </c>
      <c r="O262" s="315">
        <f t="shared" si="99"/>
        <v>0</v>
      </c>
      <c r="P262" s="315">
        <f t="shared" si="100"/>
        <v>0</v>
      </c>
      <c r="Q262" s="314">
        <f>SUM(N259:N262)</f>
        <v>0</v>
      </c>
      <c r="R262" s="315">
        <f t="shared" si="97"/>
        <v>0</v>
      </c>
      <c r="S262" s="315">
        <f t="shared" si="98"/>
        <v>0</v>
      </c>
      <c r="T262" s="213"/>
      <c r="U262" s="213"/>
      <c r="V262" s="213"/>
      <c r="W262" s="213"/>
      <c r="X262" s="591"/>
      <c r="Y262" s="591"/>
    </row>
    <row r="263" spans="1:25" ht="14.85" customHeight="1">
      <c r="A263" s="619"/>
      <c r="B263" s="586"/>
      <c r="C263" s="259"/>
      <c r="D263" s="621"/>
      <c r="E263" s="362"/>
      <c r="F263" s="273"/>
      <c r="G263" s="254"/>
      <c r="H263" s="254"/>
      <c r="I263" s="154"/>
      <c r="J263" s="276"/>
      <c r="K263" s="311"/>
      <c r="L263" s="312"/>
      <c r="M263" s="313"/>
      <c r="N263" s="314"/>
      <c r="O263" s="315"/>
      <c r="P263" s="315"/>
      <c r="Q263" s="314"/>
      <c r="R263" s="315">
        <f t="shared" si="97"/>
        <v>0</v>
      </c>
      <c r="S263" s="315">
        <f t="shared" si="98"/>
        <v>0</v>
      </c>
      <c r="T263" s="213"/>
      <c r="U263" s="213"/>
      <c r="V263" s="213"/>
      <c r="W263" s="213"/>
      <c r="X263" s="591"/>
      <c r="Y263" s="591"/>
    </row>
    <row r="264" spans="1:25" ht="14.85" customHeight="1">
      <c r="A264" s="619"/>
      <c r="B264" s="586"/>
      <c r="C264" s="259"/>
      <c r="D264" s="621"/>
      <c r="E264" s="368"/>
      <c r="F264" s="154"/>
      <c r="G264" s="215"/>
      <c r="H264" s="215"/>
      <c r="I264" s="154"/>
      <c r="J264" s="276"/>
      <c r="K264" s="311">
        <f t="shared" si="94"/>
        <v>0</v>
      </c>
      <c r="L264" s="312">
        <f t="shared" si="95"/>
        <v>0</v>
      </c>
      <c r="M264" s="313">
        <f t="shared" si="96"/>
        <v>0</v>
      </c>
      <c r="N264" s="314">
        <f>L264</f>
        <v>0</v>
      </c>
      <c r="O264" s="315">
        <f t="shared" si="99"/>
        <v>0</v>
      </c>
      <c r="P264" s="315">
        <f t="shared" si="100"/>
        <v>0</v>
      </c>
      <c r="Q264" s="314">
        <f>N264</f>
        <v>0</v>
      </c>
      <c r="R264" s="315">
        <f t="shared" si="97"/>
        <v>0</v>
      </c>
      <c r="S264" s="315">
        <f t="shared" si="98"/>
        <v>0</v>
      </c>
      <c r="T264" s="213"/>
      <c r="U264" s="213"/>
      <c r="V264" s="213"/>
      <c r="W264" s="213"/>
      <c r="X264" s="591"/>
      <c r="Y264" s="591"/>
    </row>
    <row r="265" spans="1:25" ht="14.85" customHeight="1">
      <c r="A265" s="619"/>
      <c r="B265" s="586"/>
      <c r="C265" s="259"/>
      <c r="D265" s="621"/>
      <c r="E265" s="368"/>
      <c r="F265" s="243"/>
      <c r="G265" s="246"/>
      <c r="H265" s="246"/>
      <c r="I265" s="154"/>
      <c r="J265" s="276"/>
      <c r="K265" s="311"/>
      <c r="L265" s="312"/>
      <c r="M265" s="313"/>
      <c r="N265" s="314"/>
      <c r="O265" s="315"/>
      <c r="P265" s="315"/>
      <c r="Q265" s="314"/>
      <c r="R265" s="315">
        <f t="shared" si="97"/>
        <v>0</v>
      </c>
      <c r="S265" s="315">
        <f t="shared" si="98"/>
        <v>0</v>
      </c>
      <c r="T265" s="213"/>
      <c r="U265" s="213"/>
      <c r="V265" s="213"/>
      <c r="W265" s="213"/>
      <c r="X265" s="591"/>
      <c r="Y265" s="591"/>
    </row>
    <row r="266" spans="1:25" ht="14.85" customHeight="1">
      <c r="A266" s="619"/>
      <c r="B266" s="586"/>
      <c r="C266" s="259"/>
      <c r="D266" s="621"/>
      <c r="E266" s="625"/>
      <c r="F266" s="601"/>
      <c r="H266" s="286"/>
      <c r="I266" s="154"/>
      <c r="J266" s="276"/>
      <c r="K266" s="311">
        <f t="shared" si="94"/>
        <v>0</v>
      </c>
      <c r="L266" s="312">
        <f t="shared" si="95"/>
        <v>0</v>
      </c>
      <c r="M266" s="313">
        <f t="shared" si="96"/>
        <v>0</v>
      </c>
      <c r="N266" s="314"/>
      <c r="O266" s="315">
        <f t="shared" si="99"/>
        <v>0</v>
      </c>
      <c r="P266" s="315">
        <f t="shared" si="100"/>
        <v>0</v>
      </c>
      <c r="Q266" s="314"/>
      <c r="R266" s="315">
        <f t="shared" si="97"/>
        <v>0</v>
      </c>
      <c r="S266" s="315">
        <f t="shared" si="98"/>
        <v>0</v>
      </c>
      <c r="T266" s="213"/>
      <c r="U266" s="213"/>
      <c r="V266" s="213"/>
      <c r="W266" s="213"/>
      <c r="X266" s="591"/>
      <c r="Y266" s="591"/>
    </row>
    <row r="267" spans="1:25" ht="14.85" customHeight="1">
      <c r="A267" s="619"/>
      <c r="B267" s="586"/>
      <c r="C267" s="259"/>
      <c r="D267" s="621"/>
      <c r="E267" s="626"/>
      <c r="F267" s="602"/>
      <c r="G267" s="254"/>
      <c r="H267" s="154"/>
      <c r="I267" s="154"/>
      <c r="J267" s="276"/>
      <c r="K267" s="311">
        <f t="shared" si="94"/>
        <v>0</v>
      </c>
      <c r="L267" s="312">
        <f t="shared" si="95"/>
        <v>0</v>
      </c>
      <c r="M267" s="313">
        <f t="shared" si="96"/>
        <v>0</v>
      </c>
      <c r="N267" s="314"/>
      <c r="O267" s="315">
        <f t="shared" si="99"/>
        <v>0</v>
      </c>
      <c r="P267" s="315">
        <f t="shared" si="100"/>
        <v>0</v>
      </c>
      <c r="Q267" s="314"/>
      <c r="R267" s="315">
        <f t="shared" si="97"/>
        <v>0</v>
      </c>
      <c r="S267" s="315">
        <f t="shared" si="98"/>
        <v>0</v>
      </c>
      <c r="T267" s="213"/>
      <c r="U267" s="213"/>
      <c r="V267" s="213"/>
      <c r="W267" s="213"/>
      <c r="X267" s="591"/>
      <c r="Y267" s="591"/>
    </row>
    <row r="268" spans="1:25" ht="14.85" customHeight="1">
      <c r="A268" s="619"/>
      <c r="B268" s="586"/>
      <c r="C268" s="259"/>
      <c r="D268" s="621"/>
      <c r="E268" s="626"/>
      <c r="F268" s="603"/>
      <c r="G268" s="254"/>
      <c r="H268" s="154"/>
      <c r="I268" s="154"/>
      <c r="J268" s="254"/>
      <c r="K268" s="311">
        <f t="shared" si="94"/>
        <v>0</v>
      </c>
      <c r="L268" s="312">
        <f t="shared" si="95"/>
        <v>0</v>
      </c>
      <c r="M268" s="313">
        <f t="shared" si="96"/>
        <v>0</v>
      </c>
      <c r="N268" s="314">
        <f>SUM(L266:L268)</f>
        <v>0</v>
      </c>
      <c r="O268" s="315">
        <f t="shared" si="99"/>
        <v>0</v>
      </c>
      <c r="P268" s="315">
        <f t="shared" si="100"/>
        <v>0</v>
      </c>
      <c r="Q268" s="314"/>
      <c r="R268" s="315">
        <f t="shared" si="97"/>
        <v>0</v>
      </c>
      <c r="S268" s="315">
        <f t="shared" si="98"/>
        <v>0</v>
      </c>
      <c r="T268" s="213"/>
      <c r="U268" s="213"/>
      <c r="V268" s="213"/>
      <c r="W268" s="213"/>
      <c r="X268" s="591"/>
      <c r="Y268" s="591"/>
    </row>
    <row r="269" spans="1:25" ht="14.85" customHeight="1">
      <c r="A269" s="619"/>
      <c r="B269" s="586"/>
      <c r="C269" s="259"/>
      <c r="D269" s="621"/>
      <c r="E269" s="626"/>
      <c r="F269" s="601"/>
      <c r="G269" s="254"/>
      <c r="H269" s="254"/>
      <c r="I269" s="154"/>
      <c r="J269" s="276"/>
      <c r="K269" s="311">
        <f t="shared" si="94"/>
        <v>0</v>
      </c>
      <c r="L269" s="312">
        <f t="shared" si="95"/>
        <v>0</v>
      </c>
      <c r="M269" s="313">
        <f t="shared" si="96"/>
        <v>0</v>
      </c>
      <c r="N269" s="314"/>
      <c r="O269" s="315">
        <f t="shared" si="99"/>
        <v>0</v>
      </c>
      <c r="P269" s="315">
        <f t="shared" si="100"/>
        <v>0</v>
      </c>
      <c r="Q269" s="314"/>
      <c r="R269" s="315">
        <f t="shared" si="97"/>
        <v>0</v>
      </c>
      <c r="S269" s="315">
        <f t="shared" si="98"/>
        <v>0</v>
      </c>
      <c r="T269" s="213"/>
      <c r="U269" s="213"/>
      <c r="V269" s="213"/>
      <c r="W269" s="213"/>
      <c r="X269" s="591"/>
      <c r="Y269" s="591"/>
    </row>
    <row r="270" spans="1:25" ht="14.85" customHeight="1">
      <c r="A270" s="619"/>
      <c r="B270" s="586"/>
      <c r="C270" s="259"/>
      <c r="D270" s="621"/>
      <c r="E270" s="626"/>
      <c r="F270" s="602"/>
      <c r="G270" s="254"/>
      <c r="H270" s="154"/>
      <c r="I270" s="154"/>
      <c r="J270" s="276"/>
      <c r="K270" s="311">
        <f t="shared" si="94"/>
        <v>0</v>
      </c>
      <c r="L270" s="312">
        <f t="shared" si="95"/>
        <v>0</v>
      </c>
      <c r="M270" s="313">
        <f t="shared" si="96"/>
        <v>0</v>
      </c>
      <c r="N270" s="314"/>
      <c r="O270" s="315"/>
      <c r="P270" s="315"/>
      <c r="Q270" s="314"/>
      <c r="R270" s="315">
        <f t="shared" si="97"/>
        <v>0</v>
      </c>
      <c r="S270" s="315">
        <f t="shared" si="98"/>
        <v>0</v>
      </c>
      <c r="T270" s="213"/>
      <c r="U270" s="213"/>
      <c r="V270" s="213"/>
      <c r="W270" s="213"/>
      <c r="X270" s="591"/>
      <c r="Y270" s="591"/>
    </row>
    <row r="271" spans="1:25" ht="14.85" customHeight="1">
      <c r="A271" s="619"/>
      <c r="B271" s="586"/>
      <c r="C271" s="259"/>
      <c r="D271" s="621"/>
      <c r="E271" s="627"/>
      <c r="F271" s="603"/>
      <c r="G271" s="254"/>
      <c r="H271" s="154"/>
      <c r="I271" s="154"/>
      <c r="J271" s="254"/>
      <c r="K271" s="311">
        <f t="shared" si="94"/>
        <v>0</v>
      </c>
      <c r="L271" s="312">
        <f t="shared" si="95"/>
        <v>0</v>
      </c>
      <c r="M271" s="313">
        <f t="shared" si="96"/>
        <v>0</v>
      </c>
      <c r="N271" s="314">
        <f>SUM(L269:L271)</f>
        <v>0</v>
      </c>
      <c r="O271" s="315">
        <f t="shared" ref="O271:O327" si="101">ROUNDDOWN((N271/$O$11),0)</f>
        <v>0</v>
      </c>
      <c r="P271" s="315">
        <f t="shared" ref="P271:P273" si="102">ROUND((N271-(O271*$P$11)),0)</f>
        <v>0</v>
      </c>
      <c r="Q271" s="314">
        <f>SUM(N268:N271)</f>
        <v>0</v>
      </c>
      <c r="R271" s="315">
        <f t="shared" si="97"/>
        <v>0</v>
      </c>
      <c r="S271" s="315">
        <f t="shared" si="98"/>
        <v>0</v>
      </c>
      <c r="T271" s="213"/>
      <c r="U271" s="213"/>
      <c r="V271" s="213"/>
      <c r="W271" s="213"/>
      <c r="X271" s="591"/>
      <c r="Y271" s="591"/>
    </row>
    <row r="272" spans="1:25" ht="14.85" customHeight="1">
      <c r="A272" s="619"/>
      <c r="B272" s="586"/>
      <c r="C272" s="259"/>
      <c r="D272" s="621"/>
      <c r="E272" s="362"/>
      <c r="F272" s="251"/>
      <c r="G272" s="254"/>
      <c r="H272" s="154"/>
      <c r="I272" s="154"/>
      <c r="J272" s="254"/>
      <c r="K272" s="311"/>
      <c r="L272" s="312"/>
      <c r="M272" s="313"/>
      <c r="N272" s="314"/>
      <c r="O272" s="315"/>
      <c r="P272" s="315"/>
      <c r="Q272" s="314"/>
      <c r="R272" s="315">
        <f t="shared" si="97"/>
        <v>0</v>
      </c>
      <c r="S272" s="315">
        <f t="shared" si="98"/>
        <v>0</v>
      </c>
      <c r="T272" s="213"/>
      <c r="U272" s="213"/>
      <c r="V272" s="213"/>
      <c r="W272" s="213"/>
      <c r="X272" s="591"/>
      <c r="Y272" s="591"/>
    </row>
    <row r="273" spans="1:25" ht="14.85" customHeight="1">
      <c r="A273" s="619"/>
      <c r="B273" s="586"/>
      <c r="C273" s="259"/>
      <c r="D273" s="621"/>
      <c r="E273" s="587"/>
      <c r="F273" s="154"/>
      <c r="G273" s="215"/>
      <c r="H273" s="215"/>
      <c r="I273" s="154"/>
      <c r="J273" s="276"/>
      <c r="K273" s="311">
        <f t="shared" si="94"/>
        <v>0</v>
      </c>
      <c r="L273" s="312">
        <f t="shared" si="95"/>
        <v>0</v>
      </c>
      <c r="M273" s="313">
        <f t="shared" si="96"/>
        <v>0</v>
      </c>
      <c r="N273" s="314">
        <f t="shared" ref="N273:N282" si="103">L273</f>
        <v>0</v>
      </c>
      <c r="O273" s="315">
        <f t="shared" si="101"/>
        <v>0</v>
      </c>
      <c r="P273" s="315">
        <f t="shared" si="102"/>
        <v>0</v>
      </c>
      <c r="Q273" s="314"/>
      <c r="R273" s="315">
        <f t="shared" si="97"/>
        <v>0</v>
      </c>
      <c r="S273" s="315">
        <f t="shared" si="98"/>
        <v>0</v>
      </c>
      <c r="T273" s="213"/>
      <c r="U273" s="213"/>
      <c r="V273" s="213"/>
      <c r="W273" s="213"/>
      <c r="X273" s="591"/>
      <c r="Y273" s="591"/>
    </row>
    <row r="274" spans="1:25" ht="14.85" customHeight="1">
      <c r="A274" s="619"/>
      <c r="B274" s="586"/>
      <c r="C274" s="259"/>
      <c r="D274" s="621"/>
      <c r="E274" s="588"/>
      <c r="F274" s="154"/>
      <c r="G274" s="254"/>
      <c r="H274" s="154"/>
      <c r="I274" s="154"/>
      <c r="J274" s="276"/>
      <c r="K274" s="311">
        <f t="shared" si="94"/>
        <v>0</v>
      </c>
      <c r="L274" s="312">
        <f t="shared" si="95"/>
        <v>0</v>
      </c>
      <c r="M274" s="313">
        <f t="shared" si="96"/>
        <v>0</v>
      </c>
      <c r="N274" s="314">
        <f t="shared" si="103"/>
        <v>0</v>
      </c>
      <c r="O274" s="315">
        <f t="shared" ref="O274:O324" si="104">ROUNDDOWN((N274/$O$11),0)</f>
        <v>0</v>
      </c>
      <c r="P274" s="315">
        <f t="shared" ref="P274:P324" si="105">ROUND((N274-(O274*$P$11)),0)</f>
        <v>0</v>
      </c>
      <c r="Q274" s="314"/>
      <c r="R274" s="315">
        <f t="shared" si="97"/>
        <v>0</v>
      </c>
      <c r="S274" s="315">
        <f t="shared" si="98"/>
        <v>0</v>
      </c>
      <c r="T274" s="213"/>
      <c r="U274" s="213"/>
      <c r="V274" s="213"/>
      <c r="W274" s="213"/>
      <c r="X274" s="591"/>
      <c r="Y274" s="591"/>
    </row>
    <row r="275" spans="1:25" ht="14.85" customHeight="1">
      <c r="A275" s="619"/>
      <c r="B275" s="586"/>
      <c r="C275" s="259"/>
      <c r="D275" s="621"/>
      <c r="E275" s="589"/>
      <c r="F275" s="273"/>
      <c r="G275" s="254"/>
      <c r="H275" s="154"/>
      <c r="I275" s="154"/>
      <c r="J275" s="276"/>
      <c r="K275" s="311">
        <f t="shared" si="94"/>
        <v>0</v>
      </c>
      <c r="L275" s="312">
        <f t="shared" si="95"/>
        <v>0</v>
      </c>
      <c r="M275" s="313">
        <f t="shared" si="96"/>
        <v>0</v>
      </c>
      <c r="N275" s="314">
        <f t="shared" si="103"/>
        <v>0</v>
      </c>
      <c r="O275" s="315">
        <f t="shared" si="104"/>
        <v>0</v>
      </c>
      <c r="P275" s="315">
        <f t="shared" si="105"/>
        <v>0</v>
      </c>
      <c r="Q275" s="314">
        <f>SUM(N273:N275)</f>
        <v>0</v>
      </c>
      <c r="R275" s="315">
        <f t="shared" si="97"/>
        <v>0</v>
      </c>
      <c r="S275" s="315">
        <f t="shared" si="98"/>
        <v>0</v>
      </c>
      <c r="T275" s="213"/>
      <c r="U275" s="213"/>
      <c r="V275" s="213"/>
      <c r="W275" s="213"/>
      <c r="X275" s="591"/>
      <c r="Y275" s="591"/>
    </row>
    <row r="276" spans="1:25" ht="14.85" customHeight="1">
      <c r="A276" s="619"/>
      <c r="B276" s="586"/>
      <c r="C276" s="259"/>
      <c r="D276" s="621"/>
      <c r="E276" s="362"/>
      <c r="F276" s="369"/>
      <c r="G276" s="254"/>
      <c r="H276" s="154"/>
      <c r="I276" s="154"/>
      <c r="J276" s="276"/>
      <c r="K276" s="311"/>
      <c r="L276" s="312"/>
      <c r="M276" s="313"/>
      <c r="N276" s="314"/>
      <c r="O276" s="315">
        <f t="shared" si="104"/>
        <v>0</v>
      </c>
      <c r="P276" s="315">
        <f t="shared" si="105"/>
        <v>0</v>
      </c>
      <c r="Q276" s="314"/>
      <c r="R276" s="315">
        <f t="shared" si="97"/>
        <v>0</v>
      </c>
      <c r="S276" s="315">
        <f t="shared" si="98"/>
        <v>0</v>
      </c>
      <c r="T276" s="213"/>
      <c r="U276" s="213"/>
      <c r="V276" s="213"/>
      <c r="W276" s="213"/>
      <c r="X276" s="591"/>
      <c r="Y276" s="591"/>
    </row>
    <row r="277" spans="1:25" ht="14.85" customHeight="1">
      <c r="A277" s="619"/>
      <c r="B277" s="586"/>
      <c r="C277" s="259"/>
      <c r="D277" s="621"/>
      <c r="E277" s="625"/>
      <c r="G277" s="234"/>
      <c r="H277" s="155"/>
      <c r="I277" s="155"/>
      <c r="J277" s="227"/>
      <c r="K277" s="311">
        <f t="shared" si="94"/>
        <v>0</v>
      </c>
      <c r="L277" s="312">
        <f t="shared" si="95"/>
        <v>0</v>
      </c>
      <c r="M277" s="313">
        <f t="shared" si="96"/>
        <v>0</v>
      </c>
      <c r="N277" s="314">
        <f t="shared" si="103"/>
        <v>0</v>
      </c>
      <c r="O277" s="315">
        <f t="shared" si="104"/>
        <v>0</v>
      </c>
      <c r="P277" s="315">
        <f t="shared" si="105"/>
        <v>0</v>
      </c>
      <c r="Q277" s="314"/>
      <c r="R277" s="315">
        <f t="shared" si="97"/>
        <v>0</v>
      </c>
      <c r="S277" s="315">
        <f t="shared" si="98"/>
        <v>0</v>
      </c>
      <c r="T277" s="213"/>
      <c r="U277" s="213"/>
      <c r="V277" s="213"/>
      <c r="W277" s="213"/>
      <c r="X277" s="591"/>
      <c r="Y277" s="591"/>
    </row>
    <row r="278" spans="1:25" ht="14.85" customHeight="1">
      <c r="A278" s="619"/>
      <c r="B278" s="586"/>
      <c r="C278" s="259"/>
      <c r="D278" s="621"/>
      <c r="E278" s="626"/>
      <c r="F278" s="273"/>
      <c r="G278" s="223"/>
      <c r="H278" s="155"/>
      <c r="I278" s="155"/>
      <c r="J278" s="276"/>
      <c r="K278" s="311">
        <f t="shared" si="94"/>
        <v>0</v>
      </c>
      <c r="L278" s="312">
        <f t="shared" si="95"/>
        <v>0</v>
      </c>
      <c r="M278" s="313">
        <f t="shared" si="96"/>
        <v>0</v>
      </c>
      <c r="N278" s="314">
        <f t="shared" si="103"/>
        <v>0</v>
      </c>
      <c r="O278" s="315">
        <f t="shared" si="104"/>
        <v>0</v>
      </c>
      <c r="P278" s="315">
        <f t="shared" si="105"/>
        <v>0</v>
      </c>
      <c r="Q278" s="314"/>
      <c r="R278" s="315">
        <f t="shared" si="97"/>
        <v>0</v>
      </c>
      <c r="S278" s="315">
        <f t="shared" si="98"/>
        <v>0</v>
      </c>
      <c r="T278" s="213"/>
      <c r="U278" s="213"/>
      <c r="V278" s="213"/>
      <c r="W278" s="213"/>
      <c r="X278" s="591"/>
      <c r="Y278" s="591"/>
    </row>
    <row r="279" spans="1:25" ht="14.85" customHeight="1">
      <c r="A279" s="619"/>
      <c r="B279" s="586"/>
      <c r="C279" s="259"/>
      <c r="D279" s="621"/>
      <c r="E279" s="626"/>
      <c r="G279" s="254"/>
      <c r="H279" s="155"/>
      <c r="I279" s="155"/>
      <c r="J279" s="279"/>
      <c r="K279" s="311">
        <f t="shared" si="94"/>
        <v>0</v>
      </c>
      <c r="L279" s="312">
        <f t="shared" si="95"/>
        <v>0</v>
      </c>
      <c r="M279" s="313">
        <f t="shared" si="96"/>
        <v>0</v>
      </c>
      <c r="N279" s="314">
        <f t="shared" si="103"/>
        <v>0</v>
      </c>
      <c r="O279" s="315">
        <f t="shared" si="104"/>
        <v>0</v>
      </c>
      <c r="P279" s="315">
        <f t="shared" si="105"/>
        <v>0</v>
      </c>
      <c r="Q279" s="314"/>
      <c r="R279" s="315">
        <f t="shared" si="97"/>
        <v>0</v>
      </c>
      <c r="S279" s="315">
        <f t="shared" si="98"/>
        <v>0</v>
      </c>
      <c r="T279" s="213"/>
      <c r="U279" s="213"/>
      <c r="V279" s="213"/>
      <c r="W279" s="213"/>
      <c r="X279" s="591"/>
      <c r="Y279" s="591"/>
    </row>
    <row r="280" spans="1:25" ht="14.85" customHeight="1">
      <c r="A280" s="619"/>
      <c r="B280" s="586"/>
      <c r="C280" s="259"/>
      <c r="D280" s="621"/>
      <c r="E280" s="626"/>
      <c r="F280" s="273"/>
      <c r="G280" s="254"/>
      <c r="H280" s="155"/>
      <c r="I280" s="155"/>
      <c r="J280" s="276"/>
      <c r="K280" s="311">
        <f t="shared" si="94"/>
        <v>0</v>
      </c>
      <c r="L280" s="312">
        <f t="shared" si="95"/>
        <v>0</v>
      </c>
      <c r="M280" s="313">
        <f t="shared" si="96"/>
        <v>0</v>
      </c>
      <c r="N280" s="314">
        <f t="shared" si="103"/>
        <v>0</v>
      </c>
      <c r="O280" s="315">
        <f t="shared" si="104"/>
        <v>0</v>
      </c>
      <c r="P280" s="315">
        <f t="shared" si="105"/>
        <v>0</v>
      </c>
      <c r="Q280" s="314"/>
      <c r="R280" s="315">
        <f t="shared" si="97"/>
        <v>0</v>
      </c>
      <c r="S280" s="315">
        <f t="shared" si="98"/>
        <v>0</v>
      </c>
      <c r="T280" s="213"/>
      <c r="U280" s="213"/>
      <c r="V280" s="213"/>
      <c r="W280" s="213"/>
      <c r="X280" s="591"/>
      <c r="Y280" s="591"/>
    </row>
    <row r="281" spans="1:25" ht="14.85" customHeight="1">
      <c r="A281" s="619"/>
      <c r="B281" s="586"/>
      <c r="C281" s="259"/>
      <c r="D281" s="621"/>
      <c r="E281" s="626"/>
      <c r="F281" s="273"/>
      <c r="H281" s="155"/>
      <c r="I281" s="155"/>
      <c r="J281" s="276"/>
      <c r="K281" s="311">
        <f t="shared" si="94"/>
        <v>0</v>
      </c>
      <c r="L281" s="312">
        <f t="shared" si="95"/>
        <v>0</v>
      </c>
      <c r="M281" s="313">
        <f t="shared" si="96"/>
        <v>0</v>
      </c>
      <c r="N281" s="314">
        <f t="shared" si="103"/>
        <v>0</v>
      </c>
      <c r="O281" s="315">
        <f t="shared" si="104"/>
        <v>0</v>
      </c>
      <c r="P281" s="315">
        <f t="shared" si="105"/>
        <v>0</v>
      </c>
      <c r="Q281" s="314"/>
      <c r="R281" s="315">
        <f t="shared" si="97"/>
        <v>0</v>
      </c>
      <c r="S281" s="315">
        <f t="shared" si="98"/>
        <v>0</v>
      </c>
      <c r="T281" s="213"/>
      <c r="U281" s="213"/>
      <c r="V281" s="213"/>
      <c r="W281" s="213"/>
      <c r="X281" s="591"/>
      <c r="Y281" s="591"/>
    </row>
    <row r="282" spans="1:25" ht="14.85" customHeight="1">
      <c r="A282" s="619"/>
      <c r="B282" s="586"/>
      <c r="C282" s="259"/>
      <c r="D282" s="621"/>
      <c r="E282" s="627"/>
      <c r="F282" s="273"/>
      <c r="G282" s="254"/>
      <c r="H282" s="420"/>
      <c r="I282" s="155"/>
      <c r="J282" s="276"/>
      <c r="K282" s="311">
        <f t="shared" si="94"/>
        <v>0</v>
      </c>
      <c r="L282" s="312">
        <f t="shared" si="95"/>
        <v>0</v>
      </c>
      <c r="M282" s="313">
        <f t="shared" si="96"/>
        <v>0</v>
      </c>
      <c r="N282" s="314">
        <f t="shared" si="103"/>
        <v>0</v>
      </c>
      <c r="O282" s="315">
        <f t="shared" si="104"/>
        <v>0</v>
      </c>
      <c r="P282" s="315">
        <f t="shared" si="105"/>
        <v>0</v>
      </c>
      <c r="Q282" s="314">
        <f>SUM(N277:N282)</f>
        <v>0</v>
      </c>
      <c r="R282" s="315">
        <f t="shared" si="97"/>
        <v>0</v>
      </c>
      <c r="S282" s="315">
        <f t="shared" si="98"/>
        <v>0</v>
      </c>
      <c r="T282" s="213"/>
      <c r="U282" s="213"/>
      <c r="V282" s="213"/>
      <c r="W282" s="213"/>
      <c r="X282" s="591"/>
      <c r="Y282" s="591"/>
    </row>
    <row r="283" spans="1:25" ht="14.85" customHeight="1">
      <c r="A283" s="619"/>
      <c r="B283" s="586"/>
      <c r="C283" s="259"/>
      <c r="D283" s="621"/>
      <c r="E283" s="362"/>
      <c r="F283" s="370"/>
      <c r="G283" s="271"/>
      <c r="H283" s="421"/>
      <c r="I283" s="155"/>
      <c r="J283" s="276"/>
      <c r="K283" s="311"/>
      <c r="L283" s="312"/>
      <c r="M283" s="313"/>
      <c r="N283" s="314"/>
      <c r="O283" s="315">
        <f t="shared" si="104"/>
        <v>0</v>
      </c>
      <c r="P283" s="315">
        <f t="shared" si="105"/>
        <v>0</v>
      </c>
      <c r="Q283" s="314"/>
      <c r="R283" s="315">
        <f t="shared" si="97"/>
        <v>0</v>
      </c>
      <c r="S283" s="315">
        <f t="shared" si="98"/>
        <v>0</v>
      </c>
      <c r="T283" s="213"/>
      <c r="U283" s="213"/>
      <c r="V283" s="213"/>
      <c r="W283" s="213"/>
      <c r="X283" s="591"/>
      <c r="Y283" s="591"/>
    </row>
    <row r="284" spans="1:25" ht="14.85" customHeight="1">
      <c r="A284" s="619"/>
      <c r="B284" s="586"/>
      <c r="C284" s="259"/>
      <c r="D284" s="621"/>
      <c r="E284" s="631"/>
      <c r="F284" s="609"/>
      <c r="G284" s="239"/>
      <c r="H284" s="422"/>
      <c r="I284" s="155"/>
      <c r="J284" s="276"/>
      <c r="K284" s="311">
        <f t="shared" si="94"/>
        <v>0</v>
      </c>
      <c r="L284" s="312">
        <f t="shared" si="95"/>
        <v>0</v>
      </c>
      <c r="M284" s="313">
        <f t="shared" si="96"/>
        <v>0</v>
      </c>
      <c r="N284" s="314"/>
      <c r="O284" s="315">
        <f t="shared" si="104"/>
        <v>0</v>
      </c>
      <c r="P284" s="315">
        <f t="shared" si="105"/>
        <v>0</v>
      </c>
      <c r="Q284" s="314"/>
      <c r="R284" s="315">
        <f t="shared" si="97"/>
        <v>0</v>
      </c>
      <c r="S284" s="315">
        <f t="shared" si="98"/>
        <v>0</v>
      </c>
      <c r="T284" s="213"/>
      <c r="U284" s="213"/>
      <c r="V284" s="213"/>
      <c r="W284" s="213"/>
      <c r="X284" s="591"/>
      <c r="Y284" s="591"/>
    </row>
    <row r="285" spans="1:25" ht="14.85" customHeight="1">
      <c r="A285" s="619"/>
      <c r="B285" s="586"/>
      <c r="C285" s="259"/>
      <c r="D285" s="621"/>
      <c r="E285" s="632"/>
      <c r="F285" s="611"/>
      <c r="G285" s="239"/>
      <c r="H285" s="422"/>
      <c r="I285" s="155"/>
      <c r="J285" s="276"/>
      <c r="K285" s="311">
        <f t="shared" si="94"/>
        <v>0</v>
      </c>
      <c r="L285" s="312">
        <f t="shared" si="95"/>
        <v>0</v>
      </c>
      <c r="M285" s="313">
        <f t="shared" si="96"/>
        <v>0</v>
      </c>
      <c r="N285" s="314"/>
      <c r="O285" s="315">
        <f t="shared" si="104"/>
        <v>0</v>
      </c>
      <c r="P285" s="315">
        <f t="shared" si="105"/>
        <v>0</v>
      </c>
      <c r="Q285" s="314"/>
      <c r="R285" s="315">
        <f t="shared" si="97"/>
        <v>0</v>
      </c>
      <c r="S285" s="315">
        <f t="shared" si="98"/>
        <v>0</v>
      </c>
      <c r="T285" s="213"/>
      <c r="U285" s="213"/>
      <c r="V285" s="213"/>
      <c r="W285" s="213"/>
      <c r="X285" s="591"/>
      <c r="Y285" s="591"/>
    </row>
    <row r="286" spans="1:25" ht="14.85" customHeight="1">
      <c r="A286" s="619"/>
      <c r="B286" s="586"/>
      <c r="C286" s="259"/>
      <c r="D286" s="621"/>
      <c r="E286" s="632"/>
      <c r="F286" s="610"/>
      <c r="G286" s="239"/>
      <c r="H286" s="423"/>
      <c r="I286" s="155"/>
      <c r="J286" s="276"/>
      <c r="K286" s="311">
        <f t="shared" si="94"/>
        <v>0</v>
      </c>
      <c r="L286" s="312">
        <f t="shared" si="95"/>
        <v>0</v>
      </c>
      <c r="M286" s="313">
        <f t="shared" si="96"/>
        <v>0</v>
      </c>
      <c r="N286" s="314">
        <f>SUM(L284:L286)</f>
        <v>0</v>
      </c>
      <c r="O286" s="315">
        <f t="shared" si="104"/>
        <v>0</v>
      </c>
      <c r="P286" s="315">
        <f t="shared" si="105"/>
        <v>0</v>
      </c>
      <c r="Q286" s="314"/>
      <c r="R286" s="315">
        <f t="shared" si="97"/>
        <v>0</v>
      </c>
      <c r="S286" s="315">
        <f t="shared" si="98"/>
        <v>0</v>
      </c>
      <c r="T286" s="213"/>
      <c r="U286" s="213"/>
      <c r="V286" s="213"/>
      <c r="W286" s="213"/>
      <c r="X286" s="591"/>
      <c r="Y286" s="591"/>
    </row>
    <row r="287" spans="1:25" ht="14.85" customHeight="1">
      <c r="A287" s="619"/>
      <c r="B287" s="586"/>
      <c r="C287" s="259"/>
      <c r="D287" s="621"/>
      <c r="E287" s="632"/>
      <c r="F287" s="606"/>
      <c r="G287" s="239"/>
      <c r="H287" s="423"/>
      <c r="I287" s="155"/>
      <c r="J287" s="276"/>
      <c r="K287" s="311">
        <f t="shared" si="94"/>
        <v>0</v>
      </c>
      <c r="L287" s="312">
        <f t="shared" si="95"/>
        <v>0</v>
      </c>
      <c r="M287" s="313">
        <f t="shared" si="96"/>
        <v>0</v>
      </c>
      <c r="N287" s="314"/>
      <c r="O287" s="315">
        <f t="shared" si="104"/>
        <v>0</v>
      </c>
      <c r="P287" s="315">
        <f t="shared" si="105"/>
        <v>0</v>
      </c>
      <c r="Q287" s="314"/>
      <c r="R287" s="315">
        <f t="shared" si="97"/>
        <v>0</v>
      </c>
      <c r="S287" s="315">
        <f t="shared" si="98"/>
        <v>0</v>
      </c>
      <c r="T287" s="213"/>
      <c r="U287" s="213"/>
      <c r="V287" s="213"/>
      <c r="W287" s="213"/>
      <c r="X287" s="591"/>
      <c r="Y287" s="591"/>
    </row>
    <row r="288" spans="1:25" ht="14.85" customHeight="1">
      <c r="A288" s="619"/>
      <c r="B288" s="586"/>
      <c r="C288" s="259"/>
      <c r="D288" s="621"/>
      <c r="E288" s="632"/>
      <c r="F288" s="607"/>
      <c r="G288" s="271"/>
      <c r="H288" s="154"/>
      <c r="I288" s="285"/>
      <c r="J288" s="276"/>
      <c r="K288" s="311">
        <f t="shared" si="94"/>
        <v>0</v>
      </c>
      <c r="L288" s="312">
        <f t="shared" si="95"/>
        <v>0</v>
      </c>
      <c r="M288" s="313">
        <f t="shared" si="96"/>
        <v>0</v>
      </c>
      <c r="N288" s="314"/>
      <c r="O288" s="315">
        <f t="shared" si="104"/>
        <v>0</v>
      </c>
      <c r="P288" s="315">
        <f t="shared" si="105"/>
        <v>0</v>
      </c>
      <c r="Q288" s="314"/>
      <c r="R288" s="315">
        <f t="shared" si="97"/>
        <v>0</v>
      </c>
      <c r="S288" s="315">
        <f t="shared" si="98"/>
        <v>0</v>
      </c>
      <c r="T288" s="213"/>
      <c r="U288" s="213"/>
      <c r="V288" s="213"/>
      <c r="W288" s="213"/>
      <c r="X288" s="591"/>
      <c r="Y288" s="591"/>
    </row>
    <row r="289" spans="1:25" ht="14.85" customHeight="1">
      <c r="A289" s="619"/>
      <c r="B289" s="586"/>
      <c r="C289" s="259"/>
      <c r="D289" s="621"/>
      <c r="E289" s="632"/>
      <c r="F289" s="607"/>
      <c r="G289" s="271"/>
      <c r="H289" s="154"/>
      <c r="I289" s="285"/>
      <c r="J289" s="276"/>
      <c r="K289" s="311">
        <f t="shared" si="94"/>
        <v>0</v>
      </c>
      <c r="L289" s="312">
        <f t="shared" si="95"/>
        <v>0</v>
      </c>
      <c r="M289" s="313">
        <f t="shared" si="96"/>
        <v>0</v>
      </c>
      <c r="N289" s="314"/>
      <c r="O289" s="315">
        <f t="shared" si="104"/>
        <v>0</v>
      </c>
      <c r="P289" s="315">
        <f t="shared" si="105"/>
        <v>0</v>
      </c>
      <c r="Q289" s="314"/>
      <c r="R289" s="315">
        <f t="shared" si="97"/>
        <v>0</v>
      </c>
      <c r="S289" s="315">
        <f t="shared" si="98"/>
        <v>0</v>
      </c>
      <c r="T289" s="213"/>
      <c r="U289" s="213"/>
      <c r="V289" s="213"/>
      <c r="W289" s="213"/>
      <c r="X289" s="591"/>
      <c r="Y289" s="591"/>
    </row>
    <row r="290" spans="1:25" ht="14.85" customHeight="1">
      <c r="A290" s="619"/>
      <c r="B290" s="586"/>
      <c r="C290" s="259"/>
      <c r="D290" s="621"/>
      <c r="E290" s="632"/>
      <c r="F290" s="608"/>
      <c r="G290" s="271"/>
      <c r="H290" s="154"/>
      <c r="I290" s="285"/>
      <c r="J290" s="276"/>
      <c r="K290" s="311">
        <f t="shared" si="94"/>
        <v>0</v>
      </c>
      <c r="L290" s="312">
        <f t="shared" si="95"/>
        <v>0</v>
      </c>
      <c r="M290" s="313">
        <f t="shared" si="96"/>
        <v>0</v>
      </c>
      <c r="N290" s="314">
        <f>SUM(L287:L290)</f>
        <v>0</v>
      </c>
      <c r="O290" s="315">
        <f t="shared" si="104"/>
        <v>0</v>
      </c>
      <c r="P290" s="315">
        <f t="shared" si="105"/>
        <v>0</v>
      </c>
      <c r="Q290" s="314"/>
      <c r="R290" s="315">
        <f t="shared" si="97"/>
        <v>0</v>
      </c>
      <c r="S290" s="315">
        <f t="shared" si="98"/>
        <v>0</v>
      </c>
      <c r="T290" s="213"/>
      <c r="U290" s="213"/>
      <c r="V290" s="213"/>
      <c r="W290" s="213"/>
      <c r="X290" s="591"/>
      <c r="Y290" s="591"/>
    </row>
    <row r="291" spans="1:25" ht="14.85" customHeight="1">
      <c r="A291" s="619"/>
      <c r="B291" s="586"/>
      <c r="C291" s="259"/>
      <c r="D291" s="621"/>
      <c r="E291" s="632"/>
      <c r="F291" s="604"/>
      <c r="G291" s="254"/>
      <c r="H291" s="154"/>
      <c r="I291" s="155"/>
      <c r="J291" s="276"/>
      <c r="K291" s="311">
        <f t="shared" si="94"/>
        <v>0</v>
      </c>
      <c r="L291" s="312">
        <f t="shared" si="95"/>
        <v>0</v>
      </c>
      <c r="M291" s="313">
        <f t="shared" si="96"/>
        <v>0</v>
      </c>
      <c r="N291" s="314"/>
      <c r="O291" s="315">
        <f t="shared" si="104"/>
        <v>0</v>
      </c>
      <c r="P291" s="315">
        <f t="shared" si="105"/>
        <v>0</v>
      </c>
      <c r="Q291" s="314"/>
      <c r="R291" s="315">
        <f t="shared" si="97"/>
        <v>0</v>
      </c>
      <c r="S291" s="315">
        <f t="shared" si="98"/>
        <v>0</v>
      </c>
      <c r="T291" s="213"/>
      <c r="U291" s="213"/>
      <c r="V291" s="213"/>
      <c r="W291" s="213"/>
      <c r="X291" s="591"/>
      <c r="Y291" s="591"/>
    </row>
    <row r="292" spans="1:25" ht="14.85" customHeight="1">
      <c r="A292" s="619"/>
      <c r="B292" s="586"/>
      <c r="C292" s="259"/>
      <c r="D292" s="621"/>
      <c r="E292" s="632"/>
      <c r="F292" s="617"/>
      <c r="G292" s="318"/>
      <c r="H292" s="285"/>
      <c r="I292" s="285"/>
      <c r="J292" s="318"/>
      <c r="K292" s="311">
        <f t="shared" si="94"/>
        <v>0</v>
      </c>
      <c r="L292" s="312">
        <f t="shared" si="95"/>
        <v>0</v>
      </c>
      <c r="M292" s="313">
        <f t="shared" si="96"/>
        <v>0</v>
      </c>
      <c r="N292" s="314"/>
      <c r="O292" s="315">
        <f t="shared" si="104"/>
        <v>0</v>
      </c>
      <c r="P292" s="315">
        <f t="shared" si="105"/>
        <v>0</v>
      </c>
      <c r="Q292" s="314"/>
      <c r="R292" s="315">
        <f t="shared" si="97"/>
        <v>0</v>
      </c>
      <c r="S292" s="315">
        <f t="shared" si="98"/>
        <v>0</v>
      </c>
      <c r="T292" s="213"/>
      <c r="U292" s="213"/>
      <c r="V292" s="213"/>
      <c r="W292" s="213"/>
      <c r="X292" s="591"/>
      <c r="Y292" s="591"/>
    </row>
    <row r="293" spans="1:25" ht="14.85" customHeight="1">
      <c r="A293" s="619"/>
      <c r="B293" s="586"/>
      <c r="C293" s="259"/>
      <c r="D293" s="621"/>
      <c r="E293" s="632"/>
      <c r="F293" s="617"/>
      <c r="G293" s="318"/>
      <c r="H293" s="285"/>
      <c r="I293" s="285"/>
      <c r="J293" s="318"/>
      <c r="K293" s="311">
        <f t="shared" si="94"/>
        <v>0</v>
      </c>
      <c r="L293" s="312">
        <f t="shared" si="95"/>
        <v>0</v>
      </c>
      <c r="M293" s="313">
        <f t="shared" si="96"/>
        <v>0</v>
      </c>
      <c r="N293" s="314"/>
      <c r="O293" s="315">
        <f t="shared" si="104"/>
        <v>0</v>
      </c>
      <c r="P293" s="315">
        <f t="shared" si="105"/>
        <v>0</v>
      </c>
      <c r="Q293" s="314"/>
      <c r="R293" s="315">
        <f t="shared" si="97"/>
        <v>0</v>
      </c>
      <c r="S293" s="315">
        <f t="shared" si="98"/>
        <v>0</v>
      </c>
      <c r="T293" s="213"/>
      <c r="U293" s="213"/>
      <c r="V293" s="213"/>
      <c r="W293" s="213"/>
      <c r="X293" s="591"/>
      <c r="Y293" s="591"/>
    </row>
    <row r="294" spans="1:25" ht="14.85" customHeight="1">
      <c r="A294" s="619"/>
      <c r="B294" s="586"/>
      <c r="C294" s="259"/>
      <c r="D294" s="621"/>
      <c r="E294" s="632"/>
      <c r="F294" s="617"/>
      <c r="G294" s="318"/>
      <c r="H294" s="285"/>
      <c r="I294" s="285"/>
      <c r="J294" s="318"/>
      <c r="K294" s="311">
        <f t="shared" si="94"/>
        <v>0</v>
      </c>
      <c r="L294" s="312">
        <f t="shared" si="95"/>
        <v>0</v>
      </c>
      <c r="M294" s="313">
        <f t="shared" si="96"/>
        <v>0</v>
      </c>
      <c r="N294" s="314"/>
      <c r="O294" s="315">
        <f t="shared" si="104"/>
        <v>0</v>
      </c>
      <c r="P294" s="315">
        <f t="shared" si="105"/>
        <v>0</v>
      </c>
      <c r="Q294" s="314"/>
      <c r="R294" s="315">
        <f t="shared" si="97"/>
        <v>0</v>
      </c>
      <c r="S294" s="315">
        <f t="shared" si="98"/>
        <v>0</v>
      </c>
      <c r="T294" s="213"/>
      <c r="U294" s="213"/>
      <c r="V294" s="213"/>
      <c r="W294" s="213"/>
      <c r="X294" s="591"/>
      <c r="Y294" s="591"/>
    </row>
    <row r="295" spans="1:25" ht="14.85" customHeight="1">
      <c r="A295" s="619"/>
      <c r="B295" s="586"/>
      <c r="C295" s="259"/>
      <c r="D295" s="621"/>
      <c r="E295" s="632"/>
      <c r="F295" s="617"/>
      <c r="G295" s="318"/>
      <c r="H295" s="285"/>
      <c r="I295" s="285"/>
      <c r="J295" s="318"/>
      <c r="K295" s="311">
        <f t="shared" si="94"/>
        <v>0</v>
      </c>
      <c r="L295" s="312">
        <f t="shared" si="95"/>
        <v>0</v>
      </c>
      <c r="M295" s="313">
        <f t="shared" si="96"/>
        <v>0</v>
      </c>
      <c r="N295" s="314"/>
      <c r="O295" s="315">
        <f t="shared" si="104"/>
        <v>0</v>
      </c>
      <c r="P295" s="315">
        <f t="shared" si="105"/>
        <v>0</v>
      </c>
      <c r="Q295" s="314"/>
      <c r="R295" s="315">
        <f t="shared" si="97"/>
        <v>0</v>
      </c>
      <c r="S295" s="315">
        <f t="shared" si="98"/>
        <v>0</v>
      </c>
      <c r="T295" s="213"/>
      <c r="U295" s="213"/>
      <c r="V295" s="213"/>
      <c r="W295" s="213"/>
      <c r="X295" s="591"/>
      <c r="Y295" s="591"/>
    </row>
    <row r="296" spans="1:25" ht="14.85" customHeight="1">
      <c r="A296" s="619"/>
      <c r="B296" s="586"/>
      <c r="C296" s="259"/>
      <c r="D296" s="621"/>
      <c r="E296" s="633"/>
      <c r="F296" s="605"/>
      <c r="G296" s="318"/>
      <c r="H296" s="285"/>
      <c r="I296" s="285"/>
      <c r="J296" s="318"/>
      <c r="K296" s="311">
        <f t="shared" si="94"/>
        <v>0</v>
      </c>
      <c r="L296" s="312">
        <f t="shared" si="95"/>
        <v>0</v>
      </c>
      <c r="M296" s="313">
        <f t="shared" si="96"/>
        <v>0</v>
      </c>
      <c r="N296" s="314">
        <f>SUM(L291:L296)</f>
        <v>0</v>
      </c>
      <c r="O296" s="315">
        <f t="shared" si="104"/>
        <v>0</v>
      </c>
      <c r="P296" s="315">
        <f t="shared" si="105"/>
        <v>0</v>
      </c>
      <c r="Q296" s="314">
        <f>N286+N290+N296</f>
        <v>0</v>
      </c>
      <c r="R296" s="315">
        <f t="shared" si="97"/>
        <v>0</v>
      </c>
      <c r="S296" s="315">
        <f t="shared" si="98"/>
        <v>0</v>
      </c>
      <c r="T296" s="213"/>
      <c r="U296" s="213"/>
      <c r="V296" s="213"/>
      <c r="W296" s="213"/>
      <c r="X296" s="591"/>
      <c r="Y296" s="591"/>
    </row>
    <row r="297" spans="1:25" ht="14.85" customHeight="1">
      <c r="A297" s="619"/>
      <c r="B297" s="586"/>
      <c r="C297" s="259"/>
      <c r="D297" s="621"/>
      <c r="E297" s="363"/>
      <c r="F297" s="249"/>
      <c r="G297" s="318"/>
      <c r="H297" s="285"/>
      <c r="I297" s="285"/>
      <c r="J297" s="318"/>
      <c r="K297" s="311"/>
      <c r="L297" s="312"/>
      <c r="M297" s="313"/>
      <c r="N297" s="314"/>
      <c r="O297" s="315">
        <f t="shared" si="104"/>
        <v>0</v>
      </c>
      <c r="P297" s="315">
        <f t="shared" si="105"/>
        <v>0</v>
      </c>
      <c r="Q297" s="314"/>
      <c r="R297" s="315">
        <f t="shared" si="97"/>
        <v>0</v>
      </c>
      <c r="S297" s="315">
        <f t="shared" si="98"/>
        <v>0</v>
      </c>
      <c r="T297" s="213"/>
      <c r="U297" s="213"/>
      <c r="V297" s="213"/>
      <c r="W297" s="213"/>
      <c r="X297" s="591"/>
      <c r="Y297" s="591"/>
    </row>
    <row r="298" spans="1:25" ht="14.85" customHeight="1">
      <c r="A298" s="619"/>
      <c r="B298" s="586"/>
      <c r="C298" s="259"/>
      <c r="D298" s="621"/>
      <c r="E298" s="587"/>
      <c r="F298" s="262"/>
      <c r="G298" s="215"/>
      <c r="H298" s="423"/>
      <c r="I298" s="155"/>
      <c r="J298" s="279"/>
      <c r="K298" s="311">
        <f t="shared" si="94"/>
        <v>0</v>
      </c>
      <c r="L298" s="312">
        <f t="shared" si="95"/>
        <v>0</v>
      </c>
      <c r="M298" s="313">
        <f t="shared" si="96"/>
        <v>0</v>
      </c>
      <c r="N298" s="314"/>
      <c r="O298" s="315">
        <f t="shared" si="104"/>
        <v>0</v>
      </c>
      <c r="P298" s="315">
        <f t="shared" si="105"/>
        <v>0</v>
      </c>
      <c r="Q298" s="314"/>
      <c r="R298" s="315">
        <f t="shared" si="97"/>
        <v>0</v>
      </c>
      <c r="S298" s="315">
        <f t="shared" si="98"/>
        <v>0</v>
      </c>
      <c r="T298" s="213"/>
      <c r="U298" s="213"/>
      <c r="V298" s="213"/>
      <c r="W298" s="213"/>
      <c r="X298" s="591"/>
      <c r="Y298" s="591"/>
    </row>
    <row r="299" spans="1:25" ht="14.85" customHeight="1">
      <c r="A299" s="619"/>
      <c r="B299" s="586"/>
      <c r="C299" s="259"/>
      <c r="D299" s="621"/>
      <c r="E299" s="588"/>
      <c r="F299" s="262"/>
      <c r="G299" s="215"/>
      <c r="H299" s="423"/>
      <c r="I299" s="155"/>
      <c r="J299" s="279"/>
      <c r="K299" s="311">
        <f t="shared" si="94"/>
        <v>0</v>
      </c>
      <c r="L299" s="312">
        <f t="shared" si="95"/>
        <v>0</v>
      </c>
      <c r="M299" s="313">
        <f t="shared" si="96"/>
        <v>0</v>
      </c>
      <c r="N299" s="314"/>
      <c r="O299" s="315">
        <f t="shared" si="104"/>
        <v>0</v>
      </c>
      <c r="P299" s="315">
        <f t="shared" si="105"/>
        <v>0</v>
      </c>
      <c r="Q299" s="314"/>
      <c r="R299" s="315">
        <f t="shared" si="97"/>
        <v>0</v>
      </c>
      <c r="S299" s="315">
        <f t="shared" si="98"/>
        <v>0</v>
      </c>
      <c r="T299" s="213"/>
      <c r="U299" s="213"/>
      <c r="V299" s="213"/>
      <c r="W299" s="213"/>
      <c r="X299" s="591"/>
      <c r="Y299" s="591"/>
    </row>
    <row r="300" spans="1:25" ht="14.85" customHeight="1">
      <c r="A300" s="619"/>
      <c r="B300" s="586"/>
      <c r="C300" s="259"/>
      <c r="D300" s="621"/>
      <c r="E300" s="588"/>
      <c r="F300" s="262"/>
      <c r="G300" s="215"/>
      <c r="H300" s="423"/>
      <c r="I300" s="155"/>
      <c r="J300" s="279"/>
      <c r="K300" s="311">
        <f t="shared" si="94"/>
        <v>0</v>
      </c>
      <c r="L300" s="312">
        <f t="shared" si="95"/>
        <v>0</v>
      </c>
      <c r="M300" s="313">
        <f t="shared" si="96"/>
        <v>0</v>
      </c>
      <c r="N300" s="314">
        <f>SUM(L298:L300)</f>
        <v>0</v>
      </c>
      <c r="O300" s="315">
        <f t="shared" si="104"/>
        <v>0</v>
      </c>
      <c r="P300" s="315">
        <f t="shared" si="105"/>
        <v>0</v>
      </c>
      <c r="Q300" s="314"/>
      <c r="R300" s="315">
        <f t="shared" si="97"/>
        <v>0</v>
      </c>
      <c r="S300" s="315">
        <f t="shared" si="98"/>
        <v>0</v>
      </c>
      <c r="T300" s="213"/>
      <c r="U300" s="213"/>
      <c r="V300" s="213"/>
      <c r="W300" s="213"/>
      <c r="X300" s="591"/>
      <c r="Y300" s="591"/>
    </row>
    <row r="301" spans="1:25" ht="14.85" customHeight="1">
      <c r="A301" s="619"/>
      <c r="B301" s="586"/>
      <c r="C301" s="259"/>
      <c r="D301" s="621"/>
      <c r="E301" s="588"/>
      <c r="F301" s="262"/>
      <c r="G301" s="254"/>
      <c r="H301" s="154"/>
      <c r="I301" s="155"/>
      <c r="J301" s="276"/>
      <c r="K301" s="311">
        <f t="shared" si="94"/>
        <v>0</v>
      </c>
      <c r="L301" s="312">
        <f t="shared" si="95"/>
        <v>0</v>
      </c>
      <c r="M301" s="313">
        <f t="shared" si="96"/>
        <v>0</v>
      </c>
      <c r="N301" s="314"/>
      <c r="O301" s="315">
        <f t="shared" si="104"/>
        <v>0</v>
      </c>
      <c r="P301" s="315">
        <f t="shared" si="105"/>
        <v>0</v>
      </c>
      <c r="Q301" s="314"/>
      <c r="R301" s="315">
        <f t="shared" ref="R301:R327" si="106">ROUNDDOWN((Q301/$O$11),0)</f>
        <v>0</v>
      </c>
      <c r="S301" s="315">
        <f t="shared" ref="S301:S327" si="107">ROUND((Q301-(R301*$P$11)),0)</f>
        <v>0</v>
      </c>
      <c r="T301" s="213"/>
      <c r="U301" s="213"/>
      <c r="V301" s="213"/>
      <c r="W301" s="213"/>
      <c r="X301" s="591"/>
      <c r="Y301" s="591"/>
    </row>
    <row r="302" spans="1:25" ht="14.85" customHeight="1">
      <c r="A302" s="619"/>
      <c r="B302" s="586"/>
      <c r="C302" s="259"/>
      <c r="D302" s="621"/>
      <c r="E302" s="588"/>
      <c r="F302" s="262"/>
      <c r="G302" s="254"/>
      <c r="H302" s="154"/>
      <c r="I302" s="155"/>
      <c r="J302" s="276"/>
      <c r="K302" s="311">
        <f t="shared" si="94"/>
        <v>0</v>
      </c>
      <c r="L302" s="312">
        <f t="shared" si="95"/>
        <v>0</v>
      </c>
      <c r="M302" s="313">
        <f t="shared" si="96"/>
        <v>0</v>
      </c>
      <c r="N302" s="314"/>
      <c r="O302" s="315">
        <f t="shared" si="104"/>
        <v>0</v>
      </c>
      <c r="P302" s="315">
        <f t="shared" si="105"/>
        <v>0</v>
      </c>
      <c r="Q302" s="314"/>
      <c r="R302" s="315">
        <f t="shared" si="106"/>
        <v>0</v>
      </c>
      <c r="S302" s="315">
        <f t="shared" si="107"/>
        <v>0</v>
      </c>
      <c r="T302" s="213"/>
      <c r="U302" s="213"/>
      <c r="V302" s="213"/>
      <c r="W302" s="213"/>
      <c r="X302" s="591"/>
      <c r="Y302" s="591"/>
    </row>
    <row r="303" spans="1:25" ht="14.85" customHeight="1">
      <c r="A303" s="619"/>
      <c r="B303" s="586"/>
      <c r="C303" s="259"/>
      <c r="D303" s="621"/>
      <c r="E303" s="589"/>
      <c r="F303" s="262"/>
      <c r="G303" s="254"/>
      <c r="H303" s="154"/>
      <c r="I303" s="155"/>
      <c r="J303" s="276"/>
      <c r="K303" s="311">
        <f t="shared" si="94"/>
        <v>0</v>
      </c>
      <c r="L303" s="312">
        <f t="shared" si="95"/>
        <v>0</v>
      </c>
      <c r="M303" s="313">
        <f t="shared" si="96"/>
        <v>0</v>
      </c>
      <c r="N303" s="314">
        <f>SUM(L301:L303)</f>
        <v>0</v>
      </c>
      <c r="O303" s="315">
        <f t="shared" si="104"/>
        <v>0</v>
      </c>
      <c r="P303" s="315">
        <f t="shared" si="105"/>
        <v>0</v>
      </c>
      <c r="Q303" s="314">
        <f>N300+N303</f>
        <v>0</v>
      </c>
      <c r="R303" s="315">
        <f t="shared" si="106"/>
        <v>0</v>
      </c>
      <c r="S303" s="315">
        <f t="shared" si="107"/>
        <v>0</v>
      </c>
      <c r="T303" s="213"/>
      <c r="U303" s="213"/>
      <c r="V303" s="213"/>
      <c r="W303" s="213"/>
      <c r="X303" s="591"/>
      <c r="Y303" s="591"/>
    </row>
    <row r="304" spans="1:25" ht="14.85" customHeight="1">
      <c r="A304" s="619"/>
      <c r="B304" s="586"/>
      <c r="C304" s="259"/>
      <c r="D304" s="621"/>
      <c r="E304" s="362"/>
      <c r="F304" s="262"/>
      <c r="G304" s="254"/>
      <c r="H304" s="154"/>
      <c r="I304" s="155"/>
      <c r="J304" s="321"/>
      <c r="K304" s="311"/>
      <c r="L304" s="312"/>
      <c r="M304" s="313"/>
      <c r="N304" s="314"/>
      <c r="O304" s="315">
        <f t="shared" si="104"/>
        <v>0</v>
      </c>
      <c r="P304" s="315">
        <f t="shared" si="105"/>
        <v>0</v>
      </c>
      <c r="Q304" s="314"/>
      <c r="R304" s="315"/>
      <c r="S304" s="315"/>
      <c r="T304" s="213"/>
      <c r="U304" s="213"/>
      <c r="V304" s="213"/>
      <c r="W304" s="213"/>
      <c r="X304" s="591"/>
      <c r="Y304" s="591"/>
    </row>
    <row r="305" spans="1:25" ht="14.85" customHeight="1">
      <c r="A305" s="619"/>
      <c r="B305" s="586"/>
      <c r="C305" s="259"/>
      <c r="D305" s="621"/>
      <c r="E305" s="625"/>
      <c r="F305" s="262"/>
      <c r="G305" s="234"/>
      <c r="H305" s="424"/>
      <c r="I305" s="155"/>
      <c r="K305" s="311">
        <f t="shared" si="94"/>
        <v>0</v>
      </c>
      <c r="L305" s="312">
        <f t="shared" si="95"/>
        <v>0</v>
      </c>
      <c r="M305" s="313">
        <f t="shared" si="96"/>
        <v>0</v>
      </c>
      <c r="N305" s="314"/>
      <c r="O305" s="315">
        <f t="shared" si="104"/>
        <v>0</v>
      </c>
      <c r="P305" s="315">
        <f t="shared" si="105"/>
        <v>0</v>
      </c>
      <c r="Q305" s="314"/>
      <c r="R305" s="315">
        <f t="shared" si="106"/>
        <v>0</v>
      </c>
      <c r="S305" s="315">
        <f t="shared" si="107"/>
        <v>0</v>
      </c>
      <c r="T305" s="213"/>
      <c r="U305" s="213"/>
      <c r="V305" s="213"/>
      <c r="W305" s="213"/>
      <c r="X305" s="591"/>
      <c r="Y305" s="591"/>
    </row>
    <row r="306" spans="1:25" ht="14.85" customHeight="1">
      <c r="A306" s="619"/>
      <c r="B306" s="586"/>
      <c r="C306" s="259"/>
      <c r="D306" s="621"/>
      <c r="E306" s="626"/>
      <c r="F306" s="322"/>
      <c r="G306" s="234"/>
      <c r="H306" s="424"/>
      <c r="I306" s="262"/>
      <c r="J306" s="276"/>
      <c r="K306" s="311">
        <f t="shared" si="94"/>
        <v>0</v>
      </c>
      <c r="L306" s="312">
        <f t="shared" si="95"/>
        <v>0</v>
      </c>
      <c r="M306" s="313">
        <f t="shared" si="96"/>
        <v>0</v>
      </c>
      <c r="N306" s="314">
        <f>L305+L306</f>
        <v>0</v>
      </c>
      <c r="O306" s="315">
        <f t="shared" si="104"/>
        <v>0</v>
      </c>
      <c r="P306" s="315">
        <f t="shared" si="105"/>
        <v>0</v>
      </c>
      <c r="Q306" s="314"/>
      <c r="R306" s="315">
        <f t="shared" si="106"/>
        <v>0</v>
      </c>
      <c r="S306" s="315">
        <f t="shared" si="107"/>
        <v>0</v>
      </c>
      <c r="T306" s="213"/>
      <c r="U306" s="213"/>
      <c r="V306" s="213"/>
      <c r="W306" s="213"/>
      <c r="X306" s="591"/>
      <c r="Y306" s="591"/>
    </row>
    <row r="307" spans="1:25" ht="14.85" customHeight="1">
      <c r="A307" s="619"/>
      <c r="B307" s="586"/>
      <c r="C307" s="259"/>
      <c r="D307" s="621"/>
      <c r="E307" s="627"/>
      <c r="F307" s="262"/>
      <c r="G307" s="318"/>
      <c r="H307" s="285"/>
      <c r="I307" s="155"/>
      <c r="J307" s="276"/>
      <c r="K307" s="311">
        <f t="shared" si="94"/>
        <v>0</v>
      </c>
      <c r="L307" s="312">
        <f t="shared" si="95"/>
        <v>0</v>
      </c>
      <c r="M307" s="313">
        <f t="shared" si="96"/>
        <v>0</v>
      </c>
      <c r="N307" s="314">
        <f>L307</f>
        <v>0</v>
      </c>
      <c r="O307" s="315">
        <f t="shared" si="104"/>
        <v>0</v>
      </c>
      <c r="P307" s="315">
        <f t="shared" si="105"/>
        <v>0</v>
      </c>
      <c r="Q307" s="314">
        <f>N306+N307</f>
        <v>0</v>
      </c>
      <c r="R307" s="315">
        <f t="shared" si="106"/>
        <v>0</v>
      </c>
      <c r="S307" s="315">
        <f t="shared" si="107"/>
        <v>0</v>
      </c>
      <c r="T307" s="213"/>
      <c r="U307" s="213"/>
      <c r="V307" s="213"/>
      <c r="W307" s="213"/>
      <c r="X307" s="591"/>
      <c r="Y307" s="591"/>
    </row>
    <row r="308" spans="1:25" ht="14.85" customHeight="1">
      <c r="A308" s="619"/>
      <c r="B308" s="586"/>
      <c r="C308" s="259"/>
      <c r="D308" s="621"/>
      <c r="E308" s="362"/>
      <c r="F308" s="262"/>
      <c r="G308" s="318"/>
      <c r="H308" s="285"/>
      <c r="I308" s="155"/>
      <c r="J308" s="276"/>
      <c r="K308" s="311"/>
      <c r="L308" s="312"/>
      <c r="M308" s="313"/>
      <c r="N308" s="314"/>
      <c r="O308" s="315">
        <f t="shared" si="104"/>
        <v>0</v>
      </c>
      <c r="P308" s="315">
        <f t="shared" si="105"/>
        <v>0</v>
      </c>
      <c r="Q308" s="314"/>
      <c r="R308" s="315"/>
      <c r="S308" s="315"/>
      <c r="T308" s="213"/>
      <c r="U308" s="213"/>
      <c r="V308" s="213"/>
      <c r="W308" s="213"/>
      <c r="X308" s="591"/>
      <c r="Y308" s="591"/>
    </row>
    <row r="309" spans="1:25" ht="14.85" customHeight="1">
      <c r="A309" s="619"/>
      <c r="B309" s="586"/>
      <c r="C309" s="259"/>
      <c r="D309" s="621"/>
      <c r="E309" s="587"/>
      <c r="F309" s="262"/>
      <c r="G309" s="234"/>
      <c r="H309" s="424"/>
      <c r="I309" s="155"/>
      <c r="J309" s="276"/>
      <c r="K309" s="311">
        <f t="shared" si="94"/>
        <v>0</v>
      </c>
      <c r="L309" s="312">
        <f t="shared" si="95"/>
        <v>0</v>
      </c>
      <c r="M309" s="313">
        <f t="shared" si="96"/>
        <v>0</v>
      </c>
      <c r="N309" s="314"/>
      <c r="O309" s="315">
        <f t="shared" si="104"/>
        <v>0</v>
      </c>
      <c r="P309" s="315">
        <f t="shared" si="105"/>
        <v>0</v>
      </c>
      <c r="Q309" s="314"/>
      <c r="R309" s="315">
        <f t="shared" si="106"/>
        <v>0</v>
      </c>
      <c r="S309" s="315">
        <f t="shared" si="107"/>
        <v>0</v>
      </c>
      <c r="T309" s="213"/>
      <c r="U309" s="213"/>
      <c r="V309" s="213"/>
      <c r="W309" s="213"/>
      <c r="X309" s="591"/>
      <c r="Y309" s="591"/>
    </row>
    <row r="310" spans="1:25" ht="14.85" customHeight="1">
      <c r="A310" s="619"/>
      <c r="B310" s="586"/>
      <c r="C310" s="259"/>
      <c r="D310" s="621"/>
      <c r="E310" s="588"/>
      <c r="F310" s="262"/>
      <c r="G310" s="254"/>
      <c r="H310" s="154"/>
      <c r="I310" s="155"/>
      <c r="J310" s="279"/>
      <c r="K310" s="311">
        <f t="shared" si="94"/>
        <v>0</v>
      </c>
      <c r="L310" s="312">
        <f t="shared" si="95"/>
        <v>0</v>
      </c>
      <c r="M310" s="313">
        <f t="shared" si="96"/>
        <v>0</v>
      </c>
      <c r="N310" s="314">
        <f>L309+L310</f>
        <v>0</v>
      </c>
      <c r="O310" s="315">
        <f t="shared" si="104"/>
        <v>0</v>
      </c>
      <c r="P310" s="315">
        <f t="shared" si="105"/>
        <v>0</v>
      </c>
      <c r="Q310" s="314"/>
      <c r="R310" s="315">
        <f t="shared" si="106"/>
        <v>0</v>
      </c>
      <c r="S310" s="315">
        <f t="shared" si="107"/>
        <v>0</v>
      </c>
      <c r="T310" s="213"/>
      <c r="U310" s="213"/>
      <c r="V310" s="213"/>
      <c r="W310" s="213"/>
      <c r="X310" s="591"/>
      <c r="Y310" s="591"/>
    </row>
    <row r="311" spans="1:25" ht="14.85" customHeight="1">
      <c r="A311" s="619"/>
      <c r="B311" s="586"/>
      <c r="C311" s="259"/>
      <c r="D311" s="621"/>
      <c r="E311" s="589"/>
      <c r="F311" s="273"/>
      <c r="G311" s="254"/>
      <c r="H311" s="154"/>
      <c r="I311" s="155"/>
      <c r="J311" s="279"/>
      <c r="K311" s="311">
        <f t="shared" si="94"/>
        <v>0</v>
      </c>
      <c r="L311" s="312">
        <f t="shared" si="95"/>
        <v>0</v>
      </c>
      <c r="M311" s="313">
        <f t="shared" si="96"/>
        <v>0</v>
      </c>
      <c r="N311" s="314">
        <f>L311</f>
        <v>0</v>
      </c>
      <c r="O311" s="315">
        <f t="shared" si="104"/>
        <v>0</v>
      </c>
      <c r="P311" s="315">
        <f t="shared" si="105"/>
        <v>0</v>
      </c>
      <c r="Q311" s="314">
        <f>N310+N311</f>
        <v>0</v>
      </c>
      <c r="R311" s="315">
        <f t="shared" si="106"/>
        <v>0</v>
      </c>
      <c r="S311" s="315">
        <f t="shared" si="107"/>
        <v>0</v>
      </c>
      <c r="T311" s="213"/>
      <c r="U311" s="213"/>
      <c r="V311" s="213"/>
      <c r="W311" s="213"/>
      <c r="X311" s="591"/>
      <c r="Y311" s="591"/>
    </row>
    <row r="312" spans="1:25" ht="14.85" customHeight="1">
      <c r="A312" s="619"/>
      <c r="B312" s="586"/>
      <c r="C312" s="259"/>
      <c r="D312" s="621"/>
      <c r="E312" s="362"/>
      <c r="F312" s="370"/>
      <c r="G312" s="254"/>
      <c r="H312" s="154"/>
      <c r="I312" s="155"/>
      <c r="J312" s="279"/>
      <c r="K312" s="311"/>
      <c r="L312" s="312"/>
      <c r="M312" s="313"/>
      <c r="N312" s="314"/>
      <c r="O312" s="315">
        <f t="shared" si="104"/>
        <v>0</v>
      </c>
      <c r="P312" s="315">
        <f t="shared" si="105"/>
        <v>0</v>
      </c>
      <c r="Q312" s="314"/>
      <c r="R312" s="315"/>
      <c r="S312" s="315"/>
      <c r="T312" s="213"/>
      <c r="U312" s="213"/>
      <c r="V312" s="213"/>
      <c r="W312" s="213"/>
      <c r="X312" s="591"/>
      <c r="Y312" s="591"/>
    </row>
    <row r="313" spans="1:25" ht="14.85" customHeight="1">
      <c r="A313" s="619"/>
      <c r="B313" s="586"/>
      <c r="C313" s="259"/>
      <c r="D313" s="621"/>
      <c r="E313" s="628"/>
      <c r="F313" s="604"/>
      <c r="G313" s="215"/>
      <c r="H313" s="423"/>
      <c r="I313" s="155"/>
      <c r="J313" s="279"/>
      <c r="K313" s="311">
        <f t="shared" si="94"/>
        <v>0</v>
      </c>
      <c r="L313" s="312">
        <f t="shared" si="95"/>
        <v>0</v>
      </c>
      <c r="M313" s="313">
        <f t="shared" si="96"/>
        <v>0</v>
      </c>
      <c r="N313" s="314"/>
      <c r="O313" s="315">
        <f t="shared" si="104"/>
        <v>0</v>
      </c>
      <c r="P313" s="315">
        <f t="shared" si="105"/>
        <v>0</v>
      </c>
      <c r="Q313" s="314"/>
      <c r="R313" s="315">
        <f t="shared" si="106"/>
        <v>0</v>
      </c>
      <c r="S313" s="315">
        <f t="shared" si="107"/>
        <v>0</v>
      </c>
      <c r="T313" s="213"/>
      <c r="U313" s="213"/>
      <c r="V313" s="213"/>
      <c r="W313" s="213"/>
      <c r="X313" s="591"/>
      <c r="Y313" s="591"/>
    </row>
    <row r="314" spans="1:25" ht="14.85" customHeight="1">
      <c r="A314" s="619"/>
      <c r="B314" s="586"/>
      <c r="C314" s="259"/>
      <c r="D314" s="621"/>
      <c r="E314" s="629"/>
      <c r="F314" s="605"/>
      <c r="G314" s="254"/>
      <c r="H314" s="154"/>
      <c r="I314" s="155"/>
      <c r="J314" s="279"/>
      <c r="K314" s="311">
        <f t="shared" si="94"/>
        <v>0</v>
      </c>
      <c r="L314" s="312">
        <f t="shared" si="95"/>
        <v>0</v>
      </c>
      <c r="M314" s="313">
        <f t="shared" si="96"/>
        <v>0</v>
      </c>
      <c r="N314" s="314">
        <f>L313+L314</f>
        <v>0</v>
      </c>
      <c r="O314" s="315">
        <f t="shared" si="104"/>
        <v>0</v>
      </c>
      <c r="P314" s="315">
        <f t="shared" si="105"/>
        <v>0</v>
      </c>
      <c r="Q314" s="314">
        <f>N314</f>
        <v>0</v>
      </c>
      <c r="R314" s="315">
        <f t="shared" si="106"/>
        <v>0</v>
      </c>
      <c r="S314" s="315">
        <f t="shared" si="107"/>
        <v>0</v>
      </c>
      <c r="T314" s="213"/>
      <c r="U314" s="213"/>
      <c r="V314" s="213"/>
      <c r="W314" s="213"/>
      <c r="X314" s="591"/>
      <c r="Y314" s="591"/>
    </row>
    <row r="315" spans="1:25" ht="14.85" customHeight="1">
      <c r="A315" s="619"/>
      <c r="B315" s="586"/>
      <c r="C315" s="259"/>
      <c r="D315" s="621"/>
      <c r="E315" s="260"/>
      <c r="F315" s="249"/>
      <c r="G315" s="254"/>
      <c r="H315" s="154"/>
      <c r="I315" s="155"/>
      <c r="J315" s="279"/>
      <c r="K315" s="311"/>
      <c r="L315" s="312"/>
      <c r="M315" s="313"/>
      <c r="N315" s="314"/>
      <c r="O315" s="315"/>
      <c r="P315" s="315"/>
      <c r="Q315" s="314"/>
      <c r="R315" s="315"/>
      <c r="S315" s="315"/>
      <c r="T315" s="213"/>
      <c r="U315" s="213"/>
      <c r="V315" s="213"/>
      <c r="W315" s="213"/>
      <c r="X315" s="591"/>
      <c r="Y315" s="591"/>
    </row>
    <row r="316" spans="1:25" ht="14.85" customHeight="1">
      <c r="A316" s="619"/>
      <c r="B316" s="586"/>
      <c r="C316" s="259"/>
      <c r="D316" s="621"/>
      <c r="E316" s="625"/>
      <c r="F316" s="262"/>
      <c r="G316" s="234"/>
      <c r="H316" s="424"/>
      <c r="I316" s="155"/>
      <c r="J316" s="276"/>
      <c r="K316" s="311">
        <f t="shared" si="94"/>
        <v>0</v>
      </c>
      <c r="L316" s="312">
        <f t="shared" si="95"/>
        <v>0</v>
      </c>
      <c r="M316" s="313">
        <f t="shared" si="96"/>
        <v>0</v>
      </c>
      <c r="N316" s="314">
        <f>L316</f>
        <v>0</v>
      </c>
      <c r="O316" s="315">
        <f t="shared" si="104"/>
        <v>0</v>
      </c>
      <c r="P316" s="315">
        <f t="shared" si="105"/>
        <v>0</v>
      </c>
      <c r="Q316" s="314"/>
      <c r="R316" s="315">
        <f t="shared" si="106"/>
        <v>0</v>
      </c>
      <c r="S316" s="315">
        <f t="shared" si="107"/>
        <v>0</v>
      </c>
      <c r="T316" s="213"/>
      <c r="U316" s="213"/>
      <c r="V316" s="213"/>
      <c r="W316" s="213"/>
      <c r="X316" s="591"/>
      <c r="Y316" s="591"/>
    </row>
    <row r="317" spans="1:25" ht="14.85" customHeight="1">
      <c r="A317" s="619"/>
      <c r="B317" s="586"/>
      <c r="C317" s="259"/>
      <c r="D317" s="621"/>
      <c r="E317" s="626"/>
      <c r="F317" s="638"/>
      <c r="G317" s="254"/>
      <c r="H317" s="214"/>
      <c r="J317" s="279"/>
      <c r="K317" s="311">
        <f t="shared" si="94"/>
        <v>0</v>
      </c>
      <c r="L317" s="312">
        <f t="shared" si="95"/>
        <v>0</v>
      </c>
      <c r="M317" s="313">
        <f t="shared" si="96"/>
        <v>0</v>
      </c>
      <c r="N317" s="314"/>
      <c r="O317" s="315">
        <f t="shared" si="104"/>
        <v>0</v>
      </c>
      <c r="P317" s="315">
        <f t="shared" si="105"/>
        <v>0</v>
      </c>
      <c r="Q317" s="314"/>
      <c r="R317" s="315">
        <f t="shared" si="106"/>
        <v>0</v>
      </c>
      <c r="S317" s="315">
        <f t="shared" si="107"/>
        <v>0</v>
      </c>
      <c r="T317" s="213"/>
      <c r="U317" s="213"/>
      <c r="V317" s="213"/>
      <c r="W317" s="213"/>
      <c r="X317" s="591"/>
      <c r="Y317" s="591"/>
    </row>
    <row r="318" spans="1:25" ht="14.85" customHeight="1">
      <c r="A318" s="619"/>
      <c r="B318" s="586"/>
      <c r="C318" s="259"/>
      <c r="D318" s="621"/>
      <c r="E318" s="626"/>
      <c r="F318" s="639"/>
      <c r="G318" s="254"/>
      <c r="H318" s="154"/>
      <c r="I318" s="155"/>
      <c r="J318" s="279"/>
      <c r="K318" s="311">
        <f t="shared" si="94"/>
        <v>0</v>
      </c>
      <c r="L318" s="312">
        <f t="shared" si="95"/>
        <v>0</v>
      </c>
      <c r="M318" s="313">
        <f t="shared" si="96"/>
        <v>0</v>
      </c>
      <c r="N318" s="314"/>
      <c r="O318" s="315">
        <f t="shared" si="104"/>
        <v>0</v>
      </c>
      <c r="P318" s="315">
        <f t="shared" si="105"/>
        <v>0</v>
      </c>
      <c r="Q318" s="314"/>
      <c r="R318" s="315">
        <f t="shared" si="106"/>
        <v>0</v>
      </c>
      <c r="S318" s="315">
        <f t="shared" si="107"/>
        <v>0</v>
      </c>
      <c r="T318" s="213"/>
      <c r="U318" s="213"/>
      <c r="V318" s="213"/>
      <c r="W318" s="213"/>
      <c r="X318" s="591"/>
      <c r="Y318" s="591"/>
    </row>
    <row r="319" spans="1:25" ht="14.85" customHeight="1">
      <c r="A319" s="619"/>
      <c r="B319" s="586"/>
      <c r="C319" s="259"/>
      <c r="D319" s="621"/>
      <c r="E319" s="627"/>
      <c r="F319" s="640"/>
      <c r="G319" s="254"/>
      <c r="H319" s="154"/>
      <c r="I319" s="155"/>
      <c r="J319" s="279"/>
      <c r="K319" s="311">
        <f t="shared" si="94"/>
        <v>0</v>
      </c>
      <c r="L319" s="312">
        <f t="shared" si="95"/>
        <v>0</v>
      </c>
      <c r="M319" s="313">
        <f t="shared" si="96"/>
        <v>0</v>
      </c>
      <c r="N319" s="314">
        <f>L317+L318+L319</f>
        <v>0</v>
      </c>
      <c r="O319" s="315">
        <f t="shared" si="104"/>
        <v>0</v>
      </c>
      <c r="P319" s="315">
        <f t="shared" si="105"/>
        <v>0</v>
      </c>
      <c r="Q319" s="314">
        <f>N314+N316+N319</f>
        <v>0</v>
      </c>
      <c r="R319" s="315">
        <f t="shared" si="106"/>
        <v>0</v>
      </c>
      <c r="S319" s="315">
        <f t="shared" si="107"/>
        <v>0</v>
      </c>
      <c r="T319" s="213"/>
      <c r="U319" s="213"/>
      <c r="V319" s="213"/>
      <c r="W319" s="213"/>
      <c r="X319" s="591"/>
      <c r="Y319" s="591"/>
    </row>
    <row r="320" spans="1:25" ht="14.85" customHeight="1">
      <c r="A320" s="619"/>
      <c r="B320" s="586"/>
      <c r="C320" s="259"/>
      <c r="D320" s="621"/>
      <c r="E320" s="362"/>
      <c r="F320" s="250"/>
      <c r="G320" s="254"/>
      <c r="H320" s="154"/>
      <c r="I320" s="155"/>
      <c r="J320" s="279"/>
      <c r="K320" s="311"/>
      <c r="L320" s="312"/>
      <c r="M320" s="313"/>
      <c r="N320" s="314"/>
      <c r="O320" s="315">
        <f t="shared" si="104"/>
        <v>0</v>
      </c>
      <c r="P320" s="315">
        <f t="shared" si="105"/>
        <v>0</v>
      </c>
      <c r="Q320" s="314"/>
      <c r="R320" s="315"/>
      <c r="S320" s="315"/>
      <c r="T320" s="213"/>
      <c r="U320" s="213"/>
      <c r="V320" s="213"/>
      <c r="W320" s="213"/>
      <c r="X320" s="591"/>
      <c r="Y320" s="591"/>
    </row>
    <row r="321" spans="1:25" ht="14.85" customHeight="1">
      <c r="A321" s="619"/>
      <c r="B321" s="586"/>
      <c r="C321" s="259"/>
      <c r="D321" s="621"/>
      <c r="E321" s="604"/>
      <c r="F321" s="262"/>
      <c r="G321" s="234"/>
      <c r="H321" s="424"/>
      <c r="I321" s="154"/>
      <c r="J321" s="254"/>
      <c r="K321" s="311">
        <f t="shared" si="94"/>
        <v>0</v>
      </c>
      <c r="L321" s="312">
        <f t="shared" si="95"/>
        <v>0</v>
      </c>
      <c r="M321" s="313">
        <f t="shared" si="96"/>
        <v>0</v>
      </c>
      <c r="N321" s="314">
        <f>L321</f>
        <v>0</v>
      </c>
      <c r="O321" s="315">
        <f t="shared" si="104"/>
        <v>0</v>
      </c>
      <c r="P321" s="315">
        <f t="shared" si="105"/>
        <v>0</v>
      </c>
      <c r="Q321" s="314"/>
      <c r="R321" s="315">
        <f t="shared" si="106"/>
        <v>0</v>
      </c>
      <c r="S321" s="315">
        <f t="shared" si="107"/>
        <v>0</v>
      </c>
      <c r="T321" s="213"/>
      <c r="U321" s="213"/>
      <c r="V321" s="213"/>
      <c r="W321" s="213"/>
      <c r="X321" s="591"/>
      <c r="Y321" s="591"/>
    </row>
    <row r="322" spans="1:25" ht="14.85" customHeight="1">
      <c r="A322" s="619"/>
      <c r="B322" s="586"/>
      <c r="C322" s="259"/>
      <c r="D322" s="621"/>
      <c r="E322" s="617"/>
      <c r="F322" s="604"/>
      <c r="G322" s="254"/>
      <c r="H322" s="154"/>
      <c r="I322" s="154"/>
      <c r="J322" s="254"/>
      <c r="K322" s="311">
        <f t="shared" si="94"/>
        <v>0</v>
      </c>
      <c r="L322" s="312">
        <f t="shared" si="95"/>
        <v>0</v>
      </c>
      <c r="M322" s="313">
        <f t="shared" si="96"/>
        <v>0</v>
      </c>
      <c r="N322" s="314"/>
      <c r="O322" s="315">
        <f t="shared" si="104"/>
        <v>0</v>
      </c>
      <c r="P322" s="315">
        <f t="shared" si="105"/>
        <v>0</v>
      </c>
      <c r="Q322" s="314"/>
      <c r="R322" s="315">
        <f t="shared" si="106"/>
        <v>0</v>
      </c>
      <c r="S322" s="315">
        <f t="shared" si="107"/>
        <v>0</v>
      </c>
      <c r="T322" s="213"/>
      <c r="U322" s="213"/>
      <c r="V322" s="213"/>
      <c r="W322" s="213"/>
      <c r="X322" s="591"/>
      <c r="Y322" s="591"/>
    </row>
    <row r="323" spans="1:25" ht="14.85" customHeight="1">
      <c r="A323" s="619"/>
      <c r="B323" s="586"/>
      <c r="C323" s="259"/>
      <c r="D323" s="621"/>
      <c r="E323" s="617"/>
      <c r="F323" s="617"/>
      <c r="G323" s="254"/>
      <c r="H323" s="154"/>
      <c r="I323" s="154"/>
      <c r="J323" s="254"/>
      <c r="K323" s="311">
        <f t="shared" si="94"/>
        <v>0</v>
      </c>
      <c r="L323" s="312">
        <f t="shared" si="95"/>
        <v>0</v>
      </c>
      <c r="M323" s="313">
        <f t="shared" si="96"/>
        <v>0</v>
      </c>
      <c r="N323" s="314"/>
      <c r="O323" s="315">
        <f t="shared" si="104"/>
        <v>0</v>
      </c>
      <c r="P323" s="315">
        <f t="shared" si="105"/>
        <v>0</v>
      </c>
      <c r="Q323" s="314"/>
      <c r="R323" s="315">
        <f t="shared" si="106"/>
        <v>0</v>
      </c>
      <c r="S323" s="315">
        <f t="shared" si="107"/>
        <v>0</v>
      </c>
      <c r="T323" s="213"/>
      <c r="U323" s="213"/>
      <c r="V323" s="213"/>
      <c r="W323" s="213"/>
      <c r="X323" s="591"/>
      <c r="Y323" s="591"/>
    </row>
    <row r="324" spans="1:25" ht="14.85" customHeight="1">
      <c r="A324" s="619"/>
      <c r="B324" s="586"/>
      <c r="C324" s="259"/>
      <c r="D324" s="621"/>
      <c r="E324" s="605"/>
      <c r="F324" s="605"/>
      <c r="G324" s="254"/>
      <c r="H324" s="154"/>
      <c r="I324" s="154"/>
      <c r="J324" s="254"/>
      <c r="K324" s="311">
        <f t="shared" si="94"/>
        <v>0</v>
      </c>
      <c r="L324" s="312">
        <f t="shared" si="95"/>
        <v>0</v>
      </c>
      <c r="M324" s="313">
        <f t="shared" si="96"/>
        <v>0</v>
      </c>
      <c r="N324" s="314">
        <f>L322+L323+L324</f>
        <v>0</v>
      </c>
      <c r="O324" s="315">
        <f t="shared" si="104"/>
        <v>0</v>
      </c>
      <c r="P324" s="315">
        <f t="shared" si="105"/>
        <v>0</v>
      </c>
      <c r="Q324" s="314">
        <f>N321+N324</f>
        <v>0</v>
      </c>
      <c r="R324" s="315">
        <f t="shared" si="106"/>
        <v>0</v>
      </c>
      <c r="S324" s="315">
        <f t="shared" si="107"/>
        <v>0</v>
      </c>
      <c r="T324" s="213"/>
      <c r="U324" s="213"/>
      <c r="V324" s="213"/>
      <c r="W324" s="213"/>
      <c r="X324" s="591"/>
      <c r="Y324" s="591"/>
    </row>
    <row r="325" spans="1:25" ht="14.85" customHeight="1">
      <c r="A325" s="316"/>
      <c r="B325" s="259"/>
      <c r="C325" s="259"/>
      <c r="D325" s="256"/>
      <c r="E325" s="261"/>
      <c r="F325" s="249"/>
      <c r="G325" s="254"/>
      <c r="H325" s="154"/>
      <c r="I325" s="154"/>
      <c r="J325" s="254"/>
      <c r="K325" s="311"/>
      <c r="L325" s="312"/>
      <c r="M325" s="313"/>
      <c r="N325" s="314"/>
      <c r="O325" s="315"/>
      <c r="P325" s="315"/>
      <c r="Q325" s="314"/>
      <c r="R325" s="315"/>
      <c r="S325" s="315"/>
      <c r="T325" s="213"/>
      <c r="U325" s="213"/>
      <c r="V325" s="213"/>
      <c r="W325" s="213"/>
      <c r="X325" s="317"/>
      <c r="Y325" s="317"/>
    </row>
    <row r="326" spans="1:25" s="287" customFormat="1">
      <c r="A326" s="211" t="s">
        <v>129</v>
      </c>
      <c r="B326" s="211">
        <f>COUNTA(B259:B324)</f>
        <v>0</v>
      </c>
      <c r="C326" s="211"/>
      <c r="D326" s="211">
        <f>COUNTA(D259:D324)</f>
        <v>0</v>
      </c>
      <c r="E326" s="212">
        <f>COUNTA(E259:E324)</f>
        <v>0</v>
      </c>
      <c r="F326" s="211">
        <f>COUNTA(F259:F324)</f>
        <v>0</v>
      </c>
      <c r="G326" s="211">
        <f>COUNTA(G259:G324)</f>
        <v>0</v>
      </c>
      <c r="H326" s="211"/>
      <c r="I326" s="211">
        <f>COUNTA(I259:I324)</f>
        <v>0</v>
      </c>
      <c r="J326" s="280">
        <f>SUM(J259:J324)</f>
        <v>0</v>
      </c>
      <c r="K326" s="161">
        <f>SUM(K258:K324)</f>
        <v>0</v>
      </c>
      <c r="L326" s="161">
        <f>SUM(L258:L324)</f>
        <v>0</v>
      </c>
      <c r="M326" s="161">
        <f>SUM(M258:M324)</f>
        <v>0</v>
      </c>
      <c r="N326" s="161">
        <f>SUM(N258:N324)</f>
        <v>0</v>
      </c>
      <c r="O326" s="161">
        <f t="shared" si="101"/>
        <v>0</v>
      </c>
      <c r="P326" s="161">
        <f t="shared" ref="P326:P327" si="108">ROUND((N326-(O326*$P$11)),0)</f>
        <v>0</v>
      </c>
      <c r="Q326" s="161">
        <f>SUM(Q258:Q324)</f>
        <v>0</v>
      </c>
      <c r="R326" s="315">
        <f t="shared" si="106"/>
        <v>0</v>
      </c>
      <c r="S326" s="315">
        <f t="shared" si="107"/>
        <v>0</v>
      </c>
      <c r="T326" s="211"/>
      <c r="U326" s="211"/>
      <c r="V326" s="211"/>
      <c r="W326" s="211"/>
      <c r="X326" s="161" t="str">
        <f>IF(X259&lt;1.4,"1",IF(X259&lt;=2.3,"2",IF(X259&gt;2.3, ROUND(X259,0))))</f>
        <v>1</v>
      </c>
      <c r="Y326" s="161">
        <f>$Y$11*F326</f>
        <v>0</v>
      </c>
    </row>
    <row r="327" spans="1:25">
      <c r="A327" s="618"/>
      <c r="B327" s="585"/>
      <c r="C327" s="258"/>
      <c r="D327" s="620"/>
      <c r="E327" s="323"/>
      <c r="F327" s="154"/>
      <c r="G327" s="223"/>
      <c r="H327" s="425"/>
      <c r="I327" s="154"/>
      <c r="J327" s="276"/>
      <c r="K327" s="311">
        <f t="shared" ref="K327" si="109">J327/$K$11</f>
        <v>0</v>
      </c>
      <c r="L327" s="312">
        <f t="shared" ref="L327" si="110">J327/$L$11</f>
        <v>0</v>
      </c>
      <c r="M327" s="313">
        <f t="shared" ref="M327" si="111">ROUND((L327/$M$11),0)</f>
        <v>0</v>
      </c>
      <c r="N327" s="320"/>
      <c r="O327" s="315">
        <f t="shared" si="101"/>
        <v>0</v>
      </c>
      <c r="P327" s="315">
        <f t="shared" si="108"/>
        <v>0</v>
      </c>
      <c r="Q327" s="320"/>
      <c r="R327" s="315">
        <f t="shared" si="106"/>
        <v>0</v>
      </c>
      <c r="S327" s="315">
        <f t="shared" si="107"/>
        <v>0</v>
      </c>
      <c r="T327" s="213"/>
      <c r="U327" s="213"/>
      <c r="V327" s="213"/>
      <c r="W327" s="213"/>
      <c r="X327" s="590">
        <f>F395/$X$11</f>
        <v>0</v>
      </c>
      <c r="Y327" s="590"/>
    </row>
    <row r="328" spans="1:25">
      <c r="A328" s="619"/>
      <c r="B328" s="586"/>
      <c r="C328" s="259"/>
      <c r="D328" s="621"/>
      <c r="E328" s="324"/>
      <c r="F328" s="154"/>
      <c r="G328" s="223"/>
      <c r="H328" s="425"/>
      <c r="I328" s="154"/>
      <c r="J328" s="276"/>
      <c r="K328" s="311">
        <f t="shared" ref="K328:K393" si="112">J328/$K$11</f>
        <v>0</v>
      </c>
      <c r="L328" s="312">
        <f t="shared" ref="L328:L393" si="113">J328/$L$11</f>
        <v>0</v>
      </c>
      <c r="M328" s="313">
        <f t="shared" ref="M328:M393" si="114">ROUND((L328/$M$11),0)</f>
        <v>0</v>
      </c>
      <c r="N328" s="320"/>
      <c r="O328" s="315">
        <f t="shared" ref="O328:O354" si="115">ROUNDDOWN((N328/$O$11),0)</f>
        <v>0</v>
      </c>
      <c r="P328" s="315">
        <f t="shared" ref="P328:P354" si="116">ROUND((N328-(O328*$P$11)),0)</f>
        <v>0</v>
      </c>
      <c r="Q328" s="320"/>
      <c r="R328" s="315">
        <f t="shared" ref="R328:R381" si="117">ROUNDDOWN((Q328/$O$11),0)</f>
        <v>0</v>
      </c>
      <c r="S328" s="315">
        <f t="shared" ref="S328:S381" si="118">ROUND((Q328-(R328*$P$11)),0)</f>
        <v>0</v>
      </c>
      <c r="T328" s="213"/>
      <c r="U328" s="213"/>
      <c r="V328" s="213"/>
      <c r="W328" s="213"/>
      <c r="X328" s="591"/>
      <c r="Y328" s="591"/>
    </row>
    <row r="329" spans="1:25">
      <c r="A329" s="619"/>
      <c r="B329" s="586"/>
      <c r="C329" s="259"/>
      <c r="D329" s="621"/>
      <c r="E329" s="324"/>
      <c r="F329" s="154"/>
      <c r="G329" s="223"/>
      <c r="H329" s="425"/>
      <c r="I329" s="154"/>
      <c r="J329" s="276"/>
      <c r="K329" s="311">
        <f t="shared" si="112"/>
        <v>0</v>
      </c>
      <c r="L329" s="312">
        <f t="shared" si="113"/>
        <v>0</v>
      </c>
      <c r="M329" s="313">
        <f t="shared" si="114"/>
        <v>0</v>
      </c>
      <c r="N329" s="320"/>
      <c r="O329" s="315">
        <f t="shared" si="115"/>
        <v>0</v>
      </c>
      <c r="P329" s="315">
        <f t="shared" si="116"/>
        <v>0</v>
      </c>
      <c r="Q329" s="320"/>
      <c r="R329" s="315">
        <f t="shared" si="117"/>
        <v>0</v>
      </c>
      <c r="S329" s="315">
        <f t="shared" si="118"/>
        <v>0</v>
      </c>
      <c r="T329" s="213"/>
      <c r="U329" s="213"/>
      <c r="V329" s="213"/>
      <c r="W329" s="213"/>
      <c r="X329" s="591"/>
      <c r="Y329" s="591"/>
    </row>
    <row r="330" spans="1:25">
      <c r="A330" s="619"/>
      <c r="B330" s="586"/>
      <c r="C330" s="259"/>
      <c r="D330" s="621"/>
      <c r="E330" s="324"/>
      <c r="F330" s="154"/>
      <c r="G330" s="223"/>
      <c r="H330" s="425"/>
      <c r="I330" s="154"/>
      <c r="J330" s="276"/>
      <c r="K330" s="311">
        <f t="shared" si="112"/>
        <v>0</v>
      </c>
      <c r="L330" s="312">
        <f t="shared" si="113"/>
        <v>0</v>
      </c>
      <c r="M330" s="313">
        <f t="shared" si="114"/>
        <v>0</v>
      </c>
      <c r="N330" s="320"/>
      <c r="O330" s="315">
        <f t="shared" si="115"/>
        <v>0</v>
      </c>
      <c r="P330" s="315">
        <f t="shared" si="116"/>
        <v>0</v>
      </c>
      <c r="Q330" s="320"/>
      <c r="R330" s="315">
        <f t="shared" si="117"/>
        <v>0</v>
      </c>
      <c r="S330" s="315">
        <f t="shared" si="118"/>
        <v>0</v>
      </c>
      <c r="T330" s="213"/>
      <c r="U330" s="213"/>
      <c r="V330" s="213"/>
      <c r="W330" s="213"/>
      <c r="X330" s="591"/>
      <c r="Y330" s="591"/>
    </row>
    <row r="331" spans="1:25" ht="14.85" customHeight="1">
      <c r="A331" s="619"/>
      <c r="B331" s="586"/>
      <c r="C331" s="259"/>
      <c r="D331" s="621"/>
      <c r="E331" s="324"/>
      <c r="F331" s="154"/>
      <c r="G331" s="223"/>
      <c r="H331" s="425"/>
      <c r="I331" s="154"/>
      <c r="J331" s="276"/>
      <c r="K331" s="311">
        <f t="shared" si="112"/>
        <v>0</v>
      </c>
      <c r="L331" s="312">
        <f t="shared" si="113"/>
        <v>0</v>
      </c>
      <c r="M331" s="313">
        <f t="shared" si="114"/>
        <v>0</v>
      </c>
      <c r="N331" s="320">
        <f>SUM(L327:L331)</f>
        <v>0</v>
      </c>
      <c r="O331" s="315">
        <f t="shared" si="115"/>
        <v>0</v>
      </c>
      <c r="P331" s="315">
        <f t="shared" si="116"/>
        <v>0</v>
      </c>
      <c r="Q331" s="320">
        <f>N331</f>
        <v>0</v>
      </c>
      <c r="R331" s="315">
        <f t="shared" si="117"/>
        <v>0</v>
      </c>
      <c r="S331" s="315">
        <f t="shared" si="118"/>
        <v>0</v>
      </c>
      <c r="T331" s="213"/>
      <c r="U331" s="213"/>
      <c r="V331" s="213"/>
      <c r="W331" s="213"/>
      <c r="X331" s="591"/>
      <c r="Y331" s="591"/>
    </row>
    <row r="332" spans="1:25" ht="14.85" customHeight="1">
      <c r="A332" s="619"/>
      <c r="B332" s="586"/>
      <c r="C332" s="259"/>
      <c r="D332" s="621"/>
      <c r="E332" s="324"/>
      <c r="F332" s="154"/>
      <c r="G332" s="223"/>
      <c r="H332" s="425"/>
      <c r="I332" s="154"/>
      <c r="J332" s="276"/>
      <c r="K332" s="311"/>
      <c r="L332" s="312"/>
      <c r="M332" s="313"/>
      <c r="N332" s="320"/>
      <c r="O332" s="315">
        <f t="shared" si="115"/>
        <v>0</v>
      </c>
      <c r="P332" s="315">
        <f t="shared" si="116"/>
        <v>0</v>
      </c>
      <c r="Q332" s="320"/>
      <c r="R332" s="315">
        <f t="shared" si="117"/>
        <v>0</v>
      </c>
      <c r="S332" s="315">
        <f t="shared" si="118"/>
        <v>0</v>
      </c>
      <c r="T332" s="213"/>
      <c r="U332" s="213"/>
      <c r="V332" s="213"/>
      <c r="W332" s="213"/>
      <c r="X332" s="591"/>
      <c r="Y332" s="591"/>
    </row>
    <row r="333" spans="1:25" ht="14.85" customHeight="1">
      <c r="A333" s="619"/>
      <c r="B333" s="586"/>
      <c r="C333" s="259"/>
      <c r="D333" s="621"/>
      <c r="E333" s="157"/>
      <c r="F333" s="154"/>
      <c r="G333" s="254"/>
      <c r="H333" s="262"/>
      <c r="I333" s="154"/>
      <c r="J333" s="276"/>
      <c r="K333" s="311">
        <f t="shared" si="112"/>
        <v>0</v>
      </c>
      <c r="L333" s="312">
        <f t="shared" si="113"/>
        <v>0</v>
      </c>
      <c r="M333" s="313">
        <f t="shared" si="114"/>
        <v>0</v>
      </c>
      <c r="N333" s="320"/>
      <c r="O333" s="315">
        <f t="shared" si="115"/>
        <v>0</v>
      </c>
      <c r="P333" s="315">
        <f t="shared" si="116"/>
        <v>0</v>
      </c>
      <c r="Q333" s="320"/>
      <c r="R333" s="315">
        <f t="shared" si="117"/>
        <v>0</v>
      </c>
      <c r="S333" s="315">
        <f t="shared" si="118"/>
        <v>0</v>
      </c>
      <c r="T333" s="213"/>
      <c r="U333" s="213"/>
      <c r="V333" s="213"/>
      <c r="W333" s="213"/>
      <c r="X333" s="591"/>
      <c r="Y333" s="591"/>
    </row>
    <row r="334" spans="1:25" ht="14.85" customHeight="1">
      <c r="A334" s="619"/>
      <c r="B334" s="586"/>
      <c r="C334" s="259"/>
      <c r="D334" s="621"/>
      <c r="E334" s="157"/>
      <c r="F334" s="154"/>
      <c r="G334" s="254"/>
      <c r="H334" s="262"/>
      <c r="I334" s="154"/>
      <c r="J334" s="276"/>
      <c r="K334" s="311">
        <f t="shared" si="112"/>
        <v>0</v>
      </c>
      <c r="L334" s="312">
        <f t="shared" si="113"/>
        <v>0</v>
      </c>
      <c r="M334" s="313">
        <f t="shared" si="114"/>
        <v>0</v>
      </c>
      <c r="N334" s="320"/>
      <c r="O334" s="315">
        <f t="shared" si="115"/>
        <v>0</v>
      </c>
      <c r="P334" s="315">
        <f t="shared" si="116"/>
        <v>0</v>
      </c>
      <c r="Q334" s="320"/>
      <c r="R334" s="315">
        <f t="shared" si="117"/>
        <v>0</v>
      </c>
      <c r="S334" s="315">
        <f t="shared" si="118"/>
        <v>0</v>
      </c>
      <c r="T334" s="213"/>
      <c r="U334" s="213"/>
      <c r="V334" s="213"/>
      <c r="W334" s="213"/>
      <c r="X334" s="591"/>
      <c r="Y334" s="591"/>
    </row>
    <row r="335" spans="1:25" ht="14.85" customHeight="1">
      <c r="A335" s="619"/>
      <c r="B335" s="586"/>
      <c r="C335" s="259"/>
      <c r="D335" s="621"/>
      <c r="E335" s="157"/>
      <c r="F335" s="154"/>
      <c r="G335" s="254"/>
      <c r="H335" s="262"/>
      <c r="I335" s="154"/>
      <c r="J335" s="276"/>
      <c r="K335" s="311">
        <f t="shared" si="112"/>
        <v>0</v>
      </c>
      <c r="L335" s="312">
        <f t="shared" si="113"/>
        <v>0</v>
      </c>
      <c r="M335" s="313">
        <f t="shared" si="114"/>
        <v>0</v>
      </c>
      <c r="N335" s="320"/>
      <c r="O335" s="315">
        <f t="shared" si="115"/>
        <v>0</v>
      </c>
      <c r="P335" s="315">
        <f t="shared" si="116"/>
        <v>0</v>
      </c>
      <c r="Q335" s="320"/>
      <c r="R335" s="315">
        <f t="shared" si="117"/>
        <v>0</v>
      </c>
      <c r="S335" s="315">
        <f t="shared" si="118"/>
        <v>0</v>
      </c>
      <c r="T335" s="213"/>
      <c r="U335" s="213"/>
      <c r="V335" s="213"/>
      <c r="W335" s="213"/>
      <c r="X335" s="591"/>
      <c r="Y335" s="591"/>
    </row>
    <row r="336" spans="1:25" ht="14.85" customHeight="1">
      <c r="A336" s="619"/>
      <c r="B336" s="586"/>
      <c r="C336" s="259"/>
      <c r="D336" s="621"/>
      <c r="E336" s="157"/>
      <c r="F336" s="154"/>
      <c r="G336" s="254"/>
      <c r="H336" s="262"/>
      <c r="I336" s="154"/>
      <c r="J336" s="276"/>
      <c r="K336" s="311">
        <f t="shared" si="112"/>
        <v>0</v>
      </c>
      <c r="L336" s="312">
        <f t="shared" si="113"/>
        <v>0</v>
      </c>
      <c r="M336" s="313">
        <f t="shared" si="114"/>
        <v>0</v>
      </c>
      <c r="N336" s="320"/>
      <c r="O336" s="315">
        <f t="shared" si="115"/>
        <v>0</v>
      </c>
      <c r="P336" s="315">
        <f t="shared" si="116"/>
        <v>0</v>
      </c>
      <c r="Q336" s="320"/>
      <c r="R336" s="315">
        <f t="shared" si="117"/>
        <v>0</v>
      </c>
      <c r="S336" s="315">
        <f t="shared" si="118"/>
        <v>0</v>
      </c>
      <c r="T336" s="213"/>
      <c r="U336" s="213"/>
      <c r="V336" s="213"/>
      <c r="W336" s="213"/>
      <c r="X336" s="591"/>
      <c r="Y336" s="591"/>
    </row>
    <row r="337" spans="1:25" ht="14.85" customHeight="1">
      <c r="A337" s="619"/>
      <c r="B337" s="586"/>
      <c r="C337" s="259"/>
      <c r="D337" s="621"/>
      <c r="E337" s="157"/>
      <c r="F337" s="154"/>
      <c r="G337" s="254"/>
      <c r="H337" s="262"/>
      <c r="I337" s="154"/>
      <c r="J337" s="276"/>
      <c r="K337" s="311">
        <f t="shared" si="112"/>
        <v>0</v>
      </c>
      <c r="L337" s="312">
        <f t="shared" si="113"/>
        <v>0</v>
      </c>
      <c r="M337" s="313">
        <f t="shared" si="114"/>
        <v>0</v>
      </c>
      <c r="N337" s="320"/>
      <c r="O337" s="315">
        <f t="shared" si="115"/>
        <v>0</v>
      </c>
      <c r="P337" s="315">
        <f t="shared" si="116"/>
        <v>0</v>
      </c>
      <c r="Q337" s="320"/>
      <c r="R337" s="315">
        <f t="shared" si="117"/>
        <v>0</v>
      </c>
      <c r="S337" s="315">
        <f t="shared" si="118"/>
        <v>0</v>
      </c>
      <c r="T337" s="213"/>
      <c r="U337" s="213"/>
      <c r="V337" s="213"/>
      <c r="W337" s="213"/>
      <c r="X337" s="591"/>
      <c r="Y337" s="591"/>
    </row>
    <row r="338" spans="1:25" ht="14.85" customHeight="1">
      <c r="A338" s="619"/>
      <c r="B338" s="586"/>
      <c r="C338" s="259"/>
      <c r="D338" s="621"/>
      <c r="E338" s="157"/>
      <c r="F338" s="154"/>
      <c r="G338" s="254"/>
      <c r="H338" s="262"/>
      <c r="I338" s="154"/>
      <c r="J338" s="276"/>
      <c r="K338" s="311">
        <f t="shared" si="112"/>
        <v>0</v>
      </c>
      <c r="L338" s="312">
        <f t="shared" si="113"/>
        <v>0</v>
      </c>
      <c r="M338" s="313">
        <f t="shared" si="114"/>
        <v>0</v>
      </c>
      <c r="N338" s="320"/>
      <c r="O338" s="315">
        <f t="shared" si="115"/>
        <v>0</v>
      </c>
      <c r="P338" s="315">
        <f t="shared" si="116"/>
        <v>0</v>
      </c>
      <c r="Q338" s="320"/>
      <c r="R338" s="315">
        <f t="shared" si="117"/>
        <v>0</v>
      </c>
      <c r="S338" s="315">
        <f t="shared" si="118"/>
        <v>0</v>
      </c>
      <c r="T338" s="213"/>
      <c r="U338" s="213"/>
      <c r="V338" s="213"/>
      <c r="W338" s="213"/>
      <c r="X338" s="591"/>
      <c r="Y338" s="591"/>
    </row>
    <row r="339" spans="1:25" ht="14.85" customHeight="1">
      <c r="A339" s="619"/>
      <c r="B339" s="586"/>
      <c r="C339" s="259"/>
      <c r="D339" s="621"/>
      <c r="E339" s="157"/>
      <c r="F339" s="154"/>
      <c r="G339" s="254"/>
      <c r="H339" s="262"/>
      <c r="I339" s="154"/>
      <c r="J339" s="276"/>
      <c r="K339" s="311">
        <f t="shared" si="112"/>
        <v>0</v>
      </c>
      <c r="L339" s="312">
        <f t="shared" si="113"/>
        <v>0</v>
      </c>
      <c r="M339" s="313">
        <f t="shared" si="114"/>
        <v>0</v>
      </c>
      <c r="N339" s="320"/>
      <c r="O339" s="315">
        <f t="shared" si="115"/>
        <v>0</v>
      </c>
      <c r="P339" s="315">
        <f t="shared" si="116"/>
        <v>0</v>
      </c>
      <c r="Q339" s="320"/>
      <c r="R339" s="315">
        <f t="shared" si="117"/>
        <v>0</v>
      </c>
      <c r="S339" s="315">
        <f t="shared" si="118"/>
        <v>0</v>
      </c>
      <c r="T339" s="213"/>
      <c r="U339" s="213"/>
      <c r="V339" s="213"/>
      <c r="W339" s="213"/>
      <c r="X339" s="591"/>
      <c r="Y339" s="591"/>
    </row>
    <row r="340" spans="1:25" ht="14.85" customHeight="1">
      <c r="A340" s="619"/>
      <c r="B340" s="586"/>
      <c r="C340" s="259"/>
      <c r="D340" s="621"/>
      <c r="E340" s="157"/>
      <c r="F340" s="154"/>
      <c r="G340" s="254"/>
      <c r="H340" s="262"/>
      <c r="I340" s="154"/>
      <c r="J340" s="276"/>
      <c r="K340" s="311">
        <f t="shared" si="112"/>
        <v>0</v>
      </c>
      <c r="L340" s="312">
        <f t="shared" si="113"/>
        <v>0</v>
      </c>
      <c r="M340" s="313">
        <f t="shared" si="114"/>
        <v>0</v>
      </c>
      <c r="N340" s="320">
        <f>SUM(L333:L340)</f>
        <v>0</v>
      </c>
      <c r="O340" s="315">
        <f t="shared" si="115"/>
        <v>0</v>
      </c>
      <c r="P340" s="315">
        <f t="shared" si="116"/>
        <v>0</v>
      </c>
      <c r="Q340" s="320">
        <f>N340</f>
        <v>0</v>
      </c>
      <c r="R340" s="315">
        <f t="shared" si="117"/>
        <v>0</v>
      </c>
      <c r="S340" s="315">
        <f t="shared" si="118"/>
        <v>0</v>
      </c>
      <c r="T340" s="213"/>
      <c r="U340" s="213"/>
      <c r="V340" s="213"/>
      <c r="W340" s="213"/>
      <c r="X340" s="591"/>
      <c r="Y340" s="591"/>
    </row>
    <row r="341" spans="1:25" ht="14.85" customHeight="1">
      <c r="A341" s="619"/>
      <c r="B341" s="586"/>
      <c r="C341" s="259"/>
      <c r="D341" s="621"/>
      <c r="E341" s="157"/>
      <c r="F341" s="154"/>
      <c r="G341" s="254"/>
      <c r="H341" s="262"/>
      <c r="I341" s="154"/>
      <c r="J341" s="276"/>
      <c r="K341" s="311"/>
      <c r="L341" s="312"/>
      <c r="M341" s="313"/>
      <c r="N341" s="320"/>
      <c r="O341" s="315">
        <f t="shared" si="115"/>
        <v>0</v>
      </c>
      <c r="P341" s="315">
        <f t="shared" si="116"/>
        <v>0</v>
      </c>
      <c r="Q341" s="320"/>
      <c r="R341" s="315">
        <f t="shared" si="117"/>
        <v>0</v>
      </c>
      <c r="S341" s="315">
        <f t="shared" si="118"/>
        <v>0</v>
      </c>
      <c r="T341" s="213"/>
      <c r="U341" s="213"/>
      <c r="V341" s="213"/>
      <c r="W341" s="213"/>
      <c r="X341" s="591"/>
      <c r="Y341" s="591"/>
    </row>
    <row r="342" spans="1:25" ht="14.85" customHeight="1">
      <c r="A342" s="619"/>
      <c r="B342" s="586"/>
      <c r="C342" s="259"/>
      <c r="D342" s="621"/>
      <c r="E342" s="157"/>
      <c r="F342" s="154"/>
      <c r="G342" s="223"/>
      <c r="H342" s="425"/>
      <c r="I342" s="154"/>
      <c r="J342" s="276"/>
      <c r="K342" s="311">
        <f t="shared" si="112"/>
        <v>0</v>
      </c>
      <c r="L342" s="312">
        <f t="shared" si="113"/>
        <v>0</v>
      </c>
      <c r="M342" s="313">
        <f t="shared" si="114"/>
        <v>0</v>
      </c>
      <c r="N342" s="320"/>
      <c r="O342" s="315">
        <f t="shared" si="115"/>
        <v>0</v>
      </c>
      <c r="P342" s="315">
        <f t="shared" si="116"/>
        <v>0</v>
      </c>
      <c r="Q342" s="320"/>
      <c r="R342" s="315">
        <f t="shared" si="117"/>
        <v>0</v>
      </c>
      <c r="S342" s="315">
        <f t="shared" si="118"/>
        <v>0</v>
      </c>
      <c r="T342" s="213"/>
      <c r="U342" s="213"/>
      <c r="V342" s="213"/>
      <c r="W342" s="213"/>
      <c r="X342" s="591"/>
      <c r="Y342" s="591"/>
    </row>
    <row r="343" spans="1:25" ht="14.85" customHeight="1">
      <c r="A343" s="619"/>
      <c r="B343" s="586"/>
      <c r="C343" s="259"/>
      <c r="D343" s="621"/>
      <c r="E343" s="157"/>
      <c r="F343" s="154"/>
      <c r="G343" s="223"/>
      <c r="H343" s="425"/>
      <c r="I343" s="154"/>
      <c r="J343" s="276"/>
      <c r="K343" s="311">
        <f t="shared" si="112"/>
        <v>0</v>
      </c>
      <c r="L343" s="312">
        <f t="shared" si="113"/>
        <v>0</v>
      </c>
      <c r="M343" s="313">
        <f t="shared" si="114"/>
        <v>0</v>
      </c>
      <c r="N343" s="320"/>
      <c r="O343" s="315">
        <f t="shared" si="115"/>
        <v>0</v>
      </c>
      <c r="P343" s="315">
        <f t="shared" si="116"/>
        <v>0</v>
      </c>
      <c r="Q343" s="320"/>
      <c r="R343" s="315">
        <f t="shared" si="117"/>
        <v>0</v>
      </c>
      <c r="S343" s="315">
        <f t="shared" si="118"/>
        <v>0</v>
      </c>
      <c r="T343" s="213"/>
      <c r="U343" s="213"/>
      <c r="V343" s="213"/>
      <c r="W343" s="213"/>
      <c r="X343" s="591"/>
      <c r="Y343" s="591"/>
    </row>
    <row r="344" spans="1:25" ht="14.85" customHeight="1">
      <c r="A344" s="619"/>
      <c r="B344" s="586"/>
      <c r="C344" s="259"/>
      <c r="D344" s="621"/>
      <c r="E344" s="157"/>
      <c r="F344" s="154"/>
      <c r="G344" s="223"/>
      <c r="H344" s="425"/>
      <c r="I344" s="154"/>
      <c r="J344" s="276"/>
      <c r="K344" s="311">
        <f t="shared" si="112"/>
        <v>0</v>
      </c>
      <c r="L344" s="312">
        <f t="shared" si="113"/>
        <v>0</v>
      </c>
      <c r="M344" s="313">
        <f t="shared" si="114"/>
        <v>0</v>
      </c>
      <c r="N344" s="320"/>
      <c r="O344" s="315">
        <f t="shared" si="115"/>
        <v>0</v>
      </c>
      <c r="P344" s="315">
        <f t="shared" si="116"/>
        <v>0</v>
      </c>
      <c r="Q344" s="320"/>
      <c r="R344" s="315">
        <f t="shared" si="117"/>
        <v>0</v>
      </c>
      <c r="S344" s="315">
        <f t="shared" si="118"/>
        <v>0</v>
      </c>
      <c r="T344" s="213"/>
      <c r="U344" s="213"/>
      <c r="V344" s="213"/>
      <c r="W344" s="213"/>
      <c r="X344" s="591"/>
      <c r="Y344" s="591"/>
    </row>
    <row r="345" spans="1:25" ht="14.85" customHeight="1">
      <c r="A345" s="619"/>
      <c r="B345" s="586"/>
      <c r="C345" s="259"/>
      <c r="D345" s="621"/>
      <c r="E345" s="157"/>
      <c r="F345" s="154"/>
      <c r="G345" s="223"/>
      <c r="H345" s="425"/>
      <c r="I345" s="154"/>
      <c r="J345" s="276"/>
      <c r="K345" s="311">
        <f t="shared" si="112"/>
        <v>0</v>
      </c>
      <c r="L345" s="312">
        <f t="shared" si="113"/>
        <v>0</v>
      </c>
      <c r="M345" s="313">
        <f t="shared" si="114"/>
        <v>0</v>
      </c>
      <c r="N345" s="320"/>
      <c r="O345" s="315">
        <f t="shared" si="115"/>
        <v>0</v>
      </c>
      <c r="P345" s="315">
        <f t="shared" si="116"/>
        <v>0</v>
      </c>
      <c r="Q345" s="320"/>
      <c r="R345" s="315">
        <f t="shared" si="117"/>
        <v>0</v>
      </c>
      <c r="S345" s="315">
        <f t="shared" si="118"/>
        <v>0</v>
      </c>
      <c r="T345" s="213"/>
      <c r="U345" s="213"/>
      <c r="V345" s="213"/>
      <c r="W345" s="213"/>
      <c r="X345" s="591"/>
      <c r="Y345" s="591"/>
    </row>
    <row r="346" spans="1:25" ht="14.85" customHeight="1">
      <c r="A346" s="619"/>
      <c r="B346" s="586"/>
      <c r="C346" s="259"/>
      <c r="D346" s="621"/>
      <c r="E346" s="157"/>
      <c r="F346" s="154"/>
      <c r="G346" s="223"/>
      <c r="H346" s="425"/>
      <c r="I346" s="154"/>
      <c r="J346" s="276"/>
      <c r="K346" s="311">
        <f t="shared" si="112"/>
        <v>0</v>
      </c>
      <c r="L346" s="312">
        <f t="shared" si="113"/>
        <v>0</v>
      </c>
      <c r="M346" s="313">
        <f t="shared" si="114"/>
        <v>0</v>
      </c>
      <c r="N346" s="320"/>
      <c r="O346" s="315">
        <f t="shared" si="115"/>
        <v>0</v>
      </c>
      <c r="P346" s="315">
        <f t="shared" si="116"/>
        <v>0</v>
      </c>
      <c r="Q346" s="320"/>
      <c r="R346" s="315">
        <f t="shared" si="117"/>
        <v>0</v>
      </c>
      <c r="S346" s="315">
        <f t="shared" si="118"/>
        <v>0</v>
      </c>
      <c r="T346" s="213"/>
      <c r="U346" s="213"/>
      <c r="V346" s="213"/>
      <c r="W346" s="213"/>
      <c r="X346" s="591"/>
      <c r="Y346" s="591"/>
    </row>
    <row r="347" spans="1:25" ht="14.85" customHeight="1">
      <c r="A347" s="619"/>
      <c r="B347" s="586"/>
      <c r="C347" s="259"/>
      <c r="D347" s="621"/>
      <c r="E347" s="157"/>
      <c r="F347" s="154"/>
      <c r="G347" s="223"/>
      <c r="H347" s="425"/>
      <c r="I347" s="154"/>
      <c r="J347" s="276"/>
      <c r="K347" s="311">
        <f t="shared" si="112"/>
        <v>0</v>
      </c>
      <c r="L347" s="312">
        <f t="shared" si="113"/>
        <v>0</v>
      </c>
      <c r="M347" s="313">
        <f t="shared" si="114"/>
        <v>0</v>
      </c>
      <c r="N347" s="320">
        <f>SUM(L342:L347)</f>
        <v>0</v>
      </c>
      <c r="O347" s="315">
        <f t="shared" si="115"/>
        <v>0</v>
      </c>
      <c r="P347" s="315">
        <f t="shared" si="116"/>
        <v>0</v>
      </c>
      <c r="Q347" s="320">
        <f>N347</f>
        <v>0</v>
      </c>
      <c r="R347" s="315">
        <f t="shared" si="117"/>
        <v>0</v>
      </c>
      <c r="S347" s="315">
        <f t="shared" si="118"/>
        <v>0</v>
      </c>
      <c r="T347" s="213"/>
      <c r="U347" s="213"/>
      <c r="V347" s="213"/>
      <c r="W347" s="213"/>
      <c r="X347" s="591"/>
      <c r="Y347" s="591"/>
    </row>
    <row r="348" spans="1:25" ht="14.85" customHeight="1">
      <c r="A348" s="619"/>
      <c r="B348" s="586"/>
      <c r="C348" s="259"/>
      <c r="D348" s="621"/>
      <c r="E348" s="157"/>
      <c r="F348" s="154"/>
      <c r="G348" s="223"/>
      <c r="H348" s="425"/>
      <c r="I348" s="154"/>
      <c r="J348" s="276"/>
      <c r="K348" s="311"/>
      <c r="L348" s="312"/>
      <c r="M348" s="313"/>
      <c r="N348" s="320"/>
      <c r="O348" s="315">
        <f t="shared" si="115"/>
        <v>0</v>
      </c>
      <c r="P348" s="315">
        <f t="shared" si="116"/>
        <v>0</v>
      </c>
      <c r="Q348" s="320"/>
      <c r="R348" s="315">
        <f t="shared" si="117"/>
        <v>0</v>
      </c>
      <c r="S348" s="315">
        <f t="shared" si="118"/>
        <v>0</v>
      </c>
      <c r="T348" s="213"/>
      <c r="U348" s="213"/>
      <c r="V348" s="213"/>
      <c r="W348" s="213"/>
      <c r="X348" s="591"/>
      <c r="Y348" s="591"/>
    </row>
    <row r="349" spans="1:25" ht="14.85" customHeight="1">
      <c r="A349" s="619"/>
      <c r="B349" s="586"/>
      <c r="C349" s="259"/>
      <c r="D349" s="621"/>
      <c r="E349" s="157"/>
      <c r="F349" s="154"/>
      <c r="G349" s="254"/>
      <c r="H349" s="262"/>
      <c r="I349" s="154"/>
      <c r="J349" s="276"/>
      <c r="K349" s="311">
        <f t="shared" si="112"/>
        <v>0</v>
      </c>
      <c r="L349" s="312">
        <f t="shared" si="113"/>
        <v>0</v>
      </c>
      <c r="M349" s="313">
        <f t="shared" si="114"/>
        <v>0</v>
      </c>
      <c r="N349" s="320">
        <f>L349</f>
        <v>0</v>
      </c>
      <c r="O349" s="315">
        <f t="shared" si="115"/>
        <v>0</v>
      </c>
      <c r="P349" s="315">
        <f t="shared" si="116"/>
        <v>0</v>
      </c>
      <c r="Q349" s="320">
        <f>N349</f>
        <v>0</v>
      </c>
      <c r="R349" s="315">
        <f t="shared" si="117"/>
        <v>0</v>
      </c>
      <c r="S349" s="315">
        <f t="shared" si="118"/>
        <v>0</v>
      </c>
      <c r="T349" s="213"/>
      <c r="U349" s="213"/>
      <c r="V349" s="213"/>
      <c r="W349" s="213"/>
      <c r="X349" s="591"/>
      <c r="Y349" s="591"/>
    </row>
    <row r="350" spans="1:25" ht="14.85" customHeight="1">
      <c r="A350" s="619"/>
      <c r="B350" s="586"/>
      <c r="C350" s="259"/>
      <c r="D350" s="621"/>
      <c r="E350" s="157"/>
      <c r="F350" s="154"/>
      <c r="G350" s="254"/>
      <c r="H350" s="262"/>
      <c r="I350" s="154"/>
      <c r="J350" s="276"/>
      <c r="K350" s="311"/>
      <c r="L350" s="312"/>
      <c r="M350" s="313"/>
      <c r="N350" s="320"/>
      <c r="O350" s="315">
        <f t="shared" si="115"/>
        <v>0</v>
      </c>
      <c r="P350" s="315">
        <f t="shared" si="116"/>
        <v>0</v>
      </c>
      <c r="Q350" s="320"/>
      <c r="R350" s="315">
        <f t="shared" si="117"/>
        <v>0</v>
      </c>
      <c r="S350" s="315">
        <f t="shared" si="118"/>
        <v>0</v>
      </c>
      <c r="T350" s="213"/>
      <c r="U350" s="213"/>
      <c r="V350" s="213"/>
      <c r="W350" s="213"/>
      <c r="X350" s="591"/>
      <c r="Y350" s="591"/>
    </row>
    <row r="351" spans="1:25" ht="14.85" customHeight="1">
      <c r="A351" s="619"/>
      <c r="B351" s="586"/>
      <c r="C351" s="259"/>
      <c r="D351" s="621"/>
      <c r="E351" s="157"/>
      <c r="F351" s="154"/>
      <c r="G351" s="254"/>
      <c r="H351" s="262"/>
      <c r="I351" s="154"/>
      <c r="J351" s="276"/>
      <c r="K351" s="311">
        <f t="shared" si="112"/>
        <v>0</v>
      </c>
      <c r="L351" s="312">
        <f t="shared" si="113"/>
        <v>0</v>
      </c>
      <c r="M351" s="313">
        <f t="shared" si="114"/>
        <v>0</v>
      </c>
      <c r="N351" s="320"/>
      <c r="O351" s="315">
        <f t="shared" si="115"/>
        <v>0</v>
      </c>
      <c r="P351" s="315">
        <f t="shared" si="116"/>
        <v>0</v>
      </c>
      <c r="Q351" s="320"/>
      <c r="R351" s="315">
        <f t="shared" si="117"/>
        <v>0</v>
      </c>
      <c r="S351" s="315">
        <f t="shared" si="118"/>
        <v>0</v>
      </c>
      <c r="T351" s="213"/>
      <c r="U351" s="213"/>
      <c r="V351" s="213"/>
      <c r="W351" s="213"/>
      <c r="X351" s="591"/>
      <c r="Y351" s="591"/>
    </row>
    <row r="352" spans="1:25" ht="14.85" customHeight="1">
      <c r="A352" s="619"/>
      <c r="B352" s="586"/>
      <c r="C352" s="259"/>
      <c r="D352" s="621"/>
      <c r="E352" s="323"/>
      <c r="F352" s="154"/>
      <c r="G352" s="223"/>
      <c r="H352" s="425"/>
      <c r="I352" s="154"/>
      <c r="J352" s="276"/>
      <c r="K352" s="311">
        <f t="shared" si="112"/>
        <v>0</v>
      </c>
      <c r="L352" s="312">
        <f t="shared" si="113"/>
        <v>0</v>
      </c>
      <c r="M352" s="313">
        <f t="shared" si="114"/>
        <v>0</v>
      </c>
      <c r="N352" s="320"/>
      <c r="O352" s="315">
        <f t="shared" si="115"/>
        <v>0</v>
      </c>
      <c r="P352" s="315">
        <f t="shared" si="116"/>
        <v>0</v>
      </c>
      <c r="Q352" s="320"/>
      <c r="R352" s="315">
        <f t="shared" si="117"/>
        <v>0</v>
      </c>
      <c r="S352" s="315">
        <f t="shared" si="118"/>
        <v>0</v>
      </c>
      <c r="T352" s="213"/>
      <c r="U352" s="213"/>
      <c r="V352" s="213"/>
      <c r="W352" s="213"/>
      <c r="X352" s="591"/>
      <c r="Y352" s="591"/>
    </row>
    <row r="353" spans="1:25" ht="14.85" customHeight="1">
      <c r="A353" s="619"/>
      <c r="B353" s="586"/>
      <c r="C353" s="259"/>
      <c r="D353" s="621"/>
      <c r="E353" s="324"/>
      <c r="F353" s="154"/>
      <c r="G353" s="223"/>
      <c r="H353" s="425"/>
      <c r="I353" s="154"/>
      <c r="J353" s="276"/>
      <c r="K353" s="311">
        <f t="shared" si="112"/>
        <v>0</v>
      </c>
      <c r="L353" s="312">
        <f t="shared" si="113"/>
        <v>0</v>
      </c>
      <c r="M353" s="313">
        <f t="shared" si="114"/>
        <v>0</v>
      </c>
      <c r="N353" s="320"/>
      <c r="O353" s="315">
        <f t="shared" si="115"/>
        <v>0</v>
      </c>
      <c r="P353" s="315">
        <f t="shared" si="116"/>
        <v>0</v>
      </c>
      <c r="Q353" s="320"/>
      <c r="R353" s="315">
        <f t="shared" si="117"/>
        <v>0</v>
      </c>
      <c r="S353" s="315">
        <f t="shared" si="118"/>
        <v>0</v>
      </c>
      <c r="T353" s="213"/>
      <c r="U353" s="213"/>
      <c r="V353" s="213"/>
      <c r="W353" s="213"/>
      <c r="X353" s="591"/>
      <c r="Y353" s="591"/>
    </row>
    <row r="354" spans="1:25" ht="14.85" customHeight="1">
      <c r="A354" s="619"/>
      <c r="B354" s="586"/>
      <c r="C354" s="259"/>
      <c r="D354" s="621"/>
      <c r="E354" s="324"/>
      <c r="F354" s="154"/>
      <c r="G354" s="223"/>
      <c r="H354" s="425"/>
      <c r="I354" s="154"/>
      <c r="J354" s="276"/>
      <c r="K354" s="311">
        <f t="shared" si="112"/>
        <v>0</v>
      </c>
      <c r="L354" s="312">
        <f t="shared" si="113"/>
        <v>0</v>
      </c>
      <c r="M354" s="313">
        <f t="shared" si="114"/>
        <v>0</v>
      </c>
      <c r="N354" s="320"/>
      <c r="O354" s="315">
        <f t="shared" si="115"/>
        <v>0</v>
      </c>
      <c r="P354" s="315">
        <f t="shared" si="116"/>
        <v>0</v>
      </c>
      <c r="Q354" s="320"/>
      <c r="R354" s="315">
        <f t="shared" si="117"/>
        <v>0</v>
      </c>
      <c r="S354" s="315">
        <f t="shared" si="118"/>
        <v>0</v>
      </c>
      <c r="T354" s="213"/>
      <c r="U354" s="213"/>
      <c r="V354" s="213"/>
      <c r="W354" s="213"/>
      <c r="X354" s="591"/>
      <c r="Y354" s="591"/>
    </row>
    <row r="355" spans="1:25" ht="14.85" customHeight="1">
      <c r="A355" s="619"/>
      <c r="B355" s="586"/>
      <c r="C355" s="259"/>
      <c r="D355" s="621"/>
      <c r="E355" s="324"/>
      <c r="F355" s="154"/>
      <c r="G355" s="223"/>
      <c r="H355" s="425"/>
      <c r="I355" s="154"/>
      <c r="J355" s="276"/>
      <c r="K355" s="311">
        <f t="shared" si="112"/>
        <v>0</v>
      </c>
      <c r="L355" s="312">
        <f t="shared" si="113"/>
        <v>0</v>
      </c>
      <c r="M355" s="313">
        <f t="shared" si="114"/>
        <v>0</v>
      </c>
      <c r="N355" s="320"/>
      <c r="O355" s="315">
        <f t="shared" ref="O355:O392" si="119">ROUNDDOWN((N355/$O$11),0)</f>
        <v>0</v>
      </c>
      <c r="P355" s="315">
        <f t="shared" ref="P355:P392" si="120">ROUND((N355-(O355*$P$11)),0)</f>
        <v>0</v>
      </c>
      <c r="Q355" s="320"/>
      <c r="R355" s="315">
        <f t="shared" si="117"/>
        <v>0</v>
      </c>
      <c r="S355" s="315">
        <f t="shared" si="118"/>
        <v>0</v>
      </c>
      <c r="T355" s="213"/>
      <c r="U355" s="213"/>
      <c r="V355" s="213"/>
      <c r="W355" s="213"/>
      <c r="X355" s="591"/>
      <c r="Y355" s="591"/>
    </row>
    <row r="356" spans="1:25" ht="14.85" customHeight="1">
      <c r="A356" s="619"/>
      <c r="B356" s="586"/>
      <c r="C356" s="259"/>
      <c r="D356" s="621"/>
      <c r="E356" s="324"/>
      <c r="F356" s="154"/>
      <c r="G356" s="223"/>
      <c r="H356" s="425"/>
      <c r="I356" s="154"/>
      <c r="J356" s="276"/>
      <c r="K356" s="311">
        <f t="shared" si="112"/>
        <v>0</v>
      </c>
      <c r="L356" s="312">
        <f t="shared" si="113"/>
        <v>0</v>
      </c>
      <c r="M356" s="313">
        <f t="shared" si="114"/>
        <v>0</v>
      </c>
      <c r="N356" s="320">
        <f>SUM(L351:L356)</f>
        <v>0</v>
      </c>
      <c r="O356" s="315">
        <f t="shared" si="119"/>
        <v>0</v>
      </c>
      <c r="P356" s="315">
        <f t="shared" si="120"/>
        <v>0</v>
      </c>
      <c r="Q356" s="320"/>
      <c r="R356" s="315">
        <f t="shared" si="117"/>
        <v>0</v>
      </c>
      <c r="S356" s="315">
        <f t="shared" si="118"/>
        <v>0</v>
      </c>
      <c r="T356" s="213"/>
      <c r="U356" s="213"/>
      <c r="V356" s="213"/>
      <c r="W356" s="213"/>
      <c r="X356" s="591"/>
      <c r="Y356" s="591"/>
    </row>
    <row r="357" spans="1:25" ht="14.85" customHeight="1">
      <c r="A357" s="619"/>
      <c r="B357" s="586"/>
      <c r="C357" s="259"/>
      <c r="D357" s="621"/>
      <c r="E357" s="157"/>
      <c r="F357" s="154"/>
      <c r="G357" s="223"/>
      <c r="H357" s="425"/>
      <c r="I357" s="154"/>
      <c r="J357" s="276"/>
      <c r="K357" s="311">
        <f t="shared" si="112"/>
        <v>0</v>
      </c>
      <c r="L357" s="312">
        <f t="shared" si="113"/>
        <v>0</v>
      </c>
      <c r="M357" s="313">
        <f t="shared" si="114"/>
        <v>0</v>
      </c>
      <c r="N357" s="320"/>
      <c r="O357" s="315">
        <f t="shared" si="119"/>
        <v>0</v>
      </c>
      <c r="P357" s="315">
        <f t="shared" si="120"/>
        <v>0</v>
      </c>
      <c r="Q357" s="320"/>
      <c r="R357" s="315">
        <f t="shared" si="117"/>
        <v>0</v>
      </c>
      <c r="S357" s="315">
        <f t="shared" si="118"/>
        <v>0</v>
      </c>
      <c r="T357" s="213"/>
      <c r="U357" s="213"/>
      <c r="V357" s="213"/>
      <c r="W357" s="213"/>
      <c r="X357" s="591"/>
      <c r="Y357" s="591"/>
    </row>
    <row r="358" spans="1:25" ht="14.85" customHeight="1">
      <c r="A358" s="619"/>
      <c r="B358" s="586"/>
      <c r="C358" s="259"/>
      <c r="D358" s="621"/>
      <c r="E358" s="157"/>
      <c r="F358" s="154"/>
      <c r="G358" s="223"/>
      <c r="H358" s="425"/>
      <c r="I358" s="154"/>
      <c r="J358" s="276"/>
      <c r="K358" s="311">
        <f t="shared" si="112"/>
        <v>0</v>
      </c>
      <c r="L358" s="312">
        <f t="shared" si="113"/>
        <v>0</v>
      </c>
      <c r="M358" s="313">
        <f t="shared" si="114"/>
        <v>0</v>
      </c>
      <c r="N358" s="320"/>
      <c r="O358" s="315">
        <f t="shared" si="119"/>
        <v>0</v>
      </c>
      <c r="P358" s="315">
        <f t="shared" si="120"/>
        <v>0</v>
      </c>
      <c r="Q358" s="320"/>
      <c r="R358" s="315">
        <f t="shared" si="117"/>
        <v>0</v>
      </c>
      <c r="S358" s="315">
        <f t="shared" si="118"/>
        <v>0</v>
      </c>
      <c r="T358" s="213"/>
      <c r="U358" s="213"/>
      <c r="V358" s="213"/>
      <c r="W358" s="213"/>
      <c r="X358" s="591"/>
      <c r="Y358" s="591"/>
    </row>
    <row r="359" spans="1:25" ht="14.85" customHeight="1">
      <c r="A359" s="619"/>
      <c r="B359" s="586"/>
      <c r="C359" s="259"/>
      <c r="D359" s="621"/>
      <c r="E359" s="157"/>
      <c r="F359" s="154"/>
      <c r="G359" s="223"/>
      <c r="H359" s="425"/>
      <c r="I359" s="154"/>
      <c r="J359" s="276"/>
      <c r="K359" s="311">
        <f t="shared" si="112"/>
        <v>0</v>
      </c>
      <c r="L359" s="312">
        <f t="shared" si="113"/>
        <v>0</v>
      </c>
      <c r="M359" s="313">
        <f t="shared" si="114"/>
        <v>0</v>
      </c>
      <c r="N359" s="320">
        <f>SUM(L357:L359)</f>
        <v>0</v>
      </c>
      <c r="O359" s="315">
        <f t="shared" si="119"/>
        <v>0</v>
      </c>
      <c r="P359" s="315">
        <f t="shared" si="120"/>
        <v>0</v>
      </c>
      <c r="Q359" s="320"/>
      <c r="R359" s="315">
        <f t="shared" si="117"/>
        <v>0</v>
      </c>
      <c r="S359" s="315">
        <f t="shared" si="118"/>
        <v>0</v>
      </c>
      <c r="T359" s="213"/>
      <c r="U359" s="213"/>
      <c r="V359" s="213"/>
      <c r="W359" s="213"/>
      <c r="X359" s="591"/>
      <c r="Y359" s="591"/>
    </row>
    <row r="360" spans="1:25" ht="14.85" customHeight="1">
      <c r="A360" s="619"/>
      <c r="B360" s="586"/>
      <c r="C360" s="259"/>
      <c r="D360" s="621"/>
      <c r="E360" s="157"/>
      <c r="F360" s="154"/>
      <c r="G360" s="254"/>
      <c r="H360" s="262"/>
      <c r="I360" s="154"/>
      <c r="J360" s="276"/>
      <c r="K360" s="311">
        <f t="shared" si="112"/>
        <v>0</v>
      </c>
      <c r="L360" s="312">
        <f t="shared" si="113"/>
        <v>0</v>
      </c>
      <c r="M360" s="313">
        <f t="shared" si="114"/>
        <v>0</v>
      </c>
      <c r="N360" s="320"/>
      <c r="O360" s="315">
        <f t="shared" si="119"/>
        <v>0</v>
      </c>
      <c r="P360" s="315">
        <f t="shared" si="120"/>
        <v>0</v>
      </c>
      <c r="Q360" s="320"/>
      <c r="R360" s="315">
        <f t="shared" si="117"/>
        <v>0</v>
      </c>
      <c r="S360" s="315">
        <f t="shared" si="118"/>
        <v>0</v>
      </c>
      <c r="T360" s="213"/>
      <c r="U360" s="213"/>
      <c r="V360" s="213"/>
      <c r="W360" s="213"/>
      <c r="X360" s="591"/>
      <c r="Y360" s="591"/>
    </row>
    <row r="361" spans="1:25" ht="14.85" customHeight="1">
      <c r="A361" s="619"/>
      <c r="B361" s="586"/>
      <c r="C361" s="259"/>
      <c r="D361" s="621"/>
      <c r="E361" s="157"/>
      <c r="F361" s="154"/>
      <c r="G361" s="254"/>
      <c r="H361" s="262"/>
      <c r="I361" s="154"/>
      <c r="J361" s="276"/>
      <c r="K361" s="311">
        <f t="shared" si="112"/>
        <v>0</v>
      </c>
      <c r="L361" s="312">
        <f t="shared" si="113"/>
        <v>0</v>
      </c>
      <c r="M361" s="313">
        <f t="shared" si="114"/>
        <v>0</v>
      </c>
      <c r="N361" s="320"/>
      <c r="O361" s="315">
        <f t="shared" si="119"/>
        <v>0</v>
      </c>
      <c r="P361" s="315">
        <f t="shared" si="120"/>
        <v>0</v>
      </c>
      <c r="Q361" s="320"/>
      <c r="R361" s="315">
        <f t="shared" si="117"/>
        <v>0</v>
      </c>
      <c r="S361" s="315">
        <f t="shared" si="118"/>
        <v>0</v>
      </c>
      <c r="T361" s="213"/>
      <c r="U361" s="213"/>
      <c r="V361" s="213"/>
      <c r="W361" s="213"/>
      <c r="X361" s="591"/>
      <c r="Y361" s="591"/>
    </row>
    <row r="362" spans="1:25" ht="14.85" customHeight="1">
      <c r="A362" s="619"/>
      <c r="B362" s="586"/>
      <c r="C362" s="259"/>
      <c r="D362" s="621"/>
      <c r="E362" s="157"/>
      <c r="F362" s="154"/>
      <c r="G362" s="254"/>
      <c r="H362" s="262"/>
      <c r="I362" s="154"/>
      <c r="J362" s="276"/>
      <c r="K362" s="311">
        <f t="shared" si="112"/>
        <v>0</v>
      </c>
      <c r="L362" s="312">
        <f t="shared" si="113"/>
        <v>0</v>
      </c>
      <c r="M362" s="313">
        <f t="shared" si="114"/>
        <v>0</v>
      </c>
      <c r="N362" s="320"/>
      <c r="O362" s="315">
        <f t="shared" si="119"/>
        <v>0</v>
      </c>
      <c r="P362" s="315">
        <f t="shared" si="120"/>
        <v>0</v>
      </c>
      <c r="Q362" s="320"/>
      <c r="R362" s="315">
        <f t="shared" si="117"/>
        <v>0</v>
      </c>
      <c r="S362" s="315">
        <f t="shared" si="118"/>
        <v>0</v>
      </c>
      <c r="T362" s="213"/>
      <c r="U362" s="213"/>
      <c r="V362" s="213"/>
      <c r="W362" s="213"/>
      <c r="X362" s="591"/>
      <c r="Y362" s="591"/>
    </row>
    <row r="363" spans="1:25" ht="14.85" customHeight="1">
      <c r="A363" s="619"/>
      <c r="B363" s="586"/>
      <c r="C363" s="259"/>
      <c r="D363" s="621"/>
      <c r="E363" s="157"/>
      <c r="F363" s="154"/>
      <c r="G363" s="254"/>
      <c r="H363" s="262"/>
      <c r="I363" s="154"/>
      <c r="J363" s="276"/>
      <c r="K363" s="311">
        <f t="shared" si="112"/>
        <v>0</v>
      </c>
      <c r="L363" s="312">
        <f t="shared" si="113"/>
        <v>0</v>
      </c>
      <c r="M363" s="313">
        <f t="shared" si="114"/>
        <v>0</v>
      </c>
      <c r="N363" s="320"/>
      <c r="O363" s="315">
        <f t="shared" si="119"/>
        <v>0</v>
      </c>
      <c r="P363" s="315">
        <f t="shared" si="120"/>
        <v>0</v>
      </c>
      <c r="Q363" s="320"/>
      <c r="R363" s="315">
        <f t="shared" si="117"/>
        <v>0</v>
      </c>
      <c r="S363" s="315">
        <f t="shared" si="118"/>
        <v>0</v>
      </c>
      <c r="T363" s="213"/>
      <c r="U363" s="213"/>
      <c r="V363" s="213"/>
      <c r="W363" s="213"/>
      <c r="X363" s="591"/>
      <c r="Y363" s="591"/>
    </row>
    <row r="364" spans="1:25" ht="14.85" customHeight="1">
      <c r="A364" s="619"/>
      <c r="B364" s="586"/>
      <c r="C364" s="259"/>
      <c r="D364" s="621"/>
      <c r="E364" s="157"/>
      <c r="F364" s="154"/>
      <c r="G364" s="254"/>
      <c r="H364" s="262"/>
      <c r="I364" s="154"/>
      <c r="J364" s="276"/>
      <c r="K364" s="311">
        <f t="shared" si="112"/>
        <v>0</v>
      </c>
      <c r="L364" s="312">
        <f t="shared" si="113"/>
        <v>0</v>
      </c>
      <c r="M364" s="313">
        <f t="shared" si="114"/>
        <v>0</v>
      </c>
      <c r="N364" s="320">
        <f>SUM(L360:L364)</f>
        <v>0</v>
      </c>
      <c r="O364" s="315">
        <f t="shared" si="119"/>
        <v>0</v>
      </c>
      <c r="P364" s="315">
        <f t="shared" si="120"/>
        <v>0</v>
      </c>
      <c r="Q364" s="320">
        <f>N356+N359+N364</f>
        <v>0</v>
      </c>
      <c r="R364" s="315">
        <f t="shared" si="117"/>
        <v>0</v>
      </c>
      <c r="S364" s="315">
        <f t="shared" si="118"/>
        <v>0</v>
      </c>
      <c r="T364" s="213"/>
      <c r="U364" s="213"/>
      <c r="V364" s="213"/>
      <c r="W364" s="213"/>
      <c r="X364" s="591"/>
      <c r="Y364" s="591"/>
    </row>
    <row r="365" spans="1:25" ht="14.85" customHeight="1">
      <c r="A365" s="619"/>
      <c r="B365" s="586"/>
      <c r="C365" s="259"/>
      <c r="D365" s="621"/>
      <c r="E365" s="157"/>
      <c r="F365" s="154"/>
      <c r="G365" s="254"/>
      <c r="H365" s="262"/>
      <c r="I365" s="154"/>
      <c r="J365" s="276"/>
      <c r="K365" s="311"/>
      <c r="L365" s="312"/>
      <c r="M365" s="313"/>
      <c r="N365" s="320"/>
      <c r="O365" s="315">
        <f t="shared" si="119"/>
        <v>0</v>
      </c>
      <c r="P365" s="315">
        <f t="shared" si="120"/>
        <v>0</v>
      </c>
      <c r="Q365" s="320"/>
      <c r="R365" s="315">
        <f t="shared" si="117"/>
        <v>0</v>
      </c>
      <c r="S365" s="315">
        <f t="shared" si="118"/>
        <v>0</v>
      </c>
      <c r="T365" s="213"/>
      <c r="U365" s="213"/>
      <c r="V365" s="213"/>
      <c r="W365" s="213"/>
      <c r="X365" s="591"/>
      <c r="Y365" s="591"/>
    </row>
    <row r="366" spans="1:25" ht="14.85" customHeight="1">
      <c r="A366" s="619"/>
      <c r="B366" s="586"/>
      <c r="C366" s="259"/>
      <c r="D366" s="621"/>
      <c r="E366" s="323"/>
      <c r="F366" s="154"/>
      <c r="G366" s="254"/>
      <c r="H366" s="262"/>
      <c r="I366" s="154"/>
      <c r="J366" s="276"/>
      <c r="K366" s="311">
        <f t="shared" si="112"/>
        <v>0</v>
      </c>
      <c r="L366" s="312">
        <f t="shared" si="113"/>
        <v>0</v>
      </c>
      <c r="M366" s="313">
        <f t="shared" si="114"/>
        <v>0</v>
      </c>
      <c r="N366" s="320"/>
      <c r="O366" s="315">
        <f t="shared" si="119"/>
        <v>0</v>
      </c>
      <c r="P366" s="315">
        <f t="shared" si="120"/>
        <v>0</v>
      </c>
      <c r="Q366" s="320"/>
      <c r="R366" s="315">
        <f t="shared" si="117"/>
        <v>0</v>
      </c>
      <c r="S366" s="315">
        <f t="shared" si="118"/>
        <v>0</v>
      </c>
      <c r="T366" s="213"/>
      <c r="U366" s="213"/>
      <c r="V366" s="213"/>
      <c r="W366" s="213"/>
      <c r="X366" s="591"/>
      <c r="Y366" s="591"/>
    </row>
    <row r="367" spans="1:25" ht="14.85" customHeight="1">
      <c r="A367" s="619"/>
      <c r="B367" s="586"/>
      <c r="C367" s="259"/>
      <c r="D367" s="621"/>
      <c r="E367" s="324"/>
      <c r="F367" s="154"/>
      <c r="G367" s="254"/>
      <c r="H367" s="262"/>
      <c r="I367" s="154"/>
      <c r="J367" s="276"/>
      <c r="K367" s="311">
        <f t="shared" si="112"/>
        <v>0</v>
      </c>
      <c r="L367" s="312">
        <f t="shared" si="113"/>
        <v>0</v>
      </c>
      <c r="M367" s="313">
        <f t="shared" si="114"/>
        <v>0</v>
      </c>
      <c r="N367" s="320"/>
      <c r="O367" s="315">
        <f t="shared" si="119"/>
        <v>0</v>
      </c>
      <c r="P367" s="315">
        <f t="shared" si="120"/>
        <v>0</v>
      </c>
      <c r="Q367" s="320"/>
      <c r="R367" s="315">
        <f t="shared" si="117"/>
        <v>0</v>
      </c>
      <c r="S367" s="315">
        <f t="shared" si="118"/>
        <v>0</v>
      </c>
      <c r="T367" s="213"/>
      <c r="U367" s="213"/>
      <c r="V367" s="213"/>
      <c r="W367" s="213"/>
      <c r="X367" s="591"/>
      <c r="Y367" s="591"/>
    </row>
    <row r="368" spans="1:25" ht="14.85" customHeight="1">
      <c r="A368" s="619"/>
      <c r="B368" s="586"/>
      <c r="C368" s="259"/>
      <c r="D368" s="621"/>
      <c r="E368" s="324"/>
      <c r="F368" s="154"/>
      <c r="G368" s="254"/>
      <c r="H368" s="262"/>
      <c r="I368" s="154"/>
      <c r="J368" s="276"/>
      <c r="K368" s="311">
        <f t="shared" si="112"/>
        <v>0</v>
      </c>
      <c r="L368" s="312">
        <f t="shared" si="113"/>
        <v>0</v>
      </c>
      <c r="M368" s="313">
        <f t="shared" si="114"/>
        <v>0</v>
      </c>
      <c r="N368" s="320">
        <f>SUM(L366:L368)</f>
        <v>0</v>
      </c>
      <c r="O368" s="315">
        <f t="shared" si="119"/>
        <v>0</v>
      </c>
      <c r="P368" s="315">
        <f t="shared" si="120"/>
        <v>0</v>
      </c>
      <c r="Q368" s="320">
        <f>N368</f>
        <v>0</v>
      </c>
      <c r="R368" s="315">
        <f t="shared" si="117"/>
        <v>0</v>
      </c>
      <c r="S368" s="315">
        <f t="shared" si="118"/>
        <v>0</v>
      </c>
      <c r="T368" s="213"/>
      <c r="U368" s="213"/>
      <c r="V368" s="213"/>
      <c r="W368" s="213"/>
      <c r="X368" s="591"/>
      <c r="Y368" s="591"/>
    </row>
    <row r="369" spans="1:25" ht="14.85" customHeight="1">
      <c r="A369" s="619"/>
      <c r="B369" s="586"/>
      <c r="C369" s="259"/>
      <c r="D369" s="621"/>
      <c r="E369" s="324"/>
      <c r="F369" s="154"/>
      <c r="G369" s="254"/>
      <c r="H369" s="262"/>
      <c r="I369" s="154"/>
      <c r="J369" s="276"/>
      <c r="K369" s="311"/>
      <c r="L369" s="312"/>
      <c r="M369" s="313"/>
      <c r="N369" s="320"/>
      <c r="O369" s="315">
        <f t="shared" si="119"/>
        <v>0</v>
      </c>
      <c r="P369" s="315">
        <f t="shared" si="120"/>
        <v>0</v>
      </c>
      <c r="Q369" s="320"/>
      <c r="R369" s="315">
        <f t="shared" si="117"/>
        <v>0</v>
      </c>
      <c r="S369" s="315">
        <f t="shared" si="118"/>
        <v>0</v>
      </c>
      <c r="T369" s="213"/>
      <c r="U369" s="213"/>
      <c r="V369" s="213"/>
      <c r="W369" s="213"/>
      <c r="X369" s="591"/>
      <c r="Y369" s="591"/>
    </row>
    <row r="370" spans="1:25" ht="14.85" customHeight="1">
      <c r="A370" s="619"/>
      <c r="B370" s="586"/>
      <c r="C370" s="259"/>
      <c r="D370" s="621"/>
      <c r="E370" s="157"/>
      <c r="F370" s="154"/>
      <c r="G370" s="223"/>
      <c r="H370" s="425"/>
      <c r="I370" s="154"/>
      <c r="J370" s="276"/>
      <c r="K370" s="311">
        <f t="shared" si="112"/>
        <v>0</v>
      </c>
      <c r="L370" s="312">
        <f t="shared" si="113"/>
        <v>0</v>
      </c>
      <c r="M370" s="313">
        <f t="shared" si="114"/>
        <v>0</v>
      </c>
      <c r="N370" s="320"/>
      <c r="O370" s="315">
        <f t="shared" si="119"/>
        <v>0</v>
      </c>
      <c r="P370" s="315">
        <f t="shared" si="120"/>
        <v>0</v>
      </c>
      <c r="Q370" s="320"/>
      <c r="R370" s="315">
        <f t="shared" si="117"/>
        <v>0</v>
      </c>
      <c r="S370" s="315">
        <f t="shared" si="118"/>
        <v>0</v>
      </c>
      <c r="T370" s="213"/>
      <c r="U370" s="213"/>
      <c r="V370" s="213"/>
      <c r="W370" s="213"/>
      <c r="X370" s="591"/>
      <c r="Y370" s="591"/>
    </row>
    <row r="371" spans="1:25" ht="14.85" customHeight="1">
      <c r="A371" s="619"/>
      <c r="B371" s="586"/>
      <c r="C371" s="259"/>
      <c r="D371" s="621"/>
      <c r="E371" s="157"/>
      <c r="F371" s="154"/>
      <c r="G371" s="223"/>
      <c r="H371" s="425"/>
      <c r="I371" s="154"/>
      <c r="J371" s="276"/>
      <c r="K371" s="311">
        <f t="shared" si="112"/>
        <v>0</v>
      </c>
      <c r="L371" s="312">
        <f t="shared" si="113"/>
        <v>0</v>
      </c>
      <c r="M371" s="313">
        <f t="shared" si="114"/>
        <v>0</v>
      </c>
      <c r="N371" s="320"/>
      <c r="O371" s="315">
        <f t="shared" si="119"/>
        <v>0</v>
      </c>
      <c r="P371" s="315">
        <f t="shared" si="120"/>
        <v>0</v>
      </c>
      <c r="Q371" s="320"/>
      <c r="R371" s="315">
        <f t="shared" si="117"/>
        <v>0</v>
      </c>
      <c r="S371" s="315">
        <f t="shared" si="118"/>
        <v>0</v>
      </c>
      <c r="T371" s="213"/>
      <c r="U371" s="213"/>
      <c r="V371" s="213"/>
      <c r="W371" s="213"/>
      <c r="X371" s="591"/>
      <c r="Y371" s="591"/>
    </row>
    <row r="372" spans="1:25" ht="14.85" customHeight="1">
      <c r="A372" s="619"/>
      <c r="B372" s="586"/>
      <c r="C372" s="259"/>
      <c r="D372" s="621"/>
      <c r="E372" s="157"/>
      <c r="F372" s="154"/>
      <c r="G372" s="223"/>
      <c r="H372" s="425"/>
      <c r="I372" s="154"/>
      <c r="J372" s="276"/>
      <c r="K372" s="311">
        <f t="shared" si="112"/>
        <v>0</v>
      </c>
      <c r="L372" s="312">
        <f t="shared" si="113"/>
        <v>0</v>
      </c>
      <c r="M372" s="313">
        <f t="shared" si="114"/>
        <v>0</v>
      </c>
      <c r="N372" s="320"/>
      <c r="O372" s="315">
        <f t="shared" si="119"/>
        <v>0</v>
      </c>
      <c r="P372" s="315">
        <f t="shared" si="120"/>
        <v>0</v>
      </c>
      <c r="Q372" s="320"/>
      <c r="R372" s="315">
        <f t="shared" si="117"/>
        <v>0</v>
      </c>
      <c r="S372" s="315">
        <f t="shared" si="118"/>
        <v>0</v>
      </c>
      <c r="T372" s="213"/>
      <c r="U372" s="213"/>
      <c r="V372" s="213"/>
      <c r="W372" s="213"/>
      <c r="X372" s="591"/>
      <c r="Y372" s="591"/>
    </row>
    <row r="373" spans="1:25" ht="14.85" customHeight="1">
      <c r="A373" s="619"/>
      <c r="B373" s="586"/>
      <c r="C373" s="259"/>
      <c r="D373" s="621"/>
      <c r="E373" s="157"/>
      <c r="F373" s="154"/>
      <c r="G373" s="223"/>
      <c r="H373" s="425"/>
      <c r="I373" s="154"/>
      <c r="J373" s="276"/>
      <c r="K373" s="311">
        <f t="shared" si="112"/>
        <v>0</v>
      </c>
      <c r="L373" s="312">
        <f t="shared" si="113"/>
        <v>0</v>
      </c>
      <c r="M373" s="313">
        <f t="shared" si="114"/>
        <v>0</v>
      </c>
      <c r="N373" s="320"/>
      <c r="O373" s="315">
        <f t="shared" si="119"/>
        <v>0</v>
      </c>
      <c r="P373" s="315">
        <f t="shared" si="120"/>
        <v>0</v>
      </c>
      <c r="Q373" s="320"/>
      <c r="R373" s="315">
        <f t="shared" si="117"/>
        <v>0</v>
      </c>
      <c r="S373" s="315">
        <f t="shared" si="118"/>
        <v>0</v>
      </c>
      <c r="T373" s="213"/>
      <c r="U373" s="213"/>
      <c r="V373" s="213"/>
      <c r="W373" s="213"/>
      <c r="X373" s="591"/>
      <c r="Y373" s="591"/>
    </row>
    <row r="374" spans="1:25" ht="14.85" customHeight="1">
      <c r="A374" s="619"/>
      <c r="B374" s="586"/>
      <c r="C374" s="259"/>
      <c r="D374" s="621"/>
      <c r="E374" s="157"/>
      <c r="F374" s="154"/>
      <c r="G374" s="223"/>
      <c r="H374" s="425"/>
      <c r="I374" s="154"/>
      <c r="J374" s="276"/>
      <c r="K374" s="311">
        <f t="shared" si="112"/>
        <v>0</v>
      </c>
      <c r="L374" s="312">
        <f t="shared" si="113"/>
        <v>0</v>
      </c>
      <c r="M374" s="313">
        <f t="shared" si="114"/>
        <v>0</v>
      </c>
      <c r="N374" s="320">
        <f>SUM(L370:L374)</f>
        <v>0</v>
      </c>
      <c r="O374" s="315">
        <f t="shared" si="119"/>
        <v>0</v>
      </c>
      <c r="P374" s="315">
        <f t="shared" si="120"/>
        <v>0</v>
      </c>
      <c r="Q374" s="320">
        <f>N374</f>
        <v>0</v>
      </c>
      <c r="R374" s="315">
        <f t="shared" si="117"/>
        <v>0</v>
      </c>
      <c r="S374" s="315">
        <f t="shared" si="118"/>
        <v>0</v>
      </c>
      <c r="T374" s="213"/>
      <c r="U374" s="213"/>
      <c r="V374" s="213"/>
      <c r="W374" s="213"/>
      <c r="X374" s="591"/>
      <c r="Y374" s="591"/>
    </row>
    <row r="375" spans="1:25" ht="14.85" customHeight="1">
      <c r="A375" s="619"/>
      <c r="B375" s="586"/>
      <c r="C375" s="259"/>
      <c r="D375" s="621"/>
      <c r="G375" s="254"/>
      <c r="H375" s="262"/>
      <c r="I375" s="154"/>
      <c r="J375" s="276"/>
      <c r="K375" s="311">
        <f t="shared" si="112"/>
        <v>0</v>
      </c>
      <c r="L375" s="312">
        <f t="shared" si="113"/>
        <v>0</v>
      </c>
      <c r="M375" s="313">
        <f t="shared" si="114"/>
        <v>0</v>
      </c>
      <c r="N375" s="320"/>
      <c r="O375" s="315">
        <f t="shared" si="119"/>
        <v>0</v>
      </c>
      <c r="P375" s="315">
        <f t="shared" si="120"/>
        <v>0</v>
      </c>
      <c r="Q375" s="320"/>
      <c r="R375" s="315">
        <f t="shared" si="117"/>
        <v>0</v>
      </c>
      <c r="S375" s="315">
        <f t="shared" si="118"/>
        <v>0</v>
      </c>
      <c r="T375" s="213"/>
      <c r="U375" s="213"/>
      <c r="V375" s="213"/>
      <c r="W375" s="213"/>
      <c r="X375" s="591"/>
      <c r="Y375" s="591"/>
    </row>
    <row r="376" spans="1:25" ht="14.85" customHeight="1">
      <c r="A376" s="619"/>
      <c r="B376" s="586"/>
      <c r="C376" s="259"/>
      <c r="D376" s="621"/>
      <c r="E376" s="323"/>
      <c r="F376" s="154"/>
      <c r="G376" s="215"/>
      <c r="H376" s="417"/>
      <c r="I376" s="154"/>
      <c r="J376" s="276"/>
      <c r="K376" s="311">
        <f t="shared" si="112"/>
        <v>0</v>
      </c>
      <c r="L376" s="312">
        <f t="shared" si="113"/>
        <v>0</v>
      </c>
      <c r="M376" s="313">
        <f t="shared" si="114"/>
        <v>0</v>
      </c>
      <c r="N376" s="320"/>
      <c r="O376" s="315">
        <f t="shared" si="119"/>
        <v>0</v>
      </c>
      <c r="P376" s="315">
        <f t="shared" si="120"/>
        <v>0</v>
      </c>
      <c r="Q376" s="320"/>
      <c r="R376" s="315">
        <f t="shared" si="117"/>
        <v>0</v>
      </c>
      <c r="S376" s="315">
        <f t="shared" si="118"/>
        <v>0</v>
      </c>
      <c r="T376" s="213"/>
      <c r="U376" s="213"/>
      <c r="V376" s="213"/>
      <c r="W376" s="213"/>
      <c r="X376" s="591"/>
      <c r="Y376" s="591"/>
    </row>
    <row r="377" spans="1:25" ht="14.85" customHeight="1">
      <c r="A377" s="619"/>
      <c r="B377" s="586"/>
      <c r="C377" s="259"/>
      <c r="D377" s="621"/>
      <c r="E377" s="324"/>
      <c r="F377" s="154"/>
      <c r="G377" s="215"/>
      <c r="H377" s="417"/>
      <c r="I377" s="154"/>
      <c r="J377" s="276"/>
      <c r="K377" s="311">
        <f t="shared" si="112"/>
        <v>0</v>
      </c>
      <c r="L377" s="312">
        <f t="shared" si="113"/>
        <v>0</v>
      </c>
      <c r="M377" s="313">
        <f t="shared" si="114"/>
        <v>0</v>
      </c>
      <c r="N377" s="320"/>
      <c r="O377" s="315">
        <f t="shared" si="119"/>
        <v>0</v>
      </c>
      <c r="P377" s="315">
        <f t="shared" si="120"/>
        <v>0</v>
      </c>
      <c r="Q377" s="320"/>
      <c r="R377" s="315">
        <f t="shared" si="117"/>
        <v>0</v>
      </c>
      <c r="S377" s="315">
        <f t="shared" si="118"/>
        <v>0</v>
      </c>
      <c r="T377" s="213"/>
      <c r="U377" s="213"/>
      <c r="V377" s="213"/>
      <c r="W377" s="213"/>
      <c r="X377" s="591"/>
      <c r="Y377" s="591"/>
    </row>
    <row r="378" spans="1:25" ht="14.85" customHeight="1">
      <c r="A378" s="619"/>
      <c r="B378" s="586"/>
      <c r="C378" s="259"/>
      <c r="D378" s="621"/>
      <c r="E378" s="324"/>
      <c r="F378" s="154"/>
      <c r="G378" s="215"/>
      <c r="H378" s="417"/>
      <c r="I378" s="154"/>
      <c r="J378" s="276"/>
      <c r="K378" s="311">
        <f t="shared" si="112"/>
        <v>0</v>
      </c>
      <c r="L378" s="312">
        <f t="shared" si="113"/>
        <v>0</v>
      </c>
      <c r="M378" s="313">
        <f t="shared" si="114"/>
        <v>0</v>
      </c>
      <c r="N378" s="320">
        <f>SUM(L376:L378)</f>
        <v>0</v>
      </c>
      <c r="O378" s="315">
        <f t="shared" si="119"/>
        <v>0</v>
      </c>
      <c r="P378" s="315">
        <f t="shared" si="120"/>
        <v>0</v>
      </c>
      <c r="Q378" s="320"/>
      <c r="R378" s="315">
        <f t="shared" si="117"/>
        <v>0</v>
      </c>
      <c r="S378" s="315">
        <f t="shared" si="118"/>
        <v>0</v>
      </c>
      <c r="T378" s="213"/>
      <c r="U378" s="213"/>
      <c r="V378" s="213"/>
      <c r="W378" s="213"/>
      <c r="X378" s="591"/>
      <c r="Y378" s="591"/>
    </row>
    <row r="379" spans="1:25" ht="14.85" customHeight="1">
      <c r="A379" s="619"/>
      <c r="B379" s="586"/>
      <c r="C379" s="259"/>
      <c r="D379" s="621"/>
      <c r="E379" s="324"/>
      <c r="F379" s="154"/>
      <c r="G379" s="215"/>
      <c r="H379" s="417"/>
      <c r="I379" s="154"/>
      <c r="J379" s="276"/>
      <c r="K379" s="311">
        <f t="shared" si="112"/>
        <v>0</v>
      </c>
      <c r="L379" s="312">
        <f t="shared" si="113"/>
        <v>0</v>
      </c>
      <c r="M379" s="313">
        <f t="shared" si="114"/>
        <v>0</v>
      </c>
      <c r="N379" s="320">
        <f>L379</f>
        <v>0</v>
      </c>
      <c r="O379" s="315">
        <f t="shared" si="119"/>
        <v>0</v>
      </c>
      <c r="P379" s="315">
        <f t="shared" si="120"/>
        <v>0</v>
      </c>
      <c r="Q379" s="320"/>
      <c r="R379" s="315">
        <f t="shared" si="117"/>
        <v>0</v>
      </c>
      <c r="S379" s="315">
        <f t="shared" si="118"/>
        <v>0</v>
      </c>
      <c r="T379" s="213"/>
      <c r="U379" s="213"/>
      <c r="V379" s="213"/>
      <c r="W379" s="213"/>
      <c r="X379" s="591"/>
      <c r="Y379" s="591"/>
    </row>
    <row r="380" spans="1:25" ht="14.85" customHeight="1">
      <c r="A380" s="619"/>
      <c r="B380" s="586"/>
      <c r="C380" s="259"/>
      <c r="D380" s="621"/>
      <c r="E380" s="157"/>
      <c r="F380" s="154"/>
      <c r="G380" s="223"/>
      <c r="H380" s="425"/>
      <c r="I380" s="154"/>
      <c r="J380" s="276"/>
      <c r="K380" s="311">
        <f t="shared" si="112"/>
        <v>0</v>
      </c>
      <c r="L380" s="312">
        <f t="shared" si="113"/>
        <v>0</v>
      </c>
      <c r="M380" s="313">
        <f t="shared" si="114"/>
        <v>0</v>
      </c>
      <c r="N380" s="320"/>
      <c r="O380" s="315">
        <f t="shared" si="119"/>
        <v>0</v>
      </c>
      <c r="P380" s="315">
        <f t="shared" si="120"/>
        <v>0</v>
      </c>
      <c r="Q380" s="320"/>
      <c r="R380" s="315">
        <f t="shared" si="117"/>
        <v>0</v>
      </c>
      <c r="S380" s="315">
        <f t="shared" si="118"/>
        <v>0</v>
      </c>
      <c r="T380" s="213"/>
      <c r="U380" s="213"/>
      <c r="V380" s="213"/>
      <c r="W380" s="213"/>
      <c r="X380" s="591"/>
      <c r="Y380" s="591"/>
    </row>
    <row r="381" spans="1:25" ht="14.85" customHeight="1">
      <c r="A381" s="619"/>
      <c r="B381" s="586"/>
      <c r="C381" s="259"/>
      <c r="D381" s="621"/>
      <c r="E381" s="157"/>
      <c r="F381" s="154"/>
      <c r="G381" s="223"/>
      <c r="H381" s="425"/>
      <c r="I381" s="154"/>
      <c r="J381" s="276"/>
      <c r="K381" s="311">
        <f t="shared" si="112"/>
        <v>0</v>
      </c>
      <c r="L381" s="312">
        <f t="shared" si="113"/>
        <v>0</v>
      </c>
      <c r="M381" s="313">
        <f t="shared" si="114"/>
        <v>0</v>
      </c>
      <c r="N381" s="320"/>
      <c r="O381" s="315">
        <f t="shared" si="119"/>
        <v>0</v>
      </c>
      <c r="P381" s="315">
        <f t="shared" si="120"/>
        <v>0</v>
      </c>
      <c r="Q381" s="320"/>
      <c r="R381" s="315">
        <f t="shared" si="117"/>
        <v>0</v>
      </c>
      <c r="S381" s="315">
        <f t="shared" si="118"/>
        <v>0</v>
      </c>
      <c r="T381" s="213"/>
      <c r="U381" s="213"/>
      <c r="V381" s="213"/>
      <c r="W381" s="213"/>
      <c r="X381" s="591"/>
      <c r="Y381" s="591"/>
    </row>
    <row r="382" spans="1:25" ht="14.85" customHeight="1">
      <c r="A382" s="619"/>
      <c r="B382" s="586"/>
      <c r="C382" s="259"/>
      <c r="D382" s="621"/>
      <c r="E382" s="157"/>
      <c r="G382" s="223"/>
      <c r="H382" s="425"/>
      <c r="I382" s="154"/>
      <c r="J382" s="276"/>
      <c r="K382" s="311">
        <f t="shared" si="112"/>
        <v>0</v>
      </c>
      <c r="L382" s="312">
        <f t="shared" si="113"/>
        <v>0</v>
      </c>
      <c r="M382" s="313">
        <f t="shared" si="114"/>
        <v>0</v>
      </c>
      <c r="N382" s="320">
        <f>SUM(L380:L382)</f>
        <v>0</v>
      </c>
      <c r="O382" s="315">
        <f t="shared" si="119"/>
        <v>0</v>
      </c>
      <c r="P382" s="315">
        <f t="shared" si="120"/>
        <v>0</v>
      </c>
      <c r="Q382" s="320"/>
      <c r="R382" s="315">
        <f t="shared" ref="R382:R393" si="121">ROUNDDOWN((Q382/$O$11),0)</f>
        <v>0</v>
      </c>
      <c r="S382" s="315">
        <f t="shared" ref="S382:S393" si="122">ROUND((Q382-(R382*$P$11)),0)</f>
        <v>0</v>
      </c>
      <c r="T382" s="213"/>
      <c r="U382" s="213"/>
      <c r="V382" s="213"/>
      <c r="W382" s="213"/>
      <c r="X382" s="591"/>
      <c r="Y382" s="591"/>
    </row>
    <row r="383" spans="1:25" ht="14.85" customHeight="1">
      <c r="A383" s="619"/>
      <c r="B383" s="586"/>
      <c r="C383" s="259"/>
      <c r="D383" s="621"/>
      <c r="E383" s="157"/>
      <c r="F383" s="154"/>
      <c r="G383" s="223"/>
      <c r="H383" s="425"/>
      <c r="I383" s="154"/>
      <c r="J383" s="276"/>
      <c r="K383" s="311">
        <f t="shared" si="112"/>
        <v>0</v>
      </c>
      <c r="L383" s="312">
        <f t="shared" si="113"/>
        <v>0</v>
      </c>
      <c r="M383" s="313">
        <f t="shared" si="114"/>
        <v>0</v>
      </c>
      <c r="N383" s="320">
        <f>L383</f>
        <v>0</v>
      </c>
      <c r="O383" s="315">
        <f t="shared" si="119"/>
        <v>0</v>
      </c>
      <c r="P383" s="315">
        <f t="shared" si="120"/>
        <v>0</v>
      </c>
      <c r="Q383" s="320">
        <f>SUM(N378:N383)</f>
        <v>0</v>
      </c>
      <c r="R383" s="315">
        <f t="shared" ref="R383" si="123">ROUNDDOWN((Q383/$O$11),0)</f>
        <v>0</v>
      </c>
      <c r="S383" s="315">
        <f t="shared" ref="S383" si="124">ROUND((Q383-(R383*$P$11)),0)</f>
        <v>0</v>
      </c>
      <c r="T383" s="213"/>
      <c r="U383" s="213"/>
      <c r="V383" s="213"/>
      <c r="W383" s="213"/>
      <c r="X383" s="591"/>
      <c r="Y383" s="591"/>
    </row>
    <row r="384" spans="1:25" ht="14.85" customHeight="1">
      <c r="A384" s="619"/>
      <c r="B384" s="586"/>
      <c r="C384" s="259"/>
      <c r="D384" s="621"/>
      <c r="E384" s="157"/>
      <c r="F384" s="154"/>
      <c r="G384" s="223"/>
      <c r="H384" s="425"/>
      <c r="I384" s="154"/>
      <c r="J384" s="276"/>
      <c r="K384" s="311"/>
      <c r="L384" s="312"/>
      <c r="M384" s="313"/>
      <c r="N384" s="320"/>
      <c r="O384" s="315"/>
      <c r="P384" s="315"/>
      <c r="Q384" s="320"/>
      <c r="R384" s="315"/>
      <c r="S384" s="315"/>
      <c r="T384" s="213"/>
      <c r="U384" s="213"/>
      <c r="V384" s="213"/>
      <c r="W384" s="213"/>
      <c r="X384" s="591"/>
      <c r="Y384" s="591"/>
    </row>
    <row r="385" spans="1:25" ht="14.85" customHeight="1">
      <c r="A385" s="619"/>
      <c r="B385" s="586"/>
      <c r="C385" s="259"/>
      <c r="D385" s="621"/>
      <c r="E385" s="157"/>
      <c r="F385" s="154"/>
      <c r="G385" s="254"/>
      <c r="H385" s="262"/>
      <c r="I385" s="154"/>
      <c r="J385" s="276"/>
      <c r="K385" s="311">
        <f t="shared" si="112"/>
        <v>0</v>
      </c>
      <c r="L385" s="312">
        <f t="shared" si="113"/>
        <v>0</v>
      </c>
      <c r="M385" s="313">
        <f t="shared" si="114"/>
        <v>0</v>
      </c>
      <c r="N385" s="320"/>
      <c r="O385" s="315">
        <f t="shared" si="119"/>
        <v>0</v>
      </c>
      <c r="P385" s="315">
        <f t="shared" si="120"/>
        <v>0</v>
      </c>
      <c r="Q385" s="320"/>
      <c r="R385" s="315">
        <f t="shared" si="121"/>
        <v>0</v>
      </c>
      <c r="S385" s="315">
        <f t="shared" si="122"/>
        <v>0</v>
      </c>
      <c r="T385" s="213"/>
      <c r="U385" s="213"/>
      <c r="V385" s="213"/>
      <c r="W385" s="213"/>
      <c r="X385" s="591"/>
      <c r="Y385" s="591"/>
    </row>
    <row r="386" spans="1:25" ht="14.85" customHeight="1">
      <c r="A386" s="619"/>
      <c r="B386" s="586"/>
      <c r="C386" s="259"/>
      <c r="D386" s="621"/>
      <c r="E386" s="157"/>
      <c r="F386" s="154"/>
      <c r="G386" s="254"/>
      <c r="H386" s="262"/>
      <c r="I386" s="154"/>
      <c r="J386" s="254"/>
      <c r="K386" s="311">
        <f t="shared" si="112"/>
        <v>0</v>
      </c>
      <c r="L386" s="312">
        <f t="shared" si="113"/>
        <v>0</v>
      </c>
      <c r="M386" s="313">
        <f t="shared" si="114"/>
        <v>0</v>
      </c>
      <c r="N386" s="320"/>
      <c r="O386" s="315">
        <f t="shared" si="119"/>
        <v>0</v>
      </c>
      <c r="P386" s="315">
        <f t="shared" si="120"/>
        <v>0</v>
      </c>
      <c r="Q386" s="320"/>
      <c r="R386" s="315">
        <f t="shared" si="121"/>
        <v>0</v>
      </c>
      <c r="S386" s="315">
        <f t="shared" si="122"/>
        <v>0</v>
      </c>
      <c r="T386" s="213"/>
      <c r="U386" s="213"/>
      <c r="V386" s="213"/>
      <c r="W386" s="213"/>
      <c r="X386" s="591"/>
      <c r="Y386" s="591"/>
    </row>
    <row r="387" spans="1:25" ht="14.85" customHeight="1">
      <c r="A387" s="619"/>
      <c r="B387" s="586"/>
      <c r="C387" s="259"/>
      <c r="D387" s="621"/>
      <c r="E387" s="157"/>
      <c r="F387" s="154"/>
      <c r="G387" s="254"/>
      <c r="H387" s="262"/>
      <c r="I387" s="154"/>
      <c r="J387" s="254"/>
      <c r="K387" s="311">
        <f t="shared" si="112"/>
        <v>0</v>
      </c>
      <c r="L387" s="312">
        <f t="shared" si="113"/>
        <v>0</v>
      </c>
      <c r="M387" s="313">
        <f t="shared" si="114"/>
        <v>0</v>
      </c>
      <c r="N387" s="320"/>
      <c r="O387" s="315">
        <f t="shared" si="119"/>
        <v>0</v>
      </c>
      <c r="P387" s="315">
        <f t="shared" si="120"/>
        <v>0</v>
      </c>
      <c r="Q387" s="320"/>
      <c r="R387" s="315">
        <f t="shared" si="121"/>
        <v>0</v>
      </c>
      <c r="S387" s="315">
        <f t="shared" si="122"/>
        <v>0</v>
      </c>
      <c r="T387" s="213"/>
      <c r="U387" s="213"/>
      <c r="V387" s="213"/>
      <c r="W387" s="213"/>
      <c r="X387" s="591"/>
      <c r="Y387" s="591"/>
    </row>
    <row r="388" spans="1:25" ht="14.85" customHeight="1">
      <c r="A388" s="619"/>
      <c r="B388" s="586"/>
      <c r="C388" s="259"/>
      <c r="D388" s="621"/>
      <c r="E388" s="157"/>
      <c r="F388" s="154"/>
      <c r="G388" s="254"/>
      <c r="H388" s="262"/>
      <c r="I388" s="154"/>
      <c r="J388" s="254"/>
      <c r="K388" s="311">
        <f t="shared" si="112"/>
        <v>0</v>
      </c>
      <c r="L388" s="312">
        <f t="shared" si="113"/>
        <v>0</v>
      </c>
      <c r="M388" s="313">
        <f t="shared" si="114"/>
        <v>0</v>
      </c>
      <c r="N388" s="320">
        <f>SUM(L385:L388)</f>
        <v>0</v>
      </c>
      <c r="O388" s="315">
        <f t="shared" si="119"/>
        <v>0</v>
      </c>
      <c r="P388" s="315">
        <f t="shared" si="120"/>
        <v>0</v>
      </c>
      <c r="Q388" s="320"/>
      <c r="R388" s="315">
        <f t="shared" si="121"/>
        <v>0</v>
      </c>
      <c r="S388" s="315">
        <f t="shared" si="122"/>
        <v>0</v>
      </c>
      <c r="T388" s="213"/>
      <c r="U388" s="213"/>
      <c r="V388" s="213"/>
      <c r="W388" s="213"/>
      <c r="X388" s="591"/>
      <c r="Y388" s="591"/>
    </row>
    <row r="389" spans="1:25" ht="14.85" customHeight="1">
      <c r="A389" s="619"/>
      <c r="B389" s="586"/>
      <c r="C389" s="259"/>
      <c r="D389" s="621"/>
      <c r="E389" s="157"/>
      <c r="F389" s="154"/>
      <c r="G389" s="254"/>
      <c r="H389" s="262"/>
      <c r="I389" s="154"/>
      <c r="J389" s="254"/>
      <c r="K389" s="311">
        <f t="shared" si="112"/>
        <v>0</v>
      </c>
      <c r="L389" s="312">
        <f t="shared" si="113"/>
        <v>0</v>
      </c>
      <c r="M389" s="313">
        <f t="shared" si="114"/>
        <v>0</v>
      </c>
      <c r="N389" s="320"/>
      <c r="O389" s="315">
        <f t="shared" si="119"/>
        <v>0</v>
      </c>
      <c r="P389" s="315">
        <f t="shared" si="120"/>
        <v>0</v>
      </c>
      <c r="Q389" s="320"/>
      <c r="R389" s="315">
        <f t="shared" si="121"/>
        <v>0</v>
      </c>
      <c r="S389" s="315">
        <f t="shared" si="122"/>
        <v>0</v>
      </c>
      <c r="T389" s="213"/>
      <c r="U389" s="213"/>
      <c r="V389" s="213"/>
      <c r="W389" s="213"/>
      <c r="X389" s="591"/>
      <c r="Y389" s="591"/>
    </row>
    <row r="390" spans="1:25" ht="14.85" customHeight="1">
      <c r="A390" s="619"/>
      <c r="B390" s="586"/>
      <c r="C390" s="259"/>
      <c r="D390" s="621"/>
      <c r="E390" s="157"/>
      <c r="F390" s="154"/>
      <c r="G390" s="254"/>
      <c r="H390" s="262"/>
      <c r="I390" s="154"/>
      <c r="J390" s="254"/>
      <c r="K390" s="311">
        <f t="shared" si="112"/>
        <v>0</v>
      </c>
      <c r="L390" s="312">
        <f t="shared" si="113"/>
        <v>0</v>
      </c>
      <c r="M390" s="313">
        <f t="shared" si="114"/>
        <v>0</v>
      </c>
      <c r="N390" s="320"/>
      <c r="O390" s="315">
        <f t="shared" si="119"/>
        <v>0</v>
      </c>
      <c r="P390" s="315">
        <f t="shared" si="120"/>
        <v>0</v>
      </c>
      <c r="Q390" s="320"/>
      <c r="R390" s="315">
        <f t="shared" si="121"/>
        <v>0</v>
      </c>
      <c r="S390" s="315">
        <f t="shared" si="122"/>
        <v>0</v>
      </c>
      <c r="T390" s="213"/>
      <c r="U390" s="213"/>
      <c r="V390" s="213"/>
      <c r="W390" s="213"/>
      <c r="X390" s="591"/>
      <c r="Y390" s="591"/>
    </row>
    <row r="391" spans="1:25" ht="14.85" customHeight="1">
      <c r="A391" s="619"/>
      <c r="B391" s="586"/>
      <c r="C391" s="259"/>
      <c r="D391" s="621"/>
      <c r="E391" s="157"/>
      <c r="F391" s="154"/>
      <c r="G391" s="254"/>
      <c r="H391" s="262"/>
      <c r="I391" s="154"/>
      <c r="J391" s="254"/>
      <c r="K391" s="311">
        <f t="shared" si="112"/>
        <v>0</v>
      </c>
      <c r="L391" s="312">
        <f t="shared" si="113"/>
        <v>0</v>
      </c>
      <c r="M391" s="313">
        <f t="shared" si="114"/>
        <v>0</v>
      </c>
      <c r="N391" s="320"/>
      <c r="O391" s="315">
        <f t="shared" si="119"/>
        <v>0</v>
      </c>
      <c r="P391" s="315">
        <f t="shared" si="120"/>
        <v>0</v>
      </c>
      <c r="Q391" s="320"/>
      <c r="R391" s="315">
        <f t="shared" si="121"/>
        <v>0</v>
      </c>
      <c r="S391" s="315">
        <f t="shared" si="122"/>
        <v>0</v>
      </c>
      <c r="T391" s="213"/>
      <c r="U391" s="213"/>
      <c r="V391" s="213"/>
      <c r="W391" s="213"/>
      <c r="X391" s="591"/>
      <c r="Y391" s="591"/>
    </row>
    <row r="392" spans="1:25" ht="14.85" customHeight="1">
      <c r="A392" s="619"/>
      <c r="B392" s="586"/>
      <c r="C392" s="259"/>
      <c r="D392" s="621"/>
      <c r="E392" s="157"/>
      <c r="F392" s="154"/>
      <c r="G392" s="254"/>
      <c r="H392" s="262"/>
      <c r="I392" s="154"/>
      <c r="J392" s="254"/>
      <c r="K392" s="311">
        <f t="shared" si="112"/>
        <v>0</v>
      </c>
      <c r="L392" s="312">
        <f t="shared" si="113"/>
        <v>0</v>
      </c>
      <c r="M392" s="313">
        <f t="shared" si="114"/>
        <v>0</v>
      </c>
      <c r="N392" s="320"/>
      <c r="O392" s="315">
        <f t="shared" si="119"/>
        <v>0</v>
      </c>
      <c r="P392" s="315">
        <f t="shared" si="120"/>
        <v>0</v>
      </c>
      <c r="Q392" s="320"/>
      <c r="R392" s="315">
        <f t="shared" si="121"/>
        <v>0</v>
      </c>
      <c r="S392" s="315">
        <f t="shared" si="122"/>
        <v>0</v>
      </c>
      <c r="T392" s="213"/>
      <c r="U392" s="213"/>
      <c r="V392" s="213"/>
      <c r="W392" s="213"/>
      <c r="X392" s="591"/>
      <c r="Y392" s="591"/>
    </row>
    <row r="393" spans="1:25" ht="14.85" customHeight="1">
      <c r="A393" s="619"/>
      <c r="B393" s="586"/>
      <c r="C393" s="259"/>
      <c r="D393" s="621"/>
      <c r="E393" s="157"/>
      <c r="F393" s="154"/>
      <c r="G393" s="254"/>
      <c r="H393" s="262"/>
      <c r="I393" s="154"/>
      <c r="J393" s="254"/>
      <c r="K393" s="311">
        <f t="shared" si="112"/>
        <v>0</v>
      </c>
      <c r="L393" s="312">
        <f t="shared" si="113"/>
        <v>0</v>
      </c>
      <c r="M393" s="313">
        <f t="shared" si="114"/>
        <v>0</v>
      </c>
      <c r="N393" s="320">
        <f>SUM(L389:L393)</f>
        <v>0</v>
      </c>
      <c r="O393" s="315">
        <f t="shared" ref="O393:O396" si="125">ROUNDDOWN((N393/$O$11),0)</f>
        <v>0</v>
      </c>
      <c r="P393" s="315">
        <f t="shared" ref="P393:P425" si="126">ROUND((N393-(O393*$P$11)),0)</f>
        <v>0</v>
      </c>
      <c r="Q393" s="320">
        <f>N388+N393</f>
        <v>0</v>
      </c>
      <c r="R393" s="315">
        <f t="shared" si="121"/>
        <v>0</v>
      </c>
      <c r="S393" s="315">
        <f t="shared" si="122"/>
        <v>0</v>
      </c>
      <c r="T393" s="213"/>
      <c r="U393" s="213"/>
      <c r="V393" s="213"/>
      <c r="W393" s="213"/>
      <c r="X393" s="591"/>
      <c r="Y393" s="591"/>
    </row>
    <row r="394" spans="1:25" ht="14.85" customHeight="1">
      <c r="A394" s="316"/>
      <c r="B394" s="259"/>
      <c r="C394" s="259"/>
      <c r="D394" s="256"/>
      <c r="E394" s="157"/>
      <c r="F394" s="154"/>
      <c r="G394" s="254"/>
      <c r="H394" s="154"/>
      <c r="I394" s="154"/>
      <c r="J394" s="254"/>
      <c r="K394" s="311"/>
      <c r="L394" s="312"/>
      <c r="M394" s="313"/>
      <c r="N394" s="320"/>
      <c r="O394" s="315"/>
      <c r="P394" s="315"/>
      <c r="Q394" s="320"/>
      <c r="R394" s="315"/>
      <c r="S394" s="315"/>
      <c r="T394" s="213"/>
      <c r="U394" s="213"/>
      <c r="V394" s="213"/>
      <c r="W394" s="213"/>
      <c r="X394" s="317"/>
      <c r="Y394" s="317"/>
    </row>
    <row r="395" spans="1:25" s="287" customFormat="1">
      <c r="A395" s="211" t="s">
        <v>129</v>
      </c>
      <c r="B395" s="211">
        <f>COUNTA(B327)</f>
        <v>0</v>
      </c>
      <c r="C395" s="211"/>
      <c r="D395" s="211">
        <f>COUNTA(D327)</f>
        <v>0</v>
      </c>
      <c r="E395" s="212">
        <f>COUNTA(E327:E393)</f>
        <v>0</v>
      </c>
      <c r="F395" s="211">
        <f>COUNTA(F327:F393)</f>
        <v>0</v>
      </c>
      <c r="G395" s="211">
        <f>COUNTA(G327:G393)</f>
        <v>0</v>
      </c>
      <c r="H395" s="211"/>
      <c r="I395" s="211">
        <f>COUNTA(I327:I393)</f>
        <v>0</v>
      </c>
      <c r="J395" s="280">
        <f>SUM(J327:J393)</f>
        <v>0</v>
      </c>
      <c r="K395" s="161">
        <f>SUM(K327:K393)</f>
        <v>0</v>
      </c>
      <c r="L395" s="161">
        <f>SUM(L327:L393)</f>
        <v>0</v>
      </c>
      <c r="M395" s="161">
        <f>SUM(M327:M393)</f>
        <v>0</v>
      </c>
      <c r="N395" s="161">
        <f>SUM(N327:N393)</f>
        <v>0</v>
      </c>
      <c r="O395" s="161">
        <f t="shared" si="125"/>
        <v>0</v>
      </c>
      <c r="P395" s="161">
        <f t="shared" si="126"/>
        <v>0</v>
      </c>
      <c r="Q395" s="161">
        <f>SUM(Q327:Q393)</f>
        <v>0</v>
      </c>
      <c r="R395" s="161">
        <f t="shared" ref="R395:R396" si="127">ROUNDDOWN((Q395/$O$11),0)</f>
        <v>0</v>
      </c>
      <c r="S395" s="161">
        <f t="shared" ref="S395:S396" si="128">ROUND((Q395-(R395*$P$11)),0)</f>
        <v>0</v>
      </c>
      <c r="T395" s="211"/>
      <c r="U395" s="211"/>
      <c r="V395" s="211"/>
      <c r="W395" s="211"/>
      <c r="X395" s="161" t="str">
        <f>IF(X327&lt;1.4,"1",IF(X327&lt;=2.3,"2",IF(X327&gt;2.3, ROUND(X327,0))))</f>
        <v>1</v>
      </c>
      <c r="Y395" s="161">
        <f>$Y$11*F395</f>
        <v>0</v>
      </c>
    </row>
    <row r="396" spans="1:25">
      <c r="A396" s="618"/>
      <c r="B396" s="585"/>
      <c r="C396" s="258"/>
      <c r="D396" s="620"/>
      <c r="E396" s="157"/>
      <c r="F396" s="154"/>
      <c r="G396" s="254"/>
      <c r="H396" s="262"/>
      <c r="I396" s="154"/>
      <c r="J396" s="254"/>
      <c r="K396" s="311">
        <f t="shared" ref="K396" si="129">J396/$K$11</f>
        <v>0</v>
      </c>
      <c r="L396" s="312">
        <f t="shared" ref="L396" si="130">J396/$L$11</f>
        <v>0</v>
      </c>
      <c r="M396" s="313">
        <f t="shared" ref="M396" si="131">ROUND((L396/$M$11),0)</f>
        <v>0</v>
      </c>
      <c r="N396" s="314">
        <f>L396</f>
        <v>0</v>
      </c>
      <c r="O396" s="315">
        <f t="shared" si="125"/>
        <v>0</v>
      </c>
      <c r="P396" s="315">
        <f t="shared" si="126"/>
        <v>0</v>
      </c>
      <c r="Q396" s="320"/>
      <c r="R396" s="315">
        <f t="shared" si="127"/>
        <v>0</v>
      </c>
      <c r="S396" s="315">
        <f t="shared" si="128"/>
        <v>0</v>
      </c>
      <c r="T396" s="213"/>
      <c r="U396" s="213"/>
      <c r="V396" s="213"/>
      <c r="W396" s="213"/>
      <c r="X396" s="590">
        <f>F427/$X$11</f>
        <v>0</v>
      </c>
      <c r="Y396" s="590"/>
    </row>
    <row r="397" spans="1:25">
      <c r="A397" s="619"/>
      <c r="B397" s="586"/>
      <c r="C397" s="259"/>
      <c r="D397" s="621"/>
      <c r="E397" s="157"/>
      <c r="F397" s="154"/>
      <c r="G397" s="219"/>
      <c r="H397" s="426"/>
      <c r="I397" s="154"/>
      <c r="J397" s="254"/>
      <c r="K397" s="311">
        <f t="shared" ref="K397:K425" si="132">J397/$K$11</f>
        <v>0</v>
      </c>
      <c r="L397" s="312">
        <f t="shared" ref="L397:L425" si="133">J397/$L$11</f>
        <v>0</v>
      </c>
      <c r="M397" s="313">
        <f t="shared" ref="M397:M425" si="134">ROUND((L397/$M$11),0)</f>
        <v>0</v>
      </c>
      <c r="N397" s="314"/>
      <c r="O397" s="315">
        <f t="shared" ref="O397:O421" si="135">ROUNDDOWN((N397/$O$11),0)</f>
        <v>0</v>
      </c>
      <c r="P397" s="315">
        <f t="shared" ref="P397:P421" si="136">ROUND((N397-(O397*$P$11)),0)</f>
        <v>0</v>
      </c>
      <c r="Q397" s="320"/>
      <c r="R397" s="315">
        <f t="shared" ref="R397:R407" si="137">ROUNDDOWN((Q397/$O$11),0)</f>
        <v>0</v>
      </c>
      <c r="S397" s="315">
        <f t="shared" ref="S397:S407" si="138">ROUND((Q397-(R397*$P$11)),0)</f>
        <v>0</v>
      </c>
      <c r="T397" s="213"/>
      <c r="U397" s="213"/>
      <c r="V397" s="213"/>
      <c r="W397" s="213"/>
      <c r="X397" s="591"/>
      <c r="Y397" s="591"/>
    </row>
    <row r="398" spans="1:25" ht="14.85" customHeight="1">
      <c r="A398" s="619"/>
      <c r="B398" s="586"/>
      <c r="C398" s="259"/>
      <c r="D398" s="621"/>
      <c r="E398" s="157"/>
      <c r="F398" s="154"/>
      <c r="G398" s="219"/>
      <c r="H398" s="426"/>
      <c r="I398" s="154"/>
      <c r="J398" s="254"/>
      <c r="K398" s="311">
        <f t="shared" si="132"/>
        <v>0</v>
      </c>
      <c r="L398" s="312">
        <f t="shared" si="133"/>
        <v>0</v>
      </c>
      <c r="M398" s="313">
        <f t="shared" si="134"/>
        <v>0</v>
      </c>
      <c r="N398" s="314"/>
      <c r="O398" s="315">
        <f t="shared" si="135"/>
        <v>0</v>
      </c>
      <c r="P398" s="315">
        <f t="shared" si="136"/>
        <v>0</v>
      </c>
      <c r="Q398" s="320"/>
      <c r="R398" s="315">
        <f t="shared" si="137"/>
        <v>0</v>
      </c>
      <c r="S398" s="315">
        <f t="shared" si="138"/>
        <v>0</v>
      </c>
      <c r="T398" s="213"/>
      <c r="U398" s="213"/>
      <c r="V398" s="213"/>
      <c r="W398" s="213"/>
      <c r="X398" s="591"/>
      <c r="Y398" s="591"/>
    </row>
    <row r="399" spans="1:25" ht="14.85" customHeight="1">
      <c r="A399" s="619"/>
      <c r="B399" s="586"/>
      <c r="C399" s="259"/>
      <c r="D399" s="621"/>
      <c r="E399" s="157"/>
      <c r="F399" s="154"/>
      <c r="G399" s="219"/>
      <c r="H399" s="426"/>
      <c r="I399" s="154"/>
      <c r="J399" s="254"/>
      <c r="K399" s="311">
        <f t="shared" si="132"/>
        <v>0</v>
      </c>
      <c r="L399" s="312">
        <f t="shared" si="133"/>
        <v>0</v>
      </c>
      <c r="M399" s="313">
        <f t="shared" si="134"/>
        <v>0</v>
      </c>
      <c r="N399" s="314">
        <f>SUM(L397:L399)</f>
        <v>0</v>
      </c>
      <c r="O399" s="315">
        <f t="shared" si="135"/>
        <v>0</v>
      </c>
      <c r="P399" s="315">
        <f t="shared" si="136"/>
        <v>0</v>
      </c>
      <c r="Q399" s="320">
        <f>N396+N399</f>
        <v>0</v>
      </c>
      <c r="R399" s="315">
        <f t="shared" si="137"/>
        <v>0</v>
      </c>
      <c r="S399" s="315">
        <f t="shared" si="138"/>
        <v>0</v>
      </c>
      <c r="T399" s="213"/>
      <c r="U399" s="213"/>
      <c r="V399" s="213"/>
      <c r="W399" s="213"/>
      <c r="X399" s="591"/>
      <c r="Y399" s="591"/>
    </row>
    <row r="400" spans="1:25" ht="14.85" customHeight="1">
      <c r="A400" s="619"/>
      <c r="B400" s="586"/>
      <c r="C400" s="259"/>
      <c r="D400" s="621"/>
      <c r="E400" s="157"/>
      <c r="F400" s="154"/>
      <c r="G400" s="219"/>
      <c r="H400" s="426"/>
      <c r="I400" s="154"/>
      <c r="J400" s="254"/>
      <c r="K400" s="311"/>
      <c r="L400" s="312"/>
      <c r="M400" s="313"/>
      <c r="N400" s="314"/>
      <c r="O400" s="315">
        <f t="shared" si="135"/>
        <v>0</v>
      </c>
      <c r="P400" s="315">
        <f t="shared" si="136"/>
        <v>0</v>
      </c>
      <c r="Q400" s="320"/>
      <c r="R400" s="315">
        <f t="shared" si="137"/>
        <v>0</v>
      </c>
      <c r="S400" s="315">
        <f t="shared" si="138"/>
        <v>0</v>
      </c>
      <c r="T400" s="213"/>
      <c r="U400" s="213"/>
      <c r="V400" s="213"/>
      <c r="W400" s="213"/>
      <c r="X400" s="591"/>
      <c r="Y400" s="591"/>
    </row>
    <row r="401" spans="1:25" ht="14.85" customHeight="1">
      <c r="A401" s="619"/>
      <c r="B401" s="586"/>
      <c r="C401" s="259"/>
      <c r="D401" s="621"/>
      <c r="E401" s="272"/>
      <c r="F401" s="154"/>
      <c r="G401" s="216"/>
      <c r="H401" s="418"/>
      <c r="I401" s="154"/>
      <c r="J401" s="325"/>
      <c r="K401" s="311">
        <f t="shared" si="132"/>
        <v>0</v>
      </c>
      <c r="L401" s="312">
        <f t="shared" si="133"/>
        <v>0</v>
      </c>
      <c r="M401" s="313">
        <f t="shared" si="134"/>
        <v>0</v>
      </c>
      <c r="N401" s="314"/>
      <c r="O401" s="315">
        <f t="shared" si="135"/>
        <v>0</v>
      </c>
      <c r="P401" s="315">
        <f t="shared" si="136"/>
        <v>0</v>
      </c>
      <c r="Q401" s="320"/>
      <c r="R401" s="315">
        <f t="shared" si="137"/>
        <v>0</v>
      </c>
      <c r="S401" s="315">
        <f t="shared" si="138"/>
        <v>0</v>
      </c>
      <c r="T401" s="213"/>
      <c r="U401" s="213"/>
      <c r="V401" s="213"/>
      <c r="W401" s="213"/>
      <c r="X401" s="591"/>
      <c r="Y401" s="591"/>
    </row>
    <row r="402" spans="1:25" ht="14.85" customHeight="1">
      <c r="A402" s="619"/>
      <c r="B402" s="586"/>
      <c r="C402" s="259"/>
      <c r="D402" s="621"/>
      <c r="E402" s="157"/>
      <c r="F402" s="154"/>
      <c r="G402" s="254"/>
      <c r="H402" s="262"/>
      <c r="I402" s="154"/>
      <c r="J402" s="325"/>
      <c r="K402" s="311">
        <f t="shared" si="132"/>
        <v>0</v>
      </c>
      <c r="L402" s="312">
        <f t="shared" si="133"/>
        <v>0</v>
      </c>
      <c r="M402" s="313">
        <f t="shared" si="134"/>
        <v>0</v>
      </c>
      <c r="N402" s="314">
        <f>L401+L402</f>
        <v>0</v>
      </c>
      <c r="O402" s="315">
        <f t="shared" si="135"/>
        <v>0</v>
      </c>
      <c r="P402" s="315">
        <f t="shared" si="136"/>
        <v>0</v>
      </c>
      <c r="Q402" s="320"/>
      <c r="R402" s="315">
        <f t="shared" si="137"/>
        <v>0</v>
      </c>
      <c r="S402" s="315">
        <f t="shared" si="138"/>
        <v>0</v>
      </c>
      <c r="T402" s="213"/>
      <c r="U402" s="213"/>
      <c r="V402" s="213"/>
      <c r="W402" s="213"/>
      <c r="X402" s="591"/>
      <c r="Y402" s="591"/>
    </row>
    <row r="403" spans="1:25" ht="14.85" customHeight="1">
      <c r="A403" s="619"/>
      <c r="B403" s="586"/>
      <c r="C403" s="259"/>
      <c r="D403" s="621"/>
      <c r="E403" s="157"/>
      <c r="F403" s="154"/>
      <c r="G403" s="254"/>
      <c r="H403" s="262"/>
      <c r="I403" s="154"/>
      <c r="J403" s="254"/>
      <c r="K403" s="311">
        <f t="shared" si="132"/>
        <v>0</v>
      </c>
      <c r="L403" s="312">
        <f t="shared" si="133"/>
        <v>0</v>
      </c>
      <c r="M403" s="313">
        <f t="shared" si="134"/>
        <v>0</v>
      </c>
      <c r="N403" s="314"/>
      <c r="O403" s="315">
        <f t="shared" si="135"/>
        <v>0</v>
      </c>
      <c r="P403" s="315">
        <f t="shared" si="136"/>
        <v>0</v>
      </c>
      <c r="Q403" s="320"/>
      <c r="R403" s="315">
        <f t="shared" si="137"/>
        <v>0</v>
      </c>
      <c r="S403" s="315">
        <f t="shared" si="138"/>
        <v>0</v>
      </c>
      <c r="T403" s="213"/>
      <c r="U403" s="213"/>
      <c r="V403" s="213"/>
      <c r="W403" s="213"/>
      <c r="X403" s="591"/>
      <c r="Y403" s="591"/>
    </row>
    <row r="404" spans="1:25" ht="14.85" customHeight="1">
      <c r="A404" s="619"/>
      <c r="B404" s="586"/>
      <c r="C404" s="259"/>
      <c r="D404" s="621"/>
      <c r="E404" s="157"/>
      <c r="F404" s="154"/>
      <c r="G404" s="216"/>
      <c r="H404" s="418"/>
      <c r="I404" s="154"/>
      <c r="J404" s="254"/>
      <c r="K404" s="311">
        <f t="shared" si="132"/>
        <v>0</v>
      </c>
      <c r="L404" s="312">
        <f t="shared" si="133"/>
        <v>0</v>
      </c>
      <c r="M404" s="313">
        <f t="shared" si="134"/>
        <v>0</v>
      </c>
      <c r="N404" s="314">
        <f>L403+L404</f>
        <v>0</v>
      </c>
      <c r="O404" s="315">
        <f t="shared" si="135"/>
        <v>0</v>
      </c>
      <c r="P404" s="315">
        <f t="shared" si="136"/>
        <v>0</v>
      </c>
      <c r="Q404" s="320"/>
      <c r="R404" s="315">
        <f t="shared" si="137"/>
        <v>0</v>
      </c>
      <c r="S404" s="315">
        <f t="shared" si="138"/>
        <v>0</v>
      </c>
      <c r="T404" s="213"/>
      <c r="U404" s="213"/>
      <c r="V404" s="213"/>
      <c r="W404" s="213"/>
      <c r="X404" s="591"/>
      <c r="Y404" s="591"/>
    </row>
    <row r="405" spans="1:25" ht="14.85" customHeight="1">
      <c r="A405" s="619"/>
      <c r="B405" s="586"/>
      <c r="C405" s="259"/>
      <c r="D405" s="621"/>
      <c r="E405" s="157"/>
      <c r="F405" s="154"/>
      <c r="G405" s="254"/>
      <c r="H405" s="262"/>
      <c r="I405" s="154"/>
      <c r="J405" s="254"/>
      <c r="K405" s="311">
        <f t="shared" si="132"/>
        <v>0</v>
      </c>
      <c r="L405" s="312">
        <f t="shared" si="133"/>
        <v>0</v>
      </c>
      <c r="M405" s="313">
        <f t="shared" si="134"/>
        <v>0</v>
      </c>
      <c r="N405" s="314"/>
      <c r="O405" s="315">
        <f t="shared" si="135"/>
        <v>0</v>
      </c>
      <c r="P405" s="315">
        <f t="shared" si="136"/>
        <v>0</v>
      </c>
      <c r="Q405" s="320"/>
      <c r="R405" s="315">
        <f t="shared" si="137"/>
        <v>0</v>
      </c>
      <c r="S405" s="315">
        <f t="shared" si="138"/>
        <v>0</v>
      </c>
      <c r="T405" s="213"/>
      <c r="U405" s="213"/>
      <c r="V405" s="213"/>
      <c r="W405" s="213"/>
      <c r="X405" s="591"/>
      <c r="Y405" s="591"/>
    </row>
    <row r="406" spans="1:25" ht="14.85" customHeight="1">
      <c r="A406" s="619"/>
      <c r="B406" s="586"/>
      <c r="C406" s="259"/>
      <c r="D406" s="621"/>
      <c r="E406" s="157"/>
      <c r="F406" s="154"/>
      <c r="G406" s="254"/>
      <c r="H406" s="262"/>
      <c r="I406" s="154"/>
      <c r="J406" s="254"/>
      <c r="K406" s="311">
        <f t="shared" si="132"/>
        <v>0</v>
      </c>
      <c r="L406" s="312">
        <f t="shared" si="133"/>
        <v>0</v>
      </c>
      <c r="M406" s="313">
        <f t="shared" si="134"/>
        <v>0</v>
      </c>
      <c r="N406" s="314"/>
      <c r="O406" s="315">
        <f t="shared" si="135"/>
        <v>0</v>
      </c>
      <c r="P406" s="315">
        <f t="shared" si="136"/>
        <v>0</v>
      </c>
      <c r="Q406" s="320"/>
      <c r="R406" s="315">
        <f t="shared" si="137"/>
        <v>0</v>
      </c>
      <c r="S406" s="315">
        <f t="shared" si="138"/>
        <v>0</v>
      </c>
      <c r="T406" s="213"/>
      <c r="U406" s="213"/>
      <c r="V406" s="213"/>
      <c r="W406" s="213"/>
      <c r="X406" s="591"/>
      <c r="Y406" s="591"/>
    </row>
    <row r="407" spans="1:25" ht="14.85" customHeight="1">
      <c r="A407" s="619"/>
      <c r="B407" s="586"/>
      <c r="C407" s="259"/>
      <c r="D407" s="621"/>
      <c r="E407" s="157"/>
      <c r="F407" s="154"/>
      <c r="G407" s="254"/>
      <c r="H407" s="262"/>
      <c r="I407" s="154"/>
      <c r="J407" s="254"/>
      <c r="K407" s="311">
        <f t="shared" si="132"/>
        <v>0</v>
      </c>
      <c r="L407" s="312">
        <f t="shared" si="133"/>
        <v>0</v>
      </c>
      <c r="M407" s="313">
        <f t="shared" si="134"/>
        <v>0</v>
      </c>
      <c r="N407" s="314">
        <f>SUM(L405:L407)</f>
        <v>0</v>
      </c>
      <c r="O407" s="315">
        <f t="shared" si="135"/>
        <v>0</v>
      </c>
      <c r="P407" s="315">
        <f t="shared" si="136"/>
        <v>0</v>
      </c>
      <c r="Q407" s="320">
        <f>N402+N404+N407</f>
        <v>0</v>
      </c>
      <c r="R407" s="315">
        <f t="shared" si="137"/>
        <v>0</v>
      </c>
      <c r="S407" s="315">
        <f t="shared" si="138"/>
        <v>0</v>
      </c>
      <c r="T407" s="213"/>
      <c r="U407" s="213"/>
      <c r="V407" s="213"/>
      <c r="W407" s="213"/>
      <c r="X407" s="591"/>
      <c r="Y407" s="591"/>
    </row>
    <row r="408" spans="1:25" ht="14.85" customHeight="1">
      <c r="A408" s="619"/>
      <c r="B408" s="586"/>
      <c r="C408" s="259"/>
      <c r="D408" s="621"/>
      <c r="E408" s="157"/>
      <c r="F408" s="154"/>
      <c r="G408" s="254"/>
      <c r="H408" s="262"/>
      <c r="I408" s="154"/>
      <c r="J408" s="254"/>
      <c r="K408" s="311"/>
      <c r="L408" s="312"/>
      <c r="M408" s="313"/>
      <c r="N408" s="314"/>
      <c r="O408" s="315">
        <f t="shared" si="135"/>
        <v>0</v>
      </c>
      <c r="P408" s="315">
        <f t="shared" si="136"/>
        <v>0</v>
      </c>
      <c r="Q408" s="320"/>
      <c r="R408" s="315">
        <f t="shared" ref="R408:R412" si="139">ROUNDDOWN((Q408/$O$11),0)</f>
        <v>0</v>
      </c>
      <c r="S408" s="315">
        <f t="shared" ref="S408:S412" si="140">ROUND((Q408-(R408*$P$11)),0)</f>
        <v>0</v>
      </c>
      <c r="T408" s="213"/>
      <c r="U408" s="213"/>
      <c r="V408" s="213"/>
      <c r="W408" s="213"/>
      <c r="X408" s="591"/>
      <c r="Y408" s="591"/>
    </row>
    <row r="409" spans="1:25" ht="14.85" customHeight="1">
      <c r="A409" s="619"/>
      <c r="B409" s="586"/>
      <c r="C409" s="259"/>
      <c r="D409" s="621"/>
      <c r="E409" s="157"/>
      <c r="F409" s="154"/>
      <c r="G409" s="219"/>
      <c r="H409" s="426"/>
      <c r="I409" s="154"/>
      <c r="J409" s="254"/>
      <c r="K409" s="311">
        <f t="shared" si="132"/>
        <v>0</v>
      </c>
      <c r="L409" s="312">
        <f t="shared" si="133"/>
        <v>0</v>
      </c>
      <c r="M409" s="313">
        <f t="shared" si="134"/>
        <v>0</v>
      </c>
      <c r="N409" s="314">
        <f>L409</f>
        <v>0</v>
      </c>
      <c r="O409" s="315">
        <f t="shared" si="135"/>
        <v>0</v>
      </c>
      <c r="P409" s="315">
        <f t="shared" si="136"/>
        <v>0</v>
      </c>
      <c r="Q409" s="320">
        <f>N409</f>
        <v>0</v>
      </c>
      <c r="R409" s="315">
        <f t="shared" si="139"/>
        <v>0</v>
      </c>
      <c r="S409" s="315">
        <f t="shared" si="140"/>
        <v>0</v>
      </c>
      <c r="T409" s="213"/>
      <c r="U409" s="213"/>
      <c r="V409" s="213"/>
      <c r="W409" s="213"/>
      <c r="X409" s="591"/>
      <c r="Y409" s="591"/>
    </row>
    <row r="410" spans="1:25" ht="14.85" customHeight="1">
      <c r="A410" s="619"/>
      <c r="B410" s="586"/>
      <c r="C410" s="259"/>
      <c r="D410" s="621"/>
      <c r="E410" s="157"/>
      <c r="F410" s="154"/>
      <c r="G410" s="219"/>
      <c r="H410" s="426"/>
      <c r="I410" s="154"/>
      <c r="J410" s="254"/>
      <c r="K410" s="311"/>
      <c r="L410" s="312"/>
      <c r="M410" s="313"/>
      <c r="N410" s="314"/>
      <c r="O410" s="315">
        <f t="shared" si="135"/>
        <v>0</v>
      </c>
      <c r="P410" s="315">
        <f t="shared" si="136"/>
        <v>0</v>
      </c>
      <c r="Q410" s="320"/>
      <c r="R410" s="315">
        <f t="shared" si="139"/>
        <v>0</v>
      </c>
      <c r="S410" s="315">
        <f t="shared" si="140"/>
        <v>0</v>
      </c>
      <c r="T410" s="213"/>
      <c r="U410" s="213"/>
      <c r="V410" s="213"/>
      <c r="W410" s="213"/>
      <c r="X410" s="591"/>
      <c r="Y410" s="591"/>
    </row>
    <row r="411" spans="1:25" ht="14.85" customHeight="1">
      <c r="A411" s="619"/>
      <c r="B411" s="586"/>
      <c r="C411" s="259"/>
      <c r="D411" s="621"/>
      <c r="E411" s="157"/>
      <c r="F411" s="154"/>
      <c r="G411" s="254"/>
      <c r="H411" s="262"/>
      <c r="I411" s="154"/>
      <c r="J411" s="254"/>
      <c r="K411" s="311">
        <f t="shared" si="132"/>
        <v>0</v>
      </c>
      <c r="L411" s="312">
        <f t="shared" si="133"/>
        <v>0</v>
      </c>
      <c r="M411" s="313">
        <f t="shared" si="134"/>
        <v>0</v>
      </c>
      <c r="N411" s="314"/>
      <c r="O411" s="315">
        <f t="shared" si="135"/>
        <v>0</v>
      </c>
      <c r="P411" s="315">
        <f t="shared" si="136"/>
        <v>0</v>
      </c>
      <c r="Q411" s="320"/>
      <c r="R411" s="315">
        <f t="shared" si="139"/>
        <v>0</v>
      </c>
      <c r="S411" s="315">
        <f t="shared" si="140"/>
        <v>0</v>
      </c>
      <c r="T411" s="213"/>
      <c r="U411" s="213"/>
      <c r="V411" s="213"/>
      <c r="W411" s="213"/>
      <c r="X411" s="591"/>
      <c r="Y411" s="591"/>
    </row>
    <row r="412" spans="1:25" ht="14.85" customHeight="1">
      <c r="A412" s="619"/>
      <c r="B412" s="586"/>
      <c r="C412" s="259"/>
      <c r="D412" s="621"/>
      <c r="E412" s="157"/>
      <c r="F412" s="154"/>
      <c r="G412" s="254"/>
      <c r="H412" s="262"/>
      <c r="I412" s="154"/>
      <c r="J412" s="254"/>
      <c r="K412" s="311">
        <f t="shared" si="132"/>
        <v>0</v>
      </c>
      <c r="L412" s="312">
        <f t="shared" si="133"/>
        <v>0</v>
      </c>
      <c r="M412" s="313">
        <f t="shared" si="134"/>
        <v>0</v>
      </c>
      <c r="N412" s="314"/>
      <c r="O412" s="315">
        <f t="shared" si="135"/>
        <v>0</v>
      </c>
      <c r="P412" s="315">
        <f t="shared" si="136"/>
        <v>0</v>
      </c>
      <c r="Q412" s="320"/>
      <c r="R412" s="315">
        <f t="shared" si="139"/>
        <v>0</v>
      </c>
      <c r="S412" s="315">
        <f t="shared" si="140"/>
        <v>0</v>
      </c>
      <c r="T412" s="213"/>
      <c r="U412" s="213"/>
      <c r="V412" s="213"/>
      <c r="W412" s="213"/>
      <c r="X412" s="591"/>
      <c r="Y412" s="591"/>
    </row>
    <row r="413" spans="1:25" ht="14.85" customHeight="1">
      <c r="A413" s="619"/>
      <c r="B413" s="586"/>
      <c r="C413" s="259"/>
      <c r="D413" s="621"/>
      <c r="E413" s="157"/>
      <c r="F413" s="154"/>
      <c r="G413" s="254"/>
      <c r="H413" s="262"/>
      <c r="I413" s="154"/>
      <c r="J413" s="325"/>
      <c r="K413" s="311">
        <f t="shared" si="132"/>
        <v>0</v>
      </c>
      <c r="L413" s="312">
        <f t="shared" si="133"/>
        <v>0</v>
      </c>
      <c r="M413" s="313">
        <f t="shared" si="134"/>
        <v>0</v>
      </c>
      <c r="N413" s="314"/>
      <c r="O413" s="315">
        <f t="shared" si="135"/>
        <v>0</v>
      </c>
      <c r="P413" s="315">
        <f t="shared" si="136"/>
        <v>0</v>
      </c>
      <c r="Q413" s="320"/>
      <c r="R413" s="315">
        <f t="shared" ref="R413:R425" si="141">ROUNDDOWN((Q413/$O$11),0)</f>
        <v>0</v>
      </c>
      <c r="S413" s="315">
        <f t="shared" ref="S413:S425" si="142">ROUND((Q413-(R413*$P$11)),0)</f>
        <v>0</v>
      </c>
      <c r="T413" s="213"/>
      <c r="U413" s="213"/>
      <c r="V413" s="213"/>
      <c r="W413" s="213"/>
      <c r="X413" s="591"/>
      <c r="Y413" s="591"/>
    </row>
    <row r="414" spans="1:25" ht="14.85" customHeight="1">
      <c r="A414" s="619"/>
      <c r="B414" s="586"/>
      <c r="C414" s="259"/>
      <c r="D414" s="621"/>
      <c r="E414" s="157"/>
      <c r="F414" s="154"/>
      <c r="G414" s="254"/>
      <c r="H414" s="262"/>
      <c r="I414" s="154"/>
      <c r="J414" s="254"/>
      <c r="K414" s="311">
        <f t="shared" si="132"/>
        <v>0</v>
      </c>
      <c r="L414" s="312">
        <f t="shared" si="133"/>
        <v>0</v>
      </c>
      <c r="M414" s="313">
        <f t="shared" si="134"/>
        <v>0</v>
      </c>
      <c r="N414" s="314">
        <f>SUM(L411:L414)</f>
        <v>0</v>
      </c>
      <c r="O414" s="315">
        <f t="shared" si="135"/>
        <v>0</v>
      </c>
      <c r="P414" s="315">
        <f t="shared" si="136"/>
        <v>0</v>
      </c>
      <c r="Q414" s="320">
        <f>N414</f>
        <v>0</v>
      </c>
      <c r="R414" s="315">
        <f t="shared" si="141"/>
        <v>0</v>
      </c>
      <c r="S414" s="315">
        <f t="shared" si="142"/>
        <v>0</v>
      </c>
      <c r="T414" s="213"/>
      <c r="U414" s="213"/>
      <c r="V414" s="213"/>
      <c r="W414" s="213"/>
      <c r="X414" s="591"/>
      <c r="Y414" s="591"/>
    </row>
    <row r="415" spans="1:25" ht="14.85" customHeight="1">
      <c r="A415" s="619"/>
      <c r="B415" s="586"/>
      <c r="C415" s="259"/>
      <c r="D415" s="621"/>
      <c r="E415" s="157"/>
      <c r="F415" s="154"/>
      <c r="G415" s="254"/>
      <c r="H415" s="262"/>
      <c r="I415" s="154"/>
      <c r="J415" s="254"/>
      <c r="K415" s="311"/>
      <c r="L415" s="312"/>
      <c r="M415" s="313"/>
      <c r="N415" s="314"/>
      <c r="O415" s="315">
        <f t="shared" si="135"/>
        <v>0</v>
      </c>
      <c r="P415" s="315">
        <f t="shared" si="136"/>
        <v>0</v>
      </c>
      <c r="Q415" s="320"/>
      <c r="R415" s="315"/>
      <c r="S415" s="315"/>
      <c r="T415" s="213"/>
      <c r="U415" s="213"/>
      <c r="V415" s="213"/>
      <c r="W415" s="213"/>
      <c r="X415" s="591"/>
      <c r="Y415" s="591"/>
    </row>
    <row r="416" spans="1:25" ht="14.85" customHeight="1">
      <c r="A416" s="619"/>
      <c r="B416" s="586"/>
      <c r="C416" s="259"/>
      <c r="D416" s="621"/>
      <c r="E416" s="157"/>
      <c r="F416" s="154"/>
      <c r="G416" s="254"/>
      <c r="H416" s="262"/>
      <c r="I416" s="154"/>
      <c r="J416" s="254"/>
      <c r="K416" s="311">
        <f t="shared" si="132"/>
        <v>0</v>
      </c>
      <c r="L416" s="312">
        <f t="shared" si="133"/>
        <v>0</v>
      </c>
      <c r="M416" s="313">
        <f t="shared" si="134"/>
        <v>0</v>
      </c>
      <c r="N416" s="314">
        <f>L416</f>
        <v>0</v>
      </c>
      <c r="O416" s="315">
        <f t="shared" si="135"/>
        <v>0</v>
      </c>
      <c r="P416" s="315">
        <f t="shared" si="136"/>
        <v>0</v>
      </c>
      <c r="Q416" s="320"/>
      <c r="R416" s="315">
        <f t="shared" si="141"/>
        <v>0</v>
      </c>
      <c r="S416" s="315">
        <f t="shared" si="142"/>
        <v>0</v>
      </c>
      <c r="T416" s="213"/>
      <c r="U416" s="213"/>
      <c r="V416" s="213"/>
      <c r="W416" s="213"/>
      <c r="X416" s="591"/>
      <c r="Y416" s="591"/>
    </row>
    <row r="417" spans="1:25" ht="14.85" customHeight="1">
      <c r="A417" s="619"/>
      <c r="B417" s="586"/>
      <c r="C417" s="259"/>
      <c r="D417" s="621"/>
      <c r="E417" s="157"/>
      <c r="F417" s="154"/>
      <c r="G417" s="254"/>
      <c r="H417" s="262"/>
      <c r="I417" s="154"/>
      <c r="J417" s="254"/>
      <c r="K417" s="311">
        <f t="shared" si="132"/>
        <v>0</v>
      </c>
      <c r="L417" s="312">
        <f t="shared" si="133"/>
        <v>0</v>
      </c>
      <c r="M417" s="313">
        <f t="shared" si="134"/>
        <v>0</v>
      </c>
      <c r="N417" s="314"/>
      <c r="O417" s="315">
        <f t="shared" si="135"/>
        <v>0</v>
      </c>
      <c r="P417" s="315">
        <f t="shared" si="136"/>
        <v>0</v>
      </c>
      <c r="Q417" s="320"/>
      <c r="R417" s="315">
        <f t="shared" si="141"/>
        <v>0</v>
      </c>
      <c r="S417" s="315">
        <f t="shared" si="142"/>
        <v>0</v>
      </c>
      <c r="T417" s="213"/>
      <c r="U417" s="213"/>
      <c r="V417" s="213"/>
      <c r="W417" s="213"/>
      <c r="X417" s="591"/>
      <c r="Y417" s="591"/>
    </row>
    <row r="418" spans="1:25" ht="14.85" customHeight="1">
      <c r="A418" s="619"/>
      <c r="B418" s="586"/>
      <c r="C418" s="259"/>
      <c r="D418" s="621"/>
      <c r="E418" s="157"/>
      <c r="F418" s="154"/>
      <c r="G418" s="254"/>
      <c r="H418" s="262"/>
      <c r="I418" s="154"/>
      <c r="J418" s="254"/>
      <c r="K418" s="311">
        <f t="shared" si="132"/>
        <v>0</v>
      </c>
      <c r="L418" s="312">
        <f t="shared" si="133"/>
        <v>0</v>
      </c>
      <c r="M418" s="313">
        <f t="shared" si="134"/>
        <v>0</v>
      </c>
      <c r="N418" s="314"/>
      <c r="O418" s="315">
        <f t="shared" si="135"/>
        <v>0</v>
      </c>
      <c r="P418" s="315">
        <f t="shared" si="136"/>
        <v>0</v>
      </c>
      <c r="Q418" s="320"/>
      <c r="R418" s="315">
        <f t="shared" si="141"/>
        <v>0</v>
      </c>
      <c r="S418" s="315">
        <f t="shared" si="142"/>
        <v>0</v>
      </c>
      <c r="T418" s="213"/>
      <c r="U418" s="213"/>
      <c r="V418" s="213"/>
      <c r="W418" s="213"/>
      <c r="X418" s="591"/>
      <c r="Y418" s="591"/>
    </row>
    <row r="419" spans="1:25" ht="14.85" customHeight="1">
      <c r="A419" s="619"/>
      <c r="B419" s="586"/>
      <c r="C419" s="259"/>
      <c r="D419" s="621"/>
      <c r="E419" s="272"/>
      <c r="F419" s="154"/>
      <c r="G419" s="216"/>
      <c r="H419" s="418"/>
      <c r="I419" s="154"/>
      <c r="J419" s="254"/>
      <c r="K419" s="311">
        <f t="shared" si="132"/>
        <v>0</v>
      </c>
      <c r="L419" s="312">
        <f t="shared" si="133"/>
        <v>0</v>
      </c>
      <c r="M419" s="313">
        <f t="shared" si="134"/>
        <v>0</v>
      </c>
      <c r="N419" s="314">
        <f>SUM(L416:L419)</f>
        <v>0</v>
      </c>
      <c r="O419" s="315">
        <f t="shared" si="135"/>
        <v>0</v>
      </c>
      <c r="P419" s="315">
        <f t="shared" si="136"/>
        <v>0</v>
      </c>
      <c r="Q419" s="320"/>
      <c r="R419" s="315">
        <f t="shared" si="141"/>
        <v>0</v>
      </c>
      <c r="S419" s="315">
        <f t="shared" si="142"/>
        <v>0</v>
      </c>
      <c r="T419" s="213"/>
      <c r="U419" s="213"/>
      <c r="V419" s="213"/>
      <c r="W419" s="213"/>
      <c r="X419" s="591"/>
      <c r="Y419" s="591"/>
    </row>
    <row r="420" spans="1:25" ht="14.85" customHeight="1">
      <c r="A420" s="619"/>
      <c r="B420" s="586"/>
      <c r="C420" s="259"/>
      <c r="D420" s="621"/>
      <c r="E420" s="272"/>
      <c r="F420" s="154"/>
      <c r="G420" s="254"/>
      <c r="H420" s="262"/>
      <c r="I420" s="154"/>
      <c r="J420" s="325"/>
      <c r="K420" s="311">
        <f t="shared" si="132"/>
        <v>0</v>
      </c>
      <c r="L420" s="312">
        <f t="shared" si="133"/>
        <v>0</v>
      </c>
      <c r="M420" s="313">
        <f t="shared" si="134"/>
        <v>0</v>
      </c>
      <c r="N420" s="314"/>
      <c r="O420" s="315">
        <f t="shared" si="135"/>
        <v>0</v>
      </c>
      <c r="P420" s="315">
        <f t="shared" si="136"/>
        <v>0</v>
      </c>
      <c r="Q420" s="320"/>
      <c r="R420" s="315">
        <f t="shared" si="141"/>
        <v>0</v>
      </c>
      <c r="S420" s="315">
        <f t="shared" si="142"/>
        <v>0</v>
      </c>
      <c r="T420" s="213"/>
      <c r="U420" s="213"/>
      <c r="V420" s="213"/>
      <c r="W420" s="213"/>
      <c r="X420" s="591"/>
      <c r="Y420" s="591"/>
    </row>
    <row r="421" spans="1:25" ht="14.85" customHeight="1">
      <c r="A421" s="619"/>
      <c r="B421" s="586"/>
      <c r="C421" s="259"/>
      <c r="D421" s="621"/>
      <c r="F421" s="154"/>
      <c r="G421" s="216"/>
      <c r="H421" s="418"/>
      <c r="I421" s="154"/>
      <c r="J421" s="325"/>
      <c r="K421" s="311">
        <f t="shared" si="132"/>
        <v>0</v>
      </c>
      <c r="L421" s="312">
        <f t="shared" si="133"/>
        <v>0</v>
      </c>
      <c r="M421" s="313">
        <f t="shared" si="134"/>
        <v>0</v>
      </c>
      <c r="N421" s="314"/>
      <c r="O421" s="315">
        <f t="shared" si="135"/>
        <v>0</v>
      </c>
      <c r="P421" s="315">
        <f t="shared" si="136"/>
        <v>0</v>
      </c>
      <c r="Q421" s="320"/>
      <c r="R421" s="315">
        <f t="shared" si="141"/>
        <v>0</v>
      </c>
      <c r="S421" s="315">
        <f t="shared" si="142"/>
        <v>0</v>
      </c>
      <c r="T421" s="213"/>
      <c r="U421" s="213"/>
      <c r="V421" s="213"/>
      <c r="W421" s="213"/>
      <c r="X421" s="591"/>
      <c r="Y421" s="591"/>
    </row>
    <row r="422" spans="1:25" ht="14.85" customHeight="1">
      <c r="A422" s="619"/>
      <c r="B422" s="586"/>
      <c r="C422" s="259"/>
      <c r="D422" s="621"/>
      <c r="E422" s="371"/>
      <c r="F422" s="273"/>
      <c r="H422" s="322"/>
      <c r="I422" s="155"/>
      <c r="J422" s="279"/>
      <c r="K422" s="311">
        <f t="shared" si="132"/>
        <v>0</v>
      </c>
      <c r="L422" s="312">
        <f t="shared" si="133"/>
        <v>0</v>
      </c>
      <c r="M422" s="313">
        <f t="shared" si="134"/>
        <v>0</v>
      </c>
      <c r="N422" s="314">
        <f>SUM(L420:L422)</f>
        <v>0</v>
      </c>
      <c r="O422" s="315">
        <f t="shared" ref="O422:O425" si="143">ROUNDDOWN((N422/$O$11),0)</f>
        <v>0</v>
      </c>
      <c r="P422" s="315">
        <f t="shared" si="126"/>
        <v>0</v>
      </c>
      <c r="Q422" s="320"/>
      <c r="R422" s="315">
        <f t="shared" si="141"/>
        <v>0</v>
      </c>
      <c r="S422" s="315">
        <f t="shared" si="142"/>
        <v>0</v>
      </c>
      <c r="T422" s="213"/>
      <c r="U422" s="213"/>
      <c r="V422" s="213"/>
      <c r="W422" s="213"/>
      <c r="X422" s="591"/>
      <c r="Y422" s="591"/>
    </row>
    <row r="423" spans="1:25" ht="14.85" customHeight="1">
      <c r="A423" s="619"/>
      <c r="B423" s="586"/>
      <c r="C423" s="259"/>
      <c r="D423" s="621"/>
      <c r="E423" s="371"/>
      <c r="F423" s="273"/>
      <c r="G423" s="254"/>
      <c r="H423" s="262"/>
      <c r="I423" s="154"/>
      <c r="J423" s="279"/>
      <c r="K423" s="311">
        <f t="shared" si="132"/>
        <v>0</v>
      </c>
      <c r="L423" s="312">
        <f t="shared" si="133"/>
        <v>0</v>
      </c>
      <c r="M423" s="313">
        <f t="shared" si="134"/>
        <v>0</v>
      </c>
      <c r="N423" s="314"/>
      <c r="O423" s="315">
        <f t="shared" si="143"/>
        <v>0</v>
      </c>
      <c r="P423" s="315">
        <f t="shared" si="126"/>
        <v>0</v>
      </c>
      <c r="Q423" s="320"/>
      <c r="R423" s="315">
        <f t="shared" si="141"/>
        <v>0</v>
      </c>
      <c r="S423" s="315">
        <f t="shared" si="142"/>
        <v>0</v>
      </c>
      <c r="T423" s="213"/>
      <c r="U423" s="213"/>
      <c r="V423" s="213"/>
      <c r="W423" s="213"/>
      <c r="X423" s="591"/>
      <c r="Y423" s="591"/>
    </row>
    <row r="424" spans="1:25" ht="14.85" customHeight="1">
      <c r="A424" s="619"/>
      <c r="B424" s="586"/>
      <c r="C424" s="259"/>
      <c r="D424" s="621"/>
      <c r="E424" s="371"/>
      <c r="F424" s="273"/>
      <c r="G424" s="254"/>
      <c r="H424" s="262"/>
      <c r="I424" s="155"/>
      <c r="J424" s="279"/>
      <c r="K424" s="311">
        <f t="shared" si="132"/>
        <v>0</v>
      </c>
      <c r="L424" s="312">
        <f t="shared" si="133"/>
        <v>0</v>
      </c>
      <c r="M424" s="313">
        <f t="shared" si="134"/>
        <v>0</v>
      </c>
      <c r="N424" s="314"/>
      <c r="O424" s="315">
        <f t="shared" si="143"/>
        <v>0</v>
      </c>
      <c r="P424" s="315">
        <f t="shared" si="126"/>
        <v>0</v>
      </c>
      <c r="Q424" s="320"/>
      <c r="R424" s="315">
        <f t="shared" si="141"/>
        <v>0</v>
      </c>
      <c r="S424" s="315">
        <f t="shared" si="142"/>
        <v>0</v>
      </c>
      <c r="T424" s="213"/>
      <c r="U424" s="213"/>
      <c r="V424" s="213"/>
      <c r="W424" s="213"/>
      <c r="X424" s="591"/>
      <c r="Y424" s="591"/>
    </row>
    <row r="425" spans="1:25" ht="14.85" customHeight="1">
      <c r="A425" s="619"/>
      <c r="B425" s="586"/>
      <c r="C425" s="259"/>
      <c r="D425" s="621"/>
      <c r="E425" s="272"/>
      <c r="F425" s="273"/>
      <c r="G425" s="219"/>
      <c r="H425" s="426"/>
      <c r="I425" s="155"/>
      <c r="J425" s="325"/>
      <c r="K425" s="311">
        <f t="shared" si="132"/>
        <v>0</v>
      </c>
      <c r="L425" s="312">
        <f t="shared" si="133"/>
        <v>0</v>
      </c>
      <c r="M425" s="313">
        <f t="shared" si="134"/>
        <v>0</v>
      </c>
      <c r="N425" s="314">
        <f>SUM(L423:L425)</f>
        <v>0</v>
      </c>
      <c r="O425" s="315">
        <f t="shared" si="143"/>
        <v>0</v>
      </c>
      <c r="P425" s="315">
        <f t="shared" si="126"/>
        <v>0</v>
      </c>
      <c r="Q425" s="320">
        <f>N416+N419+N422+N425</f>
        <v>0</v>
      </c>
      <c r="R425" s="315">
        <f t="shared" si="141"/>
        <v>0</v>
      </c>
      <c r="S425" s="315">
        <f t="shared" si="142"/>
        <v>0</v>
      </c>
      <c r="T425" s="213"/>
      <c r="U425" s="213"/>
      <c r="V425" s="213"/>
      <c r="W425" s="213"/>
      <c r="X425" s="591"/>
      <c r="Y425" s="591"/>
    </row>
    <row r="426" spans="1:25" ht="14.85" customHeight="1">
      <c r="A426" s="316"/>
      <c r="B426" s="259"/>
      <c r="C426" s="259"/>
      <c r="D426" s="256"/>
      <c r="E426" s="275"/>
      <c r="F426" s="273"/>
      <c r="G426" s="219"/>
      <c r="H426" s="426"/>
      <c r="I426" s="155"/>
      <c r="J426" s="325"/>
      <c r="K426" s="311"/>
      <c r="L426" s="312"/>
      <c r="M426" s="313"/>
      <c r="N426" s="314"/>
      <c r="O426" s="315"/>
      <c r="P426" s="315"/>
      <c r="Q426" s="320"/>
      <c r="R426" s="315"/>
      <c r="S426" s="315"/>
      <c r="T426" s="213"/>
      <c r="U426" s="213"/>
      <c r="V426" s="213"/>
      <c r="W426" s="213"/>
      <c r="X426" s="317"/>
      <c r="Y426" s="317"/>
    </row>
    <row r="427" spans="1:25" s="287" customFormat="1">
      <c r="A427" s="211" t="s">
        <v>129</v>
      </c>
      <c r="B427" s="211">
        <f>COUNTA(B396:B425)</f>
        <v>0</v>
      </c>
      <c r="C427" s="211"/>
      <c r="D427" s="211">
        <f>COUNTA(D396:D425)</f>
        <v>0</v>
      </c>
      <c r="E427" s="212">
        <f>COUNTA(E396:E425)</f>
        <v>0</v>
      </c>
      <c r="F427" s="211">
        <f>COUNTA(F396:F425)</f>
        <v>0</v>
      </c>
      <c r="G427" s="211">
        <f>COUNTA(G396:G425)</f>
        <v>0</v>
      </c>
      <c r="H427" s="211"/>
      <c r="I427" s="211">
        <f>COUNTA(I396:I425)</f>
        <v>0</v>
      </c>
      <c r="J427" s="280">
        <f>SUM(J396:J425)</f>
        <v>0</v>
      </c>
      <c r="K427" s="161">
        <f>SUM(K396:K425)</f>
        <v>0</v>
      </c>
      <c r="L427" s="161">
        <f>SUM(L396:L425)</f>
        <v>0</v>
      </c>
      <c r="M427" s="161">
        <f>SUM(M396:M425)</f>
        <v>0</v>
      </c>
      <c r="N427" s="161">
        <f>SUM(N396:N425)</f>
        <v>0</v>
      </c>
      <c r="O427" s="161">
        <f t="shared" ref="O427:O428" si="144">ROUNDDOWN((N427/$O$11),0)</f>
        <v>0</v>
      </c>
      <c r="P427" s="161">
        <f t="shared" ref="P427:P428" si="145">ROUND((N427-(O427*$P$11)),0)</f>
        <v>0</v>
      </c>
      <c r="Q427" s="161">
        <f>SUM(Q396:Q425)</f>
        <v>0</v>
      </c>
      <c r="R427" s="161">
        <f t="shared" ref="R427:R428" si="146">ROUNDDOWN((Q427/$O$11),0)</f>
        <v>0</v>
      </c>
      <c r="S427" s="161">
        <f t="shared" ref="S427:S428" si="147">ROUND((Q427-(R427*$P$11)),0)</f>
        <v>0</v>
      </c>
      <c r="T427" s="211"/>
      <c r="U427" s="211"/>
      <c r="V427" s="211"/>
      <c r="W427" s="211"/>
      <c r="X427" s="161" t="str">
        <f>IF(X396&lt;1.4,"1",IF(X396&lt;=2.3,"2",IF(X396&gt;2.3, ROUND(X396,0))))</f>
        <v>1</v>
      </c>
      <c r="Y427" s="161">
        <f>$Y$11*F427</f>
        <v>0</v>
      </c>
    </row>
    <row r="428" spans="1:25">
      <c r="A428" s="618"/>
      <c r="B428" s="585"/>
      <c r="C428" s="258"/>
      <c r="D428" s="620"/>
      <c r="E428" s="272"/>
      <c r="F428" s="154"/>
      <c r="G428" s="224"/>
      <c r="H428" s="427"/>
      <c r="I428" s="154"/>
      <c r="J428" s="276"/>
      <c r="K428" s="311">
        <f t="shared" ref="K428" si="148">J428/$K$11</f>
        <v>0</v>
      </c>
      <c r="L428" s="312">
        <f t="shared" ref="L428" si="149">J428/$L$11</f>
        <v>0</v>
      </c>
      <c r="M428" s="313">
        <f t="shared" ref="M428" si="150">ROUND((L428/$M$11),0)</f>
        <v>0</v>
      </c>
      <c r="N428" s="314"/>
      <c r="O428" s="315">
        <f t="shared" si="144"/>
        <v>0</v>
      </c>
      <c r="P428" s="315">
        <f t="shared" si="145"/>
        <v>0</v>
      </c>
      <c r="Q428" s="320"/>
      <c r="R428" s="315">
        <f t="shared" si="146"/>
        <v>0</v>
      </c>
      <c r="S428" s="315">
        <f t="shared" si="147"/>
        <v>0</v>
      </c>
      <c r="T428" s="213"/>
      <c r="U428" s="213"/>
      <c r="V428" s="213"/>
      <c r="W428" s="213"/>
      <c r="X428" s="590">
        <f>F522/$X$11</f>
        <v>0</v>
      </c>
      <c r="Y428" s="590"/>
    </row>
    <row r="429" spans="1:25">
      <c r="A429" s="619"/>
      <c r="B429" s="586"/>
      <c r="C429" s="259"/>
      <c r="D429" s="621"/>
      <c r="E429" s="157"/>
      <c r="F429" s="154"/>
      <c r="G429" s="254"/>
      <c r="H429" s="262"/>
      <c r="I429" s="154"/>
      <c r="J429" s="254"/>
      <c r="K429" s="311">
        <f t="shared" ref="K429:K499" si="151">J429/$K$11</f>
        <v>0</v>
      </c>
      <c r="L429" s="312">
        <f t="shared" ref="L429:L499" si="152">J429/$L$11</f>
        <v>0</v>
      </c>
      <c r="M429" s="313">
        <f t="shared" ref="M429:M499" si="153">ROUND((L429/$M$11),0)</f>
        <v>0</v>
      </c>
      <c r="N429" s="314"/>
      <c r="O429" s="315">
        <f t="shared" ref="O429:O447" si="154">ROUNDDOWN((N429/$O$11),0)</f>
        <v>0</v>
      </c>
      <c r="P429" s="315">
        <f t="shared" ref="P429:P447" si="155">ROUND((N429-(O429*$P$11)),0)</f>
        <v>0</v>
      </c>
      <c r="Q429" s="320"/>
      <c r="R429" s="315">
        <f t="shared" ref="R429:R499" si="156">ROUNDDOWN((Q429/$O$11),0)</f>
        <v>0</v>
      </c>
      <c r="S429" s="315">
        <f t="shared" ref="S429:S499" si="157">ROUND((Q429-(R429*$P$11)),0)</f>
        <v>0</v>
      </c>
      <c r="T429" s="213"/>
      <c r="U429" s="213"/>
      <c r="V429" s="213"/>
      <c r="W429" s="213"/>
      <c r="X429" s="591"/>
      <c r="Y429" s="591"/>
    </row>
    <row r="430" spans="1:25">
      <c r="A430" s="619"/>
      <c r="B430" s="586"/>
      <c r="C430" s="259"/>
      <c r="D430" s="621"/>
      <c r="E430" s="157"/>
      <c r="F430" s="154"/>
      <c r="G430" s="254"/>
      <c r="H430" s="262"/>
      <c r="I430" s="154"/>
      <c r="J430" s="254"/>
      <c r="K430" s="311">
        <f t="shared" si="151"/>
        <v>0</v>
      </c>
      <c r="L430" s="312">
        <f t="shared" si="152"/>
        <v>0</v>
      </c>
      <c r="M430" s="313">
        <f t="shared" si="153"/>
        <v>0</v>
      </c>
      <c r="N430" s="314">
        <f>SUM(L428:L430)</f>
        <v>0</v>
      </c>
      <c r="O430" s="315">
        <f t="shared" si="154"/>
        <v>0</v>
      </c>
      <c r="P430" s="315">
        <f t="shared" si="155"/>
        <v>0</v>
      </c>
      <c r="Q430" s="320">
        <f>N430</f>
        <v>0</v>
      </c>
      <c r="R430" s="315">
        <f t="shared" si="156"/>
        <v>0</v>
      </c>
      <c r="S430" s="315">
        <f t="shared" si="157"/>
        <v>0</v>
      </c>
      <c r="T430" s="213"/>
      <c r="U430" s="213"/>
      <c r="V430" s="213"/>
      <c r="W430" s="213"/>
      <c r="X430" s="591"/>
      <c r="Y430" s="591"/>
    </row>
    <row r="431" spans="1:25">
      <c r="A431" s="619"/>
      <c r="B431" s="586"/>
      <c r="C431" s="259"/>
      <c r="D431" s="621"/>
      <c r="E431" s="157"/>
      <c r="F431" s="154"/>
      <c r="G431" s="254"/>
      <c r="H431" s="262"/>
      <c r="I431" s="154"/>
      <c r="J431" s="254"/>
      <c r="K431" s="311"/>
      <c r="L431" s="312"/>
      <c r="M431" s="313"/>
      <c r="N431" s="314"/>
      <c r="O431" s="315"/>
      <c r="P431" s="315"/>
      <c r="Q431" s="320"/>
      <c r="R431" s="315"/>
      <c r="S431" s="315"/>
      <c r="T431" s="213"/>
      <c r="U431" s="213"/>
      <c r="V431" s="213"/>
      <c r="W431" s="213"/>
      <c r="X431" s="591"/>
      <c r="Y431" s="591"/>
    </row>
    <row r="432" spans="1:25" ht="14.85" customHeight="1">
      <c r="A432" s="619"/>
      <c r="B432" s="586"/>
      <c r="C432" s="259"/>
      <c r="D432" s="621"/>
      <c r="E432" s="157"/>
      <c r="F432" s="154"/>
      <c r="G432" s="254"/>
      <c r="H432" s="262"/>
      <c r="I432" s="154"/>
      <c r="J432" s="254"/>
      <c r="K432" s="311">
        <f t="shared" si="151"/>
        <v>0</v>
      </c>
      <c r="L432" s="312">
        <f t="shared" si="152"/>
        <v>0</v>
      </c>
      <c r="M432" s="313">
        <f t="shared" si="153"/>
        <v>0</v>
      </c>
      <c r="N432" s="314"/>
      <c r="O432" s="315">
        <f t="shared" si="154"/>
        <v>0</v>
      </c>
      <c r="P432" s="315">
        <f t="shared" si="155"/>
        <v>0</v>
      </c>
      <c r="Q432" s="320"/>
      <c r="R432" s="315">
        <f t="shared" si="156"/>
        <v>0</v>
      </c>
      <c r="S432" s="315">
        <f t="shared" si="157"/>
        <v>0</v>
      </c>
      <c r="T432" s="213"/>
      <c r="U432" s="213"/>
      <c r="V432" s="213"/>
      <c r="W432" s="213"/>
      <c r="X432" s="591"/>
      <c r="Y432" s="591"/>
    </row>
    <row r="433" spans="1:25" ht="14.85" customHeight="1">
      <c r="A433" s="619"/>
      <c r="B433" s="586"/>
      <c r="C433" s="259"/>
      <c r="D433" s="621"/>
      <c r="E433" s="157"/>
      <c r="F433" s="154"/>
      <c r="G433" s="254"/>
      <c r="H433" s="262"/>
      <c r="I433" s="154"/>
      <c r="J433" s="254"/>
      <c r="K433" s="311">
        <f t="shared" si="151"/>
        <v>0</v>
      </c>
      <c r="L433" s="312">
        <f t="shared" si="152"/>
        <v>0</v>
      </c>
      <c r="M433" s="313">
        <f t="shared" si="153"/>
        <v>0</v>
      </c>
      <c r="N433" s="314"/>
      <c r="O433" s="315">
        <f t="shared" si="154"/>
        <v>0</v>
      </c>
      <c r="P433" s="315">
        <f t="shared" si="155"/>
        <v>0</v>
      </c>
      <c r="Q433" s="320"/>
      <c r="R433" s="315">
        <f t="shared" si="156"/>
        <v>0</v>
      </c>
      <c r="S433" s="315">
        <f t="shared" si="157"/>
        <v>0</v>
      </c>
      <c r="T433" s="213"/>
      <c r="U433" s="213"/>
      <c r="V433" s="213"/>
      <c r="W433" s="213"/>
      <c r="X433" s="591"/>
      <c r="Y433" s="591"/>
    </row>
    <row r="434" spans="1:25" ht="14.85" customHeight="1">
      <c r="A434" s="619"/>
      <c r="B434" s="586"/>
      <c r="C434" s="259"/>
      <c r="D434" s="621"/>
      <c r="E434" s="157"/>
      <c r="F434" s="154"/>
      <c r="G434" s="254"/>
      <c r="H434" s="262"/>
      <c r="I434" s="154"/>
      <c r="J434" s="254"/>
      <c r="K434" s="311">
        <f t="shared" si="151"/>
        <v>0</v>
      </c>
      <c r="L434" s="312">
        <f t="shared" si="152"/>
        <v>0</v>
      </c>
      <c r="M434" s="313">
        <f t="shared" si="153"/>
        <v>0</v>
      </c>
      <c r="N434" s="314"/>
      <c r="O434" s="315">
        <f t="shared" si="154"/>
        <v>0</v>
      </c>
      <c r="P434" s="315">
        <f t="shared" si="155"/>
        <v>0</v>
      </c>
      <c r="Q434" s="320"/>
      <c r="R434" s="315">
        <f t="shared" si="156"/>
        <v>0</v>
      </c>
      <c r="S434" s="315">
        <f t="shared" si="157"/>
        <v>0</v>
      </c>
      <c r="T434" s="213"/>
      <c r="U434" s="213"/>
      <c r="V434" s="213"/>
      <c r="W434" s="213"/>
      <c r="X434" s="591"/>
      <c r="Y434" s="591"/>
    </row>
    <row r="435" spans="1:25" ht="14.85" customHeight="1">
      <c r="A435" s="619"/>
      <c r="B435" s="586"/>
      <c r="C435" s="259"/>
      <c r="D435" s="621"/>
      <c r="E435" s="157"/>
      <c r="F435" s="154"/>
      <c r="G435" s="254"/>
      <c r="H435" s="262"/>
      <c r="I435" s="154"/>
      <c r="J435" s="254"/>
      <c r="K435" s="311">
        <f t="shared" si="151"/>
        <v>0</v>
      </c>
      <c r="L435" s="312">
        <f t="shared" si="152"/>
        <v>0</v>
      </c>
      <c r="M435" s="313">
        <f t="shared" si="153"/>
        <v>0</v>
      </c>
      <c r="N435" s="314"/>
      <c r="O435" s="315">
        <f t="shared" si="154"/>
        <v>0</v>
      </c>
      <c r="P435" s="315">
        <f t="shared" si="155"/>
        <v>0</v>
      </c>
      <c r="Q435" s="320"/>
      <c r="R435" s="315">
        <f t="shared" si="156"/>
        <v>0</v>
      </c>
      <c r="S435" s="315">
        <f t="shared" si="157"/>
        <v>0</v>
      </c>
      <c r="T435" s="213"/>
      <c r="U435" s="213"/>
      <c r="V435" s="213"/>
      <c r="W435" s="213"/>
      <c r="X435" s="591"/>
      <c r="Y435" s="591"/>
    </row>
    <row r="436" spans="1:25" ht="14.85" customHeight="1">
      <c r="A436" s="619"/>
      <c r="B436" s="586"/>
      <c r="C436" s="259"/>
      <c r="D436" s="621"/>
      <c r="E436" s="157"/>
      <c r="F436" s="154"/>
      <c r="G436" s="254"/>
      <c r="H436" s="262"/>
      <c r="I436" s="154"/>
      <c r="J436" s="276"/>
      <c r="K436" s="311">
        <f t="shared" si="151"/>
        <v>0</v>
      </c>
      <c r="L436" s="312">
        <f t="shared" si="152"/>
        <v>0</v>
      </c>
      <c r="M436" s="313">
        <f t="shared" si="153"/>
        <v>0</v>
      </c>
      <c r="N436" s="314"/>
      <c r="O436" s="315">
        <f t="shared" si="154"/>
        <v>0</v>
      </c>
      <c r="P436" s="315">
        <f t="shared" si="155"/>
        <v>0</v>
      </c>
      <c r="Q436" s="320"/>
      <c r="R436" s="315">
        <f t="shared" si="156"/>
        <v>0</v>
      </c>
      <c r="S436" s="315">
        <f t="shared" si="157"/>
        <v>0</v>
      </c>
      <c r="T436" s="213"/>
      <c r="U436" s="213"/>
      <c r="V436" s="213"/>
      <c r="W436" s="213"/>
      <c r="X436" s="591"/>
      <c r="Y436" s="591"/>
    </row>
    <row r="437" spans="1:25" ht="14.85" customHeight="1">
      <c r="A437" s="619"/>
      <c r="B437" s="586"/>
      <c r="C437" s="259"/>
      <c r="D437" s="621"/>
      <c r="E437" s="157"/>
      <c r="F437" s="154"/>
      <c r="G437" s="254"/>
      <c r="H437" s="262"/>
      <c r="I437" s="154"/>
      <c r="J437" s="270"/>
      <c r="K437" s="311">
        <f t="shared" si="151"/>
        <v>0</v>
      </c>
      <c r="L437" s="312">
        <f t="shared" si="152"/>
        <v>0</v>
      </c>
      <c r="M437" s="313">
        <f t="shared" si="153"/>
        <v>0</v>
      </c>
      <c r="N437" s="314">
        <f>SUM(L432:L437)</f>
        <v>0</v>
      </c>
      <c r="O437" s="315">
        <f t="shared" si="154"/>
        <v>0</v>
      </c>
      <c r="P437" s="315">
        <f t="shared" si="155"/>
        <v>0</v>
      </c>
      <c r="Q437" s="320"/>
      <c r="R437" s="315">
        <f t="shared" si="156"/>
        <v>0</v>
      </c>
      <c r="S437" s="315">
        <f t="shared" si="157"/>
        <v>0</v>
      </c>
      <c r="T437" s="213"/>
      <c r="U437" s="213"/>
      <c r="V437" s="213"/>
      <c r="W437" s="213"/>
      <c r="X437" s="591"/>
      <c r="Y437" s="591"/>
    </row>
    <row r="438" spans="1:25" ht="14.85" customHeight="1">
      <c r="A438" s="619"/>
      <c r="B438" s="586"/>
      <c r="C438" s="259"/>
      <c r="D438" s="621"/>
      <c r="E438" s="157"/>
      <c r="F438" s="154"/>
      <c r="G438" s="225"/>
      <c r="H438" s="428"/>
      <c r="I438" s="154"/>
      <c r="J438" s="254"/>
      <c r="K438" s="311">
        <f t="shared" si="151"/>
        <v>0</v>
      </c>
      <c r="L438" s="312">
        <f t="shared" si="152"/>
        <v>0</v>
      </c>
      <c r="M438" s="313">
        <f t="shared" si="153"/>
        <v>0</v>
      </c>
      <c r="N438" s="314"/>
      <c r="O438" s="315">
        <f t="shared" si="154"/>
        <v>0</v>
      </c>
      <c r="P438" s="315">
        <f t="shared" si="155"/>
        <v>0</v>
      </c>
      <c r="Q438" s="320"/>
      <c r="R438" s="315">
        <f t="shared" si="156"/>
        <v>0</v>
      </c>
      <c r="S438" s="315">
        <f t="shared" si="157"/>
        <v>0</v>
      </c>
      <c r="T438" s="213"/>
      <c r="U438" s="213"/>
      <c r="V438" s="213"/>
      <c r="W438" s="213"/>
      <c r="X438" s="591"/>
      <c r="Y438" s="591"/>
    </row>
    <row r="439" spans="1:25" ht="14.85" customHeight="1">
      <c r="A439" s="619"/>
      <c r="B439" s="586"/>
      <c r="C439" s="259"/>
      <c r="D439" s="621"/>
      <c r="E439" s="157"/>
      <c r="F439" s="154"/>
      <c r="G439" s="225"/>
      <c r="H439" s="428"/>
      <c r="I439" s="154"/>
      <c r="J439" s="254"/>
      <c r="K439" s="311">
        <f t="shared" si="151"/>
        <v>0</v>
      </c>
      <c r="L439" s="312">
        <f t="shared" si="152"/>
        <v>0</v>
      </c>
      <c r="M439" s="313">
        <f t="shared" si="153"/>
        <v>0</v>
      </c>
      <c r="N439" s="314">
        <f>L438+L439</f>
        <v>0</v>
      </c>
      <c r="O439" s="315">
        <f t="shared" si="154"/>
        <v>0</v>
      </c>
      <c r="P439" s="315">
        <f t="shared" si="155"/>
        <v>0</v>
      </c>
      <c r="Q439" s="320">
        <f>N437+N439</f>
        <v>0</v>
      </c>
      <c r="R439" s="315">
        <f t="shared" si="156"/>
        <v>0</v>
      </c>
      <c r="S439" s="315">
        <f t="shared" si="157"/>
        <v>0</v>
      </c>
      <c r="T439" s="213"/>
      <c r="U439" s="213"/>
      <c r="V439" s="213"/>
      <c r="W439" s="213"/>
      <c r="X439" s="591"/>
      <c r="Y439" s="591"/>
    </row>
    <row r="440" spans="1:25" ht="14.85" customHeight="1">
      <c r="A440" s="619"/>
      <c r="B440" s="586"/>
      <c r="C440" s="259"/>
      <c r="D440" s="621"/>
      <c r="E440" s="157"/>
      <c r="F440" s="154"/>
      <c r="G440" s="225"/>
      <c r="H440" s="428"/>
      <c r="I440" s="154"/>
      <c r="J440" s="254"/>
      <c r="K440" s="311"/>
      <c r="L440" s="312"/>
      <c r="M440" s="313"/>
      <c r="N440" s="314"/>
      <c r="O440" s="315"/>
      <c r="P440" s="315"/>
      <c r="Q440" s="320"/>
      <c r="R440" s="315"/>
      <c r="S440" s="315"/>
      <c r="T440" s="213"/>
      <c r="U440" s="213"/>
      <c r="V440" s="213"/>
      <c r="W440" s="213"/>
      <c r="X440" s="591"/>
      <c r="Y440" s="591"/>
    </row>
    <row r="441" spans="1:25" ht="14.85" customHeight="1">
      <c r="A441" s="619"/>
      <c r="B441" s="586"/>
      <c r="C441" s="259"/>
      <c r="D441" s="621"/>
      <c r="E441" s="272"/>
      <c r="F441" s="154"/>
      <c r="G441" s="224"/>
      <c r="H441" s="427"/>
      <c r="I441" s="154"/>
      <c r="J441" s="276"/>
      <c r="K441" s="311">
        <f t="shared" si="151"/>
        <v>0</v>
      </c>
      <c r="L441" s="312">
        <f t="shared" si="152"/>
        <v>0</v>
      </c>
      <c r="M441" s="313">
        <f t="shared" si="153"/>
        <v>0</v>
      </c>
      <c r="N441" s="314"/>
      <c r="O441" s="315">
        <f t="shared" si="154"/>
        <v>0</v>
      </c>
      <c r="P441" s="315">
        <f t="shared" si="155"/>
        <v>0</v>
      </c>
      <c r="Q441" s="320"/>
      <c r="R441" s="315">
        <f t="shared" si="156"/>
        <v>0</v>
      </c>
      <c r="S441" s="315">
        <f t="shared" si="157"/>
        <v>0</v>
      </c>
      <c r="T441" s="213"/>
      <c r="U441" s="213"/>
      <c r="V441" s="213"/>
      <c r="W441" s="213"/>
      <c r="X441" s="591"/>
      <c r="Y441" s="591"/>
    </row>
    <row r="442" spans="1:25" ht="14.85" customHeight="1">
      <c r="A442" s="619"/>
      <c r="B442" s="586"/>
      <c r="C442" s="259"/>
      <c r="D442" s="621"/>
      <c r="E442" s="157"/>
      <c r="F442" s="154"/>
      <c r="G442" s="254"/>
      <c r="H442" s="262"/>
      <c r="I442" s="154"/>
      <c r="J442" s="254"/>
      <c r="K442" s="311">
        <f t="shared" si="151"/>
        <v>0</v>
      </c>
      <c r="L442" s="312">
        <f t="shared" si="152"/>
        <v>0</v>
      </c>
      <c r="M442" s="313">
        <f t="shared" si="153"/>
        <v>0</v>
      </c>
      <c r="N442" s="314"/>
      <c r="O442" s="315">
        <f t="shared" si="154"/>
        <v>0</v>
      </c>
      <c r="P442" s="315">
        <f t="shared" si="155"/>
        <v>0</v>
      </c>
      <c r="Q442" s="320"/>
      <c r="R442" s="315">
        <f t="shared" si="156"/>
        <v>0</v>
      </c>
      <c r="S442" s="315">
        <f t="shared" si="157"/>
        <v>0</v>
      </c>
      <c r="T442" s="213"/>
      <c r="U442" s="213"/>
      <c r="V442" s="213"/>
      <c r="W442" s="213"/>
      <c r="X442" s="591"/>
      <c r="Y442" s="591"/>
    </row>
    <row r="443" spans="1:25" ht="14.85" customHeight="1">
      <c r="A443" s="619"/>
      <c r="B443" s="586"/>
      <c r="C443" s="259"/>
      <c r="D443" s="621"/>
      <c r="E443" s="157"/>
      <c r="F443" s="154"/>
      <c r="G443" s="254"/>
      <c r="H443" s="262"/>
      <c r="I443" s="154"/>
      <c r="J443" s="254"/>
      <c r="K443" s="311">
        <f t="shared" si="151"/>
        <v>0</v>
      </c>
      <c r="L443" s="312">
        <f t="shared" si="152"/>
        <v>0</v>
      </c>
      <c r="M443" s="313">
        <f t="shared" si="153"/>
        <v>0</v>
      </c>
      <c r="N443" s="314"/>
      <c r="O443" s="315">
        <f t="shared" si="154"/>
        <v>0</v>
      </c>
      <c r="P443" s="315">
        <f t="shared" si="155"/>
        <v>0</v>
      </c>
      <c r="Q443" s="320"/>
      <c r="R443" s="315">
        <f t="shared" si="156"/>
        <v>0</v>
      </c>
      <c r="S443" s="315">
        <f t="shared" si="157"/>
        <v>0</v>
      </c>
      <c r="T443" s="213"/>
      <c r="U443" s="213"/>
      <c r="V443" s="213"/>
      <c r="W443" s="213"/>
      <c r="X443" s="591"/>
      <c r="Y443" s="591"/>
    </row>
    <row r="444" spans="1:25" ht="14.85" customHeight="1">
      <c r="A444" s="619"/>
      <c r="B444" s="586"/>
      <c r="C444" s="259"/>
      <c r="D444" s="621"/>
      <c r="E444" s="157"/>
      <c r="F444" s="154"/>
      <c r="G444" s="254"/>
      <c r="H444" s="262"/>
      <c r="I444" s="154"/>
      <c r="J444" s="254"/>
      <c r="K444" s="311">
        <f t="shared" si="151"/>
        <v>0</v>
      </c>
      <c r="L444" s="312">
        <f t="shared" si="152"/>
        <v>0</v>
      </c>
      <c r="M444" s="313">
        <f t="shared" si="153"/>
        <v>0</v>
      </c>
      <c r="N444" s="314">
        <f>SUM(L441:L444)</f>
        <v>0</v>
      </c>
      <c r="O444" s="315">
        <f t="shared" si="154"/>
        <v>0</v>
      </c>
      <c r="P444" s="315">
        <f t="shared" si="155"/>
        <v>0</v>
      </c>
      <c r="Q444" s="320">
        <f>N444</f>
        <v>0</v>
      </c>
      <c r="R444" s="315">
        <f t="shared" si="156"/>
        <v>0</v>
      </c>
      <c r="S444" s="315">
        <f t="shared" si="157"/>
        <v>0</v>
      </c>
      <c r="T444" s="213"/>
      <c r="U444" s="213"/>
      <c r="V444" s="213"/>
      <c r="W444" s="213"/>
      <c r="X444" s="591"/>
      <c r="Y444" s="591"/>
    </row>
    <row r="445" spans="1:25" ht="14.85" customHeight="1">
      <c r="A445" s="619"/>
      <c r="B445" s="586"/>
      <c r="C445" s="259"/>
      <c r="D445" s="621"/>
      <c r="E445" s="157"/>
      <c r="F445" s="154"/>
      <c r="G445" s="254"/>
      <c r="H445" s="262"/>
      <c r="I445" s="154"/>
      <c r="J445" s="254"/>
      <c r="K445" s="311"/>
      <c r="L445" s="312"/>
      <c r="M445" s="313"/>
      <c r="N445" s="314"/>
      <c r="O445" s="315"/>
      <c r="P445" s="315"/>
      <c r="Q445" s="320"/>
      <c r="R445" s="315"/>
      <c r="S445" s="315"/>
      <c r="T445" s="213"/>
      <c r="U445" s="213"/>
      <c r="V445" s="213"/>
      <c r="W445" s="213"/>
      <c r="X445" s="591"/>
      <c r="Y445" s="591"/>
    </row>
    <row r="446" spans="1:25" ht="14.85" customHeight="1">
      <c r="A446" s="619"/>
      <c r="B446" s="586"/>
      <c r="C446" s="259"/>
      <c r="D446" s="621"/>
      <c r="E446" s="157"/>
      <c r="F446" s="154"/>
      <c r="G446" s="254"/>
      <c r="H446" s="262"/>
      <c r="I446" s="154"/>
      <c r="J446" s="254"/>
      <c r="K446" s="311">
        <f t="shared" si="151"/>
        <v>0</v>
      </c>
      <c r="L446" s="312">
        <f t="shared" si="152"/>
        <v>0</v>
      </c>
      <c r="M446" s="313">
        <f t="shared" si="153"/>
        <v>0</v>
      </c>
      <c r="N446" s="314"/>
      <c r="O446" s="315">
        <f t="shared" si="154"/>
        <v>0</v>
      </c>
      <c r="P446" s="315">
        <f t="shared" si="155"/>
        <v>0</v>
      </c>
      <c r="Q446" s="320"/>
      <c r="R446" s="315">
        <f t="shared" si="156"/>
        <v>0</v>
      </c>
      <c r="S446" s="315">
        <f t="shared" si="157"/>
        <v>0</v>
      </c>
      <c r="T446" s="213"/>
      <c r="U446" s="213"/>
      <c r="V446" s="213"/>
      <c r="W446" s="213"/>
      <c r="X446" s="591"/>
      <c r="Y446" s="591"/>
    </row>
    <row r="447" spans="1:25" ht="14.85" customHeight="1">
      <c r="A447" s="619"/>
      <c r="B447" s="586"/>
      <c r="C447" s="259"/>
      <c r="D447" s="621"/>
      <c r="E447" s="272"/>
      <c r="F447" s="154"/>
      <c r="G447" s="220"/>
      <c r="H447" s="429"/>
      <c r="I447" s="154"/>
      <c r="J447" s="276"/>
      <c r="K447" s="311">
        <f t="shared" si="151"/>
        <v>0</v>
      </c>
      <c r="L447" s="312">
        <f t="shared" si="152"/>
        <v>0</v>
      </c>
      <c r="M447" s="313">
        <f t="shared" si="153"/>
        <v>0</v>
      </c>
      <c r="N447" s="314"/>
      <c r="O447" s="315">
        <f t="shared" si="154"/>
        <v>0</v>
      </c>
      <c r="P447" s="315">
        <f t="shared" si="155"/>
        <v>0</v>
      </c>
      <c r="Q447" s="320"/>
      <c r="R447" s="315">
        <f t="shared" si="156"/>
        <v>0</v>
      </c>
      <c r="S447" s="315">
        <f t="shared" si="157"/>
        <v>0</v>
      </c>
      <c r="T447" s="213"/>
      <c r="U447" s="213"/>
      <c r="V447" s="213"/>
      <c r="W447" s="213"/>
      <c r="X447" s="591"/>
      <c r="Y447" s="591"/>
    </row>
    <row r="448" spans="1:25" ht="14.85" customHeight="1">
      <c r="A448" s="619"/>
      <c r="B448" s="586"/>
      <c r="C448" s="259"/>
      <c r="D448" s="621"/>
      <c r="E448" s="157"/>
      <c r="F448" s="154"/>
      <c r="G448" s="254"/>
      <c r="H448" s="262"/>
      <c r="I448" s="154"/>
      <c r="J448" s="276"/>
      <c r="K448" s="311">
        <f t="shared" si="151"/>
        <v>0</v>
      </c>
      <c r="L448" s="312">
        <f t="shared" si="152"/>
        <v>0</v>
      </c>
      <c r="M448" s="313">
        <f t="shared" si="153"/>
        <v>0</v>
      </c>
      <c r="N448" s="314"/>
      <c r="O448" s="315">
        <f t="shared" ref="O448:O518" si="158">ROUNDDOWN((N448/$O$11),0)</f>
        <v>0</v>
      </c>
      <c r="P448" s="315">
        <f t="shared" ref="P448:P518" si="159">ROUND((N448-(O448*$P$11)),0)</f>
        <v>0</v>
      </c>
      <c r="Q448" s="320"/>
      <c r="R448" s="315">
        <f t="shared" si="156"/>
        <v>0</v>
      </c>
      <c r="S448" s="315">
        <f t="shared" si="157"/>
        <v>0</v>
      </c>
      <c r="T448" s="213"/>
      <c r="U448" s="213"/>
      <c r="V448" s="213"/>
      <c r="W448" s="213"/>
      <c r="X448" s="591"/>
      <c r="Y448" s="591"/>
    </row>
    <row r="449" spans="1:25" ht="14.85" customHeight="1">
      <c r="A449" s="619"/>
      <c r="B449" s="586"/>
      <c r="C449" s="259"/>
      <c r="D449" s="621"/>
      <c r="E449" s="157"/>
      <c r="F449" s="154"/>
      <c r="G449" s="254"/>
      <c r="H449" s="262"/>
      <c r="I449" s="154"/>
      <c r="J449" s="254"/>
      <c r="K449" s="311">
        <f t="shared" si="151"/>
        <v>0</v>
      </c>
      <c r="L449" s="312">
        <f t="shared" si="152"/>
        <v>0</v>
      </c>
      <c r="M449" s="313">
        <f t="shared" si="153"/>
        <v>0</v>
      </c>
      <c r="N449" s="314">
        <f>SUM(L446:L449)</f>
        <v>0</v>
      </c>
      <c r="O449" s="315">
        <f t="shared" si="158"/>
        <v>0</v>
      </c>
      <c r="P449" s="315">
        <f t="shared" si="159"/>
        <v>0</v>
      </c>
      <c r="Q449" s="320"/>
      <c r="R449" s="315">
        <f t="shared" si="156"/>
        <v>0</v>
      </c>
      <c r="S449" s="315">
        <f t="shared" si="157"/>
        <v>0</v>
      </c>
      <c r="T449" s="213"/>
      <c r="U449" s="213"/>
      <c r="V449" s="213"/>
      <c r="W449" s="213"/>
      <c r="X449" s="591"/>
      <c r="Y449" s="591"/>
    </row>
    <row r="450" spans="1:25" ht="14.85" customHeight="1">
      <c r="A450" s="619"/>
      <c r="B450" s="586"/>
      <c r="C450" s="259"/>
      <c r="D450" s="621"/>
      <c r="E450" s="157"/>
      <c r="F450" s="154"/>
      <c r="G450" s="254"/>
      <c r="H450" s="262"/>
      <c r="I450" s="154"/>
      <c r="J450" s="254"/>
      <c r="K450" s="311">
        <f t="shared" si="151"/>
        <v>0</v>
      </c>
      <c r="L450" s="312">
        <f t="shared" si="152"/>
        <v>0</v>
      </c>
      <c r="M450" s="313">
        <f t="shared" si="153"/>
        <v>0</v>
      </c>
      <c r="N450" s="314"/>
      <c r="O450" s="315">
        <f t="shared" si="158"/>
        <v>0</v>
      </c>
      <c r="P450" s="315">
        <f t="shared" si="159"/>
        <v>0</v>
      </c>
      <c r="Q450" s="320"/>
      <c r="R450" s="315">
        <f t="shared" si="156"/>
        <v>0</v>
      </c>
      <c r="S450" s="315">
        <f t="shared" si="157"/>
        <v>0</v>
      </c>
      <c r="T450" s="213"/>
      <c r="U450" s="213"/>
      <c r="V450" s="213"/>
      <c r="W450" s="213"/>
      <c r="X450" s="591"/>
      <c r="Y450" s="591"/>
    </row>
    <row r="451" spans="1:25" ht="14.85" customHeight="1">
      <c r="A451" s="619"/>
      <c r="B451" s="586"/>
      <c r="C451" s="259"/>
      <c r="D451" s="621"/>
      <c r="E451" s="157"/>
      <c r="F451" s="154"/>
      <c r="G451" s="254"/>
      <c r="H451" s="262"/>
      <c r="I451" s="154"/>
      <c r="J451" s="254"/>
      <c r="K451" s="311">
        <f t="shared" si="151"/>
        <v>0</v>
      </c>
      <c r="L451" s="312">
        <f t="shared" si="152"/>
        <v>0</v>
      </c>
      <c r="M451" s="313">
        <f t="shared" si="153"/>
        <v>0</v>
      </c>
      <c r="N451" s="314"/>
      <c r="O451" s="315">
        <f t="shared" si="158"/>
        <v>0</v>
      </c>
      <c r="P451" s="315">
        <f t="shared" si="159"/>
        <v>0</v>
      </c>
      <c r="Q451" s="320"/>
      <c r="R451" s="315">
        <f t="shared" si="156"/>
        <v>0</v>
      </c>
      <c r="S451" s="315">
        <f t="shared" si="157"/>
        <v>0</v>
      </c>
      <c r="T451" s="213"/>
      <c r="U451" s="213"/>
      <c r="V451" s="213"/>
      <c r="W451" s="213"/>
      <c r="X451" s="591"/>
      <c r="Y451" s="591"/>
    </row>
    <row r="452" spans="1:25" ht="14.85" customHeight="1">
      <c r="A452" s="619"/>
      <c r="B452" s="586"/>
      <c r="C452" s="259"/>
      <c r="D452" s="621"/>
      <c r="E452" s="157"/>
      <c r="F452" s="154"/>
      <c r="G452" s="254"/>
      <c r="H452" s="262"/>
      <c r="I452" s="154"/>
      <c r="J452" s="254"/>
      <c r="K452" s="311">
        <f t="shared" si="151"/>
        <v>0</v>
      </c>
      <c r="L452" s="312">
        <f t="shared" si="152"/>
        <v>0</v>
      </c>
      <c r="M452" s="313">
        <f t="shared" si="153"/>
        <v>0</v>
      </c>
      <c r="N452" s="314"/>
      <c r="O452" s="315">
        <f t="shared" si="158"/>
        <v>0</v>
      </c>
      <c r="P452" s="315">
        <f t="shared" si="159"/>
        <v>0</v>
      </c>
      <c r="Q452" s="320"/>
      <c r="R452" s="315">
        <f t="shared" si="156"/>
        <v>0</v>
      </c>
      <c r="S452" s="315">
        <f t="shared" si="157"/>
        <v>0</v>
      </c>
      <c r="T452" s="213"/>
      <c r="U452" s="213"/>
      <c r="V452" s="213"/>
      <c r="W452" s="213"/>
      <c r="X452" s="591"/>
      <c r="Y452" s="591"/>
    </row>
    <row r="453" spans="1:25" ht="14.85" customHeight="1">
      <c r="A453" s="619"/>
      <c r="B453" s="586"/>
      <c r="C453" s="259"/>
      <c r="D453" s="621"/>
      <c r="E453" s="157"/>
      <c r="F453" s="154"/>
      <c r="G453" s="254"/>
      <c r="H453" s="262"/>
      <c r="I453" s="154"/>
      <c r="J453" s="254"/>
      <c r="K453" s="311">
        <f t="shared" si="151"/>
        <v>0</v>
      </c>
      <c r="L453" s="312">
        <f t="shared" si="152"/>
        <v>0</v>
      </c>
      <c r="M453" s="313">
        <f t="shared" si="153"/>
        <v>0</v>
      </c>
      <c r="N453" s="314"/>
      <c r="O453" s="315">
        <f t="shared" si="158"/>
        <v>0</v>
      </c>
      <c r="P453" s="315">
        <f t="shared" si="159"/>
        <v>0</v>
      </c>
      <c r="Q453" s="320"/>
      <c r="R453" s="315">
        <f t="shared" si="156"/>
        <v>0</v>
      </c>
      <c r="S453" s="315">
        <f t="shared" si="157"/>
        <v>0</v>
      </c>
      <c r="T453" s="213"/>
      <c r="U453" s="213"/>
      <c r="V453" s="213"/>
      <c r="W453" s="213"/>
      <c r="X453" s="591"/>
      <c r="Y453" s="591"/>
    </row>
    <row r="454" spans="1:25" ht="14.85" customHeight="1">
      <c r="A454" s="619"/>
      <c r="B454" s="586"/>
      <c r="C454" s="259"/>
      <c r="D454" s="621"/>
      <c r="E454" s="157"/>
      <c r="F454" s="154"/>
      <c r="G454" s="254"/>
      <c r="H454" s="262"/>
      <c r="I454" s="154"/>
      <c r="J454" s="254"/>
      <c r="K454" s="311">
        <f t="shared" si="151"/>
        <v>0</v>
      </c>
      <c r="L454" s="312">
        <f t="shared" si="152"/>
        <v>0</v>
      </c>
      <c r="M454" s="313">
        <f t="shared" si="153"/>
        <v>0</v>
      </c>
      <c r="N454" s="314">
        <f>SUM(L450:L454)</f>
        <v>0</v>
      </c>
      <c r="O454" s="315">
        <f t="shared" si="158"/>
        <v>0</v>
      </c>
      <c r="P454" s="315">
        <f t="shared" si="159"/>
        <v>0</v>
      </c>
      <c r="Q454" s="320">
        <f>N449+N454</f>
        <v>0</v>
      </c>
      <c r="R454" s="315">
        <f t="shared" si="156"/>
        <v>0</v>
      </c>
      <c r="S454" s="315">
        <f t="shared" si="157"/>
        <v>0</v>
      </c>
      <c r="T454" s="213"/>
      <c r="U454" s="213"/>
      <c r="V454" s="213"/>
      <c r="W454" s="213"/>
      <c r="X454" s="591"/>
      <c r="Y454" s="591"/>
    </row>
    <row r="455" spans="1:25" ht="14.85" customHeight="1">
      <c r="A455" s="619"/>
      <c r="B455" s="586"/>
      <c r="C455" s="259"/>
      <c r="D455" s="621"/>
      <c r="E455" s="157"/>
      <c r="F455" s="154"/>
      <c r="G455" s="254"/>
      <c r="H455" s="262"/>
      <c r="I455" s="154"/>
      <c r="J455" s="254"/>
      <c r="K455" s="311"/>
      <c r="L455" s="312"/>
      <c r="M455" s="313"/>
      <c r="N455" s="314"/>
      <c r="O455" s="315"/>
      <c r="P455" s="315"/>
      <c r="Q455" s="320"/>
      <c r="R455" s="315"/>
      <c r="S455" s="315"/>
      <c r="T455" s="213"/>
      <c r="U455" s="213"/>
      <c r="V455" s="213"/>
      <c r="W455" s="213"/>
      <c r="X455" s="591"/>
      <c r="Y455" s="591"/>
    </row>
    <row r="456" spans="1:25" ht="14.85" customHeight="1">
      <c r="A456" s="619"/>
      <c r="B456" s="586"/>
      <c r="C456" s="259"/>
      <c r="D456" s="621"/>
      <c r="E456" s="157"/>
      <c r="F456" s="154"/>
      <c r="G456" s="254"/>
      <c r="H456" s="262"/>
      <c r="I456" s="154"/>
      <c r="J456" s="254"/>
      <c r="K456" s="311">
        <f t="shared" si="151"/>
        <v>0</v>
      </c>
      <c r="L456" s="312">
        <f t="shared" si="152"/>
        <v>0</v>
      </c>
      <c r="M456" s="313">
        <f t="shared" si="153"/>
        <v>0</v>
      </c>
      <c r="N456" s="314"/>
      <c r="O456" s="315">
        <f t="shared" si="158"/>
        <v>0</v>
      </c>
      <c r="P456" s="315">
        <f t="shared" si="159"/>
        <v>0</v>
      </c>
      <c r="Q456" s="320"/>
      <c r="R456" s="315">
        <f t="shared" si="156"/>
        <v>0</v>
      </c>
      <c r="S456" s="315">
        <f t="shared" si="157"/>
        <v>0</v>
      </c>
      <c r="T456" s="213"/>
      <c r="U456" s="213"/>
      <c r="V456" s="213"/>
      <c r="W456" s="213"/>
      <c r="X456" s="591"/>
      <c r="Y456" s="591"/>
    </row>
    <row r="457" spans="1:25" ht="14.85" customHeight="1">
      <c r="A457" s="619"/>
      <c r="B457" s="586"/>
      <c r="C457" s="259"/>
      <c r="D457" s="621"/>
      <c r="E457" s="157"/>
      <c r="F457" s="154"/>
      <c r="G457" s="254"/>
      <c r="H457" s="262"/>
      <c r="I457" s="154"/>
      <c r="J457" s="254"/>
      <c r="K457" s="311">
        <f t="shared" si="151"/>
        <v>0</v>
      </c>
      <c r="L457" s="312">
        <f t="shared" si="152"/>
        <v>0</v>
      </c>
      <c r="M457" s="313">
        <f t="shared" si="153"/>
        <v>0</v>
      </c>
      <c r="N457" s="314"/>
      <c r="O457" s="315">
        <f t="shared" si="158"/>
        <v>0</v>
      </c>
      <c r="P457" s="315">
        <f t="shared" si="159"/>
        <v>0</v>
      </c>
      <c r="Q457" s="320"/>
      <c r="R457" s="315">
        <f t="shared" si="156"/>
        <v>0</v>
      </c>
      <c r="S457" s="315">
        <f t="shared" si="157"/>
        <v>0</v>
      </c>
      <c r="T457" s="213"/>
      <c r="U457" s="213"/>
      <c r="V457" s="213"/>
      <c r="W457" s="213"/>
      <c r="X457" s="591"/>
      <c r="Y457" s="591"/>
    </row>
    <row r="458" spans="1:25" ht="14.85" customHeight="1">
      <c r="A458" s="619"/>
      <c r="B458" s="586"/>
      <c r="C458" s="259"/>
      <c r="D458" s="621"/>
      <c r="E458" s="157"/>
      <c r="F458" s="154"/>
      <c r="G458" s="254"/>
      <c r="H458" s="262"/>
      <c r="I458" s="154"/>
      <c r="J458" s="254"/>
      <c r="K458" s="311">
        <f t="shared" si="151"/>
        <v>0</v>
      </c>
      <c r="L458" s="312">
        <f t="shared" si="152"/>
        <v>0</v>
      </c>
      <c r="M458" s="313">
        <f t="shared" si="153"/>
        <v>0</v>
      </c>
      <c r="N458" s="314"/>
      <c r="O458" s="315">
        <f t="shared" si="158"/>
        <v>0</v>
      </c>
      <c r="P458" s="315">
        <f t="shared" si="159"/>
        <v>0</v>
      </c>
      <c r="Q458" s="320"/>
      <c r="R458" s="315">
        <f t="shared" si="156"/>
        <v>0</v>
      </c>
      <c r="S458" s="315">
        <f t="shared" si="157"/>
        <v>0</v>
      </c>
      <c r="T458" s="213"/>
      <c r="U458" s="213"/>
      <c r="V458" s="213"/>
      <c r="W458" s="213"/>
      <c r="X458" s="591"/>
      <c r="Y458" s="591"/>
    </row>
    <row r="459" spans="1:25" ht="14.85" customHeight="1">
      <c r="A459" s="619"/>
      <c r="B459" s="586"/>
      <c r="C459" s="259"/>
      <c r="D459" s="621"/>
      <c r="E459" s="157"/>
      <c r="F459" s="154"/>
      <c r="G459" s="254"/>
      <c r="H459" s="262"/>
      <c r="I459" s="154"/>
      <c r="J459" s="254"/>
      <c r="K459" s="311">
        <f t="shared" si="151"/>
        <v>0</v>
      </c>
      <c r="L459" s="312">
        <f t="shared" si="152"/>
        <v>0</v>
      </c>
      <c r="M459" s="313">
        <f t="shared" si="153"/>
        <v>0</v>
      </c>
      <c r="N459" s="314"/>
      <c r="O459" s="315">
        <f t="shared" si="158"/>
        <v>0</v>
      </c>
      <c r="P459" s="315">
        <f t="shared" si="159"/>
        <v>0</v>
      </c>
      <c r="Q459" s="320"/>
      <c r="R459" s="315">
        <f t="shared" si="156"/>
        <v>0</v>
      </c>
      <c r="S459" s="315">
        <f t="shared" si="157"/>
        <v>0</v>
      </c>
      <c r="T459" s="213"/>
      <c r="U459" s="213"/>
      <c r="V459" s="213"/>
      <c r="W459" s="213"/>
      <c r="X459" s="591"/>
      <c r="Y459" s="591"/>
    </row>
    <row r="460" spans="1:25" ht="14.85" customHeight="1">
      <c r="A460" s="619"/>
      <c r="B460" s="586"/>
      <c r="C460" s="259"/>
      <c r="D460" s="621"/>
      <c r="E460" s="157"/>
      <c r="F460" s="154"/>
      <c r="G460" s="254"/>
      <c r="H460" s="262"/>
      <c r="I460" s="154"/>
      <c r="J460" s="254"/>
      <c r="K460" s="311">
        <f t="shared" si="151"/>
        <v>0</v>
      </c>
      <c r="L460" s="312">
        <f t="shared" si="152"/>
        <v>0</v>
      </c>
      <c r="M460" s="313">
        <f t="shared" si="153"/>
        <v>0</v>
      </c>
      <c r="N460" s="314">
        <f>SUM(L456:L460)</f>
        <v>0</v>
      </c>
      <c r="O460" s="315">
        <f t="shared" si="158"/>
        <v>0</v>
      </c>
      <c r="P460" s="315">
        <f t="shared" si="159"/>
        <v>0</v>
      </c>
      <c r="Q460" s="320"/>
      <c r="R460" s="315">
        <f t="shared" si="156"/>
        <v>0</v>
      </c>
      <c r="S460" s="315">
        <f t="shared" si="157"/>
        <v>0</v>
      </c>
      <c r="T460" s="213"/>
      <c r="U460" s="213"/>
      <c r="V460" s="213"/>
      <c r="W460" s="213"/>
      <c r="X460" s="591"/>
      <c r="Y460" s="591"/>
    </row>
    <row r="461" spans="1:25" ht="14.85" customHeight="1">
      <c r="A461" s="619"/>
      <c r="B461" s="586"/>
      <c r="C461" s="259"/>
      <c r="D461" s="621"/>
      <c r="E461" s="272"/>
      <c r="F461" s="154"/>
      <c r="G461" s="373"/>
      <c r="H461" s="417"/>
      <c r="I461" s="154"/>
      <c r="J461" s="270"/>
      <c r="K461" s="311">
        <f t="shared" si="151"/>
        <v>0</v>
      </c>
      <c r="L461" s="312">
        <f t="shared" si="152"/>
        <v>0</v>
      </c>
      <c r="M461" s="313">
        <f t="shared" si="153"/>
        <v>0</v>
      </c>
      <c r="N461" s="314"/>
      <c r="O461" s="315">
        <f t="shared" si="158"/>
        <v>0</v>
      </c>
      <c r="P461" s="315">
        <f t="shared" si="159"/>
        <v>0</v>
      </c>
      <c r="Q461" s="320"/>
      <c r="R461" s="315">
        <f t="shared" si="156"/>
        <v>0</v>
      </c>
      <c r="S461" s="315">
        <f t="shared" si="157"/>
        <v>0</v>
      </c>
      <c r="T461" s="213"/>
      <c r="U461" s="213"/>
      <c r="V461" s="213"/>
      <c r="W461" s="213"/>
      <c r="X461" s="591"/>
      <c r="Y461" s="591"/>
    </row>
    <row r="462" spans="1:25" ht="14.85" customHeight="1">
      <c r="A462" s="619"/>
      <c r="B462" s="586"/>
      <c r="C462" s="259"/>
      <c r="D462" s="621"/>
      <c r="E462" s="157"/>
      <c r="F462" s="154"/>
      <c r="G462" s="254"/>
      <c r="H462" s="262"/>
      <c r="I462" s="154"/>
      <c r="J462" s="254"/>
      <c r="K462" s="311">
        <f t="shared" si="151"/>
        <v>0</v>
      </c>
      <c r="L462" s="312">
        <f t="shared" si="152"/>
        <v>0</v>
      </c>
      <c r="M462" s="313">
        <f t="shared" si="153"/>
        <v>0</v>
      </c>
      <c r="N462" s="314"/>
      <c r="O462" s="315">
        <f t="shared" si="158"/>
        <v>0</v>
      </c>
      <c r="P462" s="315">
        <f t="shared" si="159"/>
        <v>0</v>
      </c>
      <c r="Q462" s="320"/>
      <c r="R462" s="315">
        <f t="shared" si="156"/>
        <v>0</v>
      </c>
      <c r="S462" s="315">
        <f t="shared" si="157"/>
        <v>0</v>
      </c>
      <c r="T462" s="213"/>
      <c r="U462" s="213"/>
      <c r="V462" s="213"/>
      <c r="W462" s="213"/>
      <c r="X462" s="591"/>
      <c r="Y462" s="591"/>
    </row>
    <row r="463" spans="1:25" ht="14.85" customHeight="1">
      <c r="A463" s="619"/>
      <c r="B463" s="586"/>
      <c r="C463" s="259"/>
      <c r="D463" s="621"/>
      <c r="E463" s="157"/>
      <c r="F463" s="154"/>
      <c r="G463" s="254"/>
      <c r="H463" s="262"/>
      <c r="I463" s="154"/>
      <c r="J463" s="254"/>
      <c r="K463" s="311">
        <f t="shared" si="151"/>
        <v>0</v>
      </c>
      <c r="L463" s="312">
        <f t="shared" si="152"/>
        <v>0</v>
      </c>
      <c r="M463" s="313">
        <f t="shared" si="153"/>
        <v>0</v>
      </c>
      <c r="N463" s="314"/>
      <c r="O463" s="315">
        <f t="shared" si="158"/>
        <v>0</v>
      </c>
      <c r="P463" s="315">
        <f t="shared" si="159"/>
        <v>0</v>
      </c>
      <c r="Q463" s="320"/>
      <c r="R463" s="315">
        <f t="shared" si="156"/>
        <v>0</v>
      </c>
      <c r="S463" s="315">
        <f t="shared" si="157"/>
        <v>0</v>
      </c>
      <c r="T463" s="213"/>
      <c r="U463" s="213"/>
      <c r="V463" s="213"/>
      <c r="W463" s="213"/>
      <c r="X463" s="591"/>
      <c r="Y463" s="591"/>
    </row>
    <row r="464" spans="1:25" ht="14.85" customHeight="1">
      <c r="A464" s="619"/>
      <c r="B464" s="586"/>
      <c r="C464" s="259"/>
      <c r="D464" s="621"/>
      <c r="E464" s="157"/>
      <c r="F464" s="154"/>
      <c r="G464" s="254"/>
      <c r="H464" s="262"/>
      <c r="I464" s="154"/>
      <c r="J464" s="254"/>
      <c r="K464" s="311">
        <f t="shared" si="151"/>
        <v>0</v>
      </c>
      <c r="L464" s="312">
        <f t="shared" si="152"/>
        <v>0</v>
      </c>
      <c r="M464" s="313">
        <f t="shared" si="153"/>
        <v>0</v>
      </c>
      <c r="N464" s="314">
        <f>SUM(L461:L464)</f>
        <v>0</v>
      </c>
      <c r="O464" s="315">
        <f t="shared" si="158"/>
        <v>0</v>
      </c>
      <c r="P464" s="315">
        <f t="shared" si="159"/>
        <v>0</v>
      </c>
      <c r="Q464" s="320"/>
      <c r="R464" s="315">
        <f t="shared" si="156"/>
        <v>0</v>
      </c>
      <c r="S464" s="315">
        <f t="shared" si="157"/>
        <v>0</v>
      </c>
      <c r="T464" s="213"/>
      <c r="U464" s="213"/>
      <c r="V464" s="213"/>
      <c r="W464" s="213"/>
      <c r="X464" s="591"/>
      <c r="Y464" s="591"/>
    </row>
    <row r="465" spans="1:25" ht="14.85" customHeight="1">
      <c r="A465" s="619"/>
      <c r="B465" s="586"/>
      <c r="C465" s="259"/>
      <c r="D465" s="621"/>
      <c r="E465" s="157"/>
      <c r="F465" s="154"/>
      <c r="G465" s="254"/>
      <c r="H465" s="262"/>
      <c r="I465" s="154"/>
      <c r="J465" s="254"/>
      <c r="K465" s="311">
        <f t="shared" si="151"/>
        <v>0</v>
      </c>
      <c r="L465" s="312">
        <f t="shared" si="152"/>
        <v>0</v>
      </c>
      <c r="M465" s="313">
        <f t="shared" si="153"/>
        <v>0</v>
      </c>
      <c r="N465" s="314"/>
      <c r="O465" s="315">
        <f t="shared" si="158"/>
        <v>0</v>
      </c>
      <c r="P465" s="315">
        <f t="shared" si="159"/>
        <v>0</v>
      </c>
      <c r="Q465" s="320"/>
      <c r="R465" s="315">
        <f t="shared" si="156"/>
        <v>0</v>
      </c>
      <c r="S465" s="315">
        <f t="shared" si="157"/>
        <v>0</v>
      </c>
      <c r="T465" s="213"/>
      <c r="U465" s="213"/>
      <c r="V465" s="213"/>
      <c r="W465" s="213"/>
      <c r="X465" s="591"/>
      <c r="Y465" s="591"/>
    </row>
    <row r="466" spans="1:25" ht="14.85" customHeight="1">
      <c r="A466" s="619"/>
      <c r="B466" s="586"/>
      <c r="C466" s="259"/>
      <c r="D466" s="621"/>
      <c r="E466" s="157"/>
      <c r="F466" s="154"/>
      <c r="G466" s="254"/>
      <c r="H466" s="262"/>
      <c r="I466" s="154"/>
      <c r="J466" s="254"/>
      <c r="K466" s="311">
        <f t="shared" si="151"/>
        <v>0</v>
      </c>
      <c r="L466" s="312">
        <f t="shared" si="152"/>
        <v>0</v>
      </c>
      <c r="M466" s="313">
        <f t="shared" si="153"/>
        <v>0</v>
      </c>
      <c r="N466" s="314"/>
      <c r="O466" s="315">
        <f t="shared" si="158"/>
        <v>0</v>
      </c>
      <c r="P466" s="315">
        <f t="shared" si="159"/>
        <v>0</v>
      </c>
      <c r="Q466" s="320"/>
      <c r="R466" s="315">
        <f t="shared" si="156"/>
        <v>0</v>
      </c>
      <c r="S466" s="315">
        <f t="shared" si="157"/>
        <v>0</v>
      </c>
      <c r="T466" s="213"/>
      <c r="U466" s="213"/>
      <c r="V466" s="213"/>
      <c r="W466" s="213"/>
      <c r="X466" s="591"/>
      <c r="Y466" s="591"/>
    </row>
    <row r="467" spans="1:25" ht="14.85" customHeight="1">
      <c r="A467" s="619"/>
      <c r="B467" s="586"/>
      <c r="C467" s="259"/>
      <c r="D467" s="621"/>
      <c r="E467" s="157"/>
      <c r="F467" s="154"/>
      <c r="G467" s="254"/>
      <c r="H467" s="262"/>
      <c r="I467" s="154"/>
      <c r="J467" s="254"/>
      <c r="K467" s="311">
        <f t="shared" si="151"/>
        <v>0</v>
      </c>
      <c r="L467" s="312">
        <f t="shared" si="152"/>
        <v>0</v>
      </c>
      <c r="M467" s="313">
        <f t="shared" si="153"/>
        <v>0</v>
      </c>
      <c r="N467" s="314">
        <f>SUM(L465:L467)</f>
        <v>0</v>
      </c>
      <c r="O467" s="315">
        <f t="shared" si="158"/>
        <v>0</v>
      </c>
      <c r="P467" s="315">
        <f t="shared" si="159"/>
        <v>0</v>
      </c>
      <c r="Q467" s="320">
        <f>N460+N464+N467</f>
        <v>0</v>
      </c>
      <c r="R467" s="315">
        <f t="shared" si="156"/>
        <v>0</v>
      </c>
      <c r="S467" s="315">
        <f t="shared" si="157"/>
        <v>0</v>
      </c>
      <c r="T467" s="213"/>
      <c r="U467" s="213"/>
      <c r="V467" s="213"/>
      <c r="W467" s="213"/>
      <c r="X467" s="591"/>
      <c r="Y467" s="591"/>
    </row>
    <row r="468" spans="1:25" ht="14.85" customHeight="1">
      <c r="A468" s="619"/>
      <c r="B468" s="586"/>
      <c r="C468" s="259"/>
      <c r="D468" s="621"/>
      <c r="E468" s="157"/>
      <c r="F468" s="154"/>
      <c r="G468" s="254"/>
      <c r="H468" s="262"/>
      <c r="I468" s="154"/>
      <c r="J468" s="254"/>
      <c r="K468" s="311"/>
      <c r="L468" s="312"/>
      <c r="M468" s="313"/>
      <c r="N468" s="314"/>
      <c r="O468" s="315"/>
      <c r="P468" s="315"/>
      <c r="Q468" s="320"/>
      <c r="R468" s="315"/>
      <c r="S468" s="315"/>
      <c r="T468" s="213"/>
      <c r="U468" s="213"/>
      <c r="V468" s="213"/>
      <c r="W468" s="213"/>
      <c r="X468" s="591"/>
      <c r="Y468" s="591"/>
    </row>
    <row r="469" spans="1:25" ht="14.85" customHeight="1">
      <c r="A469" s="619"/>
      <c r="B469" s="586"/>
      <c r="C469" s="259"/>
      <c r="D469" s="621"/>
      <c r="E469" s="157"/>
      <c r="F469" s="154"/>
      <c r="G469" s="254"/>
      <c r="H469" s="262"/>
      <c r="I469" s="154"/>
      <c r="J469" s="254"/>
      <c r="K469" s="311">
        <f t="shared" si="151"/>
        <v>0</v>
      </c>
      <c r="L469" s="312">
        <f t="shared" si="152"/>
        <v>0</v>
      </c>
      <c r="M469" s="313">
        <f t="shared" si="153"/>
        <v>0</v>
      </c>
      <c r="N469" s="314"/>
      <c r="O469" s="315">
        <f t="shared" si="158"/>
        <v>0</v>
      </c>
      <c r="P469" s="315">
        <f t="shared" si="159"/>
        <v>0</v>
      </c>
      <c r="Q469" s="320"/>
      <c r="R469" s="315">
        <f t="shared" si="156"/>
        <v>0</v>
      </c>
      <c r="S469" s="315">
        <f t="shared" si="157"/>
        <v>0</v>
      </c>
      <c r="T469" s="213"/>
      <c r="U469" s="213"/>
      <c r="V469" s="213"/>
      <c r="W469" s="213"/>
      <c r="X469" s="591"/>
      <c r="Y469" s="591"/>
    </row>
    <row r="470" spans="1:25" ht="14.85" customHeight="1">
      <c r="A470" s="619"/>
      <c r="B470" s="586"/>
      <c r="C470" s="259"/>
      <c r="D470" s="621"/>
      <c r="E470" s="157"/>
      <c r="F470" s="154"/>
      <c r="G470" s="270"/>
      <c r="H470" s="430"/>
      <c r="I470" s="154"/>
      <c r="J470" s="254"/>
      <c r="K470" s="311">
        <f t="shared" si="151"/>
        <v>0</v>
      </c>
      <c r="L470" s="312">
        <f t="shared" si="152"/>
        <v>0</v>
      </c>
      <c r="M470" s="313">
        <f t="shared" si="153"/>
        <v>0</v>
      </c>
      <c r="N470" s="314"/>
      <c r="O470" s="315">
        <f t="shared" si="158"/>
        <v>0</v>
      </c>
      <c r="P470" s="315">
        <f t="shared" si="159"/>
        <v>0</v>
      </c>
      <c r="Q470" s="320"/>
      <c r="R470" s="315">
        <f t="shared" si="156"/>
        <v>0</v>
      </c>
      <c r="S470" s="315">
        <f t="shared" si="157"/>
        <v>0</v>
      </c>
      <c r="T470" s="213"/>
      <c r="U470" s="213"/>
      <c r="V470" s="213"/>
      <c r="W470" s="213"/>
      <c r="X470" s="591"/>
      <c r="Y470" s="591"/>
    </row>
    <row r="471" spans="1:25" ht="14.85" customHeight="1">
      <c r="A471" s="619"/>
      <c r="B471" s="586"/>
      <c r="C471" s="259"/>
      <c r="D471" s="621"/>
      <c r="E471" s="157"/>
      <c r="F471" s="154"/>
      <c r="G471" s="254"/>
      <c r="H471" s="262"/>
      <c r="I471" s="154"/>
      <c r="J471" s="254"/>
      <c r="K471" s="311">
        <f t="shared" si="151"/>
        <v>0</v>
      </c>
      <c r="L471" s="312">
        <f t="shared" si="152"/>
        <v>0</v>
      </c>
      <c r="M471" s="313">
        <f t="shared" si="153"/>
        <v>0</v>
      </c>
      <c r="N471" s="314"/>
      <c r="O471" s="315">
        <f t="shared" si="158"/>
        <v>0</v>
      </c>
      <c r="P471" s="315">
        <f t="shared" si="159"/>
        <v>0</v>
      </c>
      <c r="Q471" s="320"/>
      <c r="R471" s="315">
        <f t="shared" si="156"/>
        <v>0</v>
      </c>
      <c r="S471" s="315">
        <f t="shared" si="157"/>
        <v>0</v>
      </c>
      <c r="T471" s="213"/>
      <c r="U471" s="213"/>
      <c r="V471" s="213"/>
      <c r="W471" s="213"/>
      <c r="X471" s="591"/>
      <c r="Y471" s="591"/>
    </row>
    <row r="472" spans="1:25" ht="14.85" customHeight="1">
      <c r="A472" s="619"/>
      <c r="B472" s="586"/>
      <c r="C472" s="259"/>
      <c r="D472" s="621"/>
      <c r="E472" s="157"/>
      <c r="F472" s="154"/>
      <c r="G472" s="254"/>
      <c r="H472" s="262"/>
      <c r="I472" s="154"/>
      <c r="J472" s="254"/>
      <c r="K472" s="311">
        <f t="shared" si="151"/>
        <v>0</v>
      </c>
      <c r="L472" s="312">
        <f t="shared" si="152"/>
        <v>0</v>
      </c>
      <c r="M472" s="313">
        <f t="shared" si="153"/>
        <v>0</v>
      </c>
      <c r="N472" s="314"/>
      <c r="O472" s="315">
        <f t="shared" si="158"/>
        <v>0</v>
      </c>
      <c r="P472" s="315">
        <f t="shared" si="159"/>
        <v>0</v>
      </c>
      <c r="Q472" s="320"/>
      <c r="R472" s="315">
        <f t="shared" si="156"/>
        <v>0</v>
      </c>
      <c r="S472" s="315">
        <f t="shared" si="157"/>
        <v>0</v>
      </c>
      <c r="T472" s="213"/>
      <c r="U472" s="213"/>
      <c r="V472" s="213"/>
      <c r="W472" s="213"/>
      <c r="X472" s="591"/>
      <c r="Y472" s="591"/>
    </row>
    <row r="473" spans="1:25" ht="14.85" customHeight="1">
      <c r="A473" s="619"/>
      <c r="B473" s="586"/>
      <c r="C473" s="259"/>
      <c r="D473" s="621"/>
      <c r="E473" s="157"/>
      <c r="F473" s="154"/>
      <c r="G473" s="254"/>
      <c r="H473" s="262"/>
      <c r="I473" s="154"/>
      <c r="J473" s="254"/>
      <c r="K473" s="311">
        <f t="shared" si="151"/>
        <v>0</v>
      </c>
      <c r="L473" s="312">
        <f t="shared" si="152"/>
        <v>0</v>
      </c>
      <c r="M473" s="313">
        <f t="shared" si="153"/>
        <v>0</v>
      </c>
      <c r="N473" s="314">
        <f>SUM(L469:L473)</f>
        <v>0</v>
      </c>
      <c r="O473" s="315">
        <f t="shared" si="158"/>
        <v>0</v>
      </c>
      <c r="P473" s="315">
        <f t="shared" si="159"/>
        <v>0</v>
      </c>
      <c r="Q473" s="320">
        <f>N473</f>
        <v>0</v>
      </c>
      <c r="R473" s="315">
        <f t="shared" si="156"/>
        <v>0</v>
      </c>
      <c r="S473" s="315">
        <f t="shared" si="157"/>
        <v>0</v>
      </c>
      <c r="T473" s="213"/>
      <c r="U473" s="213"/>
      <c r="V473" s="213"/>
      <c r="W473" s="213"/>
      <c r="X473" s="591"/>
      <c r="Y473" s="591"/>
    </row>
    <row r="474" spans="1:25" ht="14.85" customHeight="1">
      <c r="A474" s="619"/>
      <c r="B474" s="586"/>
      <c r="C474" s="259"/>
      <c r="D474" s="621"/>
      <c r="E474" s="157"/>
      <c r="F474" s="154"/>
      <c r="G474" s="254"/>
      <c r="H474" s="262"/>
      <c r="I474" s="154"/>
      <c r="J474" s="254"/>
      <c r="K474" s="311"/>
      <c r="L474" s="312"/>
      <c r="M474" s="313"/>
      <c r="N474" s="314"/>
      <c r="O474" s="315"/>
      <c r="P474" s="315"/>
      <c r="Q474" s="320"/>
      <c r="R474" s="315"/>
      <c r="S474" s="315"/>
      <c r="T474" s="213"/>
      <c r="U474" s="213"/>
      <c r="V474" s="213"/>
      <c r="W474" s="213"/>
      <c r="X474" s="591"/>
      <c r="Y474" s="591"/>
    </row>
    <row r="475" spans="1:25" ht="14.85" customHeight="1">
      <c r="A475" s="619"/>
      <c r="B475" s="586"/>
      <c r="C475" s="259"/>
      <c r="D475" s="621"/>
      <c r="E475" s="272"/>
      <c r="F475" s="273"/>
      <c r="G475" s="254"/>
      <c r="H475" s="262"/>
      <c r="I475" s="155"/>
      <c r="J475" s="279"/>
      <c r="K475" s="311">
        <f t="shared" si="151"/>
        <v>0</v>
      </c>
      <c r="L475" s="312">
        <f t="shared" si="152"/>
        <v>0</v>
      </c>
      <c r="M475" s="313">
        <f t="shared" si="153"/>
        <v>0</v>
      </c>
      <c r="N475" s="314"/>
      <c r="O475" s="315">
        <f t="shared" si="158"/>
        <v>0</v>
      </c>
      <c r="P475" s="315">
        <f t="shared" si="159"/>
        <v>0</v>
      </c>
      <c r="Q475" s="320"/>
      <c r="R475" s="315">
        <f t="shared" si="156"/>
        <v>0</v>
      </c>
      <c r="S475" s="315">
        <f t="shared" si="157"/>
        <v>0</v>
      </c>
      <c r="T475" s="213"/>
      <c r="U475" s="213"/>
      <c r="V475" s="213"/>
      <c r="W475" s="213"/>
      <c r="X475" s="591"/>
      <c r="Y475" s="591"/>
    </row>
    <row r="476" spans="1:25" ht="14.85" customHeight="1">
      <c r="A476" s="619"/>
      <c r="B476" s="586"/>
      <c r="C476" s="259"/>
      <c r="D476" s="621"/>
      <c r="F476" s="273"/>
      <c r="G476" s="270"/>
      <c r="H476" s="430"/>
      <c r="I476" s="155"/>
      <c r="J476" s="270"/>
      <c r="K476" s="311">
        <f t="shared" si="151"/>
        <v>0</v>
      </c>
      <c r="L476" s="312">
        <f t="shared" si="152"/>
        <v>0</v>
      </c>
      <c r="M476" s="313">
        <f t="shared" si="153"/>
        <v>0</v>
      </c>
      <c r="N476" s="314"/>
      <c r="O476" s="315">
        <f t="shared" si="158"/>
        <v>0</v>
      </c>
      <c r="P476" s="315">
        <f t="shared" si="159"/>
        <v>0</v>
      </c>
      <c r="Q476" s="320"/>
      <c r="R476" s="315">
        <f t="shared" si="156"/>
        <v>0</v>
      </c>
      <c r="S476" s="315">
        <f t="shared" si="157"/>
        <v>0</v>
      </c>
      <c r="T476" s="213"/>
      <c r="U476" s="213"/>
      <c r="V476" s="213"/>
      <c r="W476" s="213"/>
      <c r="X476" s="591"/>
      <c r="Y476" s="591"/>
    </row>
    <row r="477" spans="1:25" ht="14.85" customHeight="1">
      <c r="A477" s="619"/>
      <c r="B477" s="586"/>
      <c r="C477" s="259"/>
      <c r="D477" s="621"/>
      <c r="E477" s="371"/>
      <c r="F477" s="273"/>
      <c r="G477" s="254"/>
      <c r="H477" s="262"/>
      <c r="I477" s="155"/>
      <c r="J477" s="279"/>
      <c r="K477" s="311">
        <f t="shared" si="151"/>
        <v>0</v>
      </c>
      <c r="L477" s="312">
        <f t="shared" si="152"/>
        <v>0</v>
      </c>
      <c r="M477" s="313">
        <f t="shared" si="153"/>
        <v>0</v>
      </c>
      <c r="N477" s="314"/>
      <c r="O477" s="315">
        <f t="shared" si="158"/>
        <v>0</v>
      </c>
      <c r="P477" s="315">
        <f t="shared" si="159"/>
        <v>0</v>
      </c>
      <c r="Q477" s="320"/>
      <c r="R477" s="315">
        <f t="shared" si="156"/>
        <v>0</v>
      </c>
      <c r="S477" s="315">
        <f t="shared" si="157"/>
        <v>0</v>
      </c>
      <c r="T477" s="213"/>
      <c r="U477" s="213"/>
      <c r="V477" s="213"/>
      <c r="W477" s="213"/>
      <c r="X477" s="591"/>
      <c r="Y477" s="591"/>
    </row>
    <row r="478" spans="1:25" ht="14.85" customHeight="1">
      <c r="A478" s="619"/>
      <c r="B478" s="586"/>
      <c r="C478" s="259"/>
      <c r="D478" s="621"/>
      <c r="E478" s="371"/>
      <c r="F478" s="273"/>
      <c r="G478" s="254"/>
      <c r="H478" s="262"/>
      <c r="I478" s="155"/>
      <c r="J478" s="279"/>
      <c r="K478" s="311">
        <f t="shared" si="151"/>
        <v>0</v>
      </c>
      <c r="L478" s="312">
        <f t="shared" si="152"/>
        <v>0</v>
      </c>
      <c r="M478" s="313">
        <f t="shared" si="153"/>
        <v>0</v>
      </c>
      <c r="N478" s="314">
        <f>SUM(L475:L478)</f>
        <v>0</v>
      </c>
      <c r="O478" s="315">
        <f t="shared" si="158"/>
        <v>0</v>
      </c>
      <c r="P478" s="315">
        <f t="shared" si="159"/>
        <v>0</v>
      </c>
      <c r="Q478" s="320"/>
      <c r="R478" s="315">
        <f t="shared" si="156"/>
        <v>0</v>
      </c>
      <c r="S478" s="315">
        <f t="shared" si="157"/>
        <v>0</v>
      </c>
      <c r="T478" s="213"/>
      <c r="U478" s="213"/>
      <c r="V478" s="213"/>
      <c r="W478" s="213"/>
      <c r="X478" s="591"/>
      <c r="Y478" s="591"/>
    </row>
    <row r="479" spans="1:25" ht="14.85" customHeight="1">
      <c r="A479" s="619"/>
      <c r="B479" s="586"/>
      <c r="C479" s="259"/>
      <c r="D479" s="621"/>
      <c r="E479" s="371"/>
      <c r="F479" s="381"/>
      <c r="G479" s="254"/>
      <c r="H479" s="262"/>
      <c r="I479" s="155"/>
      <c r="J479" s="279"/>
      <c r="K479" s="311">
        <f t="shared" si="151"/>
        <v>0</v>
      </c>
      <c r="L479" s="312">
        <f t="shared" si="152"/>
        <v>0</v>
      </c>
      <c r="M479" s="313">
        <f t="shared" si="153"/>
        <v>0</v>
      </c>
      <c r="N479" s="314"/>
      <c r="O479" s="315">
        <f t="shared" si="158"/>
        <v>0</v>
      </c>
      <c r="P479" s="315">
        <f t="shared" si="159"/>
        <v>0</v>
      </c>
      <c r="Q479" s="320"/>
      <c r="R479" s="315">
        <f t="shared" si="156"/>
        <v>0</v>
      </c>
      <c r="S479" s="315">
        <f t="shared" si="157"/>
        <v>0</v>
      </c>
      <c r="T479" s="213"/>
      <c r="U479" s="213"/>
      <c r="V479" s="213"/>
      <c r="W479" s="213"/>
      <c r="X479" s="591"/>
      <c r="Y479" s="591"/>
    </row>
    <row r="480" spans="1:25" ht="14.85" customHeight="1">
      <c r="A480" s="619"/>
      <c r="B480" s="586"/>
      <c r="C480" s="259"/>
      <c r="D480" s="621"/>
      <c r="E480" s="371"/>
      <c r="F480" s="381"/>
      <c r="G480" s="254"/>
      <c r="H480" s="262"/>
      <c r="I480" s="155"/>
      <c r="J480" s="279"/>
      <c r="K480" s="311">
        <f t="shared" si="151"/>
        <v>0</v>
      </c>
      <c r="L480" s="312">
        <f t="shared" si="152"/>
        <v>0</v>
      </c>
      <c r="M480" s="313">
        <f t="shared" si="153"/>
        <v>0</v>
      </c>
      <c r="N480" s="314"/>
      <c r="O480" s="315">
        <f t="shared" si="158"/>
        <v>0</v>
      </c>
      <c r="P480" s="315">
        <f t="shared" si="159"/>
        <v>0</v>
      </c>
      <c r="Q480" s="320"/>
      <c r="R480" s="315">
        <f t="shared" si="156"/>
        <v>0</v>
      </c>
      <c r="S480" s="315">
        <f t="shared" si="157"/>
        <v>0</v>
      </c>
      <c r="T480" s="213"/>
      <c r="U480" s="213"/>
      <c r="V480" s="213"/>
      <c r="W480" s="213"/>
      <c r="X480" s="591"/>
      <c r="Y480" s="591"/>
    </row>
    <row r="481" spans="1:25" ht="14.85" customHeight="1">
      <c r="A481" s="619"/>
      <c r="B481" s="586"/>
      <c r="C481" s="259"/>
      <c r="D481" s="621"/>
      <c r="E481" s="371"/>
      <c r="F481" s="381"/>
      <c r="G481" s="254"/>
      <c r="H481" s="262"/>
      <c r="I481" s="155"/>
      <c r="J481" s="279"/>
      <c r="K481" s="311">
        <f t="shared" si="151"/>
        <v>0</v>
      </c>
      <c r="L481" s="312">
        <f t="shared" si="152"/>
        <v>0</v>
      </c>
      <c r="M481" s="313">
        <f t="shared" si="153"/>
        <v>0</v>
      </c>
      <c r="N481" s="314"/>
      <c r="O481" s="315">
        <f t="shared" si="158"/>
        <v>0</v>
      </c>
      <c r="P481" s="315">
        <f t="shared" si="159"/>
        <v>0</v>
      </c>
      <c r="Q481" s="320"/>
      <c r="R481" s="315">
        <f t="shared" si="156"/>
        <v>0</v>
      </c>
      <c r="S481" s="315">
        <f t="shared" si="157"/>
        <v>0</v>
      </c>
      <c r="T481" s="213"/>
      <c r="U481" s="213"/>
      <c r="V481" s="213"/>
      <c r="W481" s="213"/>
      <c r="X481" s="591"/>
      <c r="Y481" s="591"/>
    </row>
    <row r="482" spans="1:25" ht="14.85" customHeight="1">
      <c r="A482" s="619"/>
      <c r="B482" s="586"/>
      <c r="C482" s="259"/>
      <c r="D482" s="621"/>
      <c r="E482" s="156"/>
      <c r="F482" s="154"/>
      <c r="G482" s="254"/>
      <c r="H482" s="154"/>
      <c r="I482" s="155"/>
      <c r="J482" s="279"/>
      <c r="K482" s="311">
        <f t="shared" si="151"/>
        <v>0</v>
      </c>
      <c r="L482" s="312">
        <f t="shared" si="152"/>
        <v>0</v>
      </c>
      <c r="M482" s="313">
        <f t="shared" si="153"/>
        <v>0</v>
      </c>
      <c r="N482" s="314">
        <f>SUM(L479:L482)</f>
        <v>0</v>
      </c>
      <c r="O482" s="315">
        <f t="shared" si="158"/>
        <v>0</v>
      </c>
      <c r="P482" s="315">
        <f t="shared" si="159"/>
        <v>0</v>
      </c>
      <c r="Q482" s="320"/>
      <c r="R482" s="315">
        <f t="shared" si="156"/>
        <v>0</v>
      </c>
      <c r="S482" s="315">
        <f t="shared" si="157"/>
        <v>0</v>
      </c>
      <c r="T482" s="213"/>
      <c r="U482" s="213"/>
      <c r="V482" s="213"/>
      <c r="W482" s="213"/>
      <c r="X482" s="591"/>
      <c r="Y482" s="591"/>
    </row>
    <row r="483" spans="1:25" ht="14.85" customHeight="1">
      <c r="A483" s="619"/>
      <c r="B483" s="586"/>
      <c r="C483" s="259"/>
      <c r="D483" s="621"/>
      <c r="E483" s="156"/>
      <c r="F483" s="154"/>
      <c r="G483" s="254"/>
      <c r="H483" s="154"/>
      <c r="I483" s="155"/>
      <c r="J483" s="279"/>
      <c r="K483" s="311">
        <f t="shared" si="151"/>
        <v>0</v>
      </c>
      <c r="L483" s="312">
        <f t="shared" si="152"/>
        <v>0</v>
      </c>
      <c r="M483" s="313">
        <f t="shared" si="153"/>
        <v>0</v>
      </c>
      <c r="N483" s="314"/>
      <c r="O483" s="315">
        <f t="shared" si="158"/>
        <v>0</v>
      </c>
      <c r="P483" s="315">
        <f t="shared" si="159"/>
        <v>0</v>
      </c>
      <c r="Q483" s="320"/>
      <c r="R483" s="315">
        <f t="shared" si="156"/>
        <v>0</v>
      </c>
      <c r="S483" s="315">
        <f t="shared" si="157"/>
        <v>0</v>
      </c>
      <c r="T483" s="213"/>
      <c r="U483" s="213"/>
      <c r="V483" s="213"/>
      <c r="W483" s="213"/>
      <c r="X483" s="591"/>
      <c r="Y483" s="591"/>
    </row>
    <row r="484" spans="1:25" ht="14.85" customHeight="1">
      <c r="A484" s="619"/>
      <c r="B484" s="586"/>
      <c r="C484" s="259"/>
      <c r="D484" s="621"/>
      <c r="E484" s="156"/>
      <c r="F484" s="154"/>
      <c r="G484" s="254"/>
      <c r="H484" s="154"/>
      <c r="I484" s="155"/>
      <c r="J484" s="279"/>
      <c r="K484" s="311">
        <f t="shared" si="151"/>
        <v>0</v>
      </c>
      <c r="L484" s="312">
        <f t="shared" si="152"/>
        <v>0</v>
      </c>
      <c r="M484" s="313">
        <f t="shared" si="153"/>
        <v>0</v>
      </c>
      <c r="N484" s="314"/>
      <c r="O484" s="315">
        <f t="shared" si="158"/>
        <v>0</v>
      </c>
      <c r="P484" s="315">
        <f t="shared" si="159"/>
        <v>0</v>
      </c>
      <c r="Q484" s="320"/>
      <c r="R484" s="315">
        <f t="shared" si="156"/>
        <v>0</v>
      </c>
      <c r="S484" s="315">
        <f t="shared" si="157"/>
        <v>0</v>
      </c>
      <c r="T484" s="213"/>
      <c r="U484" s="213"/>
      <c r="V484" s="213"/>
      <c r="W484" s="213"/>
      <c r="X484" s="591"/>
      <c r="Y484" s="591"/>
    </row>
    <row r="485" spans="1:25" ht="14.85" customHeight="1">
      <c r="A485" s="619"/>
      <c r="B485" s="586"/>
      <c r="C485" s="259"/>
      <c r="D485" s="621"/>
      <c r="E485" s="272"/>
      <c r="G485" s="226"/>
      <c r="H485" s="226"/>
      <c r="I485" s="155"/>
      <c r="J485" s="279"/>
      <c r="K485" s="311">
        <f t="shared" si="151"/>
        <v>0</v>
      </c>
      <c r="L485" s="312">
        <f t="shared" si="152"/>
        <v>0</v>
      </c>
      <c r="M485" s="313">
        <f t="shared" si="153"/>
        <v>0</v>
      </c>
      <c r="N485" s="314"/>
      <c r="O485" s="315">
        <f t="shared" si="158"/>
        <v>0</v>
      </c>
      <c r="P485" s="315">
        <f t="shared" si="159"/>
        <v>0</v>
      </c>
      <c r="Q485" s="320"/>
      <c r="R485" s="315">
        <f t="shared" si="156"/>
        <v>0</v>
      </c>
      <c r="S485" s="315">
        <f t="shared" si="157"/>
        <v>0</v>
      </c>
      <c r="T485" s="213"/>
      <c r="U485" s="213"/>
      <c r="V485" s="213"/>
      <c r="W485" s="213"/>
      <c r="X485" s="591"/>
      <c r="Y485" s="591"/>
    </row>
    <row r="486" spans="1:25" ht="14.85" customHeight="1">
      <c r="A486" s="619"/>
      <c r="B486" s="586"/>
      <c r="C486" s="259"/>
      <c r="D486" s="621"/>
      <c r="E486" s="156"/>
      <c r="F486" s="154"/>
      <c r="G486" s="254"/>
      <c r="H486" s="154"/>
      <c r="I486" s="155"/>
      <c r="J486" s="279"/>
      <c r="K486" s="311">
        <f t="shared" si="151"/>
        <v>0</v>
      </c>
      <c r="L486" s="312">
        <f t="shared" si="152"/>
        <v>0</v>
      </c>
      <c r="M486" s="313">
        <f t="shared" si="153"/>
        <v>0</v>
      </c>
      <c r="N486" s="314">
        <f>SUM(L483:L486)</f>
        <v>0</v>
      </c>
      <c r="O486" s="315">
        <f t="shared" si="158"/>
        <v>0</v>
      </c>
      <c r="P486" s="315">
        <f t="shared" si="159"/>
        <v>0</v>
      </c>
      <c r="Q486" s="320"/>
      <c r="R486" s="315">
        <f t="shared" si="156"/>
        <v>0</v>
      </c>
      <c r="S486" s="315">
        <f t="shared" si="157"/>
        <v>0</v>
      </c>
      <c r="T486" s="213"/>
      <c r="U486" s="213"/>
      <c r="V486" s="213"/>
      <c r="W486" s="213"/>
      <c r="X486" s="591"/>
      <c r="Y486" s="591"/>
    </row>
    <row r="487" spans="1:25" ht="14.85" customHeight="1">
      <c r="A487" s="619"/>
      <c r="B487" s="586"/>
      <c r="C487" s="259"/>
      <c r="D487" s="621"/>
      <c r="E487" s="156"/>
      <c r="F487" s="154"/>
      <c r="G487" s="254"/>
      <c r="H487" s="154"/>
      <c r="I487" s="155"/>
      <c r="J487" s="279"/>
      <c r="K487" s="311">
        <f t="shared" si="151"/>
        <v>0</v>
      </c>
      <c r="L487" s="312">
        <f t="shared" si="152"/>
        <v>0</v>
      </c>
      <c r="M487" s="313">
        <f t="shared" si="153"/>
        <v>0</v>
      </c>
      <c r="N487" s="314"/>
      <c r="O487" s="315">
        <f t="shared" si="158"/>
        <v>0</v>
      </c>
      <c r="P487" s="315">
        <f t="shared" si="159"/>
        <v>0</v>
      </c>
      <c r="Q487" s="320"/>
      <c r="R487" s="315">
        <f t="shared" si="156"/>
        <v>0</v>
      </c>
      <c r="S487" s="315">
        <f t="shared" si="157"/>
        <v>0</v>
      </c>
      <c r="T487" s="213"/>
      <c r="U487" s="213"/>
      <c r="V487" s="213"/>
      <c r="W487" s="213"/>
      <c r="X487" s="591"/>
      <c r="Y487" s="591"/>
    </row>
    <row r="488" spans="1:25" ht="14.85" customHeight="1">
      <c r="A488" s="619"/>
      <c r="B488" s="586"/>
      <c r="C488" s="259"/>
      <c r="D488" s="621"/>
      <c r="E488" s="156"/>
      <c r="F488" s="154"/>
      <c r="G488" s="254"/>
      <c r="H488" s="154"/>
      <c r="I488" s="155"/>
      <c r="J488" s="279"/>
      <c r="K488" s="311">
        <f t="shared" si="151"/>
        <v>0</v>
      </c>
      <c r="L488" s="312">
        <f t="shared" si="152"/>
        <v>0</v>
      </c>
      <c r="M488" s="313">
        <f t="shared" si="153"/>
        <v>0</v>
      </c>
      <c r="N488" s="314"/>
      <c r="O488" s="315">
        <f t="shared" si="158"/>
        <v>0</v>
      </c>
      <c r="P488" s="315">
        <f t="shared" si="159"/>
        <v>0</v>
      </c>
      <c r="Q488" s="320"/>
      <c r="R488" s="315">
        <f t="shared" si="156"/>
        <v>0</v>
      </c>
      <c r="S488" s="315">
        <f t="shared" si="157"/>
        <v>0</v>
      </c>
      <c r="T488" s="213"/>
      <c r="U488" s="213"/>
      <c r="V488" s="213"/>
      <c r="W488" s="213"/>
      <c r="X488" s="591"/>
      <c r="Y488" s="591"/>
    </row>
    <row r="489" spans="1:25" ht="14.85" customHeight="1">
      <c r="A489" s="619"/>
      <c r="B489" s="586"/>
      <c r="C489" s="259"/>
      <c r="D489" s="621"/>
      <c r="E489" s="156"/>
      <c r="F489" s="154"/>
      <c r="G489" s="254"/>
      <c r="H489" s="154"/>
      <c r="I489" s="155"/>
      <c r="J489" s="279"/>
      <c r="K489" s="311">
        <f t="shared" si="151"/>
        <v>0</v>
      </c>
      <c r="L489" s="312">
        <f t="shared" si="152"/>
        <v>0</v>
      </c>
      <c r="M489" s="313">
        <f t="shared" si="153"/>
        <v>0</v>
      </c>
      <c r="N489" s="314">
        <f>SUM(L487:L489)</f>
        <v>0</v>
      </c>
      <c r="O489" s="315">
        <f t="shared" si="158"/>
        <v>0</v>
      </c>
      <c r="P489" s="315">
        <f t="shared" si="159"/>
        <v>0</v>
      </c>
      <c r="Q489" s="320">
        <f>N478+N482+N486+N489</f>
        <v>0</v>
      </c>
      <c r="R489" s="315">
        <f t="shared" si="156"/>
        <v>0</v>
      </c>
      <c r="S489" s="315">
        <f t="shared" si="157"/>
        <v>0</v>
      </c>
      <c r="T489" s="213"/>
      <c r="U489" s="213"/>
      <c r="V489" s="213"/>
      <c r="W489" s="213"/>
      <c r="X489" s="591"/>
      <c r="Y489" s="591"/>
    </row>
    <row r="490" spans="1:25" ht="14.85" customHeight="1">
      <c r="A490" s="619"/>
      <c r="B490" s="586"/>
      <c r="C490" s="259"/>
      <c r="D490" s="621"/>
      <c r="E490" s="156"/>
      <c r="F490" s="154"/>
      <c r="G490" s="254"/>
      <c r="H490" s="154"/>
      <c r="I490" s="155"/>
      <c r="J490" s="279"/>
      <c r="K490" s="311"/>
      <c r="L490" s="312"/>
      <c r="M490" s="313"/>
      <c r="N490" s="314"/>
      <c r="O490" s="315"/>
      <c r="P490" s="315"/>
      <c r="Q490" s="320"/>
      <c r="R490" s="315"/>
      <c r="S490" s="315"/>
      <c r="T490" s="213"/>
      <c r="U490" s="213"/>
      <c r="V490" s="213"/>
      <c r="W490" s="213"/>
      <c r="X490" s="591"/>
      <c r="Y490" s="591"/>
    </row>
    <row r="491" spans="1:25" ht="14.85" customHeight="1">
      <c r="A491" s="619"/>
      <c r="B491" s="586"/>
      <c r="C491" s="259"/>
      <c r="D491" s="621"/>
      <c r="E491" s="156"/>
      <c r="F491" s="154"/>
      <c r="G491" s="219"/>
      <c r="H491" s="219"/>
      <c r="I491" s="155"/>
      <c r="J491" s="279"/>
      <c r="K491" s="311">
        <f t="shared" si="151"/>
        <v>0</v>
      </c>
      <c r="L491" s="312">
        <f t="shared" si="152"/>
        <v>0</v>
      </c>
      <c r="M491" s="313">
        <f t="shared" si="153"/>
        <v>0</v>
      </c>
      <c r="N491" s="314"/>
      <c r="O491" s="315">
        <f t="shared" si="158"/>
        <v>0</v>
      </c>
      <c r="P491" s="315">
        <f t="shared" si="159"/>
        <v>0</v>
      </c>
      <c r="Q491" s="320"/>
      <c r="R491" s="315">
        <f t="shared" si="156"/>
        <v>0</v>
      </c>
      <c r="S491" s="315">
        <f t="shared" si="157"/>
        <v>0</v>
      </c>
      <c r="T491" s="213"/>
      <c r="U491" s="213"/>
      <c r="V491" s="213"/>
      <c r="W491" s="213"/>
      <c r="X491" s="591"/>
      <c r="Y491" s="591"/>
    </row>
    <row r="492" spans="1:25" ht="14.85" customHeight="1">
      <c r="A492" s="619"/>
      <c r="B492" s="586"/>
      <c r="C492" s="259"/>
      <c r="D492" s="621"/>
      <c r="E492" s="156"/>
      <c r="F492" s="154"/>
      <c r="G492" s="254"/>
      <c r="H492" s="154"/>
      <c r="I492" s="155"/>
      <c r="J492" s="279"/>
      <c r="K492" s="311">
        <f t="shared" si="151"/>
        <v>0</v>
      </c>
      <c r="L492" s="312">
        <f t="shared" si="152"/>
        <v>0</v>
      </c>
      <c r="M492" s="313">
        <f t="shared" si="153"/>
        <v>0</v>
      </c>
      <c r="N492" s="314"/>
      <c r="O492" s="315">
        <f t="shared" si="158"/>
        <v>0</v>
      </c>
      <c r="P492" s="315">
        <f t="shared" si="159"/>
        <v>0</v>
      </c>
      <c r="Q492" s="320"/>
      <c r="R492" s="315">
        <f t="shared" si="156"/>
        <v>0</v>
      </c>
      <c r="S492" s="315">
        <f t="shared" si="157"/>
        <v>0</v>
      </c>
      <c r="T492" s="213"/>
      <c r="U492" s="213"/>
      <c r="V492" s="213"/>
      <c r="W492" s="213"/>
      <c r="X492" s="591"/>
      <c r="Y492" s="591"/>
    </row>
    <row r="493" spans="1:25" ht="14.85" customHeight="1">
      <c r="A493" s="619"/>
      <c r="B493" s="586"/>
      <c r="C493" s="259"/>
      <c r="D493" s="621"/>
      <c r="E493" s="156"/>
      <c r="F493" s="154"/>
      <c r="G493" s="270"/>
      <c r="H493" s="270"/>
      <c r="I493" s="155"/>
      <c r="J493" s="279"/>
      <c r="K493" s="311">
        <f t="shared" si="151"/>
        <v>0</v>
      </c>
      <c r="L493" s="312">
        <f t="shared" si="152"/>
        <v>0</v>
      </c>
      <c r="M493" s="313">
        <f t="shared" si="153"/>
        <v>0</v>
      </c>
      <c r="N493" s="314"/>
      <c r="O493" s="315">
        <f t="shared" si="158"/>
        <v>0</v>
      </c>
      <c r="P493" s="315">
        <f t="shared" si="159"/>
        <v>0</v>
      </c>
      <c r="Q493" s="320"/>
      <c r="R493" s="315">
        <f t="shared" si="156"/>
        <v>0</v>
      </c>
      <c r="S493" s="315">
        <f t="shared" si="157"/>
        <v>0</v>
      </c>
      <c r="T493" s="213"/>
      <c r="U493" s="213"/>
      <c r="V493" s="213"/>
      <c r="W493" s="213"/>
      <c r="X493" s="591"/>
      <c r="Y493" s="591"/>
    </row>
    <row r="494" spans="1:25" ht="14.85" customHeight="1">
      <c r="A494" s="619"/>
      <c r="B494" s="586"/>
      <c r="C494" s="259"/>
      <c r="D494" s="621"/>
      <c r="E494" s="156"/>
      <c r="F494" s="154"/>
      <c r="G494" s="254"/>
      <c r="H494" s="154"/>
      <c r="I494" s="155"/>
      <c r="J494" s="276"/>
      <c r="K494" s="311">
        <f t="shared" si="151"/>
        <v>0</v>
      </c>
      <c r="L494" s="312">
        <f t="shared" si="152"/>
        <v>0</v>
      </c>
      <c r="M494" s="313">
        <f t="shared" si="153"/>
        <v>0</v>
      </c>
      <c r="N494" s="314">
        <f>SUM(L491:L494)</f>
        <v>0</v>
      </c>
      <c r="O494" s="315">
        <f t="shared" si="158"/>
        <v>0</v>
      </c>
      <c r="P494" s="315">
        <f t="shared" si="159"/>
        <v>0</v>
      </c>
      <c r="Q494" s="320"/>
      <c r="R494" s="315">
        <f t="shared" si="156"/>
        <v>0</v>
      </c>
      <c r="S494" s="315">
        <f t="shared" si="157"/>
        <v>0</v>
      </c>
      <c r="T494" s="213"/>
      <c r="U494" s="213"/>
      <c r="V494" s="213"/>
      <c r="W494" s="213"/>
      <c r="X494" s="591"/>
      <c r="Y494" s="591"/>
    </row>
    <row r="495" spans="1:25" ht="14.85" customHeight="1">
      <c r="A495" s="619"/>
      <c r="B495" s="586"/>
      <c r="C495" s="259"/>
      <c r="D495" s="621"/>
      <c r="E495" s="156"/>
      <c r="F495" s="154"/>
      <c r="G495" s="225"/>
      <c r="H495" s="225"/>
      <c r="I495" s="155"/>
      <c r="J495" s="270"/>
      <c r="K495" s="311">
        <f t="shared" si="151"/>
        <v>0</v>
      </c>
      <c r="L495" s="312">
        <f t="shared" si="152"/>
        <v>0</v>
      </c>
      <c r="M495" s="313">
        <f t="shared" si="153"/>
        <v>0</v>
      </c>
      <c r="N495" s="314"/>
      <c r="O495" s="315">
        <f t="shared" si="158"/>
        <v>0</v>
      </c>
      <c r="P495" s="315">
        <f t="shared" si="159"/>
        <v>0</v>
      </c>
      <c r="Q495" s="320"/>
      <c r="R495" s="315">
        <f t="shared" si="156"/>
        <v>0</v>
      </c>
      <c r="S495" s="315">
        <f t="shared" si="157"/>
        <v>0</v>
      </c>
      <c r="T495" s="213"/>
      <c r="U495" s="213"/>
      <c r="V495" s="213"/>
      <c r="W495" s="213"/>
      <c r="X495" s="591"/>
      <c r="Y495" s="591"/>
    </row>
    <row r="496" spans="1:25" ht="14.85" customHeight="1">
      <c r="A496" s="619"/>
      <c r="B496" s="586"/>
      <c r="C496" s="259"/>
      <c r="D496" s="621"/>
      <c r="E496" s="272"/>
      <c r="F496" s="154"/>
      <c r="G496" s="216"/>
      <c r="H496" s="216"/>
      <c r="I496" s="154"/>
      <c r="J496" s="254"/>
      <c r="K496" s="311">
        <f t="shared" si="151"/>
        <v>0</v>
      </c>
      <c r="L496" s="312">
        <f t="shared" si="152"/>
        <v>0</v>
      </c>
      <c r="M496" s="313">
        <f t="shared" si="153"/>
        <v>0</v>
      </c>
      <c r="N496" s="314"/>
      <c r="O496" s="315">
        <f t="shared" si="158"/>
        <v>0</v>
      </c>
      <c r="P496" s="315">
        <f t="shared" si="159"/>
        <v>0</v>
      </c>
      <c r="Q496" s="320"/>
      <c r="R496" s="315">
        <f t="shared" si="156"/>
        <v>0</v>
      </c>
      <c r="S496" s="315">
        <f t="shared" si="157"/>
        <v>0</v>
      </c>
      <c r="T496" s="213"/>
      <c r="U496" s="213"/>
      <c r="V496" s="213"/>
      <c r="W496" s="213"/>
      <c r="X496" s="591"/>
      <c r="Y496" s="591"/>
    </row>
    <row r="497" spans="1:25" ht="14.85" customHeight="1">
      <c r="A497" s="619"/>
      <c r="B497" s="586"/>
      <c r="C497" s="259"/>
      <c r="D497" s="621"/>
      <c r="E497" s="157"/>
      <c r="F497" s="154"/>
      <c r="G497" s="254"/>
      <c r="H497" s="154"/>
      <c r="I497" s="154"/>
      <c r="J497" s="254"/>
      <c r="K497" s="311">
        <f t="shared" si="151"/>
        <v>0</v>
      </c>
      <c r="L497" s="312">
        <f t="shared" si="152"/>
        <v>0</v>
      </c>
      <c r="M497" s="313">
        <f t="shared" si="153"/>
        <v>0</v>
      </c>
      <c r="N497" s="314">
        <f>SUM(L495:L497)</f>
        <v>0</v>
      </c>
      <c r="O497" s="315">
        <f t="shared" si="158"/>
        <v>0</v>
      </c>
      <c r="P497" s="315">
        <f t="shared" si="159"/>
        <v>0</v>
      </c>
      <c r="Q497" s="320"/>
      <c r="R497" s="315">
        <f t="shared" si="156"/>
        <v>0</v>
      </c>
      <c r="S497" s="315">
        <f t="shared" si="157"/>
        <v>0</v>
      </c>
      <c r="T497" s="213"/>
      <c r="U497" s="213"/>
      <c r="V497" s="213"/>
      <c r="W497" s="213"/>
      <c r="X497" s="591"/>
      <c r="Y497" s="591"/>
    </row>
    <row r="498" spans="1:25" ht="14.85" customHeight="1">
      <c r="A498" s="619"/>
      <c r="B498" s="586"/>
      <c r="C498" s="259"/>
      <c r="D498" s="621"/>
      <c r="E498" s="157"/>
      <c r="F498" s="154"/>
      <c r="G498" s="223"/>
      <c r="H498" s="223"/>
      <c r="I498" s="154"/>
      <c r="J498" s="254"/>
      <c r="K498" s="311">
        <f t="shared" si="151"/>
        <v>0</v>
      </c>
      <c r="L498" s="312">
        <f t="shared" si="152"/>
        <v>0</v>
      </c>
      <c r="M498" s="313">
        <f t="shared" si="153"/>
        <v>0</v>
      </c>
      <c r="N498" s="314"/>
      <c r="O498" s="315">
        <f t="shared" si="158"/>
        <v>0</v>
      </c>
      <c r="P498" s="315">
        <f t="shared" si="159"/>
        <v>0</v>
      </c>
      <c r="Q498" s="320"/>
      <c r="R498" s="315">
        <f t="shared" si="156"/>
        <v>0</v>
      </c>
      <c r="S498" s="315">
        <f t="shared" si="157"/>
        <v>0</v>
      </c>
      <c r="T498" s="213"/>
      <c r="U498" s="213"/>
      <c r="V498" s="213"/>
      <c r="W498" s="213"/>
      <c r="X498" s="591"/>
      <c r="Y498" s="591"/>
    </row>
    <row r="499" spans="1:25" ht="14.85" customHeight="1">
      <c r="A499" s="619"/>
      <c r="B499" s="586"/>
      <c r="C499" s="259"/>
      <c r="D499" s="621"/>
      <c r="E499" s="157"/>
      <c r="F499" s="154"/>
      <c r="G499" s="254"/>
      <c r="H499" s="154"/>
      <c r="I499" s="154"/>
      <c r="J499" s="254"/>
      <c r="K499" s="311">
        <f t="shared" si="151"/>
        <v>0</v>
      </c>
      <c r="L499" s="312">
        <f t="shared" si="152"/>
        <v>0</v>
      </c>
      <c r="M499" s="313">
        <f t="shared" si="153"/>
        <v>0</v>
      </c>
      <c r="N499" s="314"/>
      <c r="O499" s="315">
        <f t="shared" si="158"/>
        <v>0</v>
      </c>
      <c r="P499" s="315">
        <f t="shared" si="159"/>
        <v>0</v>
      </c>
      <c r="Q499" s="320"/>
      <c r="R499" s="315">
        <f t="shared" si="156"/>
        <v>0</v>
      </c>
      <c r="S499" s="315">
        <f t="shared" si="157"/>
        <v>0</v>
      </c>
      <c r="T499" s="213"/>
      <c r="U499" s="213"/>
      <c r="V499" s="213"/>
      <c r="W499" s="213"/>
      <c r="X499" s="591"/>
      <c r="Y499" s="591"/>
    </row>
    <row r="500" spans="1:25" ht="14.85" customHeight="1">
      <c r="A500" s="619"/>
      <c r="B500" s="586"/>
      <c r="C500" s="259"/>
      <c r="D500" s="621"/>
      <c r="E500" s="157"/>
      <c r="F500" s="154"/>
      <c r="G500" s="270"/>
      <c r="H500" s="270"/>
      <c r="I500" s="154"/>
      <c r="J500" s="254"/>
      <c r="K500" s="311">
        <f t="shared" ref="K500:K520" si="160">J500/$K$11</f>
        <v>0</v>
      </c>
      <c r="L500" s="312">
        <f t="shared" ref="L500:L520" si="161">J500/$L$11</f>
        <v>0</v>
      </c>
      <c r="M500" s="313">
        <f t="shared" ref="M500:M520" si="162">ROUND((L500/$M$11),0)</f>
        <v>0</v>
      </c>
      <c r="N500" s="314">
        <f>SUM(L498:L500)</f>
        <v>0</v>
      </c>
      <c r="O500" s="315">
        <f t="shared" si="158"/>
        <v>0</v>
      </c>
      <c r="P500" s="315">
        <f t="shared" si="159"/>
        <v>0</v>
      </c>
      <c r="Q500" s="320">
        <f>N494+N497+N500</f>
        <v>0</v>
      </c>
      <c r="R500" s="315">
        <f t="shared" ref="R500:R520" si="163">ROUNDDOWN((Q500/$O$11),0)</f>
        <v>0</v>
      </c>
      <c r="S500" s="315">
        <f t="shared" ref="S500:S520" si="164">ROUND((Q500-(R500*$P$11)),0)</f>
        <v>0</v>
      </c>
      <c r="T500" s="213"/>
      <c r="U500" s="213"/>
      <c r="V500" s="213"/>
      <c r="W500" s="213"/>
      <c r="X500" s="591"/>
      <c r="Y500" s="591"/>
    </row>
    <row r="501" spans="1:25" ht="14.85" customHeight="1">
      <c r="A501" s="619"/>
      <c r="B501" s="586"/>
      <c r="C501" s="259"/>
      <c r="D501" s="621"/>
      <c r="E501" s="157"/>
      <c r="F501" s="154"/>
      <c r="G501" s="270"/>
      <c r="H501" s="270"/>
      <c r="I501" s="154"/>
      <c r="J501" s="254"/>
      <c r="K501" s="311"/>
      <c r="L501" s="312"/>
      <c r="M501" s="313"/>
      <c r="N501" s="314"/>
      <c r="O501" s="315"/>
      <c r="P501" s="315"/>
      <c r="Q501" s="320"/>
      <c r="R501" s="315"/>
      <c r="S501" s="315"/>
      <c r="T501" s="213"/>
      <c r="U501" s="213"/>
      <c r="V501" s="213"/>
      <c r="W501" s="213"/>
      <c r="X501" s="591"/>
      <c r="Y501" s="591"/>
    </row>
    <row r="502" spans="1:25" ht="14.85" customHeight="1">
      <c r="A502" s="619"/>
      <c r="B502" s="586"/>
      <c r="C502" s="259"/>
      <c r="D502" s="621"/>
      <c r="E502" s="157"/>
      <c r="F502" s="154"/>
      <c r="G502" s="254"/>
      <c r="H502" s="154"/>
      <c r="I502" s="154"/>
      <c r="J502" s="254"/>
      <c r="K502" s="311">
        <f t="shared" si="160"/>
        <v>0</v>
      </c>
      <c r="L502" s="312">
        <f t="shared" si="161"/>
        <v>0</v>
      </c>
      <c r="M502" s="313">
        <f t="shared" si="162"/>
        <v>0</v>
      </c>
      <c r="N502" s="314"/>
      <c r="O502" s="315">
        <f t="shared" si="158"/>
        <v>0</v>
      </c>
      <c r="P502" s="315">
        <f t="shared" si="159"/>
        <v>0</v>
      </c>
      <c r="Q502" s="320"/>
      <c r="R502" s="315">
        <f t="shared" si="163"/>
        <v>0</v>
      </c>
      <c r="S502" s="315">
        <f t="shared" si="164"/>
        <v>0</v>
      </c>
      <c r="T502" s="213"/>
      <c r="U502" s="213"/>
      <c r="V502" s="213"/>
      <c r="W502" s="213"/>
      <c r="X502" s="591"/>
      <c r="Y502" s="591"/>
    </row>
    <row r="503" spans="1:25" ht="14.85" customHeight="1">
      <c r="A503" s="619"/>
      <c r="B503" s="586"/>
      <c r="C503" s="259"/>
      <c r="D503" s="621"/>
      <c r="E503" s="157"/>
      <c r="F503" s="154"/>
      <c r="G503" s="254"/>
      <c r="H503" s="154"/>
      <c r="I503" s="154"/>
      <c r="J503" s="254"/>
      <c r="K503" s="311">
        <f t="shared" si="160"/>
        <v>0</v>
      </c>
      <c r="L503" s="312">
        <f t="shared" si="161"/>
        <v>0</v>
      </c>
      <c r="M503" s="313">
        <f t="shared" si="162"/>
        <v>0</v>
      </c>
      <c r="N503" s="314">
        <f>L502+L503</f>
        <v>0</v>
      </c>
      <c r="O503" s="315">
        <f t="shared" si="158"/>
        <v>0</v>
      </c>
      <c r="P503" s="315">
        <f t="shared" si="159"/>
        <v>0</v>
      </c>
      <c r="Q503" s="320"/>
      <c r="R503" s="315">
        <f t="shared" si="163"/>
        <v>0</v>
      </c>
      <c r="S503" s="315">
        <f t="shared" si="164"/>
        <v>0</v>
      </c>
      <c r="T503" s="213"/>
      <c r="U503" s="213"/>
      <c r="V503" s="213"/>
      <c r="W503" s="213"/>
      <c r="X503" s="591"/>
      <c r="Y503" s="591"/>
    </row>
    <row r="504" spans="1:25" ht="14.85" customHeight="1">
      <c r="A504" s="619"/>
      <c r="B504" s="586"/>
      <c r="C504" s="259"/>
      <c r="D504" s="621"/>
      <c r="E504" s="157"/>
      <c r="F504" s="154"/>
      <c r="G504" s="254"/>
      <c r="H504" s="154"/>
      <c r="I504" s="154"/>
      <c r="J504" s="270"/>
      <c r="K504" s="311">
        <f t="shared" si="160"/>
        <v>0</v>
      </c>
      <c r="L504" s="312">
        <f t="shared" si="161"/>
        <v>0</v>
      </c>
      <c r="M504" s="313">
        <f t="shared" si="162"/>
        <v>0</v>
      </c>
      <c r="N504" s="314"/>
      <c r="O504" s="315">
        <f t="shared" si="158"/>
        <v>0</v>
      </c>
      <c r="P504" s="315">
        <f t="shared" si="159"/>
        <v>0</v>
      </c>
      <c r="Q504" s="320"/>
      <c r="R504" s="315">
        <f t="shared" si="163"/>
        <v>0</v>
      </c>
      <c r="S504" s="315">
        <f t="shared" si="164"/>
        <v>0</v>
      </c>
      <c r="T504" s="213"/>
      <c r="U504" s="213"/>
      <c r="V504" s="213"/>
      <c r="W504" s="213"/>
      <c r="X504" s="591"/>
      <c r="Y504" s="591"/>
    </row>
    <row r="505" spans="1:25" ht="14.85" customHeight="1">
      <c r="A505" s="619"/>
      <c r="B505" s="586"/>
      <c r="C505" s="259"/>
      <c r="D505" s="621"/>
      <c r="E505" s="272"/>
      <c r="F505" s="154"/>
      <c r="G505" s="225"/>
      <c r="H505" s="225"/>
      <c r="I505" s="154"/>
      <c r="J505" s="276"/>
      <c r="K505" s="311">
        <f t="shared" si="160"/>
        <v>0</v>
      </c>
      <c r="L505" s="312">
        <f t="shared" si="161"/>
        <v>0</v>
      </c>
      <c r="M505" s="313">
        <f t="shared" si="162"/>
        <v>0</v>
      </c>
      <c r="N505" s="314">
        <f>L504+L505</f>
        <v>0</v>
      </c>
      <c r="O505" s="315">
        <f t="shared" si="158"/>
        <v>0</v>
      </c>
      <c r="P505" s="315">
        <f t="shared" si="159"/>
        <v>0</v>
      </c>
      <c r="Q505" s="320">
        <f>N503+N505</f>
        <v>0</v>
      </c>
      <c r="R505" s="315">
        <f t="shared" si="163"/>
        <v>0</v>
      </c>
      <c r="S505" s="315">
        <f t="shared" si="164"/>
        <v>0</v>
      </c>
      <c r="T505" s="213"/>
      <c r="U505" s="213"/>
      <c r="V505" s="213"/>
      <c r="W505" s="213"/>
      <c r="X505" s="591"/>
      <c r="Y505" s="591"/>
    </row>
    <row r="506" spans="1:25" ht="14.85" customHeight="1">
      <c r="A506" s="619"/>
      <c r="B506" s="586"/>
      <c r="C506" s="259"/>
      <c r="D506" s="621"/>
      <c r="E506" s="275"/>
      <c r="F506" s="154"/>
      <c r="G506" s="225"/>
      <c r="H506" s="225"/>
      <c r="I506" s="154"/>
      <c r="J506" s="276"/>
      <c r="K506" s="311"/>
      <c r="L506" s="312"/>
      <c r="M506" s="313"/>
      <c r="N506" s="314"/>
      <c r="O506" s="315"/>
      <c r="P506" s="315"/>
      <c r="Q506" s="320"/>
      <c r="R506" s="315"/>
      <c r="S506" s="315"/>
      <c r="T506" s="213"/>
      <c r="U506" s="213"/>
      <c r="V506" s="213"/>
      <c r="W506" s="213"/>
      <c r="X506" s="591"/>
      <c r="Y506" s="591"/>
    </row>
    <row r="507" spans="1:25" ht="14.85" customHeight="1">
      <c r="A507" s="619"/>
      <c r="B507" s="586"/>
      <c r="C507" s="259"/>
      <c r="D507" s="621"/>
      <c r="E507" s="157"/>
      <c r="F507" s="154"/>
      <c r="G507" s="254"/>
      <c r="H507" s="154"/>
      <c r="I507" s="154"/>
      <c r="J507" s="254"/>
      <c r="K507" s="311">
        <f t="shared" si="160"/>
        <v>0</v>
      </c>
      <c r="L507" s="312">
        <f t="shared" si="161"/>
        <v>0</v>
      </c>
      <c r="M507" s="313">
        <f t="shared" si="162"/>
        <v>0</v>
      </c>
      <c r="N507" s="314"/>
      <c r="O507" s="315">
        <f t="shared" si="158"/>
        <v>0</v>
      </c>
      <c r="P507" s="315">
        <f t="shared" si="159"/>
        <v>0</v>
      </c>
      <c r="Q507" s="320"/>
      <c r="R507" s="315">
        <f t="shared" si="163"/>
        <v>0</v>
      </c>
      <c r="S507" s="315">
        <f t="shared" si="164"/>
        <v>0</v>
      </c>
      <c r="T507" s="213"/>
      <c r="U507" s="213"/>
      <c r="V507" s="213"/>
      <c r="W507" s="213"/>
      <c r="X507" s="591"/>
      <c r="Y507" s="591"/>
    </row>
    <row r="508" spans="1:25" ht="14.85" customHeight="1">
      <c r="A508" s="619"/>
      <c r="B508" s="586"/>
      <c r="C508" s="259"/>
      <c r="D508" s="621"/>
      <c r="E508" s="157"/>
      <c r="F508" s="154"/>
      <c r="G508" s="223"/>
      <c r="H508" s="223"/>
      <c r="I508" s="154"/>
      <c r="J508" s="254"/>
      <c r="K508" s="311">
        <f t="shared" si="160"/>
        <v>0</v>
      </c>
      <c r="L508" s="312">
        <f t="shared" si="161"/>
        <v>0</v>
      </c>
      <c r="M508" s="313">
        <f t="shared" si="162"/>
        <v>0</v>
      </c>
      <c r="N508" s="314"/>
      <c r="O508" s="315">
        <f t="shared" si="158"/>
        <v>0</v>
      </c>
      <c r="P508" s="315">
        <f t="shared" si="159"/>
        <v>0</v>
      </c>
      <c r="Q508" s="320"/>
      <c r="R508" s="315">
        <f t="shared" si="163"/>
        <v>0</v>
      </c>
      <c r="S508" s="315">
        <f t="shared" si="164"/>
        <v>0</v>
      </c>
      <c r="T508" s="213"/>
      <c r="U508" s="213"/>
      <c r="V508" s="213"/>
      <c r="W508" s="213"/>
      <c r="X508" s="591"/>
      <c r="Y508" s="591"/>
    </row>
    <row r="509" spans="1:25" ht="14.85" customHeight="1">
      <c r="A509" s="619"/>
      <c r="B509" s="586"/>
      <c r="C509" s="259"/>
      <c r="D509" s="621"/>
      <c r="E509" s="157"/>
      <c r="F509" s="154"/>
      <c r="G509" s="254"/>
      <c r="H509" s="154"/>
      <c r="I509" s="154"/>
      <c r="J509" s="254"/>
      <c r="K509" s="311">
        <f t="shared" si="160"/>
        <v>0</v>
      </c>
      <c r="L509" s="312">
        <f t="shared" si="161"/>
        <v>0</v>
      </c>
      <c r="M509" s="313">
        <f t="shared" si="162"/>
        <v>0</v>
      </c>
      <c r="N509" s="314"/>
      <c r="O509" s="315">
        <f t="shared" si="158"/>
        <v>0</v>
      </c>
      <c r="P509" s="315">
        <f t="shared" si="159"/>
        <v>0</v>
      </c>
      <c r="Q509" s="320"/>
      <c r="R509" s="315">
        <f t="shared" si="163"/>
        <v>0</v>
      </c>
      <c r="S509" s="315">
        <f t="shared" si="164"/>
        <v>0</v>
      </c>
      <c r="T509" s="213"/>
      <c r="U509" s="213"/>
      <c r="V509" s="213"/>
      <c r="W509" s="213"/>
      <c r="X509" s="591"/>
      <c r="Y509" s="591"/>
    </row>
    <row r="510" spans="1:25" ht="14.85" customHeight="1">
      <c r="A510" s="619"/>
      <c r="B510" s="586"/>
      <c r="C510" s="259"/>
      <c r="D510" s="621"/>
      <c r="E510" s="272"/>
      <c r="F510" s="273"/>
      <c r="G510" s="223"/>
      <c r="H510" s="223"/>
      <c r="I510" s="155"/>
      <c r="J510" s="279"/>
      <c r="K510" s="311">
        <f t="shared" si="160"/>
        <v>0</v>
      </c>
      <c r="L510" s="312">
        <f t="shared" si="161"/>
        <v>0</v>
      </c>
      <c r="M510" s="313">
        <f t="shared" si="162"/>
        <v>0</v>
      </c>
      <c r="N510" s="314"/>
      <c r="O510" s="315">
        <f t="shared" si="158"/>
        <v>0</v>
      </c>
      <c r="P510" s="315">
        <f t="shared" si="159"/>
        <v>0</v>
      </c>
      <c r="Q510" s="320"/>
      <c r="R510" s="315">
        <f t="shared" si="163"/>
        <v>0</v>
      </c>
      <c r="S510" s="315">
        <f t="shared" si="164"/>
        <v>0</v>
      </c>
      <c r="T510" s="213"/>
      <c r="U510" s="213"/>
      <c r="V510" s="213"/>
      <c r="W510" s="213"/>
      <c r="X510" s="591"/>
      <c r="Y510" s="591"/>
    </row>
    <row r="511" spans="1:25" ht="14.85" customHeight="1">
      <c r="A511" s="619"/>
      <c r="B511" s="586"/>
      <c r="C511" s="259"/>
      <c r="D511" s="621"/>
      <c r="E511" s="371"/>
      <c r="F511" s="273"/>
      <c r="G511" s="254"/>
      <c r="H511" s="154"/>
      <c r="I511" s="155"/>
      <c r="J511" s="279"/>
      <c r="K511" s="311">
        <f t="shared" si="160"/>
        <v>0</v>
      </c>
      <c r="L511" s="312">
        <f t="shared" si="161"/>
        <v>0</v>
      </c>
      <c r="M511" s="313">
        <f t="shared" si="162"/>
        <v>0</v>
      </c>
      <c r="N511" s="314">
        <f>SUM(L507:L511)</f>
        <v>0</v>
      </c>
      <c r="O511" s="315">
        <f t="shared" si="158"/>
        <v>0</v>
      </c>
      <c r="P511" s="315">
        <f t="shared" si="159"/>
        <v>0</v>
      </c>
      <c r="Q511" s="320"/>
      <c r="R511" s="315">
        <f t="shared" si="163"/>
        <v>0</v>
      </c>
      <c r="S511" s="315">
        <f t="shared" si="164"/>
        <v>0</v>
      </c>
      <c r="T511" s="213"/>
      <c r="U511" s="213"/>
      <c r="V511" s="213"/>
      <c r="W511" s="213"/>
      <c r="X511" s="591"/>
      <c r="Y511" s="591"/>
    </row>
    <row r="512" spans="1:25" ht="14.85" customHeight="1">
      <c r="A512" s="619"/>
      <c r="B512" s="586"/>
      <c r="C512" s="259"/>
      <c r="D512" s="621"/>
      <c r="E512" s="371"/>
      <c r="F512" s="273"/>
      <c r="G512" s="254"/>
      <c r="H512" s="154"/>
      <c r="I512" s="155"/>
      <c r="J512" s="279"/>
      <c r="K512" s="311">
        <f t="shared" si="160"/>
        <v>0</v>
      </c>
      <c r="L512" s="312">
        <f t="shared" si="161"/>
        <v>0</v>
      </c>
      <c r="M512" s="313">
        <f t="shared" si="162"/>
        <v>0</v>
      </c>
      <c r="N512" s="314"/>
      <c r="O512" s="315">
        <f t="shared" si="158"/>
        <v>0</v>
      </c>
      <c r="P512" s="315">
        <f t="shared" si="159"/>
        <v>0</v>
      </c>
      <c r="Q512" s="320"/>
      <c r="R512" s="315">
        <f t="shared" si="163"/>
        <v>0</v>
      </c>
      <c r="S512" s="315">
        <f t="shared" si="164"/>
        <v>0</v>
      </c>
      <c r="T512" s="213"/>
      <c r="U512" s="213"/>
      <c r="V512" s="213"/>
      <c r="W512" s="213"/>
      <c r="X512" s="591"/>
      <c r="Y512" s="591"/>
    </row>
    <row r="513" spans="1:25" ht="14.85" customHeight="1">
      <c r="A513" s="619"/>
      <c r="B513" s="586"/>
      <c r="C513" s="259"/>
      <c r="D513" s="621"/>
      <c r="E513" s="371"/>
      <c r="F513" s="273"/>
      <c r="G513" s="254"/>
      <c r="H513" s="154"/>
      <c r="I513" s="155"/>
      <c r="J513" s="279"/>
      <c r="K513" s="311">
        <f t="shared" si="160"/>
        <v>0</v>
      </c>
      <c r="L513" s="312">
        <f t="shared" si="161"/>
        <v>0</v>
      </c>
      <c r="M513" s="313">
        <f t="shared" si="162"/>
        <v>0</v>
      </c>
      <c r="N513" s="314"/>
      <c r="O513" s="315">
        <f t="shared" si="158"/>
        <v>0</v>
      </c>
      <c r="P513" s="315">
        <f t="shared" si="159"/>
        <v>0</v>
      </c>
      <c r="Q513" s="320"/>
      <c r="R513" s="315">
        <f t="shared" si="163"/>
        <v>0</v>
      </c>
      <c r="S513" s="315">
        <f t="shared" si="164"/>
        <v>0</v>
      </c>
      <c r="T513" s="213"/>
      <c r="U513" s="213"/>
      <c r="V513" s="213"/>
      <c r="W513" s="213"/>
      <c r="X513" s="591"/>
      <c r="Y513" s="591"/>
    </row>
    <row r="514" spans="1:25" ht="14.85" customHeight="1">
      <c r="A514" s="619"/>
      <c r="B514" s="586"/>
      <c r="C514" s="259"/>
      <c r="D514" s="621"/>
      <c r="E514" s="371"/>
      <c r="F514" s="273"/>
      <c r="G514" s="254"/>
      <c r="H514" s="154"/>
      <c r="I514" s="155"/>
      <c r="J514" s="279"/>
      <c r="K514" s="311">
        <f t="shared" si="160"/>
        <v>0</v>
      </c>
      <c r="L514" s="312">
        <f t="shared" si="161"/>
        <v>0</v>
      </c>
      <c r="M514" s="313">
        <f t="shared" si="162"/>
        <v>0</v>
      </c>
      <c r="N514" s="314"/>
      <c r="O514" s="315">
        <f t="shared" si="158"/>
        <v>0</v>
      </c>
      <c r="P514" s="315">
        <f t="shared" si="159"/>
        <v>0</v>
      </c>
      <c r="Q514" s="320"/>
      <c r="R514" s="315">
        <f t="shared" si="163"/>
        <v>0</v>
      </c>
      <c r="S514" s="315">
        <f t="shared" si="164"/>
        <v>0</v>
      </c>
      <c r="T514" s="213"/>
      <c r="U514" s="213"/>
      <c r="V514" s="213"/>
      <c r="W514" s="213"/>
      <c r="X514" s="591"/>
      <c r="Y514" s="591"/>
    </row>
    <row r="515" spans="1:25" ht="14.85" customHeight="1">
      <c r="A515" s="619"/>
      <c r="B515" s="586"/>
      <c r="C515" s="259"/>
      <c r="D515" s="621"/>
      <c r="E515" s="371"/>
      <c r="F515" s="273"/>
      <c r="G515" s="254"/>
      <c r="H515" s="154"/>
      <c r="I515" s="155"/>
      <c r="J515" s="279"/>
      <c r="K515" s="311">
        <f t="shared" si="160"/>
        <v>0</v>
      </c>
      <c r="L515" s="312">
        <f t="shared" si="161"/>
        <v>0</v>
      </c>
      <c r="M515" s="313">
        <f t="shared" si="162"/>
        <v>0</v>
      </c>
      <c r="N515" s="314">
        <f>SUM(L512:L515)</f>
        <v>0</v>
      </c>
      <c r="O515" s="315">
        <f t="shared" si="158"/>
        <v>0</v>
      </c>
      <c r="P515" s="315">
        <f t="shared" si="159"/>
        <v>0</v>
      </c>
      <c r="Q515" s="320">
        <f>N511+N515</f>
        <v>0</v>
      </c>
      <c r="R515" s="315">
        <f t="shared" si="163"/>
        <v>0</v>
      </c>
      <c r="S515" s="315">
        <f t="shared" si="164"/>
        <v>0</v>
      </c>
      <c r="T515" s="213"/>
      <c r="U515" s="213"/>
      <c r="V515" s="213"/>
      <c r="W515" s="213"/>
      <c r="X515" s="591"/>
      <c r="Y515" s="591"/>
    </row>
    <row r="516" spans="1:25" ht="14.85" customHeight="1">
      <c r="A516" s="619"/>
      <c r="B516" s="586"/>
      <c r="C516" s="259"/>
      <c r="D516" s="621"/>
      <c r="E516" s="371"/>
      <c r="F516" s="273"/>
      <c r="G516" s="254"/>
      <c r="H516" s="154"/>
      <c r="I516" s="155"/>
      <c r="J516" s="279"/>
      <c r="K516" s="311"/>
      <c r="L516" s="312"/>
      <c r="M516" s="313"/>
      <c r="N516" s="314"/>
      <c r="O516" s="315"/>
      <c r="P516" s="315"/>
      <c r="Q516" s="320"/>
      <c r="R516" s="315"/>
      <c r="S516" s="315"/>
      <c r="T516" s="213"/>
      <c r="U516" s="213"/>
      <c r="V516" s="213"/>
      <c r="W516" s="213"/>
      <c r="X516" s="591"/>
      <c r="Y516" s="591"/>
    </row>
    <row r="517" spans="1:25" ht="14.85" customHeight="1">
      <c r="A517" s="619"/>
      <c r="B517" s="586"/>
      <c r="C517" s="259"/>
      <c r="D517" s="621"/>
      <c r="E517" s="371"/>
      <c r="F517" s="273"/>
      <c r="G517" s="254"/>
      <c r="H517" s="154"/>
      <c r="I517" s="155"/>
      <c r="J517" s="325"/>
      <c r="K517" s="311">
        <f t="shared" si="160"/>
        <v>0</v>
      </c>
      <c r="L517" s="312">
        <f t="shared" si="161"/>
        <v>0</v>
      </c>
      <c r="M517" s="313">
        <f t="shared" si="162"/>
        <v>0</v>
      </c>
      <c r="N517" s="314"/>
      <c r="O517" s="315">
        <f t="shared" si="158"/>
        <v>0</v>
      </c>
      <c r="P517" s="315">
        <f t="shared" si="159"/>
        <v>0</v>
      </c>
      <c r="Q517" s="320"/>
      <c r="R517" s="315">
        <f t="shared" si="163"/>
        <v>0</v>
      </c>
      <c r="S517" s="315">
        <f t="shared" si="164"/>
        <v>0</v>
      </c>
      <c r="T517" s="213"/>
      <c r="U517" s="213"/>
      <c r="V517" s="213"/>
      <c r="W517" s="213"/>
      <c r="X517" s="591"/>
      <c r="Y517" s="591"/>
    </row>
    <row r="518" spans="1:25" ht="14.85" customHeight="1">
      <c r="A518" s="619"/>
      <c r="B518" s="586"/>
      <c r="C518" s="259"/>
      <c r="D518" s="621"/>
      <c r="E518" s="371"/>
      <c r="F518" s="273"/>
      <c r="G518" s="270"/>
      <c r="H518" s="270"/>
      <c r="I518" s="155"/>
      <c r="J518" s="279"/>
      <c r="K518" s="311">
        <f t="shared" si="160"/>
        <v>0</v>
      </c>
      <c r="L518" s="312">
        <f t="shared" si="161"/>
        <v>0</v>
      </c>
      <c r="M518" s="313">
        <f t="shared" si="162"/>
        <v>0</v>
      </c>
      <c r="N518" s="314"/>
      <c r="O518" s="315">
        <f t="shared" si="158"/>
        <v>0</v>
      </c>
      <c r="P518" s="315">
        <f t="shared" si="159"/>
        <v>0</v>
      </c>
      <c r="Q518" s="320"/>
      <c r="R518" s="315">
        <f t="shared" si="163"/>
        <v>0</v>
      </c>
      <c r="S518" s="315">
        <f t="shared" si="164"/>
        <v>0</v>
      </c>
      <c r="T518" s="213"/>
      <c r="U518" s="213"/>
      <c r="V518" s="213"/>
      <c r="W518" s="213"/>
      <c r="X518" s="591"/>
      <c r="Y518" s="591"/>
    </row>
    <row r="519" spans="1:25" ht="14.85" customHeight="1">
      <c r="A519" s="619"/>
      <c r="B519" s="586"/>
      <c r="C519" s="259"/>
      <c r="D519" s="621"/>
      <c r="E519" s="371"/>
      <c r="F519" s="273"/>
      <c r="G519" s="254"/>
      <c r="H519" s="154"/>
      <c r="I519" s="155"/>
      <c r="J519" s="279"/>
      <c r="K519" s="311">
        <f t="shared" si="160"/>
        <v>0</v>
      </c>
      <c r="L519" s="312">
        <f t="shared" si="161"/>
        <v>0</v>
      </c>
      <c r="M519" s="313">
        <f t="shared" si="162"/>
        <v>0</v>
      </c>
      <c r="N519" s="314"/>
      <c r="O519" s="315">
        <f t="shared" ref="O519:O520" si="165">ROUNDDOWN((N519/$O$11),0)</f>
        <v>0</v>
      </c>
      <c r="P519" s="315">
        <f t="shared" ref="P519:P520" si="166">ROUND((N519-(O519*$P$11)),0)</f>
        <v>0</v>
      </c>
      <c r="Q519" s="320"/>
      <c r="R519" s="315">
        <f t="shared" si="163"/>
        <v>0</v>
      </c>
      <c r="S519" s="315">
        <f t="shared" si="164"/>
        <v>0</v>
      </c>
      <c r="T519" s="213"/>
      <c r="U519" s="213"/>
      <c r="V519" s="213"/>
      <c r="W519" s="213"/>
      <c r="X519" s="591"/>
      <c r="Y519" s="591"/>
    </row>
    <row r="520" spans="1:25" ht="14.85" customHeight="1">
      <c r="A520" s="619"/>
      <c r="B520" s="586"/>
      <c r="C520" s="259"/>
      <c r="D520" s="621"/>
      <c r="E520" s="371"/>
      <c r="F520" s="273"/>
      <c r="G520" s="254"/>
      <c r="H520" s="154"/>
      <c r="I520" s="155"/>
      <c r="J520" s="279"/>
      <c r="K520" s="311">
        <f t="shared" si="160"/>
        <v>0</v>
      </c>
      <c r="L520" s="312">
        <f t="shared" si="161"/>
        <v>0</v>
      </c>
      <c r="M520" s="313">
        <f t="shared" si="162"/>
        <v>0</v>
      </c>
      <c r="N520" s="314">
        <f>SUM(L517:L520)</f>
        <v>0</v>
      </c>
      <c r="O520" s="315">
        <f t="shared" si="165"/>
        <v>0</v>
      </c>
      <c r="P520" s="315">
        <f t="shared" si="166"/>
        <v>0</v>
      </c>
      <c r="Q520" s="320">
        <f>N520</f>
        <v>0</v>
      </c>
      <c r="R520" s="315">
        <f t="shared" si="163"/>
        <v>0</v>
      </c>
      <c r="S520" s="315">
        <f t="shared" si="164"/>
        <v>0</v>
      </c>
      <c r="T520" s="213"/>
      <c r="U520" s="213"/>
      <c r="V520" s="213"/>
      <c r="W520" s="213"/>
      <c r="X520" s="591"/>
      <c r="Y520" s="591"/>
    </row>
    <row r="521" spans="1:25" ht="14.85" customHeight="1">
      <c r="A521" s="316"/>
      <c r="B521" s="259"/>
      <c r="C521" s="259"/>
      <c r="D521" s="256"/>
      <c r="E521" s="371"/>
      <c r="F521" s="273"/>
      <c r="G521" s="254"/>
      <c r="H521" s="154"/>
      <c r="I521" s="155"/>
      <c r="J521" s="279"/>
      <c r="K521" s="311"/>
      <c r="L521" s="312"/>
      <c r="M521" s="313"/>
      <c r="N521" s="314"/>
      <c r="O521" s="315"/>
      <c r="P521" s="315"/>
      <c r="Q521" s="320"/>
      <c r="R521" s="315"/>
      <c r="S521" s="315"/>
      <c r="T521" s="213"/>
      <c r="U521" s="213"/>
      <c r="V521" s="213"/>
      <c r="W521" s="213"/>
      <c r="X521" s="317"/>
      <c r="Y521" s="317"/>
    </row>
    <row r="522" spans="1:25" s="287" customFormat="1">
      <c r="A522" s="211" t="s">
        <v>129</v>
      </c>
      <c r="B522" s="211">
        <f>COUNTA(B428:B520)</f>
        <v>0</v>
      </c>
      <c r="C522" s="211"/>
      <c r="D522" s="211">
        <f>COUNTA(D461:D520)</f>
        <v>0</v>
      </c>
      <c r="E522" s="212">
        <f>COUNTA(E461:E520)</f>
        <v>0</v>
      </c>
      <c r="F522" s="211">
        <f>COUNTA(F428:F520)</f>
        <v>0</v>
      </c>
      <c r="G522" s="211">
        <f>COUNTA(G428:G520)</f>
        <v>0</v>
      </c>
      <c r="H522" s="211"/>
      <c r="I522" s="211">
        <f>COUNTA(I461:I520)</f>
        <v>0</v>
      </c>
      <c r="J522" s="280">
        <f>SUM(J428:J520)</f>
        <v>0</v>
      </c>
      <c r="K522" s="161">
        <f>SUM(K461:K520)</f>
        <v>0</v>
      </c>
      <c r="L522" s="161">
        <f>SUM(L461:L520)</f>
        <v>0</v>
      </c>
      <c r="M522" s="161">
        <f>SUM(M461:M520)</f>
        <v>0</v>
      </c>
      <c r="N522" s="161">
        <f>SUM(N461:N520)</f>
        <v>0</v>
      </c>
      <c r="O522" s="161">
        <f>ROUNDDOWN((N522/$O$11),0)</f>
        <v>0</v>
      </c>
      <c r="P522" s="161">
        <f>ROUND((N522-(O522*$P$11)),0)</f>
        <v>0</v>
      </c>
      <c r="Q522" s="161">
        <f>SUM(Q461:Q520)</f>
        <v>0</v>
      </c>
      <c r="R522" s="161">
        <f>ROUNDDOWN((Q522/$O$11),0)</f>
        <v>0</v>
      </c>
      <c r="S522" s="161">
        <f>ROUND((Q522-(R522*$P$11)),0)</f>
        <v>0</v>
      </c>
      <c r="T522" s="211"/>
      <c r="U522" s="211"/>
      <c r="V522" s="211"/>
      <c r="W522" s="211"/>
      <c r="X522" s="161" t="str">
        <f>IF(X428&lt;1.4,"1",IF(X428&lt;=2.3,"2",IF(X428&gt;2.3, ROUND(X428,0))))</f>
        <v>1</v>
      </c>
      <c r="Y522" s="161">
        <f>$Y$11*F522</f>
        <v>0</v>
      </c>
    </row>
    <row r="523" spans="1:25">
      <c r="A523" s="618"/>
      <c r="B523" s="585"/>
      <c r="C523" s="258"/>
      <c r="D523" s="620"/>
      <c r="E523" s="323"/>
      <c r="F523" s="154"/>
      <c r="G523" s="221"/>
      <c r="H523" s="221"/>
      <c r="I523" s="154"/>
      <c r="J523" s="326"/>
      <c r="K523" s="311">
        <f t="shared" ref="K523" si="167">J523/$K$11</f>
        <v>0</v>
      </c>
      <c r="L523" s="312">
        <f t="shared" ref="L523" si="168">J523/$L$11</f>
        <v>0</v>
      </c>
      <c r="M523" s="313">
        <f t="shared" ref="M523" si="169">ROUND((L523/$M$11),0)</f>
        <v>0</v>
      </c>
      <c r="N523" s="320"/>
      <c r="O523" s="315">
        <f t="shared" ref="O523" si="170">ROUNDDOWN((N523/$O$11),0)</f>
        <v>0</v>
      </c>
      <c r="P523" s="315">
        <f t="shared" ref="P523" si="171">ROUND((N523-(O523*$P$11)),0)</f>
        <v>0</v>
      </c>
      <c r="Q523" s="320"/>
      <c r="R523" s="315">
        <f>ROUNDDOWN((Q523/$O$11),0)</f>
        <v>0</v>
      </c>
      <c r="S523" s="315">
        <f>ROUND((Q523-(R523*$P$11)),0)</f>
        <v>0</v>
      </c>
      <c r="T523" s="213"/>
      <c r="U523" s="213"/>
      <c r="V523" s="213"/>
      <c r="W523" s="213"/>
      <c r="X523" s="590">
        <f>F594/$X$11</f>
        <v>0</v>
      </c>
      <c r="Y523" s="590"/>
    </row>
    <row r="524" spans="1:25">
      <c r="A524" s="619"/>
      <c r="B524" s="586"/>
      <c r="C524" s="259"/>
      <c r="D524" s="621"/>
      <c r="E524" s="324"/>
      <c r="F524" s="154"/>
      <c r="G524" s="221"/>
      <c r="H524" s="221"/>
      <c r="I524" s="154"/>
      <c r="J524" s="326"/>
      <c r="K524" s="311">
        <f t="shared" ref="K524:K559" si="172">J524/$K$11</f>
        <v>0</v>
      </c>
      <c r="L524" s="312">
        <f t="shared" ref="L524:L559" si="173">J524/$L$11</f>
        <v>0</v>
      </c>
      <c r="M524" s="313">
        <f t="shared" ref="M524:M559" si="174">ROUND((L524/$M$11),0)</f>
        <v>0</v>
      </c>
      <c r="N524" s="320"/>
      <c r="O524" s="315">
        <f t="shared" ref="O524:O532" si="175">ROUNDDOWN((N524/$O$11),0)</f>
        <v>0</v>
      </c>
      <c r="P524" s="315">
        <f t="shared" ref="P524:P532" si="176">ROUND((N524-(O524*$P$11)),0)</f>
        <v>0</v>
      </c>
      <c r="Q524" s="320"/>
      <c r="R524" s="315"/>
      <c r="S524" s="315"/>
      <c r="T524" s="213"/>
      <c r="U524" s="213"/>
      <c r="V524" s="213"/>
      <c r="W524" s="213"/>
      <c r="X524" s="591"/>
      <c r="Y524" s="591"/>
    </row>
    <row r="525" spans="1:25" ht="14.85" customHeight="1">
      <c r="A525" s="619"/>
      <c r="B525" s="586"/>
      <c r="C525" s="259"/>
      <c r="D525" s="621"/>
      <c r="E525" s="324"/>
      <c r="F525" s="154"/>
      <c r="G525" s="221"/>
      <c r="H525" s="221"/>
      <c r="I525" s="154"/>
      <c r="J525" s="326"/>
      <c r="K525" s="311">
        <f t="shared" si="172"/>
        <v>0</v>
      </c>
      <c r="L525" s="312">
        <f t="shared" si="173"/>
        <v>0</v>
      </c>
      <c r="M525" s="313">
        <f t="shared" si="174"/>
        <v>0</v>
      </c>
      <c r="N525" s="320"/>
      <c r="O525" s="315">
        <f t="shared" si="175"/>
        <v>0</v>
      </c>
      <c r="P525" s="315">
        <f t="shared" si="176"/>
        <v>0</v>
      </c>
      <c r="Q525" s="320"/>
      <c r="R525" s="315">
        <f>ROUNDDOWN((Q525/$O$11),0)</f>
        <v>0</v>
      </c>
      <c r="S525" s="315">
        <f>ROUND((Q525-(R525*$P$11)),0)</f>
        <v>0</v>
      </c>
      <c r="T525" s="213"/>
      <c r="U525" s="213"/>
      <c r="V525" s="213"/>
      <c r="W525" s="213"/>
      <c r="X525" s="591"/>
      <c r="Y525" s="591"/>
    </row>
    <row r="526" spans="1:25" ht="14.85" customHeight="1">
      <c r="A526" s="619"/>
      <c r="B526" s="586"/>
      <c r="C526" s="259"/>
      <c r="D526" s="621"/>
      <c r="E526" s="324"/>
      <c r="F526" s="154"/>
      <c r="G526" s="221"/>
      <c r="H526" s="221"/>
      <c r="I526" s="154"/>
      <c r="J526" s="326"/>
      <c r="K526" s="311">
        <f t="shared" si="172"/>
        <v>0</v>
      </c>
      <c r="L526" s="312">
        <f t="shared" si="173"/>
        <v>0</v>
      </c>
      <c r="M526" s="313">
        <f t="shared" si="174"/>
        <v>0</v>
      </c>
      <c r="N526" s="320">
        <f>SUM(L523:L526)</f>
        <v>0</v>
      </c>
      <c r="O526" s="315">
        <f t="shared" si="175"/>
        <v>0</v>
      </c>
      <c r="P526" s="315">
        <f t="shared" si="176"/>
        <v>0</v>
      </c>
      <c r="Q526" s="320"/>
      <c r="R526" s="315"/>
      <c r="S526" s="315"/>
      <c r="T526" s="213"/>
      <c r="U526" s="213"/>
      <c r="V526" s="213"/>
      <c r="W526" s="213"/>
      <c r="X526" s="591"/>
      <c r="Y526" s="591"/>
    </row>
    <row r="527" spans="1:25" ht="14.85" customHeight="1">
      <c r="A527" s="619"/>
      <c r="B527" s="586"/>
      <c r="C527" s="259"/>
      <c r="D527" s="621"/>
      <c r="E527" s="157"/>
      <c r="F527" s="273"/>
      <c r="G527" s="216"/>
      <c r="H527" s="216"/>
      <c r="I527" s="154"/>
      <c r="J527" s="326"/>
      <c r="K527" s="311">
        <f t="shared" si="172"/>
        <v>0</v>
      </c>
      <c r="L527" s="312">
        <f t="shared" si="173"/>
        <v>0</v>
      </c>
      <c r="M527" s="313">
        <f t="shared" si="174"/>
        <v>0</v>
      </c>
      <c r="N527" s="320"/>
      <c r="O527" s="315">
        <f t="shared" si="175"/>
        <v>0</v>
      </c>
      <c r="P527" s="315">
        <f t="shared" si="176"/>
        <v>0</v>
      </c>
      <c r="Q527" s="320"/>
      <c r="R527" s="315">
        <f>ROUNDDOWN((Q527/$O$11),0)</f>
        <v>0</v>
      </c>
      <c r="S527" s="315">
        <f>ROUND((Q527-(R527*$P$11)),0)</f>
        <v>0</v>
      </c>
      <c r="T527" s="213"/>
      <c r="U527" s="213"/>
      <c r="V527" s="213"/>
      <c r="W527" s="213"/>
      <c r="X527" s="591"/>
      <c r="Y527" s="591"/>
    </row>
    <row r="528" spans="1:25" ht="14.85" customHeight="1">
      <c r="A528" s="619"/>
      <c r="B528" s="586"/>
      <c r="C528" s="259"/>
      <c r="D528" s="621"/>
      <c r="E528" s="157"/>
      <c r="F528" s="273"/>
      <c r="G528" s="254"/>
      <c r="H528" s="154"/>
      <c r="I528" s="154"/>
      <c r="J528" s="254"/>
      <c r="K528" s="311">
        <f t="shared" si="172"/>
        <v>0</v>
      </c>
      <c r="L528" s="312">
        <f t="shared" si="173"/>
        <v>0</v>
      </c>
      <c r="M528" s="313">
        <f t="shared" si="174"/>
        <v>0</v>
      </c>
      <c r="N528" s="320">
        <f>SUM(L527:L528)</f>
        <v>0</v>
      </c>
      <c r="O528" s="315">
        <f t="shared" si="175"/>
        <v>0</v>
      </c>
      <c r="P528" s="315">
        <f t="shared" si="176"/>
        <v>0</v>
      </c>
      <c r="Q528" s="320"/>
      <c r="R528" s="315"/>
      <c r="S528" s="315"/>
      <c r="T528" s="213"/>
      <c r="U528" s="213"/>
      <c r="V528" s="213"/>
      <c r="W528" s="213"/>
      <c r="X528" s="591"/>
      <c r="Y528" s="591"/>
    </row>
    <row r="529" spans="1:25" ht="14.85" customHeight="1">
      <c r="A529" s="619"/>
      <c r="B529" s="586"/>
      <c r="C529" s="259"/>
      <c r="D529" s="621"/>
      <c r="E529" s="157"/>
      <c r="F529" s="154"/>
      <c r="G529" s="229"/>
      <c r="H529" s="229"/>
      <c r="I529" s="154"/>
      <c r="J529" s="254"/>
      <c r="K529" s="311">
        <f t="shared" si="172"/>
        <v>0</v>
      </c>
      <c r="L529" s="312">
        <f t="shared" si="173"/>
        <v>0</v>
      </c>
      <c r="M529" s="313">
        <f t="shared" si="174"/>
        <v>0</v>
      </c>
      <c r="N529" s="320"/>
      <c r="O529" s="315">
        <f t="shared" si="175"/>
        <v>0</v>
      </c>
      <c r="P529" s="315">
        <f t="shared" si="176"/>
        <v>0</v>
      </c>
      <c r="Q529" s="320"/>
      <c r="R529" s="315"/>
      <c r="S529" s="315"/>
      <c r="T529" s="213"/>
      <c r="U529" s="213"/>
      <c r="V529" s="213"/>
      <c r="W529" s="213"/>
      <c r="X529" s="591"/>
      <c r="Y529" s="591"/>
    </row>
    <row r="530" spans="1:25" ht="14.85" customHeight="1">
      <c r="A530" s="619"/>
      <c r="B530" s="586"/>
      <c r="C530" s="259"/>
      <c r="D530" s="621"/>
      <c r="E530" s="157"/>
      <c r="F530" s="154"/>
      <c r="G530" s="229"/>
      <c r="H530" s="229"/>
      <c r="I530" s="154"/>
      <c r="J530" s="254"/>
      <c r="K530" s="311">
        <f t="shared" si="172"/>
        <v>0</v>
      </c>
      <c r="L530" s="312">
        <f t="shared" si="173"/>
        <v>0</v>
      </c>
      <c r="M530" s="313">
        <f t="shared" si="174"/>
        <v>0</v>
      </c>
      <c r="N530" s="320">
        <f>SUM(L529:L530)</f>
        <v>0</v>
      </c>
      <c r="O530" s="315">
        <f t="shared" si="175"/>
        <v>0</v>
      </c>
      <c r="P530" s="315">
        <f t="shared" si="176"/>
        <v>0</v>
      </c>
      <c r="Q530" s="320"/>
      <c r="R530" s="315">
        <f>ROUNDDOWN((Q530/$O$11),0)</f>
        <v>0</v>
      </c>
      <c r="S530" s="315">
        <f>ROUND((Q530-(R530*$P$11)),0)</f>
        <v>0</v>
      </c>
      <c r="T530" s="213"/>
      <c r="U530" s="213"/>
      <c r="V530" s="213"/>
      <c r="W530" s="213"/>
      <c r="X530" s="591"/>
      <c r="Y530" s="591"/>
    </row>
    <row r="531" spans="1:25" ht="14.85" customHeight="1">
      <c r="A531" s="619"/>
      <c r="B531" s="586"/>
      <c r="C531" s="259"/>
      <c r="D531" s="621"/>
      <c r="E531" s="157"/>
      <c r="F531" s="154"/>
      <c r="G531" s="217"/>
      <c r="H531" s="217"/>
      <c r="I531" s="154"/>
      <c r="J531" s="254"/>
      <c r="K531" s="311">
        <f t="shared" si="172"/>
        <v>0</v>
      </c>
      <c r="L531" s="312">
        <f t="shared" si="173"/>
        <v>0</v>
      </c>
      <c r="M531" s="313">
        <f t="shared" si="174"/>
        <v>0</v>
      </c>
      <c r="N531" s="320"/>
      <c r="O531" s="315">
        <f t="shared" si="175"/>
        <v>0</v>
      </c>
      <c r="P531" s="315">
        <f t="shared" si="176"/>
        <v>0</v>
      </c>
      <c r="Q531" s="320"/>
      <c r="R531" s="315">
        <f>ROUNDDOWN((Q531/$O$11),0)</f>
        <v>0</v>
      </c>
      <c r="S531" s="315">
        <f>ROUND((Q531-(R531*$P$11)),0)</f>
        <v>0</v>
      </c>
      <c r="T531" s="213"/>
      <c r="U531" s="213"/>
      <c r="V531" s="213"/>
      <c r="W531" s="213"/>
      <c r="X531" s="591"/>
      <c r="Y531" s="591"/>
    </row>
    <row r="532" spans="1:25" ht="14.85" customHeight="1">
      <c r="A532" s="619"/>
      <c r="B532" s="586"/>
      <c r="C532" s="259"/>
      <c r="D532" s="621"/>
      <c r="E532" s="157"/>
      <c r="F532" s="154"/>
      <c r="G532" s="254"/>
      <c r="H532" s="154"/>
      <c r="I532" s="154"/>
      <c r="J532" s="254"/>
      <c r="K532" s="311">
        <f t="shared" si="172"/>
        <v>0</v>
      </c>
      <c r="L532" s="312">
        <f t="shared" si="173"/>
        <v>0</v>
      </c>
      <c r="M532" s="313">
        <f t="shared" si="174"/>
        <v>0</v>
      </c>
      <c r="N532" s="320">
        <f>SUM(L531:L532)</f>
        <v>0</v>
      </c>
      <c r="O532" s="315">
        <f t="shared" si="175"/>
        <v>0</v>
      </c>
      <c r="P532" s="315">
        <f t="shared" si="176"/>
        <v>0</v>
      </c>
      <c r="Q532" s="320">
        <f>N526+N528+N530+N532</f>
        <v>0</v>
      </c>
      <c r="R532" s="315">
        <f>ROUNDDOWN((Q532/$O$11),0)</f>
        <v>0</v>
      </c>
      <c r="S532" s="315">
        <f>ROUND((Q532-(R532*$P$11)),0)</f>
        <v>0</v>
      </c>
      <c r="T532" s="213"/>
      <c r="U532" s="213"/>
      <c r="V532" s="213"/>
      <c r="W532" s="213"/>
      <c r="X532" s="591"/>
      <c r="Y532" s="591"/>
    </row>
    <row r="533" spans="1:25" ht="14.85" customHeight="1">
      <c r="A533" s="619"/>
      <c r="B533" s="586"/>
      <c r="C533" s="259"/>
      <c r="D533" s="621"/>
      <c r="E533" s="157"/>
      <c r="F533" s="154"/>
      <c r="G533" s="254"/>
      <c r="H533" s="154"/>
      <c r="I533" s="154"/>
      <c r="J533" s="254"/>
      <c r="K533" s="311"/>
      <c r="L533" s="312"/>
      <c r="M533" s="313"/>
      <c r="N533" s="320"/>
      <c r="O533" s="315"/>
      <c r="P533" s="315"/>
      <c r="Q533" s="320"/>
      <c r="R533" s="315"/>
      <c r="S533" s="315"/>
      <c r="T533" s="213"/>
      <c r="U533" s="213"/>
      <c r="V533" s="213"/>
      <c r="W533" s="213"/>
      <c r="X533" s="591"/>
      <c r="Y533" s="591"/>
    </row>
    <row r="534" spans="1:25" ht="14.85" customHeight="1">
      <c r="A534" s="619"/>
      <c r="B534" s="586"/>
      <c r="C534" s="259"/>
      <c r="D534" s="621"/>
      <c r="E534" s="323"/>
      <c r="F534" s="154"/>
      <c r="G534" s="217"/>
      <c r="H534" s="217"/>
      <c r="I534" s="154"/>
      <c r="J534" s="326"/>
      <c r="K534" s="311">
        <f t="shared" si="172"/>
        <v>0</v>
      </c>
      <c r="L534" s="312">
        <f t="shared" si="173"/>
        <v>0</v>
      </c>
      <c r="M534" s="313">
        <f t="shared" si="174"/>
        <v>0</v>
      </c>
      <c r="N534" s="320"/>
      <c r="O534" s="315"/>
      <c r="P534" s="315"/>
      <c r="Q534" s="320"/>
      <c r="R534" s="315"/>
      <c r="S534" s="315"/>
      <c r="T534" s="213"/>
      <c r="U534" s="213"/>
      <c r="V534" s="213"/>
      <c r="W534" s="213"/>
      <c r="X534" s="591"/>
      <c r="Y534" s="591"/>
    </row>
    <row r="535" spans="1:25" ht="14.85" customHeight="1">
      <c r="A535" s="619"/>
      <c r="B535" s="586"/>
      <c r="C535" s="259"/>
      <c r="D535" s="621"/>
      <c r="E535" s="157"/>
      <c r="F535" s="154"/>
      <c r="G535" s="254"/>
      <c r="H535" s="154"/>
      <c r="I535" s="154"/>
      <c r="J535" s="254"/>
      <c r="K535" s="311">
        <f t="shared" si="172"/>
        <v>0</v>
      </c>
      <c r="L535" s="312">
        <f t="shared" si="173"/>
        <v>0</v>
      </c>
      <c r="M535" s="313">
        <f t="shared" si="174"/>
        <v>0</v>
      </c>
      <c r="N535" s="320">
        <f>SUM(L534:L535)</f>
        <v>0</v>
      </c>
      <c r="O535" s="315">
        <f>ROUNDDOWN((N535/$O$11),0)</f>
        <v>0</v>
      </c>
      <c r="P535" s="315">
        <f>ROUND((N535-(O535*$P$11)),0)</f>
        <v>0</v>
      </c>
      <c r="Q535" s="320"/>
      <c r="R535" s="315">
        <f>ROUNDDOWN((Q535/$O$11),0)</f>
        <v>0</v>
      </c>
      <c r="S535" s="315">
        <f>ROUND((Q535-(R535*$P$11)),0)</f>
        <v>0</v>
      </c>
      <c r="T535" s="213"/>
      <c r="U535" s="213"/>
      <c r="V535" s="213"/>
      <c r="W535" s="213"/>
      <c r="X535" s="591"/>
      <c r="Y535" s="591"/>
    </row>
    <row r="536" spans="1:25" ht="14.85" customHeight="1">
      <c r="A536" s="619"/>
      <c r="B536" s="586"/>
      <c r="C536" s="259"/>
      <c r="D536" s="621"/>
      <c r="E536" s="157"/>
      <c r="F536" s="154"/>
      <c r="G536" s="374"/>
      <c r="H536" s="228"/>
      <c r="I536" s="154"/>
      <c r="J536" s="254"/>
      <c r="K536" s="311">
        <f t="shared" si="172"/>
        <v>0</v>
      </c>
      <c r="L536" s="312">
        <f t="shared" si="173"/>
        <v>0</v>
      </c>
      <c r="M536" s="313">
        <f t="shared" si="174"/>
        <v>0</v>
      </c>
      <c r="N536" s="320"/>
      <c r="O536" s="315"/>
      <c r="P536" s="315"/>
      <c r="Q536" s="320"/>
      <c r="R536" s="315"/>
      <c r="S536" s="315"/>
      <c r="T536" s="213"/>
      <c r="U536" s="213"/>
      <c r="V536" s="213"/>
      <c r="W536" s="213"/>
      <c r="X536" s="591"/>
      <c r="Y536" s="591"/>
    </row>
    <row r="537" spans="1:25" ht="14.85" customHeight="1">
      <c r="A537" s="619"/>
      <c r="B537" s="586"/>
      <c r="C537" s="259"/>
      <c r="D537" s="621"/>
      <c r="E537" s="157"/>
      <c r="F537" s="154"/>
      <c r="G537" s="254"/>
      <c r="H537" s="154"/>
      <c r="I537" s="154"/>
      <c r="J537" s="254"/>
      <c r="K537" s="311">
        <f t="shared" si="172"/>
        <v>0</v>
      </c>
      <c r="L537" s="312">
        <f t="shared" si="173"/>
        <v>0</v>
      </c>
      <c r="M537" s="313">
        <f t="shared" si="174"/>
        <v>0</v>
      </c>
      <c r="N537" s="320"/>
      <c r="O537" s="315">
        <f t="shared" ref="O537:O557" si="177">ROUNDDOWN((N537/$O$11),0)</f>
        <v>0</v>
      </c>
      <c r="P537" s="315">
        <f t="shared" ref="P537:P558" si="178">ROUND((N537-(O537*$P$11)),0)</f>
        <v>0</v>
      </c>
      <c r="Q537" s="320"/>
      <c r="R537" s="315">
        <f t="shared" ref="R537:R558" si="179">ROUNDDOWN((Q537/$O$11),0)</f>
        <v>0</v>
      </c>
      <c r="S537" s="315">
        <f t="shared" ref="S537:S558" si="180">ROUND((Q537-(R537*$P$11)),0)</f>
        <v>0</v>
      </c>
      <c r="T537" s="213"/>
      <c r="U537" s="213"/>
      <c r="V537" s="213"/>
      <c r="W537" s="213"/>
      <c r="X537" s="591"/>
      <c r="Y537" s="591"/>
    </row>
    <row r="538" spans="1:25" ht="14.85" customHeight="1">
      <c r="A538" s="619"/>
      <c r="B538" s="586"/>
      <c r="C538" s="259"/>
      <c r="D538" s="621"/>
      <c r="E538" s="157"/>
      <c r="F538" s="154"/>
      <c r="G538" s="254"/>
      <c r="H538" s="154"/>
      <c r="I538" s="154"/>
      <c r="J538" s="254"/>
      <c r="K538" s="311">
        <f t="shared" si="172"/>
        <v>0</v>
      </c>
      <c r="L538" s="312">
        <f t="shared" si="173"/>
        <v>0</v>
      </c>
      <c r="M538" s="313">
        <f t="shared" si="174"/>
        <v>0</v>
      </c>
      <c r="N538" s="320">
        <f>SUM(L536:L538)</f>
        <v>0</v>
      </c>
      <c r="O538" s="315">
        <f t="shared" si="177"/>
        <v>0</v>
      </c>
      <c r="P538" s="315">
        <f t="shared" si="178"/>
        <v>0</v>
      </c>
      <c r="Q538" s="320"/>
      <c r="R538" s="315">
        <f t="shared" si="179"/>
        <v>0</v>
      </c>
      <c r="S538" s="315">
        <f t="shared" si="180"/>
        <v>0</v>
      </c>
      <c r="T538" s="213"/>
      <c r="U538" s="213"/>
      <c r="V538" s="213"/>
      <c r="W538" s="213"/>
      <c r="X538" s="591"/>
      <c r="Y538" s="591"/>
    </row>
    <row r="539" spans="1:25" ht="14.85" customHeight="1">
      <c r="A539" s="619"/>
      <c r="B539" s="586"/>
      <c r="C539" s="259"/>
      <c r="D539" s="621"/>
      <c r="Q539" s="320"/>
      <c r="R539" s="315">
        <f t="shared" si="179"/>
        <v>0</v>
      </c>
      <c r="S539" s="315">
        <f t="shared" si="180"/>
        <v>0</v>
      </c>
      <c r="T539" s="213"/>
      <c r="U539" s="213"/>
      <c r="V539" s="213"/>
      <c r="W539" s="213"/>
      <c r="X539" s="591"/>
      <c r="Y539" s="591"/>
    </row>
    <row r="540" spans="1:25" ht="14.85" customHeight="1">
      <c r="A540" s="619"/>
      <c r="B540" s="586"/>
      <c r="C540" s="259"/>
      <c r="D540" s="621"/>
      <c r="E540" s="157"/>
      <c r="F540" s="154"/>
      <c r="G540" s="373"/>
      <c r="H540" s="217"/>
      <c r="I540" s="154"/>
      <c r="J540" s="254"/>
      <c r="K540" s="311">
        <f t="shared" si="172"/>
        <v>0</v>
      </c>
      <c r="L540" s="312">
        <f t="shared" si="173"/>
        <v>0</v>
      </c>
      <c r="M540" s="313">
        <f t="shared" si="174"/>
        <v>0</v>
      </c>
      <c r="N540" s="320"/>
      <c r="O540" s="315">
        <f t="shared" si="177"/>
        <v>0</v>
      </c>
      <c r="P540" s="315">
        <f t="shared" si="178"/>
        <v>0</v>
      </c>
      <c r="Q540" s="320"/>
      <c r="R540" s="315">
        <f t="shared" si="179"/>
        <v>0</v>
      </c>
      <c r="S540" s="315">
        <f t="shared" si="180"/>
        <v>0</v>
      </c>
      <c r="T540" s="213"/>
      <c r="U540" s="213"/>
      <c r="V540" s="213"/>
      <c r="W540" s="213"/>
      <c r="X540" s="591"/>
      <c r="Y540" s="591"/>
    </row>
    <row r="541" spans="1:25" ht="14.85" customHeight="1">
      <c r="A541" s="619"/>
      <c r="B541" s="586"/>
      <c r="C541" s="259"/>
      <c r="D541" s="621"/>
      <c r="E541" s="157"/>
      <c r="F541" s="154"/>
      <c r="G541" s="254"/>
      <c r="H541" s="154"/>
      <c r="I541" s="154"/>
      <c r="J541" s="254"/>
      <c r="K541" s="311">
        <f t="shared" si="172"/>
        <v>0</v>
      </c>
      <c r="L541" s="312">
        <f t="shared" si="173"/>
        <v>0</v>
      </c>
      <c r="M541" s="313">
        <f t="shared" si="174"/>
        <v>0</v>
      </c>
      <c r="N541" s="320"/>
      <c r="O541" s="315">
        <f t="shared" si="177"/>
        <v>0</v>
      </c>
      <c r="P541" s="315">
        <f t="shared" si="178"/>
        <v>0</v>
      </c>
      <c r="Q541" s="320"/>
      <c r="R541" s="315">
        <f t="shared" si="179"/>
        <v>0</v>
      </c>
      <c r="S541" s="315">
        <f t="shared" si="180"/>
        <v>0</v>
      </c>
      <c r="T541" s="213"/>
      <c r="U541" s="213"/>
      <c r="V541" s="213"/>
      <c r="W541" s="213"/>
      <c r="X541" s="591"/>
      <c r="Y541" s="591"/>
    </row>
    <row r="542" spans="1:25" ht="14.85" customHeight="1">
      <c r="A542" s="619"/>
      <c r="B542" s="586"/>
      <c r="C542" s="259"/>
      <c r="D542" s="621"/>
      <c r="E542" s="157"/>
      <c r="F542" s="154"/>
      <c r="G542" s="254"/>
      <c r="H542" s="154"/>
      <c r="I542" s="154"/>
      <c r="J542" s="254"/>
      <c r="K542" s="311">
        <f t="shared" si="172"/>
        <v>0</v>
      </c>
      <c r="L542" s="312">
        <f t="shared" si="173"/>
        <v>0</v>
      </c>
      <c r="M542" s="313">
        <f t="shared" si="174"/>
        <v>0</v>
      </c>
      <c r="N542" s="320">
        <f>SUM(L540:L542)</f>
        <v>0</v>
      </c>
      <c r="O542" s="315">
        <f t="shared" si="177"/>
        <v>0</v>
      </c>
      <c r="P542" s="315">
        <f t="shared" si="178"/>
        <v>0</v>
      </c>
      <c r="Q542" s="320"/>
      <c r="R542" s="315">
        <f t="shared" si="179"/>
        <v>0</v>
      </c>
      <c r="S542" s="315">
        <f t="shared" si="180"/>
        <v>0</v>
      </c>
      <c r="T542" s="213"/>
      <c r="U542" s="213"/>
      <c r="V542" s="213"/>
      <c r="W542" s="213"/>
      <c r="X542" s="591"/>
      <c r="Y542" s="591"/>
    </row>
    <row r="543" spans="1:25" ht="14.85" customHeight="1">
      <c r="A543" s="619"/>
      <c r="B543" s="586"/>
      <c r="C543" s="259"/>
      <c r="D543" s="621"/>
      <c r="E543" s="157"/>
      <c r="F543" s="154"/>
      <c r="G543" s="254"/>
      <c r="H543" s="154"/>
      <c r="I543" s="154"/>
      <c r="J543" s="326"/>
      <c r="K543" s="311">
        <f t="shared" si="172"/>
        <v>0</v>
      </c>
      <c r="L543" s="312">
        <f t="shared" si="173"/>
        <v>0</v>
      </c>
      <c r="M543" s="313">
        <f t="shared" si="174"/>
        <v>0</v>
      </c>
      <c r="N543" s="320"/>
      <c r="O543" s="315">
        <f t="shared" si="177"/>
        <v>0</v>
      </c>
      <c r="P543" s="315">
        <f t="shared" si="178"/>
        <v>0</v>
      </c>
      <c r="Q543" s="320"/>
      <c r="R543" s="315">
        <f t="shared" si="179"/>
        <v>0</v>
      </c>
      <c r="S543" s="315">
        <f t="shared" si="180"/>
        <v>0</v>
      </c>
      <c r="T543" s="213"/>
      <c r="U543" s="213"/>
      <c r="V543" s="213"/>
      <c r="W543" s="213"/>
      <c r="X543" s="591"/>
      <c r="Y543" s="591"/>
    </row>
    <row r="544" spans="1:25" ht="14.85" customHeight="1">
      <c r="A544" s="619"/>
      <c r="B544" s="586"/>
      <c r="C544" s="259"/>
      <c r="D544" s="621"/>
      <c r="E544" s="157"/>
      <c r="F544" s="154"/>
      <c r="G544" s="254"/>
      <c r="H544" s="154"/>
      <c r="I544" s="154"/>
      <c r="J544" s="326"/>
      <c r="K544" s="311">
        <f t="shared" si="172"/>
        <v>0</v>
      </c>
      <c r="L544" s="312">
        <f t="shared" si="173"/>
        <v>0</v>
      </c>
      <c r="M544" s="313">
        <f t="shared" si="174"/>
        <v>0</v>
      </c>
      <c r="N544" s="320"/>
      <c r="O544" s="315">
        <f t="shared" si="177"/>
        <v>0</v>
      </c>
      <c r="P544" s="315">
        <f t="shared" si="178"/>
        <v>0</v>
      </c>
      <c r="Q544" s="320"/>
      <c r="R544" s="315">
        <f t="shared" si="179"/>
        <v>0</v>
      </c>
      <c r="S544" s="315">
        <f t="shared" si="180"/>
        <v>0</v>
      </c>
      <c r="T544" s="213"/>
      <c r="U544" s="213"/>
      <c r="V544" s="213"/>
      <c r="W544" s="213"/>
      <c r="X544" s="591"/>
      <c r="Y544" s="591"/>
    </row>
    <row r="545" spans="1:25" ht="14.85" customHeight="1">
      <c r="A545" s="619"/>
      <c r="B545" s="586"/>
      <c r="C545" s="259"/>
      <c r="D545" s="621"/>
      <c r="E545" s="157"/>
      <c r="F545" s="154"/>
      <c r="G545" s="254"/>
      <c r="H545" s="154"/>
      <c r="I545" s="154"/>
      <c r="J545" s="254"/>
      <c r="K545" s="311">
        <f t="shared" si="172"/>
        <v>0</v>
      </c>
      <c r="L545" s="312">
        <f t="shared" si="173"/>
        <v>0</v>
      </c>
      <c r="M545" s="313">
        <f t="shared" si="174"/>
        <v>0</v>
      </c>
      <c r="N545" s="320">
        <f>SUM(L543:L545)</f>
        <v>0</v>
      </c>
      <c r="O545" s="315">
        <f t="shared" si="177"/>
        <v>0</v>
      </c>
      <c r="P545" s="315">
        <f t="shared" si="178"/>
        <v>0</v>
      </c>
      <c r="Q545" s="320">
        <f>N535+N538+N552+N542+N545</f>
        <v>0</v>
      </c>
      <c r="R545" s="315">
        <f t="shared" si="179"/>
        <v>0</v>
      </c>
      <c r="S545" s="315">
        <f t="shared" si="180"/>
        <v>0</v>
      </c>
      <c r="T545" s="213"/>
      <c r="U545" s="213"/>
      <c r="V545" s="213"/>
      <c r="W545" s="213"/>
      <c r="X545" s="591"/>
      <c r="Y545" s="591"/>
    </row>
    <row r="546" spans="1:25" ht="14.85" customHeight="1">
      <c r="A546" s="619"/>
      <c r="B546" s="586"/>
      <c r="C546" s="259"/>
      <c r="D546" s="621"/>
      <c r="E546" s="157"/>
      <c r="F546" s="154"/>
      <c r="G546" s="254"/>
      <c r="H546" s="154"/>
      <c r="I546" s="154"/>
      <c r="J546" s="254"/>
      <c r="K546" s="311"/>
      <c r="L546" s="312"/>
      <c r="M546" s="313"/>
      <c r="N546" s="320"/>
      <c r="O546" s="315"/>
      <c r="P546" s="315"/>
      <c r="Q546" s="320"/>
      <c r="R546" s="315"/>
      <c r="S546" s="315"/>
      <c r="T546" s="213"/>
      <c r="U546" s="213"/>
      <c r="V546" s="213"/>
      <c r="W546" s="213"/>
      <c r="X546" s="591"/>
      <c r="Y546" s="591"/>
    </row>
    <row r="547" spans="1:25" ht="14.85" customHeight="1">
      <c r="A547" s="619"/>
      <c r="B547" s="586"/>
      <c r="C547" s="259"/>
      <c r="D547" s="621"/>
      <c r="E547" s="323"/>
      <c r="F547" s="154"/>
      <c r="G547" s="374"/>
      <c r="H547" s="228"/>
      <c r="I547" s="155"/>
      <c r="J547" s="326"/>
      <c r="K547" s="311">
        <f t="shared" si="172"/>
        <v>0</v>
      </c>
      <c r="L547" s="312">
        <f t="shared" si="173"/>
        <v>0</v>
      </c>
      <c r="M547" s="313">
        <f t="shared" si="174"/>
        <v>0</v>
      </c>
      <c r="N547" s="320">
        <f>L547</f>
        <v>0</v>
      </c>
      <c r="O547" s="315">
        <f t="shared" si="177"/>
        <v>0</v>
      </c>
      <c r="P547" s="315">
        <f t="shared" si="178"/>
        <v>0</v>
      </c>
      <c r="Q547" s="320"/>
      <c r="R547" s="315">
        <f t="shared" si="179"/>
        <v>0</v>
      </c>
      <c r="S547" s="315">
        <f t="shared" si="180"/>
        <v>0</v>
      </c>
      <c r="T547" s="213"/>
      <c r="U547" s="213"/>
      <c r="V547" s="213"/>
      <c r="W547" s="213"/>
      <c r="X547" s="591"/>
      <c r="Y547" s="591"/>
    </row>
    <row r="548" spans="1:25" ht="14.85" customHeight="1">
      <c r="A548" s="619"/>
      <c r="B548" s="586"/>
      <c r="C548" s="259"/>
      <c r="D548" s="621"/>
      <c r="E548" s="371"/>
      <c r="F548" s="273"/>
      <c r="G548" s="274"/>
      <c r="H548" s="247"/>
      <c r="J548" s="326"/>
      <c r="K548" s="311">
        <f t="shared" si="172"/>
        <v>0</v>
      </c>
      <c r="L548" s="312">
        <f t="shared" si="173"/>
        <v>0</v>
      </c>
      <c r="M548" s="313">
        <f t="shared" si="174"/>
        <v>0</v>
      </c>
      <c r="N548" s="320">
        <f>L548</f>
        <v>0</v>
      </c>
      <c r="O548" s="315">
        <f t="shared" si="177"/>
        <v>0</v>
      </c>
      <c r="P548" s="315">
        <f t="shared" si="178"/>
        <v>0</v>
      </c>
      <c r="Q548" s="320"/>
      <c r="R548" s="315">
        <f t="shared" si="179"/>
        <v>0</v>
      </c>
      <c r="S548" s="315">
        <f t="shared" si="180"/>
        <v>0</v>
      </c>
      <c r="T548" s="213"/>
      <c r="U548" s="213"/>
      <c r="V548" s="213"/>
      <c r="W548" s="213"/>
      <c r="X548" s="591"/>
      <c r="Y548" s="591"/>
    </row>
    <row r="549" spans="1:25" ht="14.85" customHeight="1">
      <c r="A549" s="619"/>
      <c r="B549" s="586"/>
      <c r="C549" s="259"/>
      <c r="D549" s="621"/>
      <c r="E549" s="371"/>
      <c r="I549" s="155"/>
      <c r="J549" s="279"/>
      <c r="K549" s="311">
        <f t="shared" si="172"/>
        <v>0</v>
      </c>
      <c r="L549" s="312">
        <f t="shared" si="173"/>
        <v>0</v>
      </c>
      <c r="M549" s="313">
        <f t="shared" si="174"/>
        <v>0</v>
      </c>
      <c r="N549" s="320">
        <f>L549</f>
        <v>0</v>
      </c>
      <c r="O549" s="315">
        <f t="shared" si="177"/>
        <v>0</v>
      </c>
      <c r="P549" s="315">
        <f t="shared" si="178"/>
        <v>0</v>
      </c>
      <c r="Q549" s="320"/>
      <c r="R549" s="315">
        <f t="shared" si="179"/>
        <v>0</v>
      </c>
      <c r="S549" s="315">
        <f t="shared" si="180"/>
        <v>0</v>
      </c>
      <c r="T549" s="213"/>
      <c r="U549" s="213"/>
      <c r="V549" s="213"/>
      <c r="W549" s="213"/>
      <c r="X549" s="591"/>
      <c r="Y549" s="591"/>
    </row>
    <row r="550" spans="1:25" ht="14.85" customHeight="1">
      <c r="A550" s="619"/>
      <c r="B550" s="586"/>
      <c r="C550" s="259"/>
      <c r="D550" s="621"/>
      <c r="E550" s="371"/>
      <c r="F550" s="273"/>
      <c r="G550" s="374"/>
      <c r="H550" s="228"/>
      <c r="I550" s="155"/>
      <c r="J550" s="326"/>
      <c r="K550" s="311">
        <f t="shared" si="172"/>
        <v>0</v>
      </c>
      <c r="L550" s="312">
        <f t="shared" si="173"/>
        <v>0</v>
      </c>
      <c r="M550" s="313">
        <f t="shared" si="174"/>
        <v>0</v>
      </c>
      <c r="N550" s="320"/>
      <c r="O550" s="315">
        <f t="shared" si="177"/>
        <v>0</v>
      </c>
      <c r="P550" s="315">
        <f t="shared" si="178"/>
        <v>0</v>
      </c>
      <c r="Q550" s="320"/>
      <c r="R550" s="315">
        <f t="shared" si="179"/>
        <v>0</v>
      </c>
      <c r="S550" s="315">
        <f t="shared" si="180"/>
        <v>0</v>
      </c>
      <c r="T550" s="213"/>
      <c r="U550" s="213"/>
      <c r="V550" s="213"/>
      <c r="W550" s="213"/>
      <c r="X550" s="591"/>
      <c r="Y550" s="591"/>
    </row>
    <row r="551" spans="1:25" ht="14.85" customHeight="1">
      <c r="A551" s="619"/>
      <c r="B551" s="586"/>
      <c r="C551" s="259"/>
      <c r="D551" s="621"/>
      <c r="E551" s="371"/>
      <c r="F551" s="273"/>
      <c r="G551" s="254"/>
      <c r="H551" s="154"/>
      <c r="I551" s="155"/>
      <c r="J551" s="327"/>
      <c r="K551" s="311">
        <f t="shared" si="172"/>
        <v>0</v>
      </c>
      <c r="L551" s="312">
        <f t="shared" si="173"/>
        <v>0</v>
      </c>
      <c r="M551" s="313">
        <f t="shared" si="174"/>
        <v>0</v>
      </c>
      <c r="N551" s="320">
        <f>L550:L551</f>
        <v>0</v>
      </c>
      <c r="O551" s="315">
        <f t="shared" si="177"/>
        <v>0</v>
      </c>
      <c r="P551" s="315">
        <f t="shared" si="178"/>
        <v>0</v>
      </c>
      <c r="Q551" s="320"/>
      <c r="R551" s="315">
        <f t="shared" si="179"/>
        <v>0</v>
      </c>
      <c r="S551" s="315">
        <f t="shared" si="180"/>
        <v>0</v>
      </c>
      <c r="T551" s="213"/>
      <c r="U551" s="213"/>
      <c r="V551" s="213"/>
      <c r="W551" s="213"/>
      <c r="X551" s="591"/>
      <c r="Y551" s="591"/>
    </row>
    <row r="552" spans="1:25" ht="14.85" customHeight="1">
      <c r="A552" s="619"/>
      <c r="B552" s="586"/>
      <c r="C552" s="259"/>
      <c r="D552" s="621"/>
      <c r="E552" s="157"/>
      <c r="F552" s="154"/>
      <c r="G552" s="374"/>
      <c r="H552" s="228"/>
      <c r="I552" s="154"/>
      <c r="J552" s="254"/>
      <c r="K552" s="311">
        <f>J552/$K$11</f>
        <v>0</v>
      </c>
      <c r="L552" s="312">
        <f>J552/$L$11</f>
        <v>0</v>
      </c>
      <c r="M552" s="313">
        <f>ROUND((L552/$M$11),0)</f>
        <v>0</v>
      </c>
      <c r="N552" s="320">
        <f>L552</f>
        <v>0</v>
      </c>
      <c r="O552" s="315">
        <f>ROUNDDOWN((N552/$O$11),0)</f>
        <v>0</v>
      </c>
      <c r="P552" s="315">
        <f>ROUND((N552-(O552*$P$11)),0)</f>
        <v>0</v>
      </c>
      <c r="Q552" s="320">
        <f>SUM(N547:N552)</f>
        <v>0</v>
      </c>
      <c r="R552" s="315">
        <f t="shared" ref="R552" si="181">ROUNDDOWN((Q552/$O$11),0)</f>
        <v>0</v>
      </c>
      <c r="S552" s="315">
        <f t="shared" ref="S552" si="182">ROUND((Q552-(R552*$P$11)),0)</f>
        <v>0</v>
      </c>
      <c r="T552" s="213"/>
      <c r="U552" s="213"/>
      <c r="V552" s="213"/>
      <c r="W552" s="213"/>
      <c r="X552" s="591"/>
      <c r="Y552" s="591"/>
    </row>
    <row r="553" spans="1:25" ht="14.85" customHeight="1">
      <c r="A553" s="619"/>
      <c r="B553" s="586"/>
      <c r="C553" s="259"/>
      <c r="D553" s="621"/>
      <c r="E553" s="157"/>
      <c r="F553" s="154"/>
      <c r="G553" s="374"/>
      <c r="H553" s="228"/>
      <c r="I553" s="154"/>
      <c r="J553" s="254"/>
      <c r="K553" s="311"/>
      <c r="L553" s="312"/>
      <c r="M553" s="313"/>
      <c r="N553" s="320"/>
      <c r="O553" s="315"/>
      <c r="P553" s="315"/>
      <c r="Q553" s="320"/>
      <c r="R553" s="315"/>
      <c r="S553" s="315"/>
      <c r="T553" s="213"/>
      <c r="U553" s="213"/>
      <c r="V553" s="213"/>
      <c r="W553" s="213"/>
      <c r="X553" s="591"/>
      <c r="Y553" s="591"/>
    </row>
    <row r="554" spans="1:25" ht="14.85" customHeight="1">
      <c r="A554" s="619"/>
      <c r="B554" s="586"/>
      <c r="C554" s="259"/>
      <c r="D554" s="621"/>
      <c r="E554" s="323"/>
      <c r="F554" s="273"/>
      <c r="G554" s="374"/>
      <c r="H554" s="228"/>
      <c r="I554" s="155"/>
      <c r="J554" s="326"/>
      <c r="K554" s="311">
        <f t="shared" si="172"/>
        <v>0</v>
      </c>
      <c r="L554" s="312">
        <f t="shared" si="173"/>
        <v>0</v>
      </c>
      <c r="M554" s="313">
        <f t="shared" si="174"/>
        <v>0</v>
      </c>
      <c r="N554" s="320"/>
      <c r="O554" s="315">
        <f t="shared" si="177"/>
        <v>0</v>
      </c>
      <c r="P554" s="315">
        <f t="shared" si="178"/>
        <v>0</v>
      </c>
      <c r="Q554" s="320"/>
      <c r="R554" s="315">
        <f t="shared" si="179"/>
        <v>0</v>
      </c>
      <c r="S554" s="315">
        <f t="shared" si="180"/>
        <v>0</v>
      </c>
      <c r="T554" s="213"/>
      <c r="U554" s="213"/>
      <c r="V554" s="213"/>
      <c r="W554" s="213"/>
      <c r="X554" s="591"/>
      <c r="Y554" s="591"/>
    </row>
    <row r="555" spans="1:25" ht="14.85" customHeight="1">
      <c r="A555" s="619"/>
      <c r="B555" s="586"/>
      <c r="C555" s="259"/>
      <c r="D555" s="621"/>
      <c r="E555" s="324"/>
      <c r="F555" s="273"/>
      <c r="G555" s="228"/>
      <c r="H555" s="228"/>
      <c r="I555" s="155"/>
      <c r="J555" s="326"/>
      <c r="K555" s="311">
        <f t="shared" si="172"/>
        <v>0</v>
      </c>
      <c r="L555" s="312">
        <f t="shared" si="173"/>
        <v>0</v>
      </c>
      <c r="M555" s="313">
        <f t="shared" si="174"/>
        <v>0</v>
      </c>
      <c r="N555" s="320"/>
      <c r="O555" s="315">
        <f t="shared" si="177"/>
        <v>0</v>
      </c>
      <c r="P555" s="315">
        <f t="shared" si="178"/>
        <v>0</v>
      </c>
      <c r="Q555" s="320"/>
      <c r="R555" s="315">
        <f t="shared" si="179"/>
        <v>0</v>
      </c>
      <c r="S555" s="315">
        <f t="shared" si="180"/>
        <v>0</v>
      </c>
      <c r="T555" s="213"/>
      <c r="U555" s="213"/>
      <c r="V555" s="213"/>
      <c r="W555" s="213"/>
      <c r="X555" s="591"/>
      <c r="Y555" s="591"/>
    </row>
    <row r="556" spans="1:25" ht="14.85" customHeight="1">
      <c r="A556" s="619"/>
      <c r="B556" s="586"/>
      <c r="C556" s="259"/>
      <c r="D556" s="621"/>
      <c r="E556" s="324"/>
      <c r="F556" s="273"/>
      <c r="G556" s="228"/>
      <c r="H556" s="228"/>
      <c r="I556" s="155"/>
      <c r="J556" s="326"/>
      <c r="K556" s="311">
        <f t="shared" si="172"/>
        <v>0</v>
      </c>
      <c r="L556" s="312">
        <f t="shared" si="173"/>
        <v>0</v>
      </c>
      <c r="M556" s="313">
        <f t="shared" si="174"/>
        <v>0</v>
      </c>
      <c r="N556" s="320"/>
      <c r="O556" s="315">
        <f t="shared" si="177"/>
        <v>0</v>
      </c>
      <c r="P556" s="315">
        <f t="shared" si="178"/>
        <v>0</v>
      </c>
      <c r="Q556" s="320"/>
      <c r="R556" s="315">
        <f t="shared" si="179"/>
        <v>0</v>
      </c>
      <c r="S556" s="315">
        <f t="shared" si="180"/>
        <v>0</v>
      </c>
      <c r="T556" s="213"/>
      <c r="U556" s="213"/>
      <c r="V556" s="213"/>
      <c r="W556" s="213"/>
      <c r="X556" s="591"/>
      <c r="Y556" s="591"/>
    </row>
    <row r="557" spans="1:25" ht="14.85" customHeight="1">
      <c r="A557" s="619"/>
      <c r="B557" s="586"/>
      <c r="C557" s="259"/>
      <c r="D557" s="621"/>
      <c r="E557" s="324"/>
      <c r="F557" s="273"/>
      <c r="G557" s="228"/>
      <c r="H557" s="228"/>
      <c r="I557" s="155"/>
      <c r="J557" s="326"/>
      <c r="K557" s="311">
        <f t="shared" si="172"/>
        <v>0</v>
      </c>
      <c r="L557" s="312">
        <f t="shared" si="173"/>
        <v>0</v>
      </c>
      <c r="M557" s="313">
        <f t="shared" si="174"/>
        <v>0</v>
      </c>
      <c r="N557" s="320">
        <f>SUM(L554:L557)</f>
        <v>0</v>
      </c>
      <c r="O557" s="315">
        <f t="shared" si="177"/>
        <v>0</v>
      </c>
      <c r="P557" s="315">
        <f t="shared" si="178"/>
        <v>0</v>
      </c>
      <c r="Q557" s="320"/>
      <c r="R557" s="315">
        <f t="shared" si="179"/>
        <v>0</v>
      </c>
      <c r="S557" s="315">
        <f t="shared" si="180"/>
        <v>0</v>
      </c>
      <c r="T557" s="213"/>
      <c r="U557" s="213"/>
      <c r="V557" s="213"/>
      <c r="W557" s="213"/>
      <c r="X557" s="591"/>
      <c r="Y557" s="591"/>
    </row>
    <row r="558" spans="1:25" ht="14.85" customHeight="1">
      <c r="A558" s="619"/>
      <c r="B558" s="586"/>
      <c r="C558" s="259"/>
      <c r="D558" s="621"/>
      <c r="E558" s="371"/>
      <c r="F558" s="273"/>
      <c r="G558" s="228"/>
      <c r="H558" s="228"/>
      <c r="I558" s="155"/>
      <c r="J558" s="326"/>
      <c r="K558" s="311">
        <f t="shared" si="172"/>
        <v>0</v>
      </c>
      <c r="L558" s="312">
        <f t="shared" si="173"/>
        <v>0</v>
      </c>
      <c r="M558" s="313">
        <f t="shared" si="174"/>
        <v>0</v>
      </c>
      <c r="N558" s="320">
        <f>L558</f>
        <v>0</v>
      </c>
      <c r="O558" s="315">
        <f>ROUNDDOWN((N558/$O$11),0)</f>
        <v>0</v>
      </c>
      <c r="P558" s="315">
        <f t="shared" si="178"/>
        <v>0</v>
      </c>
      <c r="Q558" s="320"/>
      <c r="R558" s="315">
        <f t="shared" si="179"/>
        <v>0</v>
      </c>
      <c r="S558" s="315">
        <f t="shared" si="180"/>
        <v>0</v>
      </c>
      <c r="T558" s="213"/>
      <c r="U558" s="213"/>
      <c r="V558" s="213"/>
      <c r="W558" s="213"/>
      <c r="X558" s="591"/>
      <c r="Y558" s="591"/>
    </row>
    <row r="559" spans="1:25" ht="14.85" customHeight="1">
      <c r="A559" s="619"/>
      <c r="B559" s="586"/>
      <c r="C559" s="259"/>
      <c r="D559" s="621"/>
      <c r="E559" s="156"/>
      <c r="F559" s="262"/>
      <c r="G559" s="221"/>
      <c r="H559" s="221"/>
      <c r="I559" s="155"/>
      <c r="J559" s="279"/>
      <c r="K559" s="311">
        <f t="shared" si="172"/>
        <v>0</v>
      </c>
      <c r="L559" s="312">
        <f t="shared" si="173"/>
        <v>0</v>
      </c>
      <c r="M559" s="313">
        <f t="shared" si="174"/>
        <v>0</v>
      </c>
      <c r="N559" s="320">
        <f>L559</f>
        <v>0</v>
      </c>
      <c r="O559" s="315">
        <f>ROUNDDOWN((N559/$O$11),0)</f>
        <v>0</v>
      </c>
      <c r="P559" s="315">
        <f t="shared" ref="P559" si="183">ROUND((N559-(O559*$P$11)),0)</f>
        <v>0</v>
      </c>
      <c r="Q559" s="320">
        <f>N557+N558+N559</f>
        <v>0</v>
      </c>
      <c r="R559" s="315">
        <f t="shared" ref="R559:R592" si="184">ROUNDDOWN((Q559/$O$11),0)</f>
        <v>0</v>
      </c>
      <c r="S559" s="315">
        <f t="shared" ref="S559:S592" si="185">ROUND((Q559-(R559*$P$11)),0)</f>
        <v>0</v>
      </c>
      <c r="T559" s="213"/>
      <c r="U559" s="213"/>
      <c r="V559" s="213"/>
      <c r="W559" s="213"/>
      <c r="X559" s="591"/>
      <c r="Y559" s="591"/>
    </row>
    <row r="560" spans="1:25" ht="14.85" customHeight="1">
      <c r="A560" s="619"/>
      <c r="B560" s="586"/>
      <c r="C560" s="259"/>
      <c r="D560" s="621"/>
      <c r="E560" s="156"/>
      <c r="F560" s="262"/>
      <c r="G560" s="221"/>
      <c r="H560" s="221"/>
      <c r="I560" s="155"/>
      <c r="J560" s="279"/>
      <c r="K560" s="311"/>
      <c r="L560" s="312"/>
      <c r="M560" s="313"/>
      <c r="N560" s="320"/>
      <c r="O560" s="315"/>
      <c r="P560" s="315"/>
      <c r="Q560" s="320"/>
      <c r="R560" s="315">
        <f t="shared" si="184"/>
        <v>0</v>
      </c>
      <c r="S560" s="315">
        <f t="shared" si="185"/>
        <v>0</v>
      </c>
      <c r="T560" s="213"/>
      <c r="U560" s="213"/>
      <c r="V560" s="213"/>
      <c r="W560" s="213"/>
      <c r="X560" s="591"/>
      <c r="Y560" s="591"/>
    </row>
    <row r="561" spans="1:25" ht="14.85" customHeight="1">
      <c r="A561" s="619"/>
      <c r="B561" s="586"/>
      <c r="C561" s="259"/>
      <c r="D561" s="621"/>
      <c r="E561" s="323"/>
      <c r="F561" s="262"/>
      <c r="G561" s="228"/>
      <c r="H561" s="228"/>
      <c r="I561" s="155"/>
      <c r="J561" s="326"/>
      <c r="K561" s="311">
        <f t="shared" ref="K561:K593" si="186">J561/$K$11</f>
        <v>0</v>
      </c>
      <c r="L561" s="312">
        <f t="shared" ref="L561:L593" si="187">J561/$L$11</f>
        <v>0</v>
      </c>
      <c r="M561" s="313">
        <f t="shared" ref="M561:M593" si="188">ROUND((L561/$M$11),0)</f>
        <v>0</v>
      </c>
      <c r="N561" s="320"/>
      <c r="O561" s="315">
        <f t="shared" ref="O561" si="189">ROUNDDOWN((N561/$O$11),0)</f>
        <v>0</v>
      </c>
      <c r="P561" s="315">
        <f t="shared" ref="P561" si="190">ROUND((N561-(O561*$P$11)),0)</f>
        <v>0</v>
      </c>
      <c r="Q561" s="320"/>
      <c r="R561" s="315">
        <f t="shared" si="184"/>
        <v>0</v>
      </c>
      <c r="S561" s="315">
        <f t="shared" si="185"/>
        <v>0</v>
      </c>
      <c r="T561" s="213"/>
      <c r="U561" s="213"/>
      <c r="V561" s="213"/>
      <c r="W561" s="213"/>
      <c r="X561" s="591"/>
      <c r="Y561" s="591"/>
    </row>
    <row r="562" spans="1:25" ht="14.85" customHeight="1">
      <c r="A562" s="619"/>
      <c r="B562" s="586"/>
      <c r="C562" s="259"/>
      <c r="D562" s="621"/>
      <c r="E562" s="156"/>
      <c r="F562" s="262"/>
      <c r="G562" s="254"/>
      <c r="H562" s="154"/>
      <c r="I562" s="155"/>
      <c r="J562" s="326"/>
      <c r="K562" s="311">
        <f t="shared" si="186"/>
        <v>0</v>
      </c>
      <c r="L562" s="312">
        <f t="shared" si="187"/>
        <v>0</v>
      </c>
      <c r="M562" s="313">
        <f t="shared" si="188"/>
        <v>0</v>
      </c>
      <c r="N562" s="320">
        <f>L561+L562</f>
        <v>0</v>
      </c>
      <c r="O562" s="315">
        <f t="shared" ref="O562:O637" si="191">ROUNDDOWN((N562/$O$11),0)</f>
        <v>0</v>
      </c>
      <c r="P562" s="315">
        <f t="shared" ref="P562:P637" si="192">ROUND((N562-(O562*$P$11)),0)</f>
        <v>0</v>
      </c>
      <c r="Q562" s="320"/>
      <c r="R562" s="315">
        <f t="shared" si="184"/>
        <v>0</v>
      </c>
      <c r="S562" s="315">
        <f t="shared" si="185"/>
        <v>0</v>
      </c>
      <c r="T562" s="213"/>
      <c r="U562" s="213"/>
      <c r="V562" s="213"/>
      <c r="W562" s="213"/>
      <c r="X562" s="591"/>
      <c r="Y562" s="591"/>
    </row>
    <row r="563" spans="1:25" ht="14.85" customHeight="1">
      <c r="A563" s="619"/>
      <c r="B563" s="586"/>
      <c r="C563" s="259"/>
      <c r="D563" s="621"/>
      <c r="E563" s="156"/>
      <c r="F563" s="262"/>
      <c r="G563" s="228"/>
      <c r="H563" s="228"/>
      <c r="I563" s="155"/>
      <c r="J563" s="279"/>
      <c r="K563" s="311">
        <f t="shared" si="186"/>
        <v>0</v>
      </c>
      <c r="L563" s="312">
        <f t="shared" si="187"/>
        <v>0</v>
      </c>
      <c r="M563" s="313">
        <f t="shared" si="188"/>
        <v>0</v>
      </c>
      <c r="N563" s="320">
        <f>L563</f>
        <v>0</v>
      </c>
      <c r="O563" s="315">
        <f t="shared" si="191"/>
        <v>0</v>
      </c>
      <c r="P563" s="315">
        <f t="shared" si="192"/>
        <v>0</v>
      </c>
      <c r="Q563" s="320"/>
      <c r="R563" s="315">
        <f t="shared" si="184"/>
        <v>0</v>
      </c>
      <c r="S563" s="315">
        <f t="shared" si="185"/>
        <v>0</v>
      </c>
      <c r="T563" s="213"/>
      <c r="U563" s="213"/>
      <c r="V563" s="213"/>
      <c r="W563" s="213"/>
      <c r="X563" s="591"/>
      <c r="Y563" s="591"/>
    </row>
    <row r="564" spans="1:25" ht="14.85" customHeight="1">
      <c r="A564" s="619"/>
      <c r="B564" s="586"/>
      <c r="C564" s="259"/>
      <c r="D564" s="621"/>
      <c r="E564" s="156"/>
      <c r="F564" s="262"/>
      <c r="G564" s="228"/>
      <c r="H564" s="228"/>
      <c r="I564" s="155"/>
      <c r="J564" s="326"/>
      <c r="K564" s="311">
        <f t="shared" si="186"/>
        <v>0</v>
      </c>
      <c r="L564" s="312">
        <f t="shared" si="187"/>
        <v>0</v>
      </c>
      <c r="M564" s="313">
        <f t="shared" si="188"/>
        <v>0</v>
      </c>
      <c r="N564" s="320">
        <f>L564</f>
        <v>0</v>
      </c>
      <c r="O564" s="315">
        <f t="shared" si="191"/>
        <v>0</v>
      </c>
      <c r="P564" s="315">
        <f t="shared" si="192"/>
        <v>0</v>
      </c>
      <c r="Q564" s="320"/>
      <c r="R564" s="315">
        <f t="shared" si="184"/>
        <v>0</v>
      </c>
      <c r="S564" s="315">
        <f t="shared" si="185"/>
        <v>0</v>
      </c>
      <c r="T564" s="213"/>
      <c r="U564" s="213"/>
      <c r="V564" s="213"/>
      <c r="W564" s="213"/>
      <c r="X564" s="591"/>
      <c r="Y564" s="591"/>
    </row>
    <row r="565" spans="1:25" ht="14.85" customHeight="1">
      <c r="A565" s="619"/>
      <c r="B565" s="586"/>
      <c r="C565" s="259"/>
      <c r="D565" s="621"/>
      <c r="E565" s="156"/>
      <c r="F565" s="262"/>
      <c r="G565" s="254"/>
      <c r="H565" s="154"/>
      <c r="I565" s="155"/>
      <c r="J565" s="279"/>
      <c r="K565" s="311">
        <f t="shared" si="186"/>
        <v>0</v>
      </c>
      <c r="L565" s="312">
        <f t="shared" si="187"/>
        <v>0</v>
      </c>
      <c r="M565" s="313">
        <f t="shared" si="188"/>
        <v>0</v>
      </c>
      <c r="N565" s="320">
        <f>L565</f>
        <v>0</v>
      </c>
      <c r="O565" s="315">
        <f t="shared" si="191"/>
        <v>0</v>
      </c>
      <c r="P565" s="315">
        <f t="shared" si="192"/>
        <v>0</v>
      </c>
      <c r="Q565" s="320"/>
      <c r="R565" s="315">
        <f t="shared" si="184"/>
        <v>0</v>
      </c>
      <c r="S565" s="315">
        <f t="shared" si="185"/>
        <v>0</v>
      </c>
      <c r="T565" s="213"/>
      <c r="U565" s="213"/>
      <c r="V565" s="213"/>
      <c r="W565" s="213"/>
      <c r="X565" s="591"/>
      <c r="Y565" s="591"/>
    </row>
    <row r="566" spans="1:25" ht="14.85" customHeight="1">
      <c r="A566" s="619"/>
      <c r="B566" s="586"/>
      <c r="C566" s="259"/>
      <c r="D566" s="621"/>
      <c r="E566" s="156"/>
      <c r="F566" s="154"/>
      <c r="G566" s="374"/>
      <c r="H566" s="228"/>
      <c r="I566" s="154"/>
      <c r="J566" s="326"/>
      <c r="K566" s="311">
        <f>J566/$K$11</f>
        <v>0</v>
      </c>
      <c r="L566" s="312">
        <f>J566/$L$11</f>
        <v>0</v>
      </c>
      <c r="M566" s="313">
        <f>ROUND((L566/$M$11),0)</f>
        <v>0</v>
      </c>
      <c r="N566" s="320">
        <f>L566</f>
        <v>0</v>
      </c>
      <c r="O566" s="315">
        <f>ROUNDDOWN((N566/$O$11),0)</f>
        <v>0</v>
      </c>
      <c r="P566" s="315">
        <f>ROUND((N566-(O566*$P$11)),0)</f>
        <v>0</v>
      </c>
      <c r="Q566" s="320">
        <f>SUM(N562:N566)</f>
        <v>0</v>
      </c>
      <c r="R566" s="315">
        <f t="shared" si="184"/>
        <v>0</v>
      </c>
      <c r="S566" s="315">
        <f t="shared" si="185"/>
        <v>0</v>
      </c>
      <c r="T566" s="213"/>
      <c r="U566" s="213"/>
      <c r="V566" s="213"/>
      <c r="W566" s="213"/>
      <c r="X566" s="591"/>
      <c r="Y566" s="591"/>
    </row>
    <row r="567" spans="1:25" ht="14.85" customHeight="1">
      <c r="A567" s="619"/>
      <c r="B567" s="586"/>
      <c r="C567" s="259"/>
      <c r="D567" s="621"/>
      <c r="E567" s="156"/>
      <c r="F567" s="154"/>
      <c r="G567" s="374"/>
      <c r="H567" s="228"/>
      <c r="I567" s="154"/>
      <c r="J567" s="326"/>
      <c r="K567" s="311"/>
      <c r="L567" s="312"/>
      <c r="M567" s="313"/>
      <c r="N567" s="320"/>
      <c r="O567" s="315"/>
      <c r="P567" s="315"/>
      <c r="Q567" s="320"/>
      <c r="R567" s="315"/>
      <c r="S567" s="315"/>
      <c r="T567" s="213"/>
      <c r="U567" s="213"/>
      <c r="V567" s="213"/>
      <c r="W567" s="213"/>
      <c r="X567" s="591"/>
      <c r="Y567" s="591"/>
    </row>
    <row r="568" spans="1:25" ht="14.85" customHeight="1">
      <c r="A568" s="619"/>
      <c r="B568" s="586"/>
      <c r="C568" s="259"/>
      <c r="D568" s="621"/>
      <c r="E568" s="323"/>
      <c r="F568" s="262"/>
      <c r="G568" s="229"/>
      <c r="H568" s="229"/>
      <c r="I568" s="155"/>
      <c r="J568" s="326"/>
      <c r="K568" s="311">
        <f t="shared" si="186"/>
        <v>0</v>
      </c>
      <c r="L568" s="312">
        <f t="shared" si="187"/>
        <v>0</v>
      </c>
      <c r="M568" s="313">
        <f t="shared" si="188"/>
        <v>0</v>
      </c>
      <c r="N568" s="320">
        <f t="shared" ref="N568:N579" si="193">L568</f>
        <v>0</v>
      </c>
      <c r="O568" s="315">
        <f t="shared" si="191"/>
        <v>0</v>
      </c>
      <c r="P568" s="315">
        <f t="shared" si="192"/>
        <v>0</v>
      </c>
      <c r="Q568" s="320"/>
      <c r="R568" s="315">
        <f t="shared" si="184"/>
        <v>0</v>
      </c>
      <c r="S568" s="315">
        <f t="shared" si="185"/>
        <v>0</v>
      </c>
      <c r="T568" s="213"/>
      <c r="U568" s="213"/>
      <c r="V568" s="213"/>
      <c r="W568" s="213"/>
      <c r="X568" s="591"/>
      <c r="Y568" s="591"/>
    </row>
    <row r="569" spans="1:25" ht="14.85" customHeight="1">
      <c r="A569" s="619"/>
      <c r="B569" s="586"/>
      <c r="C569" s="259"/>
      <c r="D569" s="621"/>
      <c r="E569" s="156"/>
      <c r="F569" s="262"/>
      <c r="G569" s="221"/>
      <c r="H569" s="221"/>
      <c r="I569" s="155"/>
      <c r="J569" s="326"/>
      <c r="K569" s="311">
        <f t="shared" si="186"/>
        <v>0</v>
      </c>
      <c r="L569" s="312">
        <f t="shared" si="187"/>
        <v>0</v>
      </c>
      <c r="M569" s="313">
        <f t="shared" si="188"/>
        <v>0</v>
      </c>
      <c r="N569" s="320">
        <f t="shared" si="193"/>
        <v>0</v>
      </c>
      <c r="O569" s="315">
        <f t="shared" si="191"/>
        <v>0</v>
      </c>
      <c r="P569" s="315">
        <f t="shared" si="192"/>
        <v>0</v>
      </c>
      <c r="Q569" s="320"/>
      <c r="R569" s="315">
        <f t="shared" si="184"/>
        <v>0</v>
      </c>
      <c r="S569" s="315">
        <f t="shared" si="185"/>
        <v>0</v>
      </c>
      <c r="T569" s="213"/>
      <c r="U569" s="213"/>
      <c r="V569" s="213"/>
      <c r="W569" s="213"/>
      <c r="X569" s="591"/>
      <c r="Y569" s="591"/>
    </row>
    <row r="570" spans="1:25" ht="14.85" customHeight="1">
      <c r="A570" s="619"/>
      <c r="B570" s="586"/>
      <c r="C570" s="259"/>
      <c r="D570" s="621"/>
      <c r="E570" s="157"/>
      <c r="F570" s="154"/>
      <c r="G570" s="228"/>
      <c r="H570" s="228"/>
      <c r="I570" s="154"/>
      <c r="J570" s="326"/>
      <c r="K570" s="311">
        <f t="shared" si="186"/>
        <v>0</v>
      </c>
      <c r="L570" s="312">
        <f t="shared" si="187"/>
        <v>0</v>
      </c>
      <c r="M570" s="313">
        <f t="shared" si="188"/>
        <v>0</v>
      </c>
      <c r="N570" s="320">
        <f t="shared" si="193"/>
        <v>0</v>
      </c>
      <c r="O570" s="315">
        <f t="shared" si="191"/>
        <v>0</v>
      </c>
      <c r="P570" s="315">
        <f t="shared" si="192"/>
        <v>0</v>
      </c>
      <c r="Q570" s="320"/>
      <c r="R570" s="315">
        <f t="shared" si="184"/>
        <v>0</v>
      </c>
      <c r="S570" s="315">
        <f t="shared" si="185"/>
        <v>0</v>
      </c>
      <c r="T570" s="213"/>
      <c r="U570" s="213"/>
      <c r="V570" s="213"/>
      <c r="W570" s="213"/>
      <c r="X570" s="591"/>
      <c r="Y570" s="591"/>
    </row>
    <row r="571" spans="1:25" ht="14.85" customHeight="1">
      <c r="A571" s="619"/>
      <c r="B571" s="586"/>
      <c r="C571" s="259"/>
      <c r="D571" s="621"/>
      <c r="E571" s="157"/>
      <c r="F571" s="154"/>
      <c r="G571" s="254"/>
      <c r="H571" s="254"/>
      <c r="I571" s="154"/>
      <c r="J571" s="326"/>
      <c r="K571" s="311">
        <f t="shared" si="186"/>
        <v>0</v>
      </c>
      <c r="L571" s="312">
        <f t="shared" si="187"/>
        <v>0</v>
      </c>
      <c r="M571" s="313">
        <f t="shared" si="188"/>
        <v>0</v>
      </c>
      <c r="N571" s="320">
        <f t="shared" si="193"/>
        <v>0</v>
      </c>
      <c r="O571" s="315">
        <f t="shared" si="191"/>
        <v>0</v>
      </c>
      <c r="P571" s="315">
        <f t="shared" si="192"/>
        <v>0</v>
      </c>
      <c r="Q571" s="320">
        <f>SUM(N568:N571)</f>
        <v>0</v>
      </c>
      <c r="R571" s="315">
        <f t="shared" si="184"/>
        <v>0</v>
      </c>
      <c r="S571" s="315">
        <f t="shared" si="185"/>
        <v>0</v>
      </c>
      <c r="T571" s="213"/>
      <c r="U571" s="213"/>
      <c r="V571" s="213"/>
      <c r="W571" s="213"/>
      <c r="X571" s="591"/>
      <c r="Y571" s="591"/>
    </row>
    <row r="572" spans="1:25" ht="14.85" customHeight="1">
      <c r="A572" s="619"/>
      <c r="B572" s="586"/>
      <c r="C572" s="259"/>
      <c r="D572" s="621"/>
      <c r="E572" s="157"/>
      <c r="F572" s="154"/>
      <c r="G572" s="254"/>
      <c r="H572" s="254"/>
      <c r="I572" s="154"/>
      <c r="J572" s="326"/>
      <c r="K572" s="311"/>
      <c r="L572" s="312"/>
      <c r="M572" s="313"/>
      <c r="N572" s="320"/>
      <c r="O572" s="315"/>
      <c r="P572" s="315"/>
      <c r="Q572" s="320"/>
      <c r="R572" s="315">
        <f t="shared" si="184"/>
        <v>0</v>
      </c>
      <c r="S572" s="315">
        <f t="shared" si="185"/>
        <v>0</v>
      </c>
      <c r="T572" s="213"/>
      <c r="U572" s="213"/>
      <c r="V572" s="213"/>
      <c r="W572" s="213"/>
      <c r="X572" s="591"/>
      <c r="Y572" s="591"/>
    </row>
    <row r="573" spans="1:25" ht="14.85" customHeight="1">
      <c r="A573" s="619"/>
      <c r="B573" s="586"/>
      <c r="C573" s="259"/>
      <c r="D573" s="621"/>
      <c r="E573" s="272"/>
      <c r="F573" s="154"/>
      <c r="G573" s="374"/>
      <c r="H573" s="228"/>
      <c r="I573" s="154"/>
      <c r="J573" s="326"/>
      <c r="K573" s="311">
        <f t="shared" si="186"/>
        <v>0</v>
      </c>
      <c r="L573" s="312">
        <f t="shared" si="187"/>
        <v>0</v>
      </c>
      <c r="M573" s="313">
        <f t="shared" si="188"/>
        <v>0</v>
      </c>
      <c r="N573" s="320"/>
      <c r="O573" s="315">
        <f t="shared" si="191"/>
        <v>0</v>
      </c>
      <c r="P573" s="315">
        <f t="shared" si="192"/>
        <v>0</v>
      </c>
      <c r="Q573" s="320"/>
      <c r="R573" s="315">
        <f t="shared" si="184"/>
        <v>0</v>
      </c>
      <c r="S573" s="315">
        <f t="shared" si="185"/>
        <v>0</v>
      </c>
      <c r="T573" s="213"/>
      <c r="U573" s="213"/>
      <c r="V573" s="213"/>
      <c r="W573" s="213"/>
      <c r="X573" s="591"/>
      <c r="Y573" s="591"/>
    </row>
    <row r="574" spans="1:25" ht="14.85" customHeight="1">
      <c r="A574" s="619"/>
      <c r="B574" s="586"/>
      <c r="C574" s="259"/>
      <c r="D574" s="621"/>
      <c r="E574" s="275"/>
      <c r="F574" s="154"/>
      <c r="G574" s="228"/>
      <c r="H574" s="228"/>
      <c r="I574" s="154"/>
      <c r="J574" s="326"/>
      <c r="K574" s="311">
        <f t="shared" si="186"/>
        <v>0</v>
      </c>
      <c r="L574" s="312">
        <f t="shared" si="187"/>
        <v>0</v>
      </c>
      <c r="M574" s="313">
        <f t="shared" si="188"/>
        <v>0</v>
      </c>
      <c r="N574" s="320">
        <f>SUM(K573:K574)</f>
        <v>0</v>
      </c>
      <c r="O574" s="315">
        <f t="shared" si="191"/>
        <v>0</v>
      </c>
      <c r="P574" s="315">
        <f t="shared" si="192"/>
        <v>0</v>
      </c>
      <c r="Q574" s="320"/>
      <c r="R574" s="315">
        <f t="shared" si="184"/>
        <v>0</v>
      </c>
      <c r="S574" s="315">
        <f t="shared" si="185"/>
        <v>0</v>
      </c>
      <c r="T574" s="213"/>
      <c r="U574" s="213"/>
      <c r="V574" s="213"/>
      <c r="W574" s="213"/>
      <c r="X574" s="591"/>
      <c r="Y574" s="591"/>
    </row>
    <row r="575" spans="1:25" ht="14.85" customHeight="1">
      <c r="A575" s="619"/>
      <c r="B575" s="586"/>
      <c r="C575" s="259"/>
      <c r="D575" s="621"/>
      <c r="E575" s="157"/>
      <c r="F575" s="154"/>
      <c r="G575" s="254"/>
      <c r="H575" s="154"/>
      <c r="I575" s="154"/>
      <c r="J575" s="326"/>
      <c r="K575" s="311">
        <f t="shared" si="186"/>
        <v>0</v>
      </c>
      <c r="L575" s="312">
        <f t="shared" si="187"/>
        <v>0</v>
      </c>
      <c r="M575" s="313">
        <f t="shared" si="188"/>
        <v>0</v>
      </c>
      <c r="N575" s="320">
        <f t="shared" si="193"/>
        <v>0</v>
      </c>
      <c r="O575" s="315">
        <f t="shared" si="191"/>
        <v>0</v>
      </c>
      <c r="P575" s="315">
        <f t="shared" si="192"/>
        <v>0</v>
      </c>
      <c r="Q575" s="320"/>
      <c r="R575" s="315">
        <f t="shared" si="184"/>
        <v>0</v>
      </c>
      <c r="S575" s="315">
        <f t="shared" si="185"/>
        <v>0</v>
      </c>
      <c r="T575" s="213"/>
      <c r="U575" s="213"/>
      <c r="V575" s="213"/>
      <c r="W575" s="213"/>
      <c r="X575" s="591"/>
      <c r="Y575" s="591"/>
    </row>
    <row r="576" spans="1:25" ht="14.85" customHeight="1">
      <c r="A576" s="619"/>
      <c r="B576" s="586"/>
      <c r="C576" s="259"/>
      <c r="D576" s="621"/>
      <c r="E576" s="157"/>
      <c r="F576" s="154"/>
      <c r="G576" s="254"/>
      <c r="H576" s="154"/>
      <c r="I576" s="154"/>
      <c r="J576" s="327"/>
      <c r="K576" s="311">
        <f t="shared" si="186"/>
        <v>0</v>
      </c>
      <c r="L576" s="312">
        <f t="shared" si="187"/>
        <v>0</v>
      </c>
      <c r="M576" s="313">
        <f t="shared" si="188"/>
        <v>0</v>
      </c>
      <c r="N576" s="320">
        <f t="shared" si="193"/>
        <v>0</v>
      </c>
      <c r="O576" s="315">
        <f t="shared" si="191"/>
        <v>0</v>
      </c>
      <c r="P576" s="315">
        <f t="shared" si="192"/>
        <v>0</v>
      </c>
      <c r="Q576" s="320"/>
      <c r="R576" s="315">
        <f t="shared" si="184"/>
        <v>0</v>
      </c>
      <c r="S576" s="315">
        <f t="shared" si="185"/>
        <v>0</v>
      </c>
      <c r="T576" s="213"/>
      <c r="U576" s="213"/>
      <c r="V576" s="213"/>
      <c r="W576" s="213"/>
      <c r="X576" s="591"/>
      <c r="Y576" s="591"/>
    </row>
    <row r="577" spans="1:25" ht="14.85" customHeight="1">
      <c r="A577" s="619"/>
      <c r="B577" s="586"/>
      <c r="C577" s="259"/>
      <c r="D577" s="621"/>
      <c r="E577" s="157"/>
      <c r="F577" s="154"/>
      <c r="G577" s="374"/>
      <c r="H577" s="228"/>
      <c r="I577" s="154"/>
      <c r="J577" s="327"/>
      <c r="K577" s="311">
        <f t="shared" si="186"/>
        <v>0</v>
      </c>
      <c r="L577" s="312">
        <f t="shared" si="187"/>
        <v>0</v>
      </c>
      <c r="M577" s="313">
        <f t="shared" si="188"/>
        <v>0</v>
      </c>
      <c r="N577" s="320">
        <f t="shared" si="193"/>
        <v>0</v>
      </c>
      <c r="O577" s="315">
        <f t="shared" si="191"/>
        <v>0</v>
      </c>
      <c r="P577" s="315">
        <f t="shared" si="192"/>
        <v>0</v>
      </c>
      <c r="Q577" s="320">
        <f>SUM(N574:N577)</f>
        <v>0</v>
      </c>
      <c r="R577" s="315">
        <f t="shared" si="184"/>
        <v>0</v>
      </c>
      <c r="S577" s="315">
        <f t="shared" si="185"/>
        <v>0</v>
      </c>
      <c r="T577" s="213"/>
      <c r="U577" s="213"/>
      <c r="V577" s="213"/>
      <c r="W577" s="213"/>
      <c r="X577" s="591"/>
      <c r="Y577" s="591"/>
    </row>
    <row r="578" spans="1:25" ht="14.85" customHeight="1">
      <c r="A578" s="619"/>
      <c r="B578" s="586"/>
      <c r="C578" s="259"/>
      <c r="D578" s="621"/>
      <c r="E578" s="157"/>
      <c r="F578" s="154"/>
      <c r="G578" s="374"/>
      <c r="H578" s="228"/>
      <c r="I578" s="154"/>
      <c r="J578" s="327"/>
      <c r="K578" s="311"/>
      <c r="L578" s="312"/>
      <c r="M578" s="313"/>
      <c r="N578" s="320"/>
      <c r="O578" s="315"/>
      <c r="P578" s="315"/>
      <c r="Q578" s="320"/>
      <c r="R578" s="315">
        <f t="shared" si="184"/>
        <v>0</v>
      </c>
      <c r="S578" s="315">
        <f t="shared" si="185"/>
        <v>0</v>
      </c>
      <c r="T578" s="213"/>
      <c r="U578" s="213"/>
      <c r="V578" s="213"/>
      <c r="W578" s="213"/>
      <c r="X578" s="591"/>
      <c r="Y578" s="591"/>
    </row>
    <row r="579" spans="1:25" ht="14.85" customHeight="1">
      <c r="A579" s="619"/>
      <c r="B579" s="586"/>
      <c r="C579" s="259"/>
      <c r="D579" s="621"/>
      <c r="E579" s="272"/>
      <c r="F579" s="154"/>
      <c r="G579" s="372"/>
      <c r="H579" s="229"/>
      <c r="I579" s="154"/>
      <c r="J579" s="327"/>
      <c r="K579" s="311">
        <f t="shared" si="186"/>
        <v>0</v>
      </c>
      <c r="L579" s="312">
        <f t="shared" si="187"/>
        <v>0</v>
      </c>
      <c r="M579" s="313">
        <f t="shared" si="188"/>
        <v>0</v>
      </c>
      <c r="N579" s="320">
        <f t="shared" si="193"/>
        <v>0</v>
      </c>
      <c r="O579" s="315">
        <f t="shared" si="191"/>
        <v>0</v>
      </c>
      <c r="P579" s="315">
        <f t="shared" si="192"/>
        <v>0</v>
      </c>
      <c r="Q579" s="320">
        <f>N579</f>
        <v>0</v>
      </c>
      <c r="R579" s="315">
        <f t="shared" si="184"/>
        <v>0</v>
      </c>
      <c r="S579" s="315">
        <f t="shared" si="185"/>
        <v>0</v>
      </c>
      <c r="T579" s="213"/>
      <c r="U579" s="213"/>
      <c r="V579" s="213"/>
      <c r="W579" s="213"/>
      <c r="X579" s="591"/>
      <c r="Y579" s="591"/>
    </row>
    <row r="580" spans="1:25" ht="14.85" customHeight="1">
      <c r="A580" s="619"/>
      <c r="B580" s="586"/>
      <c r="C580" s="259"/>
      <c r="D580" s="621"/>
      <c r="E580" s="157"/>
      <c r="F580" s="154"/>
      <c r="G580" s="372"/>
      <c r="H580" s="229"/>
      <c r="I580" s="154"/>
      <c r="J580" s="327"/>
      <c r="K580" s="311"/>
      <c r="L580" s="312"/>
      <c r="M580" s="313"/>
      <c r="N580" s="320"/>
      <c r="O580" s="315"/>
      <c r="P580" s="315"/>
      <c r="Q580" s="320"/>
      <c r="R580" s="315">
        <f t="shared" si="184"/>
        <v>0</v>
      </c>
      <c r="S580" s="315">
        <f t="shared" si="185"/>
        <v>0</v>
      </c>
      <c r="T580" s="213"/>
      <c r="U580" s="213"/>
      <c r="V580" s="213"/>
      <c r="W580" s="213"/>
      <c r="X580" s="591"/>
      <c r="Y580" s="591"/>
    </row>
    <row r="581" spans="1:25" ht="14.85" customHeight="1">
      <c r="A581" s="619"/>
      <c r="B581" s="586"/>
      <c r="C581" s="259"/>
      <c r="D581" s="621"/>
      <c r="E581" s="272"/>
      <c r="F581" s="154"/>
      <c r="G581" s="374"/>
      <c r="H581" s="228"/>
      <c r="I581" s="154"/>
      <c r="J581" s="326"/>
      <c r="K581" s="311">
        <f t="shared" si="186"/>
        <v>0</v>
      </c>
      <c r="L581" s="312">
        <f t="shared" si="187"/>
        <v>0</v>
      </c>
      <c r="M581" s="313">
        <f t="shared" si="188"/>
        <v>0</v>
      </c>
      <c r="N581" s="320"/>
      <c r="O581" s="315">
        <f t="shared" si="191"/>
        <v>0</v>
      </c>
      <c r="P581" s="315">
        <f t="shared" si="192"/>
        <v>0</v>
      </c>
      <c r="Q581" s="320"/>
      <c r="R581" s="315">
        <f t="shared" si="184"/>
        <v>0</v>
      </c>
      <c r="S581" s="315">
        <f t="shared" si="185"/>
        <v>0</v>
      </c>
      <c r="T581" s="213"/>
      <c r="U581" s="213"/>
      <c r="V581" s="213"/>
      <c r="W581" s="213"/>
      <c r="X581" s="591"/>
      <c r="Y581" s="591"/>
    </row>
    <row r="582" spans="1:25" ht="14.85" customHeight="1">
      <c r="A582" s="619"/>
      <c r="B582" s="586"/>
      <c r="C582" s="259"/>
      <c r="D582" s="621"/>
      <c r="E582" s="275"/>
      <c r="F582" s="154"/>
      <c r="G582" s="374"/>
      <c r="H582" s="228"/>
      <c r="I582" s="154"/>
      <c r="J582" s="326"/>
      <c r="K582" s="311">
        <f t="shared" si="186"/>
        <v>0</v>
      </c>
      <c r="L582" s="312">
        <f t="shared" si="187"/>
        <v>0</v>
      </c>
      <c r="M582" s="313">
        <f t="shared" si="188"/>
        <v>0</v>
      </c>
      <c r="N582" s="320">
        <f>L581+L582</f>
        <v>0</v>
      </c>
      <c r="O582" s="315">
        <f t="shared" si="191"/>
        <v>0</v>
      </c>
      <c r="P582" s="315">
        <f t="shared" si="192"/>
        <v>0</v>
      </c>
      <c r="Q582" s="320"/>
      <c r="R582" s="315">
        <f t="shared" si="184"/>
        <v>0</v>
      </c>
      <c r="S582" s="315">
        <f t="shared" si="185"/>
        <v>0</v>
      </c>
      <c r="T582" s="213"/>
      <c r="U582" s="213"/>
      <c r="V582" s="213"/>
      <c r="W582" s="213"/>
      <c r="X582" s="591"/>
      <c r="Y582" s="591"/>
    </row>
    <row r="583" spans="1:25" ht="14.85" customHeight="1">
      <c r="A583" s="619"/>
      <c r="B583" s="586"/>
      <c r="C583" s="259"/>
      <c r="D583" s="621"/>
      <c r="E583" s="157"/>
      <c r="F583" s="154"/>
      <c r="G583" s="374"/>
      <c r="H583" s="228"/>
      <c r="I583" s="154"/>
      <c r="J583" s="326"/>
      <c r="K583" s="311">
        <f t="shared" si="186"/>
        <v>0</v>
      </c>
      <c r="L583" s="312">
        <f t="shared" si="187"/>
        <v>0</v>
      </c>
      <c r="M583" s="313">
        <f t="shared" si="188"/>
        <v>0</v>
      </c>
      <c r="N583" s="320">
        <f t="shared" ref="N583:N584" si="194">L583</f>
        <v>0</v>
      </c>
      <c r="O583" s="315">
        <f t="shared" si="191"/>
        <v>0</v>
      </c>
      <c r="P583" s="315">
        <f t="shared" si="192"/>
        <v>0</v>
      </c>
      <c r="Q583" s="320"/>
      <c r="R583" s="315">
        <f t="shared" si="184"/>
        <v>0</v>
      </c>
      <c r="S583" s="315">
        <f t="shared" si="185"/>
        <v>0</v>
      </c>
      <c r="T583" s="213"/>
      <c r="U583" s="213"/>
      <c r="V583" s="213"/>
      <c r="W583" s="213"/>
      <c r="X583" s="591"/>
      <c r="Y583" s="591"/>
    </row>
    <row r="584" spans="1:25" ht="14.85" customHeight="1">
      <c r="A584" s="619"/>
      <c r="B584" s="586"/>
      <c r="C584" s="259"/>
      <c r="D584" s="621"/>
      <c r="E584" s="157"/>
      <c r="F584" s="154"/>
      <c r="G584" s="374"/>
      <c r="H584" s="228"/>
      <c r="I584" s="154"/>
      <c r="J584" s="327"/>
      <c r="K584" s="311">
        <f t="shared" si="186"/>
        <v>0</v>
      </c>
      <c r="L584" s="312">
        <f t="shared" si="187"/>
        <v>0</v>
      </c>
      <c r="M584" s="313">
        <f t="shared" si="188"/>
        <v>0</v>
      </c>
      <c r="N584" s="320">
        <f t="shared" si="194"/>
        <v>0</v>
      </c>
      <c r="O584" s="315">
        <f t="shared" si="191"/>
        <v>0</v>
      </c>
      <c r="P584" s="315">
        <f t="shared" si="192"/>
        <v>0</v>
      </c>
      <c r="Q584" s="320"/>
      <c r="R584" s="315">
        <f t="shared" si="184"/>
        <v>0</v>
      </c>
      <c r="S584" s="315">
        <f t="shared" si="185"/>
        <v>0</v>
      </c>
      <c r="T584" s="213"/>
      <c r="U584" s="213"/>
      <c r="V584" s="213"/>
      <c r="W584" s="213"/>
      <c r="X584" s="591"/>
      <c r="Y584" s="591"/>
    </row>
    <row r="585" spans="1:25" ht="14.85" customHeight="1">
      <c r="A585" s="619"/>
      <c r="B585" s="586"/>
      <c r="C585" s="259"/>
      <c r="D585" s="621"/>
      <c r="E585" s="157"/>
      <c r="F585" s="154"/>
      <c r="G585" s="374"/>
      <c r="H585" s="228"/>
      <c r="I585" s="154"/>
      <c r="J585" s="254"/>
      <c r="K585" s="311">
        <f t="shared" si="186"/>
        <v>0</v>
      </c>
      <c r="L585" s="312">
        <f t="shared" si="187"/>
        <v>0</v>
      </c>
      <c r="M585" s="313">
        <f t="shared" si="188"/>
        <v>0</v>
      </c>
      <c r="N585" s="320"/>
      <c r="O585" s="315">
        <f t="shared" si="191"/>
        <v>0</v>
      </c>
      <c r="P585" s="315">
        <f t="shared" si="192"/>
        <v>0</v>
      </c>
      <c r="Q585" s="320"/>
      <c r="R585" s="315">
        <f t="shared" si="184"/>
        <v>0</v>
      </c>
      <c r="S585" s="315">
        <f t="shared" si="185"/>
        <v>0</v>
      </c>
      <c r="T585" s="213"/>
      <c r="U585" s="213"/>
      <c r="V585" s="213"/>
      <c r="W585" s="213"/>
      <c r="X585" s="591"/>
      <c r="Y585" s="591"/>
    </row>
    <row r="586" spans="1:25" ht="14.85" customHeight="1">
      <c r="A586" s="619"/>
      <c r="B586" s="586"/>
      <c r="C586" s="259"/>
      <c r="D586" s="621"/>
      <c r="E586" s="157"/>
      <c r="F586" s="154"/>
      <c r="G586" s="374"/>
      <c r="H586" s="228"/>
      <c r="I586" s="154"/>
      <c r="J586" s="254"/>
      <c r="K586" s="311">
        <f t="shared" si="186"/>
        <v>0</v>
      </c>
      <c r="L586" s="312">
        <f t="shared" si="187"/>
        <v>0</v>
      </c>
      <c r="M586" s="313">
        <f t="shared" si="188"/>
        <v>0</v>
      </c>
      <c r="N586" s="320"/>
      <c r="O586" s="315">
        <f t="shared" si="191"/>
        <v>0</v>
      </c>
      <c r="P586" s="315">
        <f t="shared" si="192"/>
        <v>0</v>
      </c>
      <c r="Q586" s="320"/>
      <c r="R586" s="315">
        <f t="shared" si="184"/>
        <v>0</v>
      </c>
      <c r="S586" s="315">
        <f t="shared" si="185"/>
        <v>0</v>
      </c>
      <c r="T586" s="213"/>
      <c r="U586" s="213"/>
      <c r="V586" s="213"/>
      <c r="W586" s="213"/>
      <c r="X586" s="591"/>
      <c r="Y586" s="591"/>
    </row>
    <row r="587" spans="1:25" ht="14.85" customHeight="1">
      <c r="A587" s="619"/>
      <c r="B587" s="586"/>
      <c r="C587" s="259"/>
      <c r="D587" s="621"/>
      <c r="E587" s="157"/>
      <c r="F587" s="154"/>
      <c r="G587" s="374"/>
      <c r="H587" s="228"/>
      <c r="I587" s="154"/>
      <c r="J587" s="254"/>
      <c r="K587" s="311">
        <f t="shared" si="186"/>
        <v>0</v>
      </c>
      <c r="L587" s="312">
        <f t="shared" si="187"/>
        <v>0</v>
      </c>
      <c r="M587" s="313">
        <f t="shared" si="188"/>
        <v>0</v>
      </c>
      <c r="N587" s="320">
        <f>L585+L585+L587</f>
        <v>0</v>
      </c>
      <c r="O587" s="315">
        <f t="shared" si="191"/>
        <v>0</v>
      </c>
      <c r="P587" s="315">
        <f t="shared" si="192"/>
        <v>0</v>
      </c>
      <c r="Q587" s="320">
        <f>N582+N583+N584+N587</f>
        <v>0</v>
      </c>
      <c r="R587" s="315">
        <f t="shared" si="184"/>
        <v>0</v>
      </c>
      <c r="S587" s="315">
        <f t="shared" si="185"/>
        <v>0</v>
      </c>
      <c r="T587" s="213"/>
      <c r="U587" s="213"/>
      <c r="V587" s="213"/>
      <c r="W587" s="213"/>
      <c r="X587" s="591"/>
      <c r="Y587" s="591"/>
    </row>
    <row r="588" spans="1:25" ht="14.85" customHeight="1">
      <c r="A588" s="619"/>
      <c r="B588" s="586"/>
      <c r="C588" s="259"/>
      <c r="D588" s="621"/>
      <c r="E588" s="157"/>
      <c r="F588" s="154"/>
      <c r="G588" s="374"/>
      <c r="H588" s="228"/>
      <c r="I588" s="154"/>
      <c r="J588" s="254"/>
      <c r="K588" s="311"/>
      <c r="L588" s="312"/>
      <c r="M588" s="313"/>
      <c r="N588" s="320"/>
      <c r="O588" s="315"/>
      <c r="P588" s="315"/>
      <c r="Q588" s="320"/>
      <c r="R588" s="315">
        <f t="shared" si="184"/>
        <v>0</v>
      </c>
      <c r="S588" s="315">
        <f t="shared" si="185"/>
        <v>0</v>
      </c>
      <c r="T588" s="213"/>
      <c r="U588" s="213"/>
      <c r="V588" s="213"/>
      <c r="W588" s="213"/>
      <c r="X588" s="591"/>
      <c r="Y588" s="591"/>
    </row>
    <row r="589" spans="1:25" ht="14.85" customHeight="1">
      <c r="A589" s="619"/>
      <c r="B589" s="586"/>
      <c r="C589" s="259"/>
      <c r="D589" s="621"/>
      <c r="E589" s="272"/>
      <c r="F589" s="273"/>
      <c r="G589" s="254"/>
      <c r="H589" s="154"/>
      <c r="I589" s="155"/>
      <c r="J589" s="326"/>
      <c r="K589" s="311">
        <f t="shared" si="186"/>
        <v>0</v>
      </c>
      <c r="L589" s="312">
        <f t="shared" si="187"/>
        <v>0</v>
      </c>
      <c r="M589" s="313">
        <f t="shared" si="188"/>
        <v>0</v>
      </c>
      <c r="N589" s="320"/>
      <c r="O589" s="315">
        <f t="shared" si="191"/>
        <v>0</v>
      </c>
      <c r="P589" s="315">
        <f t="shared" si="192"/>
        <v>0</v>
      </c>
      <c r="Q589" s="320"/>
      <c r="R589" s="315">
        <f t="shared" si="184"/>
        <v>0</v>
      </c>
      <c r="S589" s="315">
        <f t="shared" si="185"/>
        <v>0</v>
      </c>
      <c r="T589" s="213"/>
      <c r="U589" s="213"/>
      <c r="V589" s="213"/>
      <c r="W589" s="213"/>
      <c r="X589" s="591"/>
      <c r="Y589" s="591"/>
    </row>
    <row r="590" spans="1:25" ht="14.85" customHeight="1">
      <c r="A590" s="619"/>
      <c r="B590" s="586"/>
      <c r="C590" s="259"/>
      <c r="D590" s="621"/>
      <c r="E590" s="275"/>
      <c r="F590" s="273"/>
      <c r="G590" s="254"/>
      <c r="H590" s="154"/>
      <c r="I590" s="155"/>
      <c r="J590" s="326"/>
      <c r="K590" s="311">
        <f t="shared" si="186"/>
        <v>0</v>
      </c>
      <c r="L590" s="312">
        <f t="shared" si="187"/>
        <v>0</v>
      </c>
      <c r="M590" s="313">
        <f t="shared" si="188"/>
        <v>0</v>
      </c>
      <c r="N590" s="320">
        <f>L589+L590</f>
        <v>0</v>
      </c>
      <c r="O590" s="315">
        <f t="shared" si="191"/>
        <v>0</v>
      </c>
      <c r="P590" s="315">
        <f t="shared" si="192"/>
        <v>0</v>
      </c>
      <c r="Q590" s="320"/>
      <c r="R590" s="315">
        <f t="shared" si="184"/>
        <v>0</v>
      </c>
      <c r="S590" s="315">
        <f t="shared" si="185"/>
        <v>0</v>
      </c>
      <c r="T590" s="213"/>
      <c r="U590" s="213"/>
      <c r="V590" s="213"/>
      <c r="W590" s="213"/>
      <c r="X590" s="591"/>
      <c r="Y590" s="591"/>
    </row>
    <row r="591" spans="1:25" ht="14.85" customHeight="1">
      <c r="A591" s="619"/>
      <c r="B591" s="586"/>
      <c r="C591" s="259"/>
      <c r="D591" s="621"/>
      <c r="E591" s="371"/>
      <c r="F591" s="273"/>
      <c r="G591" s="254"/>
      <c r="H591" s="154"/>
      <c r="I591" s="155"/>
      <c r="J591" s="326"/>
      <c r="K591" s="311">
        <f t="shared" si="186"/>
        <v>0</v>
      </c>
      <c r="L591" s="312">
        <f t="shared" si="187"/>
        <v>0</v>
      </c>
      <c r="M591" s="313">
        <f t="shared" si="188"/>
        <v>0</v>
      </c>
      <c r="N591" s="320"/>
      <c r="O591" s="315">
        <f t="shared" si="191"/>
        <v>0</v>
      </c>
      <c r="P591" s="315">
        <f t="shared" si="192"/>
        <v>0</v>
      </c>
      <c r="Q591" s="320"/>
      <c r="R591" s="315">
        <f t="shared" si="184"/>
        <v>0</v>
      </c>
      <c r="S591" s="315">
        <f t="shared" si="185"/>
        <v>0</v>
      </c>
      <c r="T591" s="213"/>
      <c r="U591" s="213"/>
      <c r="V591" s="213"/>
      <c r="W591" s="213"/>
      <c r="X591" s="591"/>
      <c r="Y591" s="591"/>
    </row>
    <row r="592" spans="1:25" ht="14.85" customHeight="1">
      <c r="A592" s="619"/>
      <c r="B592" s="586"/>
      <c r="C592" s="259"/>
      <c r="D592" s="621"/>
      <c r="E592" s="371"/>
      <c r="F592" s="273"/>
      <c r="G592" s="254"/>
      <c r="H592" s="154"/>
      <c r="I592" s="155"/>
      <c r="J592" s="279"/>
      <c r="K592" s="311">
        <f t="shared" si="186"/>
        <v>0</v>
      </c>
      <c r="L592" s="312">
        <f t="shared" si="187"/>
        <v>0</v>
      </c>
      <c r="M592" s="313">
        <f t="shared" si="188"/>
        <v>0</v>
      </c>
      <c r="N592" s="320"/>
      <c r="O592" s="315">
        <f t="shared" si="191"/>
        <v>0</v>
      </c>
      <c r="P592" s="315">
        <f t="shared" si="192"/>
        <v>0</v>
      </c>
      <c r="Q592" s="320"/>
      <c r="R592" s="315">
        <f t="shared" si="184"/>
        <v>0</v>
      </c>
      <c r="S592" s="315">
        <f t="shared" si="185"/>
        <v>0</v>
      </c>
      <c r="T592" s="213"/>
      <c r="U592" s="213"/>
      <c r="V592" s="213"/>
      <c r="W592" s="213"/>
      <c r="X592" s="591"/>
      <c r="Y592" s="591"/>
    </row>
    <row r="593" spans="1:25" ht="14.85" customHeight="1">
      <c r="A593" s="619"/>
      <c r="B593" s="586"/>
      <c r="C593" s="259"/>
      <c r="D593" s="621"/>
      <c r="E593" s="371"/>
      <c r="F593" s="273"/>
      <c r="G593" s="254"/>
      <c r="H593" s="154"/>
      <c r="I593" s="155"/>
      <c r="J593" s="279"/>
      <c r="K593" s="311">
        <f t="shared" si="186"/>
        <v>0</v>
      </c>
      <c r="L593" s="312">
        <f t="shared" si="187"/>
        <v>0</v>
      </c>
      <c r="M593" s="313">
        <f t="shared" si="188"/>
        <v>0</v>
      </c>
      <c r="N593" s="320">
        <f>L591+L592+L593</f>
        <v>0</v>
      </c>
      <c r="O593" s="315">
        <f t="shared" si="191"/>
        <v>0</v>
      </c>
      <c r="P593" s="315">
        <f t="shared" si="192"/>
        <v>0</v>
      </c>
      <c r="Q593" s="320">
        <f>N590+N593</f>
        <v>0</v>
      </c>
      <c r="R593" s="315">
        <f t="shared" ref="R593:R653" si="195">ROUNDDOWN((Q593/$O$11),0)</f>
        <v>0</v>
      </c>
      <c r="S593" s="315">
        <f t="shared" ref="S593:S653" si="196">ROUND((Q593-(R593*$P$11)),0)</f>
        <v>0</v>
      </c>
      <c r="T593" s="213"/>
      <c r="U593" s="213"/>
      <c r="V593" s="213"/>
      <c r="W593" s="213"/>
      <c r="X593" s="591"/>
      <c r="Y593" s="591"/>
    </row>
    <row r="594" spans="1:25" s="287" customFormat="1">
      <c r="A594" s="211" t="s">
        <v>129</v>
      </c>
      <c r="B594" s="211">
        <f>COUNTA(B523)</f>
        <v>0</v>
      </c>
      <c r="C594" s="211"/>
      <c r="D594" s="211">
        <f>COUNTA(D523:D593)</f>
        <v>0</v>
      </c>
      <c r="E594" s="212">
        <f>COUNTA(E517:E593)</f>
        <v>1</v>
      </c>
      <c r="F594" s="211">
        <f>COUNTA(F523:F593)</f>
        <v>0</v>
      </c>
      <c r="G594" s="211">
        <f>COUNTA(G523:G593)</f>
        <v>0</v>
      </c>
      <c r="H594" s="211"/>
      <c r="I594" s="211">
        <f>COUNTA(I517:I593)</f>
        <v>1</v>
      </c>
      <c r="J594" s="280">
        <f>SUM(J523:J593)</f>
        <v>0</v>
      </c>
      <c r="K594" s="161">
        <f>SUM(K523:K593)</f>
        <v>0</v>
      </c>
      <c r="L594" s="161">
        <f>SUM(L523:L593)</f>
        <v>0</v>
      </c>
      <c r="M594" s="161">
        <f>SUM(M523:M593)</f>
        <v>0</v>
      </c>
      <c r="N594" s="161">
        <f>SUM(N523:N593)</f>
        <v>0</v>
      </c>
      <c r="O594" s="315">
        <f t="shared" si="191"/>
        <v>0</v>
      </c>
      <c r="P594" s="315">
        <f t="shared" si="192"/>
        <v>0</v>
      </c>
      <c r="Q594" s="161">
        <f>SUM(Q523:Q593)</f>
        <v>0</v>
      </c>
      <c r="R594" s="161">
        <f t="shared" si="195"/>
        <v>0</v>
      </c>
      <c r="S594" s="161">
        <f t="shared" si="196"/>
        <v>0</v>
      </c>
      <c r="T594" s="211"/>
      <c r="U594" s="211"/>
      <c r="V594" s="211"/>
      <c r="W594" s="211"/>
      <c r="X594" s="161" t="str">
        <f>IF(X523&lt;1.4,"1",IF(X523&lt;=2.3,"2",IF(X523&gt;2.3, ROUND(X523,0))))</f>
        <v>1</v>
      </c>
      <c r="Y594" s="161">
        <f>$Y$11*F594</f>
        <v>0</v>
      </c>
    </row>
    <row r="595" spans="1:25">
      <c r="A595" s="328"/>
      <c r="B595" s="258"/>
      <c r="C595" s="258"/>
      <c r="D595" s="255"/>
      <c r="E595" s="384"/>
      <c r="F595" s="385"/>
      <c r="G595" s="386"/>
      <c r="H595" s="386"/>
      <c r="I595" s="385"/>
      <c r="J595" s="387"/>
      <c r="K595" s="388">
        <f t="shared" ref="K595:K657" si="197">J595/$K$11</f>
        <v>0</v>
      </c>
      <c r="L595" s="389">
        <f t="shared" ref="L595:L657" si="198">J595/$L$11</f>
        <v>0</v>
      </c>
      <c r="M595" s="390">
        <f t="shared" ref="M595:M657" si="199">ROUND((L595/$M$11),0)</f>
        <v>0</v>
      </c>
      <c r="N595" s="391"/>
      <c r="O595" s="392">
        <f t="shared" si="191"/>
        <v>0</v>
      </c>
      <c r="P595" s="392">
        <f t="shared" si="192"/>
        <v>0</v>
      </c>
      <c r="Q595" s="391"/>
      <c r="R595" s="392">
        <f t="shared" si="195"/>
        <v>0</v>
      </c>
      <c r="S595" s="392">
        <f t="shared" si="196"/>
        <v>0</v>
      </c>
      <c r="T595" s="393"/>
      <c r="U595" s="393"/>
      <c r="V595" s="393"/>
      <c r="W595" s="393"/>
      <c r="X595" s="592">
        <f>F698/$X$11</f>
        <v>0</v>
      </c>
      <c r="Y595" s="394"/>
    </row>
    <row r="596" spans="1:25" ht="14.85" customHeight="1">
      <c r="A596" s="316"/>
      <c r="B596" s="259"/>
      <c r="C596" s="259"/>
      <c r="D596" s="256"/>
      <c r="E596" s="395"/>
      <c r="F596" s="385"/>
      <c r="G596" s="386"/>
      <c r="H596" s="386"/>
      <c r="I596" s="385"/>
      <c r="J596" s="387"/>
      <c r="K596" s="388">
        <f t="shared" si="197"/>
        <v>0</v>
      </c>
      <c r="L596" s="389">
        <f t="shared" si="198"/>
        <v>0</v>
      </c>
      <c r="M596" s="390">
        <f t="shared" si="199"/>
        <v>0</v>
      </c>
      <c r="N596" s="391">
        <f>L595+L596</f>
        <v>0</v>
      </c>
      <c r="O596" s="392">
        <f t="shared" si="191"/>
        <v>0</v>
      </c>
      <c r="P596" s="392">
        <f t="shared" si="192"/>
        <v>0</v>
      </c>
      <c r="Q596" s="391"/>
      <c r="R596" s="392">
        <f t="shared" si="195"/>
        <v>0</v>
      </c>
      <c r="S596" s="392">
        <f t="shared" si="196"/>
        <v>0</v>
      </c>
      <c r="T596" s="393"/>
      <c r="U596" s="393"/>
      <c r="V596" s="393"/>
      <c r="W596" s="393"/>
      <c r="X596" s="593"/>
      <c r="Y596" s="394"/>
    </row>
    <row r="597" spans="1:25" ht="14.85" customHeight="1">
      <c r="A597" s="316"/>
      <c r="B597" s="259"/>
      <c r="C597" s="259"/>
      <c r="D597" s="256"/>
      <c r="E597" s="395"/>
      <c r="F597" s="385"/>
      <c r="G597" s="386"/>
      <c r="H597" s="386"/>
      <c r="I597" s="385"/>
      <c r="J597" s="387"/>
      <c r="K597" s="388">
        <f t="shared" si="197"/>
        <v>0</v>
      </c>
      <c r="L597" s="389">
        <f t="shared" si="198"/>
        <v>0</v>
      </c>
      <c r="M597" s="390">
        <f t="shared" si="199"/>
        <v>0</v>
      </c>
      <c r="N597" s="391"/>
      <c r="O597" s="392">
        <f t="shared" si="191"/>
        <v>0</v>
      </c>
      <c r="P597" s="392">
        <f t="shared" si="192"/>
        <v>0</v>
      </c>
      <c r="Q597" s="391"/>
      <c r="R597" s="392">
        <f t="shared" si="195"/>
        <v>0</v>
      </c>
      <c r="S597" s="392">
        <f t="shared" si="196"/>
        <v>0</v>
      </c>
      <c r="T597" s="393"/>
      <c r="U597" s="393"/>
      <c r="V597" s="393"/>
      <c r="W597" s="393"/>
      <c r="X597" s="593"/>
      <c r="Y597" s="394"/>
    </row>
    <row r="598" spans="1:25" ht="14.85" customHeight="1">
      <c r="A598" s="316"/>
      <c r="B598" s="259"/>
      <c r="C598" s="259"/>
      <c r="D598" s="256"/>
      <c r="E598" s="395"/>
      <c r="F598" s="385"/>
      <c r="G598" s="386"/>
      <c r="H598" s="386"/>
      <c r="I598" s="385"/>
      <c r="J598" s="387"/>
      <c r="K598" s="388">
        <f t="shared" si="197"/>
        <v>0</v>
      </c>
      <c r="L598" s="389">
        <f t="shared" si="198"/>
        <v>0</v>
      </c>
      <c r="M598" s="390">
        <f t="shared" si="199"/>
        <v>0</v>
      </c>
      <c r="N598" s="391">
        <f>L597+L598</f>
        <v>0</v>
      </c>
      <c r="O598" s="392">
        <f t="shared" si="191"/>
        <v>0</v>
      </c>
      <c r="P598" s="392">
        <f t="shared" si="192"/>
        <v>0</v>
      </c>
      <c r="Q598" s="391"/>
      <c r="R598" s="392">
        <f>ROUNDDOWN((Q598/$O$11),0)</f>
        <v>0</v>
      </c>
      <c r="S598" s="392">
        <f>ROUND((Q598-(R598*$P$11)),0)</f>
        <v>0</v>
      </c>
      <c r="T598" s="393"/>
      <c r="U598" s="393"/>
      <c r="V598" s="393"/>
      <c r="W598" s="393"/>
      <c r="X598" s="593"/>
      <c r="Y598" s="394"/>
    </row>
    <row r="599" spans="1:25" ht="14.85" customHeight="1">
      <c r="A599" s="316"/>
      <c r="B599" s="259"/>
      <c r="C599" s="259"/>
      <c r="D599" s="256"/>
      <c r="E599" s="395"/>
      <c r="F599" s="396"/>
      <c r="G599" s="397"/>
      <c r="H599" s="385"/>
      <c r="I599" s="398"/>
      <c r="J599" s="399"/>
      <c r="K599" s="388">
        <f t="shared" si="197"/>
        <v>0</v>
      </c>
      <c r="L599" s="389">
        <f>J599/$L$11</f>
        <v>0</v>
      </c>
      <c r="M599" s="390">
        <f t="shared" si="199"/>
        <v>0</v>
      </c>
      <c r="N599" s="391"/>
      <c r="O599" s="392">
        <f t="shared" si="191"/>
        <v>0</v>
      </c>
      <c r="P599" s="392">
        <f t="shared" si="192"/>
        <v>0</v>
      </c>
      <c r="Q599" s="391"/>
      <c r="R599" s="392">
        <f t="shared" si="195"/>
        <v>0</v>
      </c>
      <c r="S599" s="392">
        <f t="shared" si="196"/>
        <v>0</v>
      </c>
      <c r="T599" s="393"/>
      <c r="U599" s="393"/>
      <c r="V599" s="393"/>
      <c r="W599" s="393"/>
      <c r="X599" s="593"/>
      <c r="Y599" s="394"/>
    </row>
    <row r="600" spans="1:25" ht="14.85" customHeight="1">
      <c r="A600" s="316"/>
      <c r="B600" s="259"/>
      <c r="C600" s="259"/>
      <c r="D600" s="256"/>
      <c r="E600" s="395"/>
      <c r="F600" s="396"/>
      <c r="G600" s="397"/>
      <c r="H600" s="385"/>
      <c r="I600" s="398"/>
      <c r="J600" s="399"/>
      <c r="K600" s="388">
        <f t="shared" si="197"/>
        <v>0</v>
      </c>
      <c r="L600" s="389">
        <f t="shared" si="198"/>
        <v>0</v>
      </c>
      <c r="M600" s="390">
        <f t="shared" si="199"/>
        <v>0</v>
      </c>
      <c r="N600" s="391">
        <f>L599+L600</f>
        <v>0</v>
      </c>
      <c r="O600" s="392">
        <f t="shared" si="191"/>
        <v>0</v>
      </c>
      <c r="P600" s="392">
        <f t="shared" si="192"/>
        <v>0</v>
      </c>
      <c r="Q600" s="391">
        <f>N596+N598+N600</f>
        <v>0</v>
      </c>
      <c r="R600" s="392">
        <f>ROUNDDOWN((Q600/$O$11),0)</f>
        <v>0</v>
      </c>
      <c r="S600" s="392">
        <f>ROUND((Q600-(R600*$P$11)),0)</f>
        <v>0</v>
      </c>
      <c r="T600" s="393"/>
      <c r="U600" s="393"/>
      <c r="V600" s="393"/>
      <c r="W600" s="393"/>
      <c r="X600" s="593"/>
      <c r="Y600" s="394"/>
    </row>
    <row r="601" spans="1:25" ht="14.85" customHeight="1">
      <c r="A601" s="316"/>
      <c r="B601" s="259"/>
      <c r="C601" s="259"/>
      <c r="D601" s="256"/>
      <c r="E601" s="395"/>
      <c r="F601" s="396"/>
      <c r="G601" s="397"/>
      <c r="H601" s="385"/>
      <c r="I601" s="398"/>
      <c r="J601" s="399"/>
      <c r="K601" s="388">
        <f t="shared" si="197"/>
        <v>0</v>
      </c>
      <c r="L601" s="389">
        <f t="shared" si="198"/>
        <v>0</v>
      </c>
      <c r="M601" s="390">
        <f t="shared" si="199"/>
        <v>0</v>
      </c>
      <c r="N601" s="391"/>
      <c r="O601" s="392">
        <f t="shared" si="191"/>
        <v>0</v>
      </c>
      <c r="P601" s="392">
        <f t="shared" si="192"/>
        <v>0</v>
      </c>
      <c r="Q601" s="391"/>
      <c r="R601" s="392">
        <f t="shared" si="195"/>
        <v>0</v>
      </c>
      <c r="S601" s="392">
        <f t="shared" si="196"/>
        <v>0</v>
      </c>
      <c r="T601" s="393"/>
      <c r="U601" s="393"/>
      <c r="V601" s="393"/>
      <c r="W601" s="393"/>
      <c r="X601" s="593"/>
      <c r="Y601" s="394"/>
    </row>
    <row r="602" spans="1:25" ht="14.85" customHeight="1">
      <c r="A602" s="316"/>
      <c r="B602" s="259"/>
      <c r="C602" s="259"/>
      <c r="D602" s="256"/>
      <c r="F602" s="385"/>
      <c r="G602" s="397"/>
      <c r="H602" s="385"/>
      <c r="I602" s="385"/>
      <c r="J602" s="387"/>
      <c r="K602" s="388">
        <f t="shared" si="197"/>
        <v>0</v>
      </c>
      <c r="L602" s="389">
        <f t="shared" si="198"/>
        <v>0</v>
      </c>
      <c r="M602" s="390">
        <f t="shared" si="199"/>
        <v>0</v>
      </c>
      <c r="N602" s="391">
        <f>L602</f>
        <v>0</v>
      </c>
      <c r="O602" s="392">
        <f t="shared" si="191"/>
        <v>0</v>
      </c>
      <c r="P602" s="392">
        <f t="shared" si="192"/>
        <v>0</v>
      </c>
      <c r="Q602" s="391"/>
      <c r="R602" s="392">
        <f t="shared" si="195"/>
        <v>0</v>
      </c>
      <c r="S602" s="392">
        <f t="shared" si="196"/>
        <v>0</v>
      </c>
      <c r="T602" s="393"/>
      <c r="U602" s="393"/>
      <c r="V602" s="393"/>
      <c r="W602" s="393"/>
      <c r="X602" s="593"/>
      <c r="Y602" s="394"/>
    </row>
    <row r="603" spans="1:25" ht="14.85" customHeight="1">
      <c r="A603" s="316"/>
      <c r="B603" s="259"/>
      <c r="C603" s="259"/>
      <c r="D603" s="256"/>
      <c r="E603" s="384"/>
      <c r="F603" s="396"/>
      <c r="G603" s="397"/>
      <c r="H603" s="385"/>
      <c r="I603" s="398"/>
      <c r="J603" s="399"/>
      <c r="K603" s="388">
        <f t="shared" si="197"/>
        <v>0</v>
      </c>
      <c r="L603" s="389">
        <f t="shared" si="198"/>
        <v>0</v>
      </c>
      <c r="M603" s="390">
        <f t="shared" si="199"/>
        <v>0</v>
      </c>
      <c r="N603" s="391">
        <f>L603</f>
        <v>0</v>
      </c>
      <c r="O603" s="392">
        <f t="shared" si="191"/>
        <v>0</v>
      </c>
      <c r="P603" s="392">
        <f t="shared" si="192"/>
        <v>0</v>
      </c>
      <c r="R603" s="392">
        <f t="shared" si="195"/>
        <v>0</v>
      </c>
      <c r="S603" s="392">
        <f t="shared" si="196"/>
        <v>0</v>
      </c>
      <c r="T603" s="400"/>
      <c r="U603" s="400"/>
      <c r="V603" s="400"/>
      <c r="W603" s="400"/>
      <c r="X603" s="593"/>
      <c r="Y603" s="394"/>
    </row>
    <row r="604" spans="1:25" ht="14.85" customHeight="1">
      <c r="A604" s="316"/>
      <c r="B604" s="259"/>
      <c r="C604" s="259"/>
      <c r="D604" s="256"/>
      <c r="E604" s="401"/>
      <c r="F604" s="402"/>
      <c r="G604" s="386"/>
      <c r="H604" s="386"/>
      <c r="I604" s="398"/>
      <c r="J604" s="387"/>
      <c r="K604" s="388">
        <f t="shared" si="197"/>
        <v>0</v>
      </c>
      <c r="L604" s="389">
        <f t="shared" si="198"/>
        <v>0</v>
      </c>
      <c r="M604" s="390">
        <f t="shared" si="199"/>
        <v>0</v>
      </c>
      <c r="N604" s="391"/>
      <c r="O604" s="392">
        <f t="shared" si="191"/>
        <v>0</v>
      </c>
      <c r="P604" s="392">
        <f t="shared" si="192"/>
        <v>0</v>
      </c>
      <c r="Q604" s="391"/>
      <c r="R604" s="392">
        <f t="shared" si="195"/>
        <v>0</v>
      </c>
      <c r="S604" s="392">
        <f t="shared" si="196"/>
        <v>0</v>
      </c>
      <c r="T604" s="400"/>
      <c r="U604" s="400"/>
      <c r="V604" s="400"/>
      <c r="W604" s="400"/>
      <c r="X604" s="593"/>
      <c r="Y604" s="394"/>
    </row>
    <row r="605" spans="1:25" ht="14.85" customHeight="1">
      <c r="A605" s="316"/>
      <c r="B605" s="259"/>
      <c r="C605" s="259"/>
      <c r="D605" s="256"/>
      <c r="E605" s="401"/>
      <c r="F605" s="402"/>
      <c r="G605" s="386"/>
      <c r="H605" s="386"/>
      <c r="I605" s="398"/>
      <c r="J605" s="387"/>
      <c r="K605" s="388">
        <f t="shared" si="197"/>
        <v>0</v>
      </c>
      <c r="L605" s="389">
        <f t="shared" si="198"/>
        <v>0</v>
      </c>
      <c r="M605" s="390">
        <f t="shared" si="199"/>
        <v>0</v>
      </c>
      <c r="N605" s="391">
        <f>L604+L605</f>
        <v>0</v>
      </c>
      <c r="O605" s="392">
        <f t="shared" si="191"/>
        <v>0</v>
      </c>
      <c r="P605" s="392">
        <f t="shared" si="192"/>
        <v>0</v>
      </c>
      <c r="Q605" s="391">
        <f>N603+N605</f>
        <v>0</v>
      </c>
      <c r="R605" s="392">
        <f t="shared" si="195"/>
        <v>0</v>
      </c>
      <c r="S605" s="392">
        <f t="shared" si="196"/>
        <v>0</v>
      </c>
      <c r="T605" s="400"/>
      <c r="U605" s="400"/>
      <c r="V605" s="400"/>
      <c r="W605" s="400"/>
      <c r="X605" s="593"/>
      <c r="Y605" s="394"/>
    </row>
    <row r="606" spans="1:25" ht="14.85" customHeight="1">
      <c r="A606" s="316"/>
      <c r="B606" s="259"/>
      <c r="C606" s="259"/>
      <c r="D606" s="256"/>
      <c r="E606" s="401"/>
      <c r="F606" s="396"/>
      <c r="G606" s="397"/>
      <c r="H606" s="385"/>
      <c r="I606" s="398"/>
      <c r="J606" s="399"/>
      <c r="K606" s="388">
        <f t="shared" si="197"/>
        <v>0</v>
      </c>
      <c r="L606" s="389">
        <f t="shared" si="198"/>
        <v>0</v>
      </c>
      <c r="M606" s="390">
        <f t="shared" si="199"/>
        <v>0</v>
      </c>
      <c r="N606" s="391"/>
      <c r="O606" s="392">
        <f t="shared" si="191"/>
        <v>0</v>
      </c>
      <c r="P606" s="392">
        <f t="shared" si="192"/>
        <v>0</v>
      </c>
      <c r="Q606" s="391"/>
      <c r="R606" s="392">
        <f t="shared" si="195"/>
        <v>0</v>
      </c>
      <c r="S606" s="392">
        <f t="shared" si="196"/>
        <v>0</v>
      </c>
      <c r="T606" s="400"/>
      <c r="U606" s="400"/>
      <c r="V606" s="400"/>
      <c r="W606" s="400"/>
      <c r="X606" s="593"/>
      <c r="Y606" s="394"/>
    </row>
    <row r="607" spans="1:25" ht="14.85" customHeight="1">
      <c r="A607" s="316"/>
      <c r="B607" s="259"/>
      <c r="C607" s="259"/>
      <c r="D607" s="256"/>
      <c r="E607" s="403"/>
      <c r="F607" s="385"/>
      <c r="G607" s="397"/>
      <c r="H607" s="385"/>
      <c r="I607" s="385"/>
      <c r="J607" s="387"/>
      <c r="K607" s="388">
        <f t="shared" si="197"/>
        <v>0</v>
      </c>
      <c r="L607" s="389">
        <f t="shared" si="198"/>
        <v>0</v>
      </c>
      <c r="M607" s="390">
        <f t="shared" si="199"/>
        <v>0</v>
      </c>
      <c r="N607" s="391"/>
      <c r="O607" s="392">
        <f t="shared" si="191"/>
        <v>0</v>
      </c>
      <c r="P607" s="392">
        <f t="shared" si="192"/>
        <v>0</v>
      </c>
      <c r="Q607" s="391"/>
      <c r="R607" s="392">
        <f t="shared" si="195"/>
        <v>0</v>
      </c>
      <c r="S607" s="392">
        <f t="shared" si="196"/>
        <v>0</v>
      </c>
      <c r="T607" s="393"/>
      <c r="U607" s="393"/>
      <c r="V607" s="393"/>
      <c r="W607" s="393"/>
      <c r="X607" s="593"/>
      <c r="Y607" s="394"/>
    </row>
    <row r="608" spans="1:25" ht="14.85" customHeight="1">
      <c r="A608" s="316"/>
      <c r="B608" s="263"/>
      <c r="C608" s="259"/>
      <c r="D608" s="257"/>
      <c r="E608" s="395"/>
      <c r="F608" s="385"/>
      <c r="G608" s="397"/>
      <c r="H608" s="385"/>
      <c r="I608" s="385"/>
      <c r="J608" s="387"/>
      <c r="K608" s="388">
        <f t="shared" si="197"/>
        <v>0</v>
      </c>
      <c r="L608" s="389">
        <f t="shared" si="198"/>
        <v>0</v>
      </c>
      <c r="M608" s="390">
        <f t="shared" si="199"/>
        <v>0</v>
      </c>
      <c r="N608" s="391">
        <f>L608</f>
        <v>0</v>
      </c>
      <c r="O608" s="392">
        <f t="shared" si="191"/>
        <v>0</v>
      </c>
      <c r="P608" s="392">
        <f t="shared" si="192"/>
        <v>0</v>
      </c>
      <c r="Q608" s="391"/>
      <c r="R608" s="392">
        <f t="shared" si="195"/>
        <v>0</v>
      </c>
      <c r="S608" s="392">
        <f t="shared" si="196"/>
        <v>0</v>
      </c>
      <c r="T608" s="393"/>
      <c r="U608" s="393"/>
      <c r="V608" s="393"/>
      <c r="W608" s="393"/>
      <c r="X608" s="593"/>
      <c r="Y608" s="394"/>
    </row>
    <row r="609" spans="1:25" ht="14.85" customHeight="1">
      <c r="A609" s="316"/>
      <c r="B609" s="259"/>
      <c r="C609" s="259"/>
      <c r="D609" s="256"/>
      <c r="E609" s="395"/>
      <c r="F609" s="385"/>
      <c r="G609" s="386"/>
      <c r="H609" s="385"/>
      <c r="I609" s="385"/>
      <c r="J609" s="387"/>
      <c r="K609" s="388">
        <f t="shared" si="197"/>
        <v>0</v>
      </c>
      <c r="L609" s="389">
        <f t="shared" si="198"/>
        <v>0</v>
      </c>
      <c r="M609" s="390">
        <f t="shared" si="199"/>
        <v>0</v>
      </c>
      <c r="N609" s="391">
        <f>L609</f>
        <v>0</v>
      </c>
      <c r="O609" s="392">
        <f t="shared" si="191"/>
        <v>0</v>
      </c>
      <c r="P609" s="392">
        <f t="shared" si="192"/>
        <v>0</v>
      </c>
      <c r="Q609" s="391"/>
      <c r="R609" s="392">
        <f t="shared" si="195"/>
        <v>0</v>
      </c>
      <c r="S609" s="392">
        <f t="shared" si="196"/>
        <v>0</v>
      </c>
      <c r="T609" s="393"/>
      <c r="U609" s="393"/>
      <c r="V609" s="393"/>
      <c r="W609" s="393"/>
      <c r="X609" s="593"/>
      <c r="Y609" s="394"/>
    </row>
    <row r="610" spans="1:25" ht="14.85" customHeight="1">
      <c r="A610" s="316"/>
      <c r="B610" s="259"/>
      <c r="C610" s="259"/>
      <c r="D610" s="256"/>
      <c r="E610" s="395"/>
      <c r="F610" s="385"/>
      <c r="G610" s="397"/>
      <c r="H610" s="385"/>
      <c r="I610" s="385"/>
      <c r="J610" s="387"/>
      <c r="K610" s="388">
        <f t="shared" si="197"/>
        <v>0</v>
      </c>
      <c r="L610" s="389">
        <f t="shared" si="198"/>
        <v>0</v>
      </c>
      <c r="M610" s="390">
        <f t="shared" si="199"/>
        <v>0</v>
      </c>
      <c r="N610" s="391">
        <f>L610</f>
        <v>0</v>
      </c>
      <c r="O610" s="392">
        <f t="shared" si="191"/>
        <v>0</v>
      </c>
      <c r="P610" s="392">
        <f t="shared" si="192"/>
        <v>0</v>
      </c>
      <c r="Q610" s="391">
        <f>N608+N609+N610</f>
        <v>0</v>
      </c>
      <c r="R610" s="392">
        <f t="shared" si="195"/>
        <v>0</v>
      </c>
      <c r="S610" s="392">
        <f t="shared" si="196"/>
        <v>0</v>
      </c>
      <c r="T610" s="393"/>
      <c r="U610" s="393"/>
      <c r="V610" s="393"/>
      <c r="W610" s="393"/>
      <c r="X610" s="593"/>
      <c r="Y610" s="394"/>
    </row>
    <row r="611" spans="1:25" ht="14.85" customHeight="1">
      <c r="A611" s="316"/>
      <c r="B611" s="259"/>
      <c r="C611" s="259"/>
      <c r="D611" s="256"/>
      <c r="E611" s="395"/>
      <c r="F611" s="385"/>
      <c r="G611" s="397"/>
      <c r="H611" s="385"/>
      <c r="I611" s="385"/>
      <c r="J611" s="387"/>
      <c r="K611" s="388">
        <f t="shared" si="197"/>
        <v>0</v>
      </c>
      <c r="L611" s="389">
        <f t="shared" si="198"/>
        <v>0</v>
      </c>
      <c r="M611" s="390">
        <f t="shared" si="199"/>
        <v>0</v>
      </c>
      <c r="N611" s="391"/>
      <c r="O611" s="392">
        <f t="shared" si="191"/>
        <v>0</v>
      </c>
      <c r="P611" s="392">
        <f t="shared" si="192"/>
        <v>0</v>
      </c>
      <c r="Q611" s="391"/>
      <c r="R611" s="392">
        <f t="shared" si="195"/>
        <v>0</v>
      </c>
      <c r="S611" s="392">
        <f t="shared" si="196"/>
        <v>0</v>
      </c>
      <c r="T611" s="393"/>
      <c r="U611" s="393"/>
      <c r="V611" s="393"/>
      <c r="W611" s="393"/>
      <c r="X611" s="593"/>
      <c r="Y611" s="394"/>
    </row>
    <row r="612" spans="1:25" ht="14.85" customHeight="1">
      <c r="A612" s="316"/>
      <c r="B612" s="259"/>
      <c r="C612" s="259"/>
      <c r="D612" s="256"/>
      <c r="E612" s="384"/>
      <c r="F612" s="385"/>
      <c r="G612" s="404"/>
      <c r="H612" s="385"/>
      <c r="I612" s="385"/>
      <c r="J612" s="387"/>
      <c r="K612" s="388">
        <f t="shared" si="197"/>
        <v>0</v>
      </c>
      <c r="L612" s="389">
        <f t="shared" si="198"/>
        <v>0</v>
      </c>
      <c r="M612" s="390">
        <f t="shared" si="199"/>
        <v>0</v>
      </c>
      <c r="N612" s="391">
        <f t="shared" ref="N612" si="200">L612</f>
        <v>0</v>
      </c>
      <c r="O612" s="392">
        <f t="shared" si="191"/>
        <v>0</v>
      </c>
      <c r="P612" s="392">
        <f t="shared" si="192"/>
        <v>0</v>
      </c>
      <c r="Q612" s="391"/>
      <c r="R612" s="392">
        <f t="shared" si="195"/>
        <v>0</v>
      </c>
      <c r="S612" s="392">
        <f t="shared" si="196"/>
        <v>0</v>
      </c>
      <c r="T612" s="393"/>
      <c r="U612" s="393"/>
      <c r="V612" s="393"/>
      <c r="W612" s="393"/>
      <c r="X612" s="593"/>
      <c r="Y612" s="394"/>
    </row>
    <row r="613" spans="1:25" ht="14.85" customHeight="1">
      <c r="A613" s="316"/>
      <c r="B613" s="259"/>
      <c r="C613" s="259"/>
      <c r="D613" s="256"/>
      <c r="E613" s="395"/>
      <c r="F613" s="385"/>
      <c r="G613" s="397"/>
      <c r="H613" s="385"/>
      <c r="I613" s="385"/>
      <c r="J613" s="387"/>
      <c r="K613" s="388">
        <f t="shared" si="197"/>
        <v>0</v>
      </c>
      <c r="L613" s="389">
        <f t="shared" si="198"/>
        <v>0</v>
      </c>
      <c r="M613" s="390">
        <f t="shared" si="199"/>
        <v>0</v>
      </c>
      <c r="N613" s="391">
        <f>L613</f>
        <v>0</v>
      </c>
      <c r="O613" s="392">
        <f t="shared" si="191"/>
        <v>0</v>
      </c>
      <c r="P613" s="392">
        <f t="shared" si="192"/>
        <v>0</v>
      </c>
      <c r="Q613" s="391"/>
      <c r="R613" s="392">
        <f t="shared" si="195"/>
        <v>0</v>
      </c>
      <c r="S613" s="392">
        <f t="shared" si="196"/>
        <v>0</v>
      </c>
      <c r="T613" s="393"/>
      <c r="U613" s="393"/>
      <c r="V613" s="393"/>
      <c r="W613" s="393"/>
      <c r="X613" s="593"/>
      <c r="Y613" s="394"/>
    </row>
    <row r="614" spans="1:25" ht="14.85" customHeight="1">
      <c r="A614" s="316"/>
      <c r="B614" s="259"/>
      <c r="C614" s="259"/>
      <c r="D614" s="256"/>
      <c r="E614" s="395"/>
      <c r="F614" s="385"/>
      <c r="G614" s="397"/>
      <c r="H614" s="385"/>
      <c r="I614" s="385"/>
      <c r="J614" s="405"/>
      <c r="K614" s="388">
        <f t="shared" si="197"/>
        <v>0</v>
      </c>
      <c r="L614" s="389">
        <f t="shared" si="198"/>
        <v>0</v>
      </c>
      <c r="M614" s="390">
        <f t="shared" si="199"/>
        <v>0</v>
      </c>
      <c r="N614" s="391"/>
      <c r="O614" s="392">
        <f t="shared" si="191"/>
        <v>0</v>
      </c>
      <c r="P614" s="392">
        <f t="shared" si="192"/>
        <v>0</v>
      </c>
      <c r="Q614" s="391"/>
      <c r="R614" s="392">
        <f t="shared" si="195"/>
        <v>0</v>
      </c>
      <c r="S614" s="392">
        <f t="shared" si="196"/>
        <v>0</v>
      </c>
      <c r="T614" s="393"/>
      <c r="U614" s="393"/>
      <c r="V614" s="393"/>
      <c r="W614" s="393"/>
      <c r="X614" s="593"/>
      <c r="Y614" s="394"/>
    </row>
    <row r="615" spans="1:25" ht="14.85" customHeight="1">
      <c r="A615" s="316"/>
      <c r="B615" s="259"/>
      <c r="C615" s="259"/>
      <c r="D615" s="256"/>
      <c r="E615" s="395"/>
      <c r="F615" s="385"/>
      <c r="G615" s="397"/>
      <c r="H615" s="385"/>
      <c r="I615" s="385"/>
      <c r="J615" s="387"/>
      <c r="K615" s="388">
        <f t="shared" si="197"/>
        <v>0</v>
      </c>
      <c r="L615" s="389">
        <f t="shared" si="198"/>
        <v>0</v>
      </c>
      <c r="M615" s="390">
        <f t="shared" si="199"/>
        <v>0</v>
      </c>
      <c r="N615" s="391">
        <f>L614+L615</f>
        <v>0</v>
      </c>
      <c r="O615" s="392">
        <f t="shared" si="191"/>
        <v>0</v>
      </c>
      <c r="P615" s="392">
        <f t="shared" si="192"/>
        <v>0</v>
      </c>
      <c r="R615" s="392">
        <f t="shared" si="195"/>
        <v>0</v>
      </c>
      <c r="S615" s="392">
        <f t="shared" si="196"/>
        <v>0</v>
      </c>
      <c r="T615" s="393"/>
      <c r="U615" s="393"/>
      <c r="V615" s="393"/>
      <c r="W615" s="393"/>
      <c r="X615" s="593"/>
      <c r="Y615" s="394"/>
    </row>
    <row r="616" spans="1:25" ht="14.85" customHeight="1">
      <c r="A616" s="316"/>
      <c r="B616" s="259"/>
      <c r="C616" s="259"/>
      <c r="D616" s="256"/>
      <c r="E616" s="395"/>
      <c r="F616" s="385"/>
      <c r="G616" s="397"/>
      <c r="H616" s="385"/>
      <c r="I616" s="385"/>
      <c r="J616" s="387"/>
      <c r="K616" s="388">
        <f t="shared" si="197"/>
        <v>0</v>
      </c>
      <c r="L616" s="389">
        <f t="shared" si="198"/>
        <v>0</v>
      </c>
      <c r="M616" s="390">
        <f t="shared" si="199"/>
        <v>0</v>
      </c>
      <c r="N616" s="391">
        <f>L616</f>
        <v>0</v>
      </c>
      <c r="O616" s="392">
        <f t="shared" si="191"/>
        <v>0</v>
      </c>
      <c r="P616" s="392">
        <f t="shared" si="192"/>
        <v>0</v>
      </c>
      <c r="Q616" s="391"/>
      <c r="R616" s="392">
        <f t="shared" si="195"/>
        <v>0</v>
      </c>
      <c r="S616" s="392">
        <f t="shared" si="196"/>
        <v>0</v>
      </c>
      <c r="T616" s="393"/>
      <c r="U616" s="393"/>
      <c r="V616" s="393"/>
      <c r="W616" s="393"/>
      <c r="X616" s="593"/>
      <c r="Y616" s="394"/>
    </row>
    <row r="617" spans="1:25" ht="14.85" customHeight="1">
      <c r="A617" s="316"/>
      <c r="B617" s="259"/>
      <c r="C617" s="259"/>
      <c r="D617" s="256"/>
      <c r="E617" s="395"/>
      <c r="F617" s="385"/>
      <c r="G617" s="397"/>
      <c r="H617" s="385"/>
      <c r="I617" s="385"/>
      <c r="J617" s="387"/>
      <c r="K617" s="388">
        <f t="shared" si="197"/>
        <v>0</v>
      </c>
      <c r="L617" s="389">
        <f t="shared" si="198"/>
        <v>0</v>
      </c>
      <c r="M617" s="390">
        <f t="shared" si="199"/>
        <v>0</v>
      </c>
      <c r="N617" s="391">
        <f>L617</f>
        <v>0</v>
      </c>
      <c r="O617" s="392">
        <f t="shared" si="191"/>
        <v>0</v>
      </c>
      <c r="P617" s="392">
        <f t="shared" si="192"/>
        <v>0</v>
      </c>
      <c r="Q617" s="391">
        <f>N612+N613+N615+N616+N617</f>
        <v>0</v>
      </c>
      <c r="R617" s="392">
        <f t="shared" si="195"/>
        <v>0</v>
      </c>
      <c r="S617" s="392">
        <f t="shared" si="196"/>
        <v>0</v>
      </c>
      <c r="T617" s="393"/>
      <c r="U617" s="393"/>
      <c r="V617" s="393"/>
      <c r="W617" s="393"/>
      <c r="X617" s="593"/>
      <c r="Y617" s="394"/>
    </row>
    <row r="618" spans="1:25" ht="14.85" customHeight="1">
      <c r="A618" s="316"/>
      <c r="B618" s="259"/>
      <c r="C618" s="259"/>
      <c r="D618" s="256"/>
      <c r="E618" s="395"/>
      <c r="F618" s="385"/>
      <c r="G618" s="397"/>
      <c r="H618" s="385"/>
      <c r="I618" s="385"/>
      <c r="J618" s="387"/>
      <c r="K618" s="388"/>
      <c r="L618" s="389"/>
      <c r="M618" s="390"/>
      <c r="N618" s="391"/>
      <c r="O618" s="392"/>
      <c r="P618" s="392"/>
      <c r="Q618" s="391"/>
      <c r="R618" s="392">
        <f t="shared" si="195"/>
        <v>0</v>
      </c>
      <c r="S618" s="392">
        <f t="shared" si="196"/>
        <v>0</v>
      </c>
      <c r="T618" s="393"/>
      <c r="U618" s="393"/>
      <c r="V618" s="393"/>
      <c r="W618" s="393"/>
      <c r="X618" s="593"/>
      <c r="Y618" s="394"/>
    </row>
    <row r="619" spans="1:25" ht="14.85" customHeight="1">
      <c r="A619" s="316"/>
      <c r="B619" s="259"/>
      <c r="C619" s="259"/>
      <c r="D619" s="256"/>
      <c r="E619" s="384"/>
      <c r="F619" s="385"/>
      <c r="G619" s="397"/>
      <c r="H619" s="385"/>
      <c r="I619" s="385"/>
      <c r="J619" s="387"/>
      <c r="K619" s="388">
        <f t="shared" si="197"/>
        <v>0</v>
      </c>
      <c r="L619" s="389">
        <f t="shared" si="198"/>
        <v>0</v>
      </c>
      <c r="M619" s="390">
        <f t="shared" si="199"/>
        <v>0</v>
      </c>
      <c r="N619" s="391"/>
      <c r="O619" s="392">
        <f t="shared" si="191"/>
        <v>0</v>
      </c>
      <c r="P619" s="392">
        <f t="shared" si="192"/>
        <v>0</v>
      </c>
      <c r="Q619" s="391"/>
      <c r="R619" s="392">
        <f t="shared" si="195"/>
        <v>0</v>
      </c>
      <c r="S619" s="392">
        <f t="shared" si="196"/>
        <v>0</v>
      </c>
      <c r="T619" s="393"/>
      <c r="U619" s="393"/>
      <c r="V619" s="393"/>
      <c r="W619" s="393"/>
      <c r="X619" s="593"/>
      <c r="Y619" s="394"/>
    </row>
    <row r="620" spans="1:25" ht="14.85" customHeight="1">
      <c r="A620" s="316"/>
      <c r="B620" s="259"/>
      <c r="C620" s="259"/>
      <c r="D620" s="256"/>
      <c r="E620" s="403"/>
      <c r="F620" s="385"/>
      <c r="G620" s="397"/>
      <c r="H620" s="385"/>
      <c r="I620" s="385"/>
      <c r="J620" s="387"/>
      <c r="K620" s="388">
        <f t="shared" si="197"/>
        <v>0</v>
      </c>
      <c r="L620" s="389">
        <f t="shared" si="198"/>
        <v>0</v>
      </c>
      <c r="M620" s="390">
        <f t="shared" si="199"/>
        <v>0</v>
      </c>
      <c r="N620" s="391">
        <f>L619+L620</f>
        <v>0</v>
      </c>
      <c r="O620" s="392">
        <f t="shared" si="191"/>
        <v>0</v>
      </c>
      <c r="P620" s="392">
        <f t="shared" si="192"/>
        <v>0</v>
      </c>
      <c r="Q620" s="391"/>
      <c r="R620" s="392">
        <f t="shared" si="195"/>
        <v>0</v>
      </c>
      <c r="S620" s="392">
        <f t="shared" si="196"/>
        <v>0</v>
      </c>
      <c r="T620" s="393"/>
      <c r="U620" s="393"/>
      <c r="V620" s="393"/>
      <c r="W620" s="393"/>
      <c r="X620" s="593"/>
      <c r="Y620" s="394"/>
    </row>
    <row r="621" spans="1:25" ht="14.85" customHeight="1">
      <c r="A621" s="316"/>
      <c r="B621" s="259"/>
      <c r="C621" s="259"/>
      <c r="D621" s="256"/>
      <c r="E621" s="395"/>
      <c r="F621" s="385"/>
      <c r="G621" s="397"/>
      <c r="H621" s="385"/>
      <c r="I621" s="385"/>
      <c r="J621" s="387"/>
      <c r="K621" s="388">
        <f t="shared" si="197"/>
        <v>0</v>
      </c>
      <c r="L621" s="389">
        <f t="shared" si="198"/>
        <v>0</v>
      </c>
      <c r="M621" s="390">
        <f t="shared" si="199"/>
        <v>0</v>
      </c>
      <c r="N621" s="391"/>
      <c r="O621" s="392">
        <f t="shared" si="191"/>
        <v>0</v>
      </c>
      <c r="P621" s="392">
        <f t="shared" si="192"/>
        <v>0</v>
      </c>
      <c r="Q621" s="391"/>
      <c r="R621" s="392">
        <f t="shared" si="195"/>
        <v>0</v>
      </c>
      <c r="S621" s="392">
        <f t="shared" si="196"/>
        <v>0</v>
      </c>
      <c r="T621" s="393"/>
      <c r="U621" s="393"/>
      <c r="V621" s="393"/>
      <c r="W621" s="393"/>
      <c r="X621" s="593"/>
      <c r="Y621" s="394"/>
    </row>
    <row r="622" spans="1:25" ht="14.85" customHeight="1">
      <c r="A622" s="316"/>
      <c r="B622" s="259"/>
      <c r="C622" s="259"/>
      <c r="D622" s="256"/>
      <c r="E622" s="395"/>
      <c r="F622" s="385"/>
      <c r="G622" s="397"/>
      <c r="H622" s="385"/>
      <c r="I622" s="385"/>
      <c r="J622" s="387"/>
      <c r="K622" s="388">
        <f t="shared" si="197"/>
        <v>0</v>
      </c>
      <c r="L622" s="389">
        <f t="shared" si="198"/>
        <v>0</v>
      </c>
      <c r="M622" s="390">
        <f t="shared" si="199"/>
        <v>0</v>
      </c>
      <c r="N622" s="391"/>
      <c r="O622" s="392">
        <f t="shared" si="191"/>
        <v>0</v>
      </c>
      <c r="P622" s="392">
        <f t="shared" si="192"/>
        <v>0</v>
      </c>
      <c r="Q622" s="391"/>
      <c r="R622" s="392">
        <f t="shared" si="195"/>
        <v>0</v>
      </c>
      <c r="S622" s="392">
        <f t="shared" si="196"/>
        <v>0</v>
      </c>
      <c r="T622" s="393"/>
      <c r="U622" s="393"/>
      <c r="V622" s="393"/>
      <c r="W622" s="393"/>
      <c r="X622" s="593"/>
      <c r="Y622" s="394"/>
    </row>
    <row r="623" spans="1:25" ht="14.85" customHeight="1">
      <c r="A623" s="316"/>
      <c r="B623" s="259"/>
      <c r="C623" s="259"/>
      <c r="D623" s="256"/>
      <c r="E623" s="395"/>
      <c r="F623" s="385"/>
      <c r="G623" s="397"/>
      <c r="H623" s="385"/>
      <c r="I623" s="385"/>
      <c r="J623" s="387"/>
      <c r="K623" s="388">
        <f t="shared" si="197"/>
        <v>0</v>
      </c>
      <c r="L623" s="389">
        <f t="shared" si="198"/>
        <v>0</v>
      </c>
      <c r="M623" s="390">
        <f t="shared" si="199"/>
        <v>0</v>
      </c>
      <c r="N623" s="391">
        <f>SUM(L621:L623)</f>
        <v>0</v>
      </c>
      <c r="O623" s="392">
        <f t="shared" si="191"/>
        <v>0</v>
      </c>
      <c r="P623" s="392">
        <f t="shared" si="192"/>
        <v>0</v>
      </c>
      <c r="Q623" s="391">
        <f>N620+N623</f>
        <v>0</v>
      </c>
      <c r="R623" s="392">
        <f t="shared" si="195"/>
        <v>0</v>
      </c>
      <c r="S623" s="392">
        <f t="shared" si="196"/>
        <v>0</v>
      </c>
      <c r="T623" s="393"/>
      <c r="U623" s="393"/>
      <c r="V623" s="393"/>
      <c r="W623" s="393"/>
      <c r="X623" s="593"/>
      <c r="Y623" s="394"/>
    </row>
    <row r="624" spans="1:25" ht="14.85" customHeight="1">
      <c r="A624" s="316"/>
      <c r="B624" s="259"/>
      <c r="C624" s="259"/>
      <c r="D624" s="256"/>
      <c r="E624" s="395"/>
      <c r="F624" s="385"/>
      <c r="G624" s="397"/>
      <c r="H624" s="385"/>
      <c r="I624" s="385"/>
      <c r="J624" s="387"/>
      <c r="K624" s="388"/>
      <c r="L624" s="389"/>
      <c r="M624" s="390"/>
      <c r="N624" s="391"/>
      <c r="O624" s="392">
        <f t="shared" si="191"/>
        <v>0</v>
      </c>
      <c r="P624" s="392">
        <f t="shared" si="192"/>
        <v>0</v>
      </c>
      <c r="Q624" s="391"/>
      <c r="R624" s="392">
        <f t="shared" si="195"/>
        <v>0</v>
      </c>
      <c r="S624" s="392">
        <f t="shared" si="196"/>
        <v>0</v>
      </c>
      <c r="T624" s="393"/>
      <c r="U624" s="393"/>
      <c r="V624" s="393"/>
      <c r="W624" s="393"/>
      <c r="X624" s="593"/>
      <c r="Y624" s="394"/>
    </row>
    <row r="625" spans="1:25" ht="14.85" customHeight="1">
      <c r="A625" s="316"/>
      <c r="B625" s="259"/>
      <c r="C625" s="259"/>
      <c r="D625" s="256"/>
      <c r="E625" s="384"/>
      <c r="F625" s="402"/>
      <c r="G625" s="386"/>
      <c r="H625" s="386"/>
      <c r="I625" s="398"/>
      <c r="J625" s="387"/>
      <c r="K625" s="388">
        <f t="shared" si="197"/>
        <v>0</v>
      </c>
      <c r="L625" s="389">
        <f t="shared" si="198"/>
        <v>0</v>
      </c>
      <c r="M625" s="390">
        <f t="shared" si="199"/>
        <v>0</v>
      </c>
      <c r="N625" s="391"/>
      <c r="O625" s="392">
        <f t="shared" si="191"/>
        <v>0</v>
      </c>
      <c r="P625" s="392">
        <f t="shared" si="192"/>
        <v>0</v>
      </c>
      <c r="Q625" s="391"/>
      <c r="R625" s="392">
        <f t="shared" si="195"/>
        <v>0</v>
      </c>
      <c r="S625" s="392">
        <f t="shared" si="196"/>
        <v>0</v>
      </c>
      <c r="T625" s="393"/>
      <c r="U625" s="393"/>
      <c r="V625" s="393"/>
      <c r="W625" s="393"/>
      <c r="X625" s="593"/>
      <c r="Y625" s="394"/>
    </row>
    <row r="626" spans="1:25" ht="14.85" customHeight="1">
      <c r="A626" s="316"/>
      <c r="B626" s="259"/>
      <c r="C626" s="259"/>
      <c r="D626" s="256"/>
      <c r="E626" s="403"/>
      <c r="F626" s="402"/>
      <c r="G626" s="386"/>
      <c r="H626" s="386"/>
      <c r="I626" s="398"/>
      <c r="J626" s="387"/>
      <c r="K626" s="388">
        <f t="shared" si="197"/>
        <v>0</v>
      </c>
      <c r="L626" s="389">
        <f t="shared" si="198"/>
        <v>0</v>
      </c>
      <c r="M626" s="390">
        <f t="shared" si="199"/>
        <v>0</v>
      </c>
      <c r="N626" s="391">
        <f>L625+L626</f>
        <v>0</v>
      </c>
      <c r="O626" s="392">
        <f t="shared" si="191"/>
        <v>0</v>
      </c>
      <c r="P626" s="392">
        <f t="shared" si="192"/>
        <v>0</v>
      </c>
      <c r="Q626" s="391"/>
      <c r="R626" s="392">
        <f t="shared" si="195"/>
        <v>0</v>
      </c>
      <c r="S626" s="392">
        <f t="shared" si="196"/>
        <v>0</v>
      </c>
      <c r="T626" s="393"/>
      <c r="U626" s="393"/>
      <c r="V626" s="393"/>
      <c r="W626" s="393"/>
      <c r="X626" s="593"/>
      <c r="Y626" s="394"/>
    </row>
    <row r="627" spans="1:25" ht="14.85" customHeight="1">
      <c r="A627" s="316"/>
      <c r="B627" s="259"/>
      <c r="C627" s="259"/>
      <c r="D627" s="256"/>
      <c r="E627" s="406"/>
      <c r="F627" s="402"/>
      <c r="G627" s="397"/>
      <c r="H627" s="385"/>
      <c r="I627" s="398"/>
      <c r="J627" s="387"/>
      <c r="K627" s="388">
        <f t="shared" si="197"/>
        <v>0</v>
      </c>
      <c r="L627" s="389">
        <f t="shared" si="198"/>
        <v>0</v>
      </c>
      <c r="M627" s="390">
        <f t="shared" si="199"/>
        <v>0</v>
      </c>
      <c r="N627" s="391"/>
      <c r="O627" s="392">
        <f t="shared" si="191"/>
        <v>0</v>
      </c>
      <c r="P627" s="392">
        <f t="shared" si="192"/>
        <v>0</v>
      </c>
      <c r="Q627" s="391"/>
      <c r="R627" s="392">
        <f t="shared" si="195"/>
        <v>0</v>
      </c>
      <c r="S627" s="392">
        <f t="shared" si="196"/>
        <v>0</v>
      </c>
      <c r="T627" s="393"/>
      <c r="U627" s="393"/>
      <c r="V627" s="393"/>
      <c r="W627" s="393"/>
      <c r="X627" s="593"/>
      <c r="Y627" s="394"/>
    </row>
    <row r="628" spans="1:25" ht="14.85" customHeight="1">
      <c r="A628" s="316"/>
      <c r="B628" s="259"/>
      <c r="C628" s="259"/>
      <c r="D628" s="256"/>
      <c r="E628" s="406"/>
      <c r="F628" s="402"/>
      <c r="G628" s="397"/>
      <c r="H628" s="385"/>
      <c r="I628" s="398"/>
      <c r="J628" s="387"/>
      <c r="K628" s="388">
        <f t="shared" si="197"/>
        <v>0</v>
      </c>
      <c r="L628" s="389">
        <f t="shared" si="198"/>
        <v>0</v>
      </c>
      <c r="M628" s="390">
        <f t="shared" si="199"/>
        <v>0</v>
      </c>
      <c r="N628" s="391">
        <f>L627+L628</f>
        <v>0</v>
      </c>
      <c r="O628" s="392">
        <f t="shared" si="191"/>
        <v>0</v>
      </c>
      <c r="P628" s="392">
        <f t="shared" si="192"/>
        <v>0</v>
      </c>
      <c r="Q628" s="391"/>
      <c r="R628" s="392">
        <f t="shared" si="195"/>
        <v>0</v>
      </c>
      <c r="S628" s="392">
        <f t="shared" si="196"/>
        <v>0</v>
      </c>
      <c r="T628" s="393"/>
      <c r="U628" s="393"/>
      <c r="V628" s="393"/>
      <c r="W628" s="393"/>
      <c r="X628" s="593"/>
      <c r="Y628" s="394"/>
    </row>
    <row r="629" spans="1:25" ht="14.85" customHeight="1">
      <c r="A629" s="316"/>
      <c r="B629" s="259"/>
      <c r="C629" s="259"/>
      <c r="D629" s="256"/>
      <c r="E629" s="406"/>
      <c r="F629" s="402"/>
      <c r="G629" s="397"/>
      <c r="H629" s="385"/>
      <c r="I629" s="398"/>
      <c r="J629" s="387"/>
      <c r="K629" s="388">
        <f t="shared" si="197"/>
        <v>0</v>
      </c>
      <c r="L629" s="389">
        <f t="shared" si="198"/>
        <v>0</v>
      </c>
      <c r="M629" s="390">
        <f t="shared" si="199"/>
        <v>0</v>
      </c>
      <c r="N629" s="391">
        <f>L629</f>
        <v>0</v>
      </c>
      <c r="O629" s="392">
        <f t="shared" si="191"/>
        <v>0</v>
      </c>
      <c r="P629" s="392">
        <f t="shared" si="192"/>
        <v>0</v>
      </c>
      <c r="Q629" s="391">
        <f>N626+N628+N629</f>
        <v>0</v>
      </c>
      <c r="R629" s="392">
        <f t="shared" si="195"/>
        <v>0</v>
      </c>
      <c r="S629" s="392">
        <f t="shared" si="196"/>
        <v>0</v>
      </c>
      <c r="T629" s="393"/>
      <c r="U629" s="393"/>
      <c r="V629" s="393"/>
      <c r="W629" s="393"/>
      <c r="X629" s="593"/>
      <c r="Y629" s="394"/>
    </row>
    <row r="630" spans="1:25" ht="14.85" customHeight="1">
      <c r="A630" s="316"/>
      <c r="B630" s="259"/>
      <c r="C630" s="259"/>
      <c r="D630" s="256"/>
      <c r="E630" s="406"/>
      <c r="F630" s="402"/>
      <c r="G630" s="397"/>
      <c r="H630" s="385"/>
      <c r="I630" s="398"/>
      <c r="J630" s="387"/>
      <c r="K630" s="388"/>
      <c r="L630" s="389"/>
      <c r="M630" s="390"/>
      <c r="N630" s="391"/>
      <c r="O630" s="392">
        <f t="shared" si="191"/>
        <v>0</v>
      </c>
      <c r="P630" s="392">
        <f t="shared" si="192"/>
        <v>0</v>
      </c>
      <c r="Q630" s="391"/>
      <c r="R630" s="392">
        <f t="shared" si="195"/>
        <v>0</v>
      </c>
      <c r="S630" s="392">
        <f t="shared" si="196"/>
        <v>0</v>
      </c>
      <c r="T630" s="393"/>
      <c r="U630" s="393"/>
      <c r="V630" s="393"/>
      <c r="W630" s="393"/>
      <c r="X630" s="593"/>
      <c r="Y630" s="394"/>
    </row>
    <row r="631" spans="1:25" ht="14.85" customHeight="1">
      <c r="A631" s="316"/>
      <c r="B631" s="259"/>
      <c r="C631" s="259"/>
      <c r="D631" s="256"/>
      <c r="E631" s="384"/>
      <c r="F631" s="407"/>
      <c r="G631" s="386"/>
      <c r="H631" s="386"/>
      <c r="I631" s="398"/>
      <c r="J631" s="387"/>
      <c r="K631" s="388">
        <f t="shared" si="197"/>
        <v>0</v>
      </c>
      <c r="L631" s="389">
        <f t="shared" si="198"/>
        <v>0</v>
      </c>
      <c r="M631" s="390">
        <f t="shared" si="199"/>
        <v>0</v>
      </c>
      <c r="N631" s="391"/>
      <c r="O631" s="392">
        <f t="shared" si="191"/>
        <v>0</v>
      </c>
      <c r="P631" s="392">
        <f t="shared" si="192"/>
        <v>0</v>
      </c>
      <c r="Q631" s="391"/>
      <c r="R631" s="392">
        <f t="shared" si="195"/>
        <v>0</v>
      </c>
      <c r="S631" s="392">
        <f t="shared" si="196"/>
        <v>0</v>
      </c>
      <c r="T631" s="393"/>
      <c r="U631" s="393"/>
      <c r="V631" s="393"/>
      <c r="W631" s="393"/>
      <c r="X631" s="593"/>
      <c r="Y631" s="394"/>
    </row>
    <row r="632" spans="1:25" ht="14.85" customHeight="1">
      <c r="A632" s="316"/>
      <c r="B632" s="259"/>
      <c r="C632" s="259"/>
      <c r="D632" s="256"/>
      <c r="E632" s="403"/>
      <c r="F632" s="407"/>
      <c r="G632" s="386"/>
      <c r="H632" s="386"/>
      <c r="I632" s="398"/>
      <c r="J632" s="387"/>
      <c r="K632" s="388">
        <f t="shared" si="197"/>
        <v>0</v>
      </c>
      <c r="L632" s="389">
        <f t="shared" si="198"/>
        <v>0</v>
      </c>
      <c r="M632" s="390">
        <f t="shared" si="199"/>
        <v>0</v>
      </c>
      <c r="N632" s="391">
        <f>L631+L632</f>
        <v>0</v>
      </c>
      <c r="O632" s="392">
        <f t="shared" si="191"/>
        <v>0</v>
      </c>
      <c r="P632" s="392">
        <f t="shared" si="192"/>
        <v>0</v>
      </c>
      <c r="Q632" s="391"/>
      <c r="R632" s="392">
        <f t="shared" si="195"/>
        <v>0</v>
      </c>
      <c r="S632" s="392">
        <f t="shared" si="196"/>
        <v>0</v>
      </c>
      <c r="T632" s="393"/>
      <c r="U632" s="393"/>
      <c r="V632" s="393"/>
      <c r="W632" s="393"/>
      <c r="X632" s="593"/>
      <c r="Y632" s="394"/>
    </row>
    <row r="633" spans="1:25" ht="14.85" customHeight="1">
      <c r="A633" s="316"/>
      <c r="B633" s="259"/>
      <c r="C633" s="259"/>
      <c r="D633" s="256"/>
      <c r="E633" s="403"/>
      <c r="F633" s="385"/>
      <c r="G633" s="397"/>
      <c r="H633" s="385"/>
      <c r="I633" s="385"/>
      <c r="J633" s="385"/>
      <c r="K633" s="388">
        <f t="shared" si="197"/>
        <v>0</v>
      </c>
      <c r="L633" s="389">
        <f t="shared" si="198"/>
        <v>0</v>
      </c>
      <c r="M633" s="390">
        <f t="shared" si="199"/>
        <v>0</v>
      </c>
      <c r="N633" s="391"/>
      <c r="O633" s="392">
        <f t="shared" si="191"/>
        <v>0</v>
      </c>
      <c r="P633" s="392">
        <f t="shared" si="192"/>
        <v>0</v>
      </c>
      <c r="Q633" s="391"/>
      <c r="R633" s="392">
        <f t="shared" si="195"/>
        <v>0</v>
      </c>
      <c r="S633" s="392">
        <f t="shared" si="196"/>
        <v>0</v>
      </c>
      <c r="T633" s="393"/>
      <c r="U633" s="393"/>
      <c r="V633" s="393"/>
      <c r="W633" s="393"/>
      <c r="X633" s="593"/>
      <c r="Y633" s="394"/>
    </row>
    <row r="634" spans="1:25" ht="14.85" customHeight="1">
      <c r="A634" s="316"/>
      <c r="B634" s="259"/>
      <c r="C634" s="259"/>
      <c r="D634" s="256"/>
      <c r="E634" s="403"/>
      <c r="F634" s="385"/>
      <c r="G634" s="386"/>
      <c r="H634" s="386"/>
      <c r="I634" s="385"/>
      <c r="J634" s="385"/>
      <c r="K634" s="388">
        <f t="shared" si="197"/>
        <v>0</v>
      </c>
      <c r="L634" s="389">
        <f t="shared" si="198"/>
        <v>0</v>
      </c>
      <c r="M634" s="390">
        <f t="shared" si="199"/>
        <v>0</v>
      </c>
      <c r="N634" s="391"/>
      <c r="O634" s="392">
        <f t="shared" si="191"/>
        <v>0</v>
      </c>
      <c r="P634" s="392">
        <f t="shared" si="192"/>
        <v>0</v>
      </c>
      <c r="Q634" s="391"/>
      <c r="R634" s="392">
        <f t="shared" si="195"/>
        <v>0</v>
      </c>
      <c r="S634" s="392">
        <f t="shared" si="196"/>
        <v>0</v>
      </c>
      <c r="T634" s="393"/>
      <c r="U634" s="393"/>
      <c r="V634" s="393"/>
      <c r="W634" s="393"/>
      <c r="X634" s="593"/>
      <c r="Y634" s="394"/>
    </row>
    <row r="635" spans="1:25" ht="14.85" customHeight="1">
      <c r="A635" s="316"/>
      <c r="B635" s="259"/>
      <c r="C635" s="259"/>
      <c r="D635" s="256"/>
      <c r="E635" s="403"/>
      <c r="F635" s="385"/>
      <c r="G635" s="397"/>
      <c r="H635" s="385"/>
      <c r="I635" s="385"/>
      <c r="J635" s="387"/>
      <c r="K635" s="388">
        <f t="shared" si="197"/>
        <v>0</v>
      </c>
      <c r="L635" s="389">
        <f t="shared" si="198"/>
        <v>0</v>
      </c>
      <c r="M635" s="390">
        <f t="shared" si="199"/>
        <v>0</v>
      </c>
      <c r="N635" s="391">
        <f>L633+L635</f>
        <v>0</v>
      </c>
      <c r="O635" s="392">
        <f t="shared" si="191"/>
        <v>0</v>
      </c>
      <c r="P635" s="392">
        <f t="shared" si="192"/>
        <v>0</v>
      </c>
      <c r="Q635" s="391"/>
      <c r="R635" s="392">
        <f t="shared" si="195"/>
        <v>0</v>
      </c>
      <c r="S635" s="392">
        <f t="shared" si="196"/>
        <v>0</v>
      </c>
      <c r="T635" s="393"/>
      <c r="U635" s="393"/>
      <c r="V635" s="393"/>
      <c r="W635" s="393"/>
      <c r="X635" s="593"/>
      <c r="Y635" s="394"/>
    </row>
    <row r="636" spans="1:25" ht="14.85" customHeight="1">
      <c r="A636" s="316"/>
      <c r="B636" s="259"/>
      <c r="C636" s="259"/>
      <c r="D636" s="256"/>
      <c r="E636" s="403"/>
      <c r="F636" s="385"/>
      <c r="G636" s="397"/>
      <c r="H636" s="385"/>
      <c r="I636" s="385"/>
      <c r="J636" s="387"/>
      <c r="K636" s="388">
        <f t="shared" si="197"/>
        <v>0</v>
      </c>
      <c r="L636" s="389">
        <f t="shared" si="198"/>
        <v>0</v>
      </c>
      <c r="M636" s="390">
        <f t="shared" si="199"/>
        <v>0</v>
      </c>
      <c r="N636" s="391">
        <f>L636</f>
        <v>0</v>
      </c>
      <c r="O636" s="392">
        <f t="shared" si="191"/>
        <v>0</v>
      </c>
      <c r="P636" s="392">
        <f t="shared" si="192"/>
        <v>0</v>
      </c>
      <c r="Q636" s="391"/>
      <c r="R636" s="392">
        <f t="shared" si="195"/>
        <v>0</v>
      </c>
      <c r="S636" s="392">
        <f t="shared" si="196"/>
        <v>0</v>
      </c>
      <c r="T636" s="393"/>
      <c r="U636" s="393"/>
      <c r="V636" s="393"/>
      <c r="W636" s="393"/>
      <c r="X636" s="593"/>
      <c r="Y636" s="394"/>
    </row>
    <row r="637" spans="1:25" ht="14.85" customHeight="1">
      <c r="A637" s="316"/>
      <c r="B637" s="259"/>
      <c r="C637" s="259"/>
      <c r="D637" s="256"/>
      <c r="E637" s="403"/>
      <c r="F637" s="402"/>
      <c r="G637" s="397"/>
      <c r="H637" s="398"/>
      <c r="I637" s="398"/>
      <c r="J637" s="387"/>
      <c r="K637" s="388">
        <f t="shared" si="197"/>
        <v>0</v>
      </c>
      <c r="L637" s="389">
        <f t="shared" si="198"/>
        <v>0</v>
      </c>
      <c r="M637" s="390">
        <f t="shared" si="199"/>
        <v>0</v>
      </c>
      <c r="N637" s="391"/>
      <c r="O637" s="392">
        <f t="shared" si="191"/>
        <v>0</v>
      </c>
      <c r="P637" s="392">
        <f t="shared" si="192"/>
        <v>0</v>
      </c>
      <c r="Q637" s="391"/>
      <c r="R637" s="392">
        <f t="shared" si="195"/>
        <v>0</v>
      </c>
      <c r="S637" s="392">
        <f t="shared" si="196"/>
        <v>0</v>
      </c>
      <c r="T637" s="393"/>
      <c r="U637" s="393"/>
      <c r="V637" s="393"/>
      <c r="W637" s="393"/>
      <c r="X637" s="593"/>
      <c r="Y637" s="394"/>
    </row>
    <row r="638" spans="1:25" ht="14.85" customHeight="1">
      <c r="A638" s="316"/>
      <c r="B638" s="259"/>
      <c r="C638" s="259"/>
      <c r="D638" s="256"/>
      <c r="E638" s="403"/>
      <c r="F638" s="402"/>
      <c r="G638" s="397"/>
      <c r="H638" s="385"/>
      <c r="I638" s="398"/>
      <c r="J638" s="387"/>
      <c r="K638" s="388">
        <f t="shared" si="197"/>
        <v>0</v>
      </c>
      <c r="L638" s="389">
        <f t="shared" si="198"/>
        <v>0</v>
      </c>
      <c r="M638" s="390">
        <f t="shared" si="199"/>
        <v>0</v>
      </c>
      <c r="N638" s="391">
        <f>L637+L638</f>
        <v>0</v>
      </c>
      <c r="O638" s="392">
        <f t="shared" ref="O638:O696" si="201">ROUNDDOWN((N638/$O$11),0)</f>
        <v>0</v>
      </c>
      <c r="P638" s="392">
        <f t="shared" ref="P638:P696" si="202">ROUND((N638-(O638*$P$11)),0)</f>
        <v>0</v>
      </c>
      <c r="Q638" s="391">
        <f>N632+N635+N638</f>
        <v>0</v>
      </c>
      <c r="R638" s="392">
        <f t="shared" si="195"/>
        <v>0</v>
      </c>
      <c r="S638" s="392">
        <f t="shared" si="196"/>
        <v>0</v>
      </c>
      <c r="T638" s="393"/>
      <c r="U638" s="393"/>
      <c r="V638" s="393"/>
      <c r="W638" s="393"/>
      <c r="X638" s="593"/>
      <c r="Y638" s="394"/>
    </row>
    <row r="639" spans="1:25" ht="14.85" customHeight="1">
      <c r="A639" s="316"/>
      <c r="B639" s="259"/>
      <c r="C639" s="259"/>
      <c r="D639" s="256"/>
      <c r="E639" s="403"/>
      <c r="F639" s="407"/>
      <c r="G639" s="386"/>
      <c r="H639" s="386"/>
      <c r="I639" s="398"/>
      <c r="J639" s="387"/>
      <c r="K639" s="388"/>
      <c r="L639" s="389"/>
      <c r="M639" s="390"/>
      <c r="N639" s="391"/>
      <c r="O639" s="392">
        <f t="shared" si="201"/>
        <v>0</v>
      </c>
      <c r="P639" s="392">
        <f t="shared" si="202"/>
        <v>0</v>
      </c>
      <c r="Q639" s="391"/>
      <c r="R639" s="392">
        <f t="shared" si="195"/>
        <v>0</v>
      </c>
      <c r="S639" s="392">
        <f t="shared" si="196"/>
        <v>0</v>
      </c>
      <c r="T639" s="393"/>
      <c r="U639" s="393"/>
      <c r="V639" s="393"/>
      <c r="W639" s="393"/>
      <c r="X639" s="593"/>
      <c r="Y639" s="394"/>
    </row>
    <row r="640" spans="1:25" ht="14.85" customHeight="1">
      <c r="A640" s="316"/>
      <c r="B640" s="259"/>
      <c r="C640" s="259"/>
      <c r="D640" s="256"/>
      <c r="E640" s="406"/>
      <c r="F640" s="407"/>
      <c r="G640" s="397"/>
      <c r="H640" s="385"/>
      <c r="I640" s="398"/>
      <c r="J640" s="387"/>
      <c r="K640" s="388">
        <f t="shared" si="197"/>
        <v>0</v>
      </c>
      <c r="L640" s="389">
        <f t="shared" si="198"/>
        <v>0</v>
      </c>
      <c r="M640" s="390">
        <f t="shared" si="199"/>
        <v>0</v>
      </c>
      <c r="N640" s="391"/>
      <c r="O640" s="392">
        <f t="shared" si="201"/>
        <v>0</v>
      </c>
      <c r="P640" s="392">
        <f t="shared" si="202"/>
        <v>0</v>
      </c>
      <c r="Q640" s="391"/>
      <c r="R640" s="392">
        <f t="shared" si="195"/>
        <v>0</v>
      </c>
      <c r="S640" s="392">
        <f t="shared" si="196"/>
        <v>0</v>
      </c>
      <c r="T640" s="393"/>
      <c r="U640" s="393"/>
      <c r="V640" s="393"/>
      <c r="W640" s="393"/>
      <c r="X640" s="593"/>
      <c r="Y640" s="394"/>
    </row>
    <row r="641" spans="1:25" ht="14.85" customHeight="1">
      <c r="A641" s="316"/>
      <c r="B641" s="259"/>
      <c r="C641" s="259"/>
      <c r="D641" s="256"/>
      <c r="E641" s="384"/>
      <c r="F641" s="407"/>
      <c r="G641" s="408"/>
      <c r="H641" s="408"/>
      <c r="I641" s="398"/>
      <c r="J641" s="387"/>
      <c r="K641" s="388">
        <f t="shared" si="197"/>
        <v>0</v>
      </c>
      <c r="L641" s="389">
        <f t="shared" si="198"/>
        <v>0</v>
      </c>
      <c r="M641" s="390">
        <f t="shared" si="199"/>
        <v>0</v>
      </c>
      <c r="N641" s="391">
        <f>L640+L641</f>
        <v>0</v>
      </c>
      <c r="O641" s="392">
        <f t="shared" si="201"/>
        <v>0</v>
      </c>
      <c r="P641" s="392">
        <f t="shared" si="202"/>
        <v>0</v>
      </c>
      <c r="Q641" s="391"/>
      <c r="R641" s="392">
        <f t="shared" si="195"/>
        <v>0</v>
      </c>
      <c r="S641" s="392">
        <f t="shared" si="196"/>
        <v>0</v>
      </c>
      <c r="T641" s="393"/>
      <c r="U641" s="393"/>
      <c r="V641" s="393"/>
      <c r="W641" s="393"/>
      <c r="X641" s="593"/>
      <c r="Y641" s="394"/>
    </row>
    <row r="642" spans="1:25" ht="14.85" customHeight="1">
      <c r="A642" s="316"/>
      <c r="B642" s="259"/>
      <c r="C642" s="259"/>
      <c r="D642" s="256"/>
      <c r="E642" s="406"/>
      <c r="F642" s="407"/>
      <c r="G642" s="397"/>
      <c r="H642" s="398"/>
      <c r="I642" s="398"/>
      <c r="J642" s="387"/>
      <c r="K642" s="388">
        <f t="shared" si="197"/>
        <v>0</v>
      </c>
      <c r="L642" s="389">
        <f t="shared" si="198"/>
        <v>0</v>
      </c>
      <c r="M642" s="390">
        <f t="shared" si="199"/>
        <v>0</v>
      </c>
      <c r="N642" s="391">
        <f>L642</f>
        <v>0</v>
      </c>
      <c r="O642" s="392">
        <f t="shared" si="201"/>
        <v>0</v>
      </c>
      <c r="P642" s="392">
        <f t="shared" si="202"/>
        <v>0</v>
      </c>
      <c r="Q642" s="391"/>
      <c r="R642" s="392">
        <f t="shared" si="195"/>
        <v>0</v>
      </c>
      <c r="S642" s="392">
        <f t="shared" si="196"/>
        <v>0</v>
      </c>
      <c r="T642" s="393"/>
      <c r="U642" s="393"/>
      <c r="V642" s="393"/>
      <c r="W642" s="393"/>
      <c r="X642" s="593"/>
      <c r="Y642" s="394"/>
    </row>
    <row r="643" spans="1:25" ht="14.85" customHeight="1">
      <c r="A643" s="316"/>
      <c r="B643" s="259"/>
      <c r="C643" s="259"/>
      <c r="D643" s="256"/>
      <c r="E643" s="406"/>
      <c r="F643" s="385"/>
      <c r="G643" s="397"/>
      <c r="H643" s="398"/>
      <c r="I643" s="398"/>
      <c r="J643" s="399"/>
      <c r="K643" s="388">
        <f t="shared" si="197"/>
        <v>0</v>
      </c>
      <c r="L643" s="389">
        <f t="shared" si="198"/>
        <v>0</v>
      </c>
      <c r="M643" s="390">
        <f t="shared" si="199"/>
        <v>0</v>
      </c>
      <c r="N643" s="391"/>
      <c r="O643" s="392">
        <f t="shared" si="201"/>
        <v>0</v>
      </c>
      <c r="P643" s="392">
        <f t="shared" si="202"/>
        <v>0</v>
      </c>
      <c r="Q643" s="391"/>
      <c r="R643" s="392">
        <f t="shared" si="195"/>
        <v>0</v>
      </c>
      <c r="S643" s="392">
        <f t="shared" si="196"/>
        <v>0</v>
      </c>
      <c r="T643" s="393"/>
      <c r="U643" s="393"/>
      <c r="V643" s="393"/>
      <c r="W643" s="393"/>
      <c r="X643" s="593"/>
      <c r="Y643" s="394"/>
    </row>
    <row r="644" spans="1:25" ht="14.85" customHeight="1">
      <c r="A644" s="316"/>
      <c r="B644" s="259"/>
      <c r="C644" s="259"/>
      <c r="D644" s="256"/>
      <c r="E644" s="406"/>
      <c r="F644" s="385"/>
      <c r="G644" s="397"/>
      <c r="H644" s="385"/>
      <c r="I644" s="398"/>
      <c r="J644" s="387"/>
      <c r="K644" s="388">
        <f t="shared" si="197"/>
        <v>0</v>
      </c>
      <c r="L644" s="389">
        <f t="shared" si="198"/>
        <v>0</v>
      </c>
      <c r="M644" s="390">
        <f t="shared" si="199"/>
        <v>0</v>
      </c>
      <c r="N644" s="391">
        <f>L643+L644</f>
        <v>0</v>
      </c>
      <c r="O644" s="392">
        <f t="shared" si="201"/>
        <v>0</v>
      </c>
      <c r="P644" s="392">
        <f t="shared" si="202"/>
        <v>0</v>
      </c>
      <c r="Q644" s="391">
        <f>N641+N642+N644</f>
        <v>0</v>
      </c>
      <c r="R644" s="392">
        <f t="shared" si="195"/>
        <v>0</v>
      </c>
      <c r="S644" s="392">
        <f t="shared" si="196"/>
        <v>0</v>
      </c>
      <c r="T644" s="393"/>
      <c r="U644" s="393"/>
      <c r="V644" s="393"/>
      <c r="W644" s="393"/>
      <c r="X644" s="593"/>
      <c r="Y644" s="394"/>
    </row>
    <row r="645" spans="1:25" ht="14.85" customHeight="1">
      <c r="A645" s="316"/>
      <c r="B645" s="259"/>
      <c r="C645" s="259"/>
      <c r="D645" s="256"/>
      <c r="F645" s="385"/>
      <c r="G645" s="386"/>
      <c r="H645" s="386"/>
      <c r="I645" s="398"/>
      <c r="J645" s="387"/>
      <c r="K645" s="388">
        <f t="shared" si="197"/>
        <v>0</v>
      </c>
      <c r="L645" s="389">
        <f t="shared" si="198"/>
        <v>0</v>
      </c>
      <c r="M645" s="390">
        <f t="shared" si="199"/>
        <v>0</v>
      </c>
      <c r="N645" s="391">
        <f>L645</f>
        <v>0</v>
      </c>
      <c r="O645" s="392">
        <f t="shared" si="201"/>
        <v>0</v>
      </c>
      <c r="P645" s="392">
        <f t="shared" si="202"/>
        <v>0</v>
      </c>
      <c r="Q645" s="391"/>
      <c r="R645" s="392">
        <f t="shared" si="195"/>
        <v>0</v>
      </c>
      <c r="S645" s="392">
        <f t="shared" si="196"/>
        <v>0</v>
      </c>
      <c r="T645" s="393"/>
      <c r="U645" s="393"/>
      <c r="V645" s="393"/>
      <c r="W645" s="393"/>
      <c r="X645" s="593"/>
      <c r="Y645" s="394"/>
    </row>
    <row r="646" spans="1:25" ht="14.85" customHeight="1">
      <c r="A646" s="316"/>
      <c r="B646" s="259"/>
      <c r="C646" s="259"/>
      <c r="D646" s="256"/>
      <c r="E646" s="384"/>
      <c r="F646" s="385"/>
      <c r="G646" s="397"/>
      <c r="H646" s="385"/>
      <c r="I646" s="398"/>
      <c r="J646" s="387"/>
      <c r="K646" s="388">
        <f t="shared" si="197"/>
        <v>0</v>
      </c>
      <c r="L646" s="389">
        <f t="shared" si="198"/>
        <v>0</v>
      </c>
      <c r="M646" s="390">
        <f t="shared" si="199"/>
        <v>0</v>
      </c>
      <c r="N646" s="391"/>
      <c r="O646" s="392">
        <f t="shared" si="201"/>
        <v>0</v>
      </c>
      <c r="P646" s="392">
        <f t="shared" si="202"/>
        <v>0</v>
      </c>
      <c r="Q646" s="391"/>
      <c r="R646" s="392">
        <f t="shared" si="195"/>
        <v>0</v>
      </c>
      <c r="S646" s="392">
        <f t="shared" si="196"/>
        <v>0</v>
      </c>
      <c r="T646" s="393"/>
      <c r="U646" s="393"/>
      <c r="V646" s="393"/>
      <c r="W646" s="393"/>
      <c r="X646" s="593"/>
      <c r="Y646" s="394"/>
    </row>
    <row r="647" spans="1:25" ht="14.85" customHeight="1">
      <c r="A647" s="316"/>
      <c r="B647" s="259"/>
      <c r="C647" s="259"/>
      <c r="D647" s="256"/>
      <c r="E647" s="401"/>
      <c r="F647" s="385"/>
      <c r="G647" s="397"/>
      <c r="H647" s="385"/>
      <c r="I647" s="398"/>
      <c r="J647" s="387"/>
      <c r="K647" s="388">
        <f t="shared" si="197"/>
        <v>0</v>
      </c>
      <c r="L647" s="389">
        <f t="shared" si="198"/>
        <v>0</v>
      </c>
      <c r="M647" s="390">
        <f t="shared" si="199"/>
        <v>0</v>
      </c>
      <c r="N647" s="391"/>
      <c r="O647" s="392">
        <f t="shared" si="201"/>
        <v>0</v>
      </c>
      <c r="P647" s="392">
        <f t="shared" si="202"/>
        <v>0</v>
      </c>
      <c r="Q647" s="391"/>
      <c r="R647" s="392">
        <f t="shared" si="195"/>
        <v>0</v>
      </c>
      <c r="S647" s="392">
        <f t="shared" si="196"/>
        <v>0</v>
      </c>
      <c r="T647" s="393"/>
      <c r="U647" s="393"/>
      <c r="V647" s="393"/>
      <c r="W647" s="393"/>
      <c r="X647" s="593"/>
      <c r="Y647" s="394"/>
    </row>
    <row r="648" spans="1:25" ht="14.85" customHeight="1">
      <c r="A648" s="316"/>
      <c r="B648" s="259"/>
      <c r="C648" s="259"/>
      <c r="D648" s="256"/>
      <c r="E648" s="401"/>
      <c r="F648" s="385"/>
      <c r="G648" s="397"/>
      <c r="H648" s="385"/>
      <c r="I648" s="398"/>
      <c r="J648" s="387"/>
      <c r="K648" s="388">
        <f t="shared" si="197"/>
        <v>0</v>
      </c>
      <c r="L648" s="389">
        <f t="shared" si="198"/>
        <v>0</v>
      </c>
      <c r="M648" s="390">
        <f t="shared" si="199"/>
        <v>0</v>
      </c>
      <c r="N648" s="391"/>
      <c r="O648" s="392">
        <f t="shared" si="201"/>
        <v>0</v>
      </c>
      <c r="P648" s="392">
        <f t="shared" si="202"/>
        <v>0</v>
      </c>
      <c r="Q648" s="391"/>
      <c r="R648" s="392">
        <f t="shared" si="195"/>
        <v>0</v>
      </c>
      <c r="S648" s="392">
        <f t="shared" si="196"/>
        <v>0</v>
      </c>
      <c r="T648" s="393"/>
      <c r="U648" s="393"/>
      <c r="V648" s="393"/>
      <c r="W648" s="393"/>
      <c r="X648" s="593"/>
      <c r="Y648" s="394"/>
    </row>
    <row r="649" spans="1:25" ht="14.85" customHeight="1">
      <c r="A649" s="316"/>
      <c r="B649" s="259"/>
      <c r="C649" s="259"/>
      <c r="D649" s="256"/>
      <c r="E649" s="401"/>
      <c r="F649" s="385"/>
      <c r="G649" s="397"/>
      <c r="H649" s="385"/>
      <c r="I649" s="398"/>
      <c r="J649" s="387"/>
      <c r="K649" s="388">
        <f t="shared" si="197"/>
        <v>0</v>
      </c>
      <c r="L649" s="389">
        <f t="shared" si="198"/>
        <v>0</v>
      </c>
      <c r="M649" s="390">
        <f t="shared" si="199"/>
        <v>0</v>
      </c>
      <c r="N649" s="391"/>
      <c r="O649" s="392">
        <f t="shared" si="201"/>
        <v>0</v>
      </c>
      <c r="P649" s="392">
        <f t="shared" si="202"/>
        <v>0</v>
      </c>
      <c r="Q649" s="391"/>
      <c r="R649" s="392">
        <f t="shared" si="195"/>
        <v>0</v>
      </c>
      <c r="S649" s="392">
        <f t="shared" si="196"/>
        <v>0</v>
      </c>
      <c r="T649" s="393"/>
      <c r="U649" s="393"/>
      <c r="V649" s="393"/>
      <c r="W649" s="393"/>
      <c r="X649" s="593"/>
      <c r="Y649" s="394"/>
    </row>
    <row r="650" spans="1:25" ht="14.85" customHeight="1">
      <c r="A650" s="316"/>
      <c r="B650" s="259"/>
      <c r="C650" s="259"/>
      <c r="D650" s="256"/>
      <c r="E650" s="401"/>
      <c r="F650" s="385"/>
      <c r="G650" s="397"/>
      <c r="H650" s="385"/>
      <c r="I650" s="398"/>
      <c r="J650" s="387"/>
      <c r="K650" s="388">
        <f t="shared" si="197"/>
        <v>0</v>
      </c>
      <c r="L650" s="389">
        <f t="shared" si="198"/>
        <v>0</v>
      </c>
      <c r="M650" s="390">
        <f t="shared" si="199"/>
        <v>0</v>
      </c>
      <c r="N650" s="391">
        <f>SUM(L646:L650)</f>
        <v>0</v>
      </c>
      <c r="O650" s="392">
        <f t="shared" si="201"/>
        <v>0</v>
      </c>
      <c r="P650" s="392">
        <f t="shared" si="202"/>
        <v>0</v>
      </c>
      <c r="Q650" s="391"/>
      <c r="R650" s="392">
        <f t="shared" si="195"/>
        <v>0</v>
      </c>
      <c r="S650" s="392">
        <f t="shared" si="196"/>
        <v>0</v>
      </c>
      <c r="T650" s="393"/>
      <c r="U650" s="393"/>
      <c r="V650" s="393"/>
      <c r="W650" s="393"/>
      <c r="X650" s="593"/>
      <c r="Y650" s="394"/>
    </row>
    <row r="651" spans="1:25" ht="14.85" customHeight="1">
      <c r="A651" s="316"/>
      <c r="B651" s="259"/>
      <c r="C651" s="259"/>
      <c r="D651" s="256"/>
      <c r="E651" s="401"/>
      <c r="F651" s="385"/>
      <c r="G651" s="397"/>
      <c r="H651" s="385"/>
      <c r="I651" s="398"/>
      <c r="J651" s="387"/>
      <c r="K651" s="388">
        <f t="shared" si="197"/>
        <v>0</v>
      </c>
      <c r="L651" s="389">
        <f t="shared" si="198"/>
        <v>0</v>
      </c>
      <c r="M651" s="390">
        <f t="shared" si="199"/>
        <v>0</v>
      </c>
      <c r="N651" s="391"/>
      <c r="O651" s="392">
        <f t="shared" si="201"/>
        <v>0</v>
      </c>
      <c r="P651" s="392">
        <f t="shared" si="202"/>
        <v>0</v>
      </c>
      <c r="Q651" s="391"/>
      <c r="R651" s="392">
        <f t="shared" si="195"/>
        <v>0</v>
      </c>
      <c r="S651" s="392">
        <f t="shared" si="196"/>
        <v>0</v>
      </c>
      <c r="T651" s="393"/>
      <c r="U651" s="393"/>
      <c r="V651" s="393"/>
      <c r="W651" s="393"/>
      <c r="X651" s="593"/>
      <c r="Y651" s="394"/>
    </row>
    <row r="652" spans="1:25" ht="14.85" customHeight="1">
      <c r="A652" s="316"/>
      <c r="B652" s="259"/>
      <c r="C652" s="259"/>
      <c r="D652" s="256"/>
      <c r="E652" s="401"/>
      <c r="F652" s="385"/>
      <c r="G652" s="397"/>
      <c r="H652" s="385"/>
      <c r="I652" s="398"/>
      <c r="J652" s="387"/>
      <c r="K652" s="388">
        <f t="shared" si="197"/>
        <v>0</v>
      </c>
      <c r="L652" s="389">
        <f t="shared" si="198"/>
        <v>0</v>
      </c>
      <c r="M652" s="390">
        <f t="shared" si="199"/>
        <v>0</v>
      </c>
      <c r="N652" s="391"/>
      <c r="O652" s="392">
        <f t="shared" si="201"/>
        <v>0</v>
      </c>
      <c r="P652" s="392">
        <f t="shared" si="202"/>
        <v>0</v>
      </c>
      <c r="Q652" s="391"/>
      <c r="R652" s="392">
        <f t="shared" si="195"/>
        <v>0</v>
      </c>
      <c r="S652" s="392">
        <f t="shared" si="196"/>
        <v>0</v>
      </c>
      <c r="T652" s="393"/>
      <c r="U652" s="393"/>
      <c r="V652" s="393"/>
      <c r="W652" s="393"/>
      <c r="X652" s="593"/>
      <c r="Y652" s="394"/>
    </row>
    <row r="653" spans="1:25" ht="14.85" customHeight="1">
      <c r="A653" s="316"/>
      <c r="B653" s="259"/>
      <c r="C653" s="259"/>
      <c r="D653" s="256"/>
      <c r="E653" s="401"/>
      <c r="F653" s="385"/>
      <c r="G653" s="397"/>
      <c r="H653" s="385"/>
      <c r="I653" s="398"/>
      <c r="J653" s="387"/>
      <c r="K653" s="388">
        <f t="shared" si="197"/>
        <v>0</v>
      </c>
      <c r="L653" s="389">
        <f t="shared" si="198"/>
        <v>0</v>
      </c>
      <c r="M653" s="390">
        <f t="shared" si="199"/>
        <v>0</v>
      </c>
      <c r="N653" s="391"/>
      <c r="O653" s="392">
        <f t="shared" si="201"/>
        <v>0</v>
      </c>
      <c r="P653" s="392">
        <f t="shared" si="202"/>
        <v>0</v>
      </c>
      <c r="Q653" s="391"/>
      <c r="R653" s="392">
        <f t="shared" si="195"/>
        <v>0</v>
      </c>
      <c r="S653" s="392">
        <f t="shared" si="196"/>
        <v>0</v>
      </c>
      <c r="T653" s="393"/>
      <c r="U653" s="393"/>
      <c r="V653" s="393"/>
      <c r="W653" s="393"/>
      <c r="X653" s="593"/>
      <c r="Y653" s="394"/>
    </row>
    <row r="654" spans="1:25" ht="14.85" customHeight="1">
      <c r="A654" s="316"/>
      <c r="B654" s="259"/>
      <c r="C654" s="259"/>
      <c r="D654" s="256"/>
      <c r="E654" s="401"/>
      <c r="F654" s="385"/>
      <c r="G654" s="397"/>
      <c r="H654" s="385"/>
      <c r="I654" s="398"/>
      <c r="J654" s="387"/>
      <c r="K654" s="388">
        <f t="shared" si="197"/>
        <v>0</v>
      </c>
      <c r="L654" s="389">
        <f t="shared" si="198"/>
        <v>0</v>
      </c>
      <c r="M654" s="390">
        <f t="shared" si="199"/>
        <v>0</v>
      </c>
      <c r="N654" s="391">
        <f>SUM(L651:L654)</f>
        <v>0</v>
      </c>
      <c r="O654" s="392">
        <f t="shared" si="201"/>
        <v>0</v>
      </c>
      <c r="P654" s="392">
        <f t="shared" si="202"/>
        <v>0</v>
      </c>
      <c r="Q654" s="391"/>
      <c r="R654" s="392">
        <f t="shared" ref="R654:R696" si="203">ROUNDDOWN((Q654/$O$11),0)</f>
        <v>0</v>
      </c>
      <c r="S654" s="392">
        <f t="shared" ref="S654:S696" si="204">ROUND((Q654-(R654*$P$11)),0)</f>
        <v>0</v>
      </c>
      <c r="T654" s="393"/>
      <c r="U654" s="393"/>
      <c r="V654" s="393"/>
      <c r="W654" s="393"/>
      <c r="X654" s="593"/>
      <c r="Y654" s="394"/>
    </row>
    <row r="655" spans="1:25" ht="14.85" customHeight="1">
      <c r="A655" s="316"/>
      <c r="B655" s="259"/>
      <c r="C655" s="259"/>
      <c r="D655" s="256"/>
      <c r="E655" s="401"/>
      <c r="F655" s="385"/>
      <c r="G655" s="404"/>
      <c r="H655" s="404"/>
      <c r="I655" s="398"/>
      <c r="J655" s="387"/>
      <c r="K655" s="388">
        <f t="shared" si="197"/>
        <v>0</v>
      </c>
      <c r="L655" s="389">
        <f t="shared" si="198"/>
        <v>0</v>
      </c>
      <c r="M655" s="390">
        <f t="shared" si="199"/>
        <v>0</v>
      </c>
      <c r="N655" s="391">
        <f>L655</f>
        <v>0</v>
      </c>
      <c r="O655" s="392">
        <f t="shared" si="201"/>
        <v>0</v>
      </c>
      <c r="P655" s="392">
        <f t="shared" si="202"/>
        <v>0</v>
      </c>
      <c r="Q655" s="391"/>
      <c r="R655" s="392">
        <f t="shared" si="203"/>
        <v>0</v>
      </c>
      <c r="S655" s="392">
        <f t="shared" si="204"/>
        <v>0</v>
      </c>
      <c r="T655" s="393"/>
      <c r="U655" s="393"/>
      <c r="V655" s="393"/>
      <c r="W655" s="393"/>
      <c r="X655" s="593"/>
      <c r="Y655" s="394"/>
    </row>
    <row r="656" spans="1:25" ht="14.85" customHeight="1">
      <c r="A656" s="316"/>
      <c r="B656" s="259"/>
      <c r="C656" s="259"/>
      <c r="D656" s="256"/>
      <c r="E656" s="401"/>
      <c r="F656" s="385"/>
      <c r="G656" s="409"/>
      <c r="H656" s="409"/>
      <c r="I656" s="385"/>
      <c r="J656" s="387"/>
      <c r="K656" s="388">
        <f t="shared" si="197"/>
        <v>0</v>
      </c>
      <c r="L656" s="389">
        <f t="shared" si="198"/>
        <v>0</v>
      </c>
      <c r="M656" s="390">
        <f t="shared" si="199"/>
        <v>0</v>
      </c>
      <c r="N656" s="391"/>
      <c r="O656" s="392">
        <f t="shared" si="201"/>
        <v>0</v>
      </c>
      <c r="P656" s="392">
        <f t="shared" si="202"/>
        <v>0</v>
      </c>
      <c r="Q656" s="391"/>
      <c r="R656" s="392">
        <f t="shared" si="203"/>
        <v>0</v>
      </c>
      <c r="S656" s="392">
        <f t="shared" si="204"/>
        <v>0</v>
      </c>
      <c r="T656" s="393"/>
      <c r="U656" s="393"/>
      <c r="V656" s="393"/>
      <c r="W656" s="393"/>
      <c r="X656" s="593"/>
      <c r="Y656" s="394"/>
    </row>
    <row r="657" spans="1:25" ht="14.85" customHeight="1">
      <c r="A657" s="316"/>
      <c r="B657" s="259"/>
      <c r="C657" s="259"/>
      <c r="D657" s="256"/>
      <c r="E657" s="401"/>
      <c r="F657" s="385"/>
      <c r="G657" s="409"/>
      <c r="H657" s="409"/>
      <c r="I657" s="385"/>
      <c r="J657" s="387"/>
      <c r="K657" s="388">
        <f t="shared" si="197"/>
        <v>0</v>
      </c>
      <c r="L657" s="389">
        <f t="shared" si="198"/>
        <v>0</v>
      </c>
      <c r="M657" s="390">
        <f t="shared" si="199"/>
        <v>0</v>
      </c>
      <c r="N657" s="391"/>
      <c r="O657" s="392">
        <f t="shared" si="201"/>
        <v>0</v>
      </c>
      <c r="P657" s="392">
        <f t="shared" si="202"/>
        <v>0</v>
      </c>
      <c r="Q657" s="391"/>
      <c r="R657" s="392">
        <f t="shared" si="203"/>
        <v>0</v>
      </c>
      <c r="S657" s="392">
        <f t="shared" si="204"/>
        <v>0</v>
      </c>
      <c r="T657" s="393"/>
      <c r="U657" s="393"/>
      <c r="V657" s="393"/>
      <c r="W657" s="393"/>
      <c r="X657" s="593"/>
      <c r="Y657" s="394"/>
    </row>
    <row r="658" spans="1:25" ht="14.85" customHeight="1">
      <c r="A658" s="316"/>
      <c r="B658" s="259"/>
      <c r="C658" s="259"/>
      <c r="D658" s="256"/>
      <c r="E658" s="401"/>
      <c r="F658" s="385"/>
      <c r="G658" s="409"/>
      <c r="H658" s="409"/>
      <c r="I658" s="385"/>
      <c r="J658" s="387"/>
      <c r="K658" s="388">
        <f t="shared" ref="K658:K696" si="205">J658/$K$11</f>
        <v>0</v>
      </c>
      <c r="L658" s="389">
        <f t="shared" ref="L658:L696" si="206">J658/$L$11</f>
        <v>0</v>
      </c>
      <c r="M658" s="390">
        <f t="shared" ref="M658:M696" si="207">ROUND((L658/$M$11),0)</f>
        <v>0</v>
      </c>
      <c r="N658" s="391"/>
      <c r="O658" s="392">
        <f t="shared" si="201"/>
        <v>0</v>
      </c>
      <c r="P658" s="392">
        <f t="shared" si="202"/>
        <v>0</v>
      </c>
      <c r="Q658" s="391"/>
      <c r="R658" s="392">
        <f t="shared" si="203"/>
        <v>0</v>
      </c>
      <c r="S658" s="392">
        <f t="shared" si="204"/>
        <v>0</v>
      </c>
      <c r="T658" s="393"/>
      <c r="U658" s="393"/>
      <c r="V658" s="393"/>
      <c r="W658" s="393"/>
      <c r="X658" s="593"/>
      <c r="Y658" s="394"/>
    </row>
    <row r="659" spans="1:25" ht="14.85" customHeight="1">
      <c r="A659" s="316"/>
      <c r="B659" s="259"/>
      <c r="C659" s="259"/>
      <c r="D659" s="256"/>
      <c r="E659" s="401"/>
      <c r="F659" s="385"/>
      <c r="G659" s="409"/>
      <c r="H659" s="409"/>
      <c r="I659" s="385"/>
      <c r="J659" s="387"/>
      <c r="K659" s="388">
        <f t="shared" si="205"/>
        <v>0</v>
      </c>
      <c r="L659" s="389">
        <f t="shared" si="206"/>
        <v>0</v>
      </c>
      <c r="M659" s="390">
        <f t="shared" si="207"/>
        <v>0</v>
      </c>
      <c r="N659" s="391">
        <f>L656+L657+L658+L659</f>
        <v>0</v>
      </c>
      <c r="O659" s="392">
        <f t="shared" si="201"/>
        <v>0</v>
      </c>
      <c r="P659" s="392">
        <f t="shared" si="202"/>
        <v>0</v>
      </c>
      <c r="Q659" s="391"/>
      <c r="R659" s="392">
        <f t="shared" si="203"/>
        <v>0</v>
      </c>
      <c r="S659" s="392">
        <f t="shared" si="204"/>
        <v>0</v>
      </c>
      <c r="T659" s="393"/>
      <c r="U659" s="393"/>
      <c r="V659" s="393"/>
      <c r="W659" s="393"/>
      <c r="X659" s="593"/>
      <c r="Y659" s="394"/>
    </row>
    <row r="660" spans="1:25" ht="14.85" customHeight="1">
      <c r="A660" s="316"/>
      <c r="B660" s="259"/>
      <c r="C660" s="259"/>
      <c r="D660" s="256"/>
      <c r="E660" s="401"/>
      <c r="F660" s="385"/>
      <c r="G660" s="397"/>
      <c r="H660" s="385"/>
      <c r="I660" s="385"/>
      <c r="J660" s="385"/>
      <c r="K660" s="388">
        <f t="shared" si="205"/>
        <v>0</v>
      </c>
      <c r="L660" s="389">
        <f t="shared" si="206"/>
        <v>0</v>
      </c>
      <c r="M660" s="390">
        <f t="shared" si="207"/>
        <v>0</v>
      </c>
      <c r="N660" s="391">
        <f>L657+L658+L659+L660</f>
        <v>0</v>
      </c>
      <c r="O660" s="392">
        <f t="shared" si="201"/>
        <v>0</v>
      </c>
      <c r="P660" s="392">
        <f t="shared" si="202"/>
        <v>0</v>
      </c>
      <c r="Q660" s="391">
        <f>SUM(N650:N660)</f>
        <v>0</v>
      </c>
      <c r="R660" s="392">
        <f t="shared" si="203"/>
        <v>0</v>
      </c>
      <c r="S660" s="392">
        <f t="shared" si="204"/>
        <v>0</v>
      </c>
      <c r="T660" s="393"/>
      <c r="U660" s="393"/>
      <c r="V660" s="393"/>
      <c r="W660" s="393"/>
      <c r="X660" s="593"/>
      <c r="Y660" s="394"/>
    </row>
    <row r="661" spans="1:25" ht="14.85" customHeight="1">
      <c r="A661" s="316"/>
      <c r="B661" s="259"/>
      <c r="C661" s="259"/>
      <c r="D661" s="256"/>
      <c r="E661" s="401"/>
      <c r="F661" s="385"/>
      <c r="G661" s="397"/>
      <c r="H661" s="385"/>
      <c r="I661" s="398"/>
      <c r="J661" s="387"/>
      <c r="K661" s="388">
        <f t="shared" si="205"/>
        <v>0</v>
      </c>
      <c r="L661" s="389">
        <f t="shared" si="206"/>
        <v>0</v>
      </c>
      <c r="M661" s="390">
        <f t="shared" si="207"/>
        <v>0</v>
      </c>
      <c r="N661" s="391"/>
      <c r="O661" s="392">
        <f t="shared" si="201"/>
        <v>0</v>
      </c>
      <c r="P661" s="392">
        <f t="shared" si="202"/>
        <v>0</v>
      </c>
      <c r="Q661" s="391"/>
      <c r="R661" s="392">
        <f t="shared" si="203"/>
        <v>0</v>
      </c>
      <c r="S661" s="392">
        <f t="shared" si="204"/>
        <v>0</v>
      </c>
      <c r="T661" s="393"/>
      <c r="U661" s="393"/>
      <c r="V661" s="393"/>
      <c r="W661" s="393"/>
      <c r="X661" s="593"/>
      <c r="Y661" s="394"/>
    </row>
    <row r="662" spans="1:25" ht="14.85" customHeight="1">
      <c r="A662" s="316"/>
      <c r="B662" s="259"/>
      <c r="C662" s="259"/>
      <c r="D662" s="256"/>
      <c r="E662" s="384"/>
      <c r="F662" s="385"/>
      <c r="G662" s="397"/>
      <c r="H662" s="385"/>
      <c r="I662" s="398"/>
      <c r="J662" s="387"/>
      <c r="K662" s="388">
        <f t="shared" si="205"/>
        <v>0</v>
      </c>
      <c r="L662" s="389">
        <f t="shared" si="206"/>
        <v>0</v>
      </c>
      <c r="M662" s="390">
        <f t="shared" si="207"/>
        <v>0</v>
      </c>
      <c r="N662" s="391"/>
      <c r="O662" s="392">
        <f t="shared" si="201"/>
        <v>0</v>
      </c>
      <c r="P662" s="392">
        <f t="shared" si="202"/>
        <v>0</v>
      </c>
      <c r="Q662" s="391"/>
      <c r="R662" s="392">
        <f t="shared" si="203"/>
        <v>0</v>
      </c>
      <c r="S662" s="392">
        <f t="shared" si="204"/>
        <v>0</v>
      </c>
      <c r="T662" s="393"/>
      <c r="U662" s="393"/>
      <c r="V662" s="393"/>
      <c r="W662" s="393"/>
      <c r="X662" s="593"/>
      <c r="Y662" s="394"/>
    </row>
    <row r="663" spans="1:25" ht="14.85" customHeight="1">
      <c r="A663" s="316"/>
      <c r="B663" s="259"/>
      <c r="C663" s="259"/>
      <c r="D663" s="256"/>
      <c r="E663" s="401"/>
      <c r="F663" s="385"/>
      <c r="G663" s="397"/>
      <c r="H663" s="385"/>
      <c r="I663" s="398"/>
      <c r="J663" s="387"/>
      <c r="K663" s="388">
        <f t="shared" si="205"/>
        <v>0</v>
      </c>
      <c r="L663" s="389">
        <f t="shared" si="206"/>
        <v>0</v>
      </c>
      <c r="M663" s="390">
        <f t="shared" si="207"/>
        <v>0</v>
      </c>
      <c r="N663" s="391">
        <f>L662+L663</f>
        <v>0</v>
      </c>
      <c r="O663" s="392">
        <f t="shared" si="201"/>
        <v>0</v>
      </c>
      <c r="P663" s="392">
        <f t="shared" si="202"/>
        <v>0</v>
      </c>
      <c r="Q663" s="391"/>
      <c r="R663" s="392">
        <f t="shared" si="203"/>
        <v>0</v>
      </c>
      <c r="S663" s="392">
        <f t="shared" si="204"/>
        <v>0</v>
      </c>
      <c r="T663" s="393"/>
      <c r="U663" s="393"/>
      <c r="V663" s="393"/>
      <c r="W663" s="393"/>
      <c r="X663" s="593"/>
      <c r="Y663" s="394"/>
    </row>
    <row r="664" spans="1:25" ht="14.85" customHeight="1">
      <c r="A664" s="316"/>
      <c r="B664" s="259"/>
      <c r="C664" s="259"/>
      <c r="D664" s="256"/>
      <c r="E664" s="401"/>
      <c r="F664" s="402"/>
      <c r="G664" s="397"/>
      <c r="H664" s="385"/>
      <c r="I664" s="398"/>
      <c r="J664" s="405"/>
      <c r="K664" s="388">
        <f t="shared" si="205"/>
        <v>0</v>
      </c>
      <c r="L664" s="389">
        <f t="shared" si="206"/>
        <v>0</v>
      </c>
      <c r="M664" s="390">
        <f t="shared" si="207"/>
        <v>0</v>
      </c>
      <c r="N664" s="391"/>
      <c r="O664" s="392">
        <f t="shared" si="201"/>
        <v>0</v>
      </c>
      <c r="P664" s="392">
        <f t="shared" si="202"/>
        <v>0</v>
      </c>
      <c r="Q664" s="391"/>
      <c r="R664" s="392">
        <f t="shared" si="203"/>
        <v>0</v>
      </c>
      <c r="S664" s="392">
        <f t="shared" si="204"/>
        <v>0</v>
      </c>
      <c r="T664" s="393"/>
      <c r="U664" s="393"/>
      <c r="V664" s="393"/>
      <c r="W664" s="393"/>
      <c r="X664" s="593"/>
      <c r="Y664" s="394"/>
    </row>
    <row r="665" spans="1:25" ht="14.85" customHeight="1">
      <c r="A665" s="316"/>
      <c r="B665" s="259"/>
      <c r="C665" s="259"/>
      <c r="D665" s="256"/>
      <c r="E665" s="401"/>
      <c r="F665" s="402"/>
      <c r="G665" s="397"/>
      <c r="H665" s="385"/>
      <c r="I665" s="398"/>
      <c r="J665" s="405"/>
      <c r="K665" s="388">
        <f t="shared" si="205"/>
        <v>0</v>
      </c>
      <c r="L665" s="389">
        <f t="shared" si="206"/>
        <v>0</v>
      </c>
      <c r="M665" s="390">
        <f t="shared" si="207"/>
        <v>0</v>
      </c>
      <c r="N665" s="391">
        <f>L664+L665</f>
        <v>0</v>
      </c>
      <c r="O665" s="392">
        <f t="shared" si="201"/>
        <v>0</v>
      </c>
      <c r="P665" s="392">
        <f t="shared" si="202"/>
        <v>0</v>
      </c>
      <c r="Q665" s="391"/>
      <c r="R665" s="392">
        <f t="shared" si="203"/>
        <v>0</v>
      </c>
      <c r="S665" s="392">
        <f t="shared" si="204"/>
        <v>0</v>
      </c>
      <c r="T665" s="393"/>
      <c r="U665" s="393"/>
      <c r="V665" s="393"/>
      <c r="W665" s="393"/>
      <c r="X665" s="593"/>
      <c r="Y665" s="394"/>
    </row>
    <row r="666" spans="1:25" ht="14.85" customHeight="1">
      <c r="A666" s="316"/>
      <c r="B666" s="259"/>
      <c r="C666" s="259"/>
      <c r="D666" s="256"/>
      <c r="E666" s="401"/>
      <c r="F666" s="385"/>
      <c r="G666" s="397"/>
      <c r="H666" s="385"/>
      <c r="I666" s="398"/>
      <c r="J666" s="387"/>
      <c r="K666" s="388">
        <f t="shared" si="205"/>
        <v>0</v>
      </c>
      <c r="L666" s="389">
        <f t="shared" si="206"/>
        <v>0</v>
      </c>
      <c r="M666" s="390">
        <f t="shared" si="207"/>
        <v>0</v>
      </c>
      <c r="N666" s="391"/>
      <c r="O666" s="392">
        <f t="shared" si="201"/>
        <v>0</v>
      </c>
      <c r="P666" s="392">
        <f t="shared" si="202"/>
        <v>0</v>
      </c>
      <c r="Q666" s="391"/>
      <c r="R666" s="392">
        <f t="shared" si="203"/>
        <v>0</v>
      </c>
      <c r="S666" s="392">
        <f t="shared" si="204"/>
        <v>0</v>
      </c>
      <c r="T666" s="393"/>
      <c r="U666" s="393"/>
      <c r="V666" s="393"/>
      <c r="W666" s="393"/>
      <c r="X666" s="593"/>
      <c r="Y666" s="394"/>
    </row>
    <row r="667" spans="1:25" ht="14.85" customHeight="1">
      <c r="A667" s="316"/>
      <c r="B667" s="263"/>
      <c r="C667" s="259"/>
      <c r="D667" s="257"/>
      <c r="E667" s="401"/>
      <c r="F667" s="385"/>
      <c r="G667" s="386"/>
      <c r="H667" s="386"/>
      <c r="I667" s="398"/>
      <c r="J667" s="387"/>
      <c r="K667" s="388">
        <f t="shared" si="205"/>
        <v>0</v>
      </c>
      <c r="L667" s="389">
        <f t="shared" si="206"/>
        <v>0</v>
      </c>
      <c r="M667" s="390">
        <f t="shared" si="207"/>
        <v>0</v>
      </c>
      <c r="N667" s="391">
        <f>L667+L668</f>
        <v>0</v>
      </c>
      <c r="O667" s="392">
        <f t="shared" si="201"/>
        <v>0</v>
      </c>
      <c r="P667" s="392">
        <f t="shared" si="202"/>
        <v>0</v>
      </c>
      <c r="Q667" s="391"/>
      <c r="R667" s="392">
        <f t="shared" si="203"/>
        <v>0</v>
      </c>
      <c r="S667" s="392">
        <f t="shared" si="204"/>
        <v>0</v>
      </c>
      <c r="T667" s="393"/>
      <c r="U667" s="393"/>
      <c r="V667" s="393"/>
      <c r="W667" s="393"/>
      <c r="X667" s="593"/>
      <c r="Y667" s="394"/>
    </row>
    <row r="668" spans="1:25" ht="14.85" customHeight="1">
      <c r="A668" s="316"/>
      <c r="B668" s="263"/>
      <c r="C668" s="259"/>
      <c r="D668" s="257"/>
      <c r="E668" s="401"/>
      <c r="F668" s="385"/>
      <c r="G668" s="397"/>
      <c r="H668" s="385"/>
      <c r="I668" s="398"/>
      <c r="J668" s="387"/>
      <c r="K668" s="388">
        <f t="shared" si="205"/>
        <v>0</v>
      </c>
      <c r="L668" s="389">
        <f t="shared" si="206"/>
        <v>0</v>
      </c>
      <c r="M668" s="390">
        <f t="shared" si="207"/>
        <v>0</v>
      </c>
      <c r="N668" s="391"/>
      <c r="O668" s="392">
        <f t="shared" si="201"/>
        <v>0</v>
      </c>
      <c r="P668" s="392">
        <f t="shared" si="202"/>
        <v>0</v>
      </c>
      <c r="Q668" s="391"/>
      <c r="R668" s="392">
        <f t="shared" si="203"/>
        <v>0</v>
      </c>
      <c r="S668" s="392">
        <f t="shared" si="204"/>
        <v>0</v>
      </c>
      <c r="T668" s="393"/>
      <c r="U668" s="393"/>
      <c r="V668" s="393"/>
      <c r="W668" s="393"/>
      <c r="X668" s="593"/>
      <c r="Y668" s="394"/>
    </row>
    <row r="669" spans="1:25" ht="14.85" customHeight="1">
      <c r="A669" s="316"/>
      <c r="B669" s="259"/>
      <c r="C669" s="259"/>
      <c r="D669" s="256"/>
      <c r="E669" s="401"/>
      <c r="F669" s="385"/>
      <c r="G669" s="404"/>
      <c r="H669" s="404"/>
      <c r="I669" s="398"/>
      <c r="J669" s="387"/>
      <c r="K669" s="388">
        <f t="shared" si="205"/>
        <v>0</v>
      </c>
      <c r="L669" s="389">
        <f t="shared" si="206"/>
        <v>0</v>
      </c>
      <c r="M669" s="390">
        <f t="shared" si="207"/>
        <v>0</v>
      </c>
      <c r="N669" s="391">
        <f>L669</f>
        <v>0</v>
      </c>
      <c r="O669" s="392">
        <f t="shared" si="201"/>
        <v>0</v>
      </c>
      <c r="P669" s="392">
        <f t="shared" si="202"/>
        <v>0</v>
      </c>
      <c r="Q669" s="391">
        <f>N663+N665+N667+N669</f>
        <v>0</v>
      </c>
      <c r="R669" s="392">
        <f t="shared" si="203"/>
        <v>0</v>
      </c>
      <c r="S669" s="392">
        <f t="shared" si="204"/>
        <v>0</v>
      </c>
      <c r="T669" s="393"/>
      <c r="U669" s="393"/>
      <c r="V669" s="393"/>
      <c r="W669" s="393"/>
      <c r="X669" s="593"/>
      <c r="Y669" s="394"/>
    </row>
    <row r="670" spans="1:25" ht="14.85" customHeight="1">
      <c r="A670" s="316"/>
      <c r="B670" s="259"/>
      <c r="C670" s="259"/>
      <c r="D670" s="256"/>
      <c r="E670" s="401"/>
      <c r="F670" s="385"/>
      <c r="G670" s="397"/>
      <c r="H670" s="385"/>
      <c r="I670" s="398"/>
      <c r="J670" s="387"/>
      <c r="K670" s="388">
        <f t="shared" si="205"/>
        <v>0</v>
      </c>
      <c r="L670" s="389">
        <f t="shared" si="206"/>
        <v>0</v>
      </c>
      <c r="M670" s="390">
        <f t="shared" si="207"/>
        <v>0</v>
      </c>
      <c r="N670" s="391"/>
      <c r="O670" s="392">
        <f t="shared" si="201"/>
        <v>0</v>
      </c>
      <c r="P670" s="392">
        <f t="shared" si="202"/>
        <v>0</v>
      </c>
      <c r="Q670" s="391"/>
      <c r="R670" s="392">
        <f t="shared" si="203"/>
        <v>0</v>
      </c>
      <c r="S670" s="392">
        <f t="shared" si="204"/>
        <v>0</v>
      </c>
      <c r="T670" s="393"/>
      <c r="U670" s="393"/>
      <c r="V670" s="393"/>
      <c r="W670" s="393"/>
      <c r="X670" s="593"/>
      <c r="Y670" s="394"/>
    </row>
    <row r="671" spans="1:25" ht="14.85" customHeight="1">
      <c r="A671" s="316"/>
      <c r="B671" s="259"/>
      <c r="C671" s="259"/>
      <c r="D671" s="256"/>
      <c r="E671" s="395"/>
      <c r="F671" s="385"/>
      <c r="G671" s="397"/>
      <c r="H671" s="385"/>
      <c r="I671" s="385"/>
      <c r="J671" s="387"/>
      <c r="K671" s="388">
        <f t="shared" si="205"/>
        <v>0</v>
      </c>
      <c r="L671" s="389">
        <f t="shared" si="206"/>
        <v>0</v>
      </c>
      <c r="M671" s="390">
        <f t="shared" si="207"/>
        <v>0</v>
      </c>
      <c r="N671" s="391">
        <f>L671</f>
        <v>0</v>
      </c>
      <c r="O671" s="392">
        <f t="shared" si="201"/>
        <v>0</v>
      </c>
      <c r="P671" s="392">
        <f t="shared" si="202"/>
        <v>0</v>
      </c>
      <c r="Q671" s="391"/>
      <c r="R671" s="392">
        <f t="shared" si="203"/>
        <v>0</v>
      </c>
      <c r="S671" s="392">
        <f t="shared" si="204"/>
        <v>0</v>
      </c>
      <c r="T671" s="393"/>
      <c r="U671" s="393"/>
      <c r="V671" s="393"/>
      <c r="W671" s="393"/>
      <c r="X671" s="593"/>
      <c r="Y671" s="394"/>
    </row>
    <row r="672" spans="1:25" ht="14.85" customHeight="1">
      <c r="A672" s="316"/>
      <c r="B672" s="259"/>
      <c r="C672" s="259"/>
      <c r="D672" s="256"/>
      <c r="E672" s="384"/>
      <c r="F672" s="396"/>
      <c r="G672" s="397"/>
      <c r="H672" s="385"/>
      <c r="I672" s="398"/>
      <c r="J672" s="387"/>
      <c r="K672" s="388">
        <f t="shared" si="205"/>
        <v>0</v>
      </c>
      <c r="L672" s="389">
        <f t="shared" si="206"/>
        <v>0</v>
      </c>
      <c r="M672" s="390">
        <f t="shared" si="207"/>
        <v>0</v>
      </c>
      <c r="N672" s="391">
        <f>L672</f>
        <v>0</v>
      </c>
      <c r="O672" s="392">
        <f t="shared" si="201"/>
        <v>0</v>
      </c>
      <c r="P672" s="392">
        <f t="shared" si="202"/>
        <v>0</v>
      </c>
      <c r="Q672" s="391"/>
      <c r="R672" s="392">
        <f t="shared" si="203"/>
        <v>0</v>
      </c>
      <c r="S672" s="392">
        <f t="shared" si="204"/>
        <v>0</v>
      </c>
      <c r="T672" s="393"/>
      <c r="U672" s="393"/>
      <c r="V672" s="393"/>
      <c r="W672" s="393"/>
      <c r="X672" s="593"/>
      <c r="Y672" s="394"/>
    </row>
    <row r="673" spans="1:25" ht="14.85" customHeight="1">
      <c r="A673" s="316"/>
      <c r="B673" s="259"/>
      <c r="C673" s="259"/>
      <c r="D673" s="256"/>
      <c r="E673" s="395"/>
      <c r="F673" s="385"/>
      <c r="G673" s="397"/>
      <c r="H673" s="385"/>
      <c r="I673" s="385"/>
      <c r="J673" s="387"/>
      <c r="K673" s="388">
        <f t="shared" si="205"/>
        <v>0</v>
      </c>
      <c r="L673" s="389">
        <f t="shared" si="206"/>
        <v>0</v>
      </c>
      <c r="M673" s="390">
        <f t="shared" si="207"/>
        <v>0</v>
      </c>
      <c r="N673" s="391">
        <f t="shared" ref="N673:N674" si="208">L673</f>
        <v>0</v>
      </c>
      <c r="O673" s="392">
        <f t="shared" si="201"/>
        <v>0</v>
      </c>
      <c r="P673" s="392">
        <f t="shared" si="202"/>
        <v>0</v>
      </c>
      <c r="Q673" s="391"/>
      <c r="R673" s="392">
        <f t="shared" si="203"/>
        <v>0</v>
      </c>
      <c r="S673" s="392">
        <f t="shared" si="204"/>
        <v>0</v>
      </c>
      <c r="T673" s="393"/>
      <c r="U673" s="393"/>
      <c r="V673" s="393"/>
      <c r="W673" s="393"/>
      <c r="X673" s="593"/>
      <c r="Y673" s="394"/>
    </row>
    <row r="674" spans="1:25" ht="14.85" customHeight="1">
      <c r="A674" s="316"/>
      <c r="B674" s="259"/>
      <c r="C674" s="259"/>
      <c r="D674" s="256"/>
      <c r="E674" s="395"/>
      <c r="F674" s="385"/>
      <c r="G674" s="397"/>
      <c r="H674" s="385"/>
      <c r="I674" s="398"/>
      <c r="J674" s="387"/>
      <c r="K674" s="388">
        <f t="shared" si="205"/>
        <v>0</v>
      </c>
      <c r="L674" s="389">
        <f t="shared" si="206"/>
        <v>0</v>
      </c>
      <c r="M674" s="390">
        <f t="shared" si="207"/>
        <v>0</v>
      </c>
      <c r="N674" s="391">
        <f t="shared" si="208"/>
        <v>0</v>
      </c>
      <c r="O674" s="392">
        <f t="shared" si="201"/>
        <v>0</v>
      </c>
      <c r="P674" s="392">
        <f t="shared" si="202"/>
        <v>0</v>
      </c>
      <c r="Q674" s="391"/>
      <c r="R674" s="392">
        <f t="shared" si="203"/>
        <v>0</v>
      </c>
      <c r="S674" s="392">
        <f t="shared" si="204"/>
        <v>0</v>
      </c>
      <c r="T674" s="393"/>
      <c r="U674" s="393"/>
      <c r="V674" s="393"/>
      <c r="W674" s="393"/>
      <c r="X674" s="593"/>
      <c r="Y674" s="394"/>
    </row>
    <row r="675" spans="1:25" ht="14.85" customHeight="1">
      <c r="A675" s="316"/>
      <c r="B675" s="259"/>
      <c r="C675" s="259"/>
      <c r="D675" s="256"/>
      <c r="E675" s="395"/>
      <c r="F675" s="385"/>
      <c r="G675" s="397"/>
      <c r="H675" s="385"/>
      <c r="I675" s="385"/>
      <c r="J675" s="387"/>
      <c r="K675" s="388">
        <f t="shared" si="205"/>
        <v>0</v>
      </c>
      <c r="L675" s="389">
        <f t="shared" si="206"/>
        <v>0</v>
      </c>
      <c r="M675" s="390">
        <f t="shared" si="207"/>
        <v>0</v>
      </c>
      <c r="N675" s="391">
        <f>L675</f>
        <v>0</v>
      </c>
      <c r="O675" s="392">
        <f t="shared" si="201"/>
        <v>0</v>
      </c>
      <c r="P675" s="392">
        <f t="shared" si="202"/>
        <v>0</v>
      </c>
      <c r="Q675" s="391">
        <f>N671+N672+N673+N674+N675</f>
        <v>0</v>
      </c>
      <c r="R675" s="392">
        <f t="shared" si="203"/>
        <v>0</v>
      </c>
      <c r="S675" s="392">
        <f t="shared" si="204"/>
        <v>0</v>
      </c>
      <c r="T675" s="393"/>
      <c r="U675" s="393"/>
      <c r="V675" s="393"/>
      <c r="W675" s="393"/>
      <c r="X675" s="593"/>
      <c r="Y675" s="394"/>
    </row>
    <row r="676" spans="1:25" ht="14.85" customHeight="1">
      <c r="A676" s="316"/>
      <c r="B676" s="259"/>
      <c r="C676" s="259"/>
      <c r="D676" s="256"/>
      <c r="E676" s="395"/>
      <c r="F676" s="385"/>
      <c r="G676" s="397"/>
      <c r="H676" s="385"/>
      <c r="I676" s="385"/>
      <c r="J676" s="387"/>
      <c r="K676" s="388">
        <f t="shared" si="205"/>
        <v>0</v>
      </c>
      <c r="L676" s="389">
        <f t="shared" si="206"/>
        <v>0</v>
      </c>
      <c r="M676" s="390">
        <f t="shared" si="207"/>
        <v>0</v>
      </c>
      <c r="N676" s="391"/>
      <c r="O676" s="392">
        <f t="shared" si="201"/>
        <v>0</v>
      </c>
      <c r="P676" s="392">
        <f t="shared" si="202"/>
        <v>0</v>
      </c>
      <c r="Q676" s="391"/>
      <c r="R676" s="392">
        <f t="shared" si="203"/>
        <v>0</v>
      </c>
      <c r="S676" s="392">
        <f t="shared" si="204"/>
        <v>0</v>
      </c>
      <c r="T676" s="393"/>
      <c r="U676" s="393"/>
      <c r="V676" s="393"/>
      <c r="W676" s="393"/>
      <c r="X676" s="593"/>
      <c r="Y676" s="394"/>
    </row>
    <row r="677" spans="1:25" ht="14.85" customHeight="1">
      <c r="A677" s="316"/>
      <c r="B677" s="259"/>
      <c r="C677" s="259"/>
      <c r="D677" s="256"/>
      <c r="E677" s="395"/>
      <c r="F677" s="385"/>
      <c r="G677" s="397"/>
      <c r="H677" s="385"/>
      <c r="I677" s="385"/>
      <c r="J677" s="387"/>
      <c r="K677" s="388">
        <f t="shared" si="205"/>
        <v>0</v>
      </c>
      <c r="L677" s="389">
        <f t="shared" si="206"/>
        <v>0</v>
      </c>
      <c r="M677" s="390">
        <f t="shared" si="207"/>
        <v>0</v>
      </c>
      <c r="N677" s="391">
        <f>L677</f>
        <v>0</v>
      </c>
      <c r="O677" s="392">
        <f t="shared" si="201"/>
        <v>0</v>
      </c>
      <c r="P677" s="392">
        <f t="shared" si="202"/>
        <v>0</v>
      </c>
      <c r="Q677" s="391"/>
      <c r="R677" s="392">
        <f t="shared" si="203"/>
        <v>0</v>
      </c>
      <c r="S677" s="392">
        <f t="shared" si="204"/>
        <v>0</v>
      </c>
      <c r="T677" s="393"/>
      <c r="U677" s="393"/>
      <c r="V677" s="393"/>
      <c r="W677" s="393"/>
      <c r="X677" s="593"/>
      <c r="Y677" s="394"/>
    </row>
    <row r="678" spans="1:25" ht="14.85" customHeight="1">
      <c r="A678" s="316"/>
      <c r="B678" s="259"/>
      <c r="C678" s="259"/>
      <c r="D678" s="256"/>
      <c r="E678" s="384"/>
      <c r="F678" s="385"/>
      <c r="G678" s="386"/>
      <c r="H678" s="386"/>
      <c r="I678" s="385"/>
      <c r="J678" s="387"/>
      <c r="K678" s="388">
        <f t="shared" si="205"/>
        <v>0</v>
      </c>
      <c r="L678" s="389">
        <f t="shared" si="206"/>
        <v>0</v>
      </c>
      <c r="M678" s="390">
        <f t="shared" si="207"/>
        <v>0</v>
      </c>
      <c r="N678" s="391">
        <f>L678</f>
        <v>0</v>
      </c>
      <c r="O678" s="392">
        <f t="shared" si="201"/>
        <v>0</v>
      </c>
      <c r="P678" s="392">
        <f t="shared" si="202"/>
        <v>0</v>
      </c>
      <c r="Q678" s="391"/>
      <c r="R678" s="392">
        <f t="shared" si="203"/>
        <v>0</v>
      </c>
      <c r="S678" s="392">
        <f t="shared" si="204"/>
        <v>0</v>
      </c>
      <c r="T678" s="393"/>
      <c r="U678" s="393"/>
      <c r="V678" s="393"/>
      <c r="W678" s="393"/>
      <c r="X678" s="593"/>
      <c r="Y678" s="394"/>
    </row>
    <row r="679" spans="1:25" ht="14.85" customHeight="1">
      <c r="A679" s="316"/>
      <c r="B679" s="259"/>
      <c r="C679" s="259"/>
      <c r="D679" s="256"/>
      <c r="E679" s="395"/>
      <c r="F679" s="385"/>
      <c r="G679" s="397"/>
      <c r="H679" s="385"/>
      <c r="I679" s="385"/>
      <c r="J679" s="387"/>
      <c r="K679" s="388">
        <f t="shared" si="205"/>
        <v>0</v>
      </c>
      <c r="L679" s="389">
        <f t="shared" si="206"/>
        <v>0</v>
      </c>
      <c r="M679" s="390">
        <f t="shared" si="207"/>
        <v>0</v>
      </c>
      <c r="N679" s="391"/>
      <c r="O679" s="392">
        <f t="shared" si="201"/>
        <v>0</v>
      </c>
      <c r="P679" s="392">
        <f t="shared" si="202"/>
        <v>0</v>
      </c>
      <c r="Q679" s="391"/>
      <c r="R679" s="392">
        <f t="shared" si="203"/>
        <v>0</v>
      </c>
      <c r="S679" s="392">
        <f t="shared" si="204"/>
        <v>0</v>
      </c>
      <c r="T679" s="393"/>
      <c r="U679" s="393"/>
      <c r="V679" s="393"/>
      <c r="W679" s="393"/>
      <c r="X679" s="593"/>
      <c r="Y679" s="394"/>
    </row>
    <row r="680" spans="1:25" ht="14.85" customHeight="1">
      <c r="A680" s="316"/>
      <c r="B680" s="259"/>
      <c r="C680" s="259"/>
      <c r="D680" s="256"/>
      <c r="E680" s="395"/>
      <c r="F680" s="385"/>
      <c r="G680" s="397"/>
      <c r="H680" s="385"/>
      <c r="I680" s="385"/>
      <c r="J680" s="387"/>
      <c r="K680" s="388">
        <f t="shared" si="205"/>
        <v>0</v>
      </c>
      <c r="L680" s="389">
        <f t="shared" si="206"/>
        <v>0</v>
      </c>
      <c r="M680" s="390">
        <f t="shared" si="207"/>
        <v>0</v>
      </c>
      <c r="N680" s="391">
        <f>L679+L680</f>
        <v>0</v>
      </c>
      <c r="O680" s="392">
        <f t="shared" si="201"/>
        <v>0</v>
      </c>
      <c r="P680" s="392">
        <f t="shared" si="202"/>
        <v>0</v>
      </c>
      <c r="Q680" s="391"/>
      <c r="R680" s="392">
        <f t="shared" si="203"/>
        <v>0</v>
      </c>
      <c r="S680" s="392">
        <f t="shared" si="204"/>
        <v>0</v>
      </c>
      <c r="T680" s="393"/>
      <c r="U680" s="393"/>
      <c r="V680" s="393"/>
      <c r="W680" s="393"/>
      <c r="X680" s="593"/>
      <c r="Y680" s="394"/>
    </row>
    <row r="681" spans="1:25" ht="14.85" customHeight="1">
      <c r="A681" s="316"/>
      <c r="B681" s="259"/>
      <c r="C681" s="259"/>
      <c r="D681" s="256"/>
      <c r="E681" s="395"/>
      <c r="F681" s="385"/>
      <c r="G681" s="397"/>
      <c r="H681" s="385"/>
      <c r="I681" s="385"/>
      <c r="J681" s="387"/>
      <c r="K681" s="388">
        <f t="shared" si="205"/>
        <v>0</v>
      </c>
      <c r="L681" s="389">
        <f t="shared" si="206"/>
        <v>0</v>
      </c>
      <c r="M681" s="390">
        <f t="shared" si="207"/>
        <v>0</v>
      </c>
      <c r="N681" s="391"/>
      <c r="O681" s="392">
        <f t="shared" si="201"/>
        <v>0</v>
      </c>
      <c r="P681" s="392">
        <f t="shared" si="202"/>
        <v>0</v>
      </c>
      <c r="Q681" s="391"/>
      <c r="R681" s="392">
        <f t="shared" si="203"/>
        <v>0</v>
      </c>
      <c r="S681" s="392">
        <f t="shared" si="204"/>
        <v>0</v>
      </c>
      <c r="T681" s="393"/>
      <c r="U681" s="393"/>
      <c r="V681" s="393"/>
      <c r="W681" s="393"/>
      <c r="X681" s="593"/>
      <c r="Y681" s="394"/>
    </row>
    <row r="682" spans="1:25" ht="14.85" customHeight="1">
      <c r="A682" s="316"/>
      <c r="B682" s="259"/>
      <c r="C682" s="259"/>
      <c r="D682" s="256"/>
      <c r="E682" s="395"/>
      <c r="F682" s="385"/>
      <c r="G682" s="397"/>
      <c r="H682" s="385"/>
      <c r="I682" s="385"/>
      <c r="J682" s="387"/>
      <c r="K682" s="388">
        <f t="shared" si="205"/>
        <v>0</v>
      </c>
      <c r="L682" s="389">
        <f t="shared" si="206"/>
        <v>0</v>
      </c>
      <c r="M682" s="390">
        <f t="shared" si="207"/>
        <v>0</v>
      </c>
      <c r="N682" s="391"/>
      <c r="O682" s="392">
        <f t="shared" si="201"/>
        <v>0</v>
      </c>
      <c r="P682" s="392">
        <f t="shared" si="202"/>
        <v>0</v>
      </c>
      <c r="Q682" s="391"/>
      <c r="R682" s="392">
        <f t="shared" si="203"/>
        <v>0</v>
      </c>
      <c r="S682" s="392">
        <f t="shared" si="204"/>
        <v>0</v>
      </c>
      <c r="T682" s="393"/>
      <c r="U682" s="393"/>
      <c r="V682" s="393"/>
      <c r="W682" s="393"/>
      <c r="X682" s="593"/>
      <c r="Y682" s="394"/>
    </row>
    <row r="683" spans="1:25" ht="14.85" customHeight="1">
      <c r="A683" s="316"/>
      <c r="B683" s="259"/>
      <c r="C683" s="259"/>
      <c r="D683" s="256"/>
      <c r="E683" s="395"/>
      <c r="F683" s="385"/>
      <c r="G683" s="397"/>
      <c r="H683" s="385"/>
      <c r="I683" s="385"/>
      <c r="J683" s="387"/>
      <c r="K683" s="388">
        <f t="shared" si="205"/>
        <v>0</v>
      </c>
      <c r="L683" s="389">
        <f t="shared" si="206"/>
        <v>0</v>
      </c>
      <c r="M683" s="390">
        <f t="shared" si="207"/>
        <v>0</v>
      </c>
      <c r="N683" s="391">
        <f>L681+L682+L683</f>
        <v>0</v>
      </c>
      <c r="O683" s="392">
        <f t="shared" si="201"/>
        <v>0</v>
      </c>
      <c r="P683" s="392">
        <f t="shared" si="202"/>
        <v>0</v>
      </c>
      <c r="Q683" s="391">
        <f>N677+N678+N680+N683</f>
        <v>0</v>
      </c>
      <c r="R683" s="392">
        <f t="shared" si="203"/>
        <v>0</v>
      </c>
      <c r="S683" s="392">
        <f t="shared" si="204"/>
        <v>0</v>
      </c>
      <c r="T683" s="393"/>
      <c r="U683" s="393"/>
      <c r="V683" s="393"/>
      <c r="W683" s="393"/>
      <c r="X683" s="593"/>
      <c r="Y683" s="394"/>
    </row>
    <row r="684" spans="1:25" ht="17.100000000000001" customHeight="1">
      <c r="A684" s="316"/>
      <c r="B684" s="259"/>
      <c r="C684" s="259"/>
      <c r="D684" s="256"/>
      <c r="E684" s="395"/>
      <c r="F684" s="385"/>
      <c r="G684" s="397"/>
      <c r="H684" s="385"/>
      <c r="I684" s="385"/>
      <c r="J684" s="387"/>
      <c r="K684" s="388">
        <f t="shared" si="205"/>
        <v>0</v>
      </c>
      <c r="L684" s="389">
        <f t="shared" si="206"/>
        <v>0</v>
      </c>
      <c r="M684" s="390">
        <f t="shared" si="207"/>
        <v>0</v>
      </c>
      <c r="N684" s="391"/>
      <c r="O684" s="392">
        <f t="shared" si="201"/>
        <v>0</v>
      </c>
      <c r="P684" s="392">
        <f t="shared" si="202"/>
        <v>0</v>
      </c>
      <c r="Q684" s="391"/>
      <c r="R684" s="392">
        <f t="shared" si="203"/>
        <v>0</v>
      </c>
      <c r="S684" s="392">
        <f t="shared" si="204"/>
        <v>0</v>
      </c>
      <c r="T684" s="393"/>
      <c r="U684" s="393"/>
      <c r="V684" s="393"/>
      <c r="W684" s="393"/>
      <c r="X684" s="593"/>
      <c r="Y684" s="394"/>
    </row>
    <row r="685" spans="1:25" ht="17.45" customHeight="1">
      <c r="A685" s="316"/>
      <c r="B685" s="259"/>
      <c r="C685" s="259"/>
      <c r="D685" s="256"/>
      <c r="E685" s="395"/>
      <c r="F685" s="385"/>
      <c r="G685" s="397"/>
      <c r="H685" s="385"/>
      <c r="I685" s="385"/>
      <c r="J685" s="387"/>
      <c r="K685" s="388">
        <f t="shared" si="205"/>
        <v>0</v>
      </c>
      <c r="L685" s="389">
        <f t="shared" si="206"/>
        <v>0</v>
      </c>
      <c r="M685" s="390">
        <f t="shared" si="207"/>
        <v>0</v>
      </c>
      <c r="N685" s="391"/>
      <c r="O685" s="392">
        <f t="shared" si="201"/>
        <v>0</v>
      </c>
      <c r="P685" s="392">
        <f t="shared" si="202"/>
        <v>0</v>
      </c>
      <c r="Q685" s="391"/>
      <c r="R685" s="392">
        <f t="shared" si="203"/>
        <v>0</v>
      </c>
      <c r="S685" s="392">
        <f t="shared" si="204"/>
        <v>0</v>
      </c>
      <c r="T685" s="393"/>
      <c r="U685" s="393"/>
      <c r="V685" s="393"/>
      <c r="W685" s="393"/>
      <c r="X685" s="593"/>
      <c r="Y685" s="394"/>
    </row>
    <row r="686" spans="1:25" ht="14.85" customHeight="1">
      <c r="A686" s="316"/>
      <c r="B686" s="259"/>
      <c r="C686" s="259"/>
      <c r="D686" s="256"/>
      <c r="E686" s="384"/>
      <c r="F686" s="385"/>
      <c r="G686" s="404"/>
      <c r="H686" s="404"/>
      <c r="I686" s="385"/>
      <c r="J686" s="387"/>
      <c r="K686" s="388">
        <f t="shared" si="205"/>
        <v>0</v>
      </c>
      <c r="L686" s="389">
        <f t="shared" si="206"/>
        <v>0</v>
      </c>
      <c r="M686" s="390">
        <f t="shared" si="207"/>
        <v>0</v>
      </c>
      <c r="N686" s="391">
        <f>SUM(L685:L686)</f>
        <v>0</v>
      </c>
      <c r="O686" s="392">
        <f t="shared" si="201"/>
        <v>0</v>
      </c>
      <c r="P686" s="392">
        <f t="shared" si="202"/>
        <v>0</v>
      </c>
      <c r="Q686" s="391"/>
      <c r="R686" s="392">
        <f t="shared" si="203"/>
        <v>0</v>
      </c>
      <c r="S686" s="392">
        <f t="shared" si="204"/>
        <v>0</v>
      </c>
      <c r="T686" s="393"/>
      <c r="U686" s="393"/>
      <c r="V686" s="393"/>
      <c r="W686" s="393"/>
      <c r="X686" s="593"/>
      <c r="Y686" s="394"/>
    </row>
    <row r="687" spans="1:25" ht="14.85" customHeight="1">
      <c r="A687" s="316"/>
      <c r="B687" s="259"/>
      <c r="C687" s="259"/>
      <c r="D687" s="256"/>
      <c r="E687" s="395"/>
      <c r="F687" s="385"/>
      <c r="G687" s="397"/>
      <c r="H687" s="385"/>
      <c r="I687" s="385"/>
      <c r="J687" s="385"/>
      <c r="K687" s="388">
        <f t="shared" si="205"/>
        <v>0</v>
      </c>
      <c r="L687" s="389">
        <f t="shared" si="206"/>
        <v>0</v>
      </c>
      <c r="M687" s="390">
        <f t="shared" si="207"/>
        <v>0</v>
      </c>
      <c r="N687" s="391">
        <f>L687</f>
        <v>0</v>
      </c>
      <c r="O687" s="392">
        <f t="shared" si="201"/>
        <v>0</v>
      </c>
      <c r="P687" s="392">
        <f t="shared" si="202"/>
        <v>0</v>
      </c>
      <c r="Q687" s="391">
        <f>N686+N687</f>
        <v>0</v>
      </c>
      <c r="R687" s="392">
        <f>ROUNDDOWN((Q687/$O$11),0)</f>
        <v>0</v>
      </c>
      <c r="S687" s="392">
        <f t="shared" si="204"/>
        <v>0</v>
      </c>
      <c r="T687" s="393"/>
      <c r="U687" s="393"/>
      <c r="V687" s="393"/>
      <c r="W687" s="393"/>
      <c r="X687" s="593"/>
      <c r="Y687" s="394"/>
    </row>
    <row r="688" spans="1:25" ht="14.85" customHeight="1">
      <c r="A688" s="316"/>
      <c r="B688" s="259"/>
      <c r="C688" s="259"/>
      <c r="D688" s="256"/>
      <c r="E688" s="395"/>
      <c r="F688" s="385"/>
      <c r="G688" s="397"/>
      <c r="H688" s="385"/>
      <c r="I688" s="385"/>
      <c r="J688" s="385"/>
      <c r="K688" s="388">
        <f t="shared" si="205"/>
        <v>0</v>
      </c>
      <c r="L688" s="389">
        <f t="shared" si="206"/>
        <v>0</v>
      </c>
      <c r="M688" s="390">
        <f t="shared" si="207"/>
        <v>0</v>
      </c>
      <c r="N688" s="391"/>
      <c r="O688" s="392">
        <f t="shared" si="201"/>
        <v>0</v>
      </c>
      <c r="P688" s="392">
        <f t="shared" si="202"/>
        <v>0</v>
      </c>
      <c r="Q688" s="391"/>
      <c r="R688" s="392">
        <f t="shared" si="203"/>
        <v>0</v>
      </c>
      <c r="S688" s="392">
        <f t="shared" si="204"/>
        <v>0</v>
      </c>
      <c r="T688" s="393"/>
      <c r="U688" s="393"/>
      <c r="V688" s="393"/>
      <c r="W688" s="393"/>
      <c r="X688" s="593"/>
      <c r="Y688" s="394"/>
    </row>
    <row r="689" spans="1:25" ht="14.85" customHeight="1">
      <c r="A689" s="316"/>
      <c r="B689" s="259"/>
      <c r="C689" s="259"/>
      <c r="D689" s="256"/>
      <c r="E689" s="384"/>
      <c r="F689" s="402"/>
      <c r="G689" s="386"/>
      <c r="H689" s="386"/>
      <c r="I689" s="398"/>
      <c r="J689" s="387"/>
      <c r="K689" s="388">
        <f t="shared" si="205"/>
        <v>0</v>
      </c>
      <c r="L689" s="389">
        <f t="shared" si="206"/>
        <v>0</v>
      </c>
      <c r="M689" s="390">
        <f t="shared" si="207"/>
        <v>0</v>
      </c>
      <c r="N689" s="391">
        <f>L689</f>
        <v>0</v>
      </c>
      <c r="O689" s="392">
        <f t="shared" si="201"/>
        <v>0</v>
      </c>
      <c r="P689" s="392">
        <f t="shared" si="202"/>
        <v>0</v>
      </c>
      <c r="Q689" s="391"/>
      <c r="R689" s="392">
        <f t="shared" si="203"/>
        <v>0</v>
      </c>
      <c r="S689" s="392">
        <f t="shared" si="204"/>
        <v>0</v>
      </c>
      <c r="T689" s="393"/>
      <c r="U689" s="393"/>
      <c r="V689" s="393"/>
      <c r="W689" s="393"/>
      <c r="X689" s="593"/>
      <c r="Y689" s="394"/>
    </row>
    <row r="690" spans="1:25" ht="14.85" customHeight="1">
      <c r="A690" s="316"/>
      <c r="B690" s="259"/>
      <c r="C690" s="259"/>
      <c r="D690" s="256"/>
      <c r="E690" s="406"/>
      <c r="F690" s="385"/>
      <c r="G690" s="397"/>
      <c r="H690" s="385"/>
      <c r="I690" s="385"/>
      <c r="J690" s="387"/>
      <c r="K690" s="388">
        <f t="shared" si="205"/>
        <v>0</v>
      </c>
      <c r="L690" s="389">
        <f t="shared" si="206"/>
        <v>0</v>
      </c>
      <c r="M690" s="390">
        <f t="shared" si="207"/>
        <v>0</v>
      </c>
      <c r="N690" s="391">
        <f>SUM(L688:L690)</f>
        <v>0</v>
      </c>
      <c r="O690" s="392">
        <f t="shared" si="201"/>
        <v>0</v>
      </c>
      <c r="P690" s="392">
        <f t="shared" si="202"/>
        <v>0</v>
      </c>
      <c r="Q690" s="391"/>
      <c r="R690" s="392">
        <f t="shared" si="203"/>
        <v>0</v>
      </c>
      <c r="S690" s="392">
        <f t="shared" si="204"/>
        <v>0</v>
      </c>
      <c r="T690" s="393"/>
      <c r="U690" s="393"/>
      <c r="V690" s="393"/>
      <c r="W690" s="393"/>
      <c r="X690" s="593"/>
      <c r="Y690" s="394"/>
    </row>
    <row r="691" spans="1:25" ht="14.85" customHeight="1">
      <c r="A691" s="316"/>
      <c r="B691" s="259"/>
      <c r="C691" s="259"/>
      <c r="D691" s="256"/>
      <c r="E691" s="406"/>
      <c r="F691" s="402"/>
      <c r="G691" s="404"/>
      <c r="H691" s="404"/>
      <c r="I691" s="398"/>
      <c r="J691" s="399"/>
      <c r="K691" s="388">
        <f t="shared" si="205"/>
        <v>0</v>
      </c>
      <c r="L691" s="389">
        <f t="shared" si="206"/>
        <v>0</v>
      </c>
      <c r="M691" s="390">
        <f t="shared" si="207"/>
        <v>0</v>
      </c>
      <c r="N691" s="391">
        <f>L691</f>
        <v>0</v>
      </c>
      <c r="O691" s="392">
        <f t="shared" si="201"/>
        <v>0</v>
      </c>
      <c r="P691" s="392">
        <f t="shared" si="202"/>
        <v>0</v>
      </c>
      <c r="Q691" s="391">
        <f>SUM(N689:N691)</f>
        <v>0</v>
      </c>
      <c r="R691" s="392">
        <f t="shared" si="203"/>
        <v>0</v>
      </c>
      <c r="S691" s="392">
        <f t="shared" si="204"/>
        <v>0</v>
      </c>
      <c r="T691" s="393"/>
      <c r="U691" s="393"/>
      <c r="V691" s="393"/>
      <c r="W691" s="393"/>
      <c r="X691" s="593"/>
      <c r="Y691" s="394"/>
    </row>
    <row r="692" spans="1:25" ht="14.85" customHeight="1">
      <c r="A692" s="316"/>
      <c r="B692" s="259"/>
      <c r="C692" s="259"/>
      <c r="D692" s="256"/>
      <c r="E692" s="406"/>
      <c r="F692" s="402"/>
      <c r="G692" s="397"/>
      <c r="H692" s="385"/>
      <c r="I692" s="398"/>
      <c r="J692" s="405"/>
      <c r="K692" s="388">
        <f t="shared" si="205"/>
        <v>0</v>
      </c>
      <c r="L692" s="389">
        <f t="shared" si="206"/>
        <v>0</v>
      </c>
      <c r="M692" s="390">
        <f t="shared" si="207"/>
        <v>0</v>
      </c>
      <c r="N692" s="391"/>
      <c r="O692" s="392">
        <f t="shared" si="201"/>
        <v>0</v>
      </c>
      <c r="P692" s="392">
        <f t="shared" si="202"/>
        <v>0</v>
      </c>
      <c r="Q692" s="391"/>
      <c r="R692" s="392">
        <f t="shared" si="203"/>
        <v>0</v>
      </c>
      <c r="S692" s="392">
        <f t="shared" si="204"/>
        <v>0</v>
      </c>
      <c r="T692" s="393"/>
      <c r="U692" s="393"/>
      <c r="V692" s="393"/>
      <c r="W692" s="393"/>
      <c r="X692" s="593"/>
      <c r="Y692" s="394"/>
    </row>
    <row r="693" spans="1:25" ht="14.85" customHeight="1">
      <c r="A693" s="316"/>
      <c r="B693" s="259"/>
      <c r="C693" s="259"/>
      <c r="D693" s="256"/>
      <c r="E693" s="384"/>
      <c r="F693" s="402"/>
      <c r="G693" s="397"/>
      <c r="H693" s="385"/>
      <c r="I693" s="398"/>
      <c r="J693" s="387"/>
      <c r="K693" s="388">
        <f t="shared" si="205"/>
        <v>0</v>
      </c>
      <c r="L693" s="389">
        <f t="shared" si="206"/>
        <v>0</v>
      </c>
      <c r="M693" s="390">
        <f t="shared" si="207"/>
        <v>0</v>
      </c>
      <c r="N693" s="391">
        <f>L693</f>
        <v>0</v>
      </c>
      <c r="O693" s="392">
        <f t="shared" si="201"/>
        <v>0</v>
      </c>
      <c r="P693" s="392">
        <f t="shared" si="202"/>
        <v>0</v>
      </c>
      <c r="Q693" s="391"/>
      <c r="R693" s="392">
        <f t="shared" si="203"/>
        <v>0</v>
      </c>
      <c r="S693" s="392">
        <f t="shared" si="204"/>
        <v>0</v>
      </c>
      <c r="T693" s="393"/>
      <c r="U693" s="393"/>
      <c r="V693" s="393"/>
      <c r="W693" s="393"/>
      <c r="X693" s="593"/>
      <c r="Y693" s="394"/>
    </row>
    <row r="694" spans="1:25" ht="14.85" customHeight="1">
      <c r="A694" s="316"/>
      <c r="B694" s="259"/>
      <c r="C694" s="259"/>
      <c r="D694" s="256"/>
      <c r="E694" s="403"/>
      <c r="F694" s="385"/>
      <c r="G694" s="404"/>
      <c r="H694" s="404"/>
      <c r="I694" s="385"/>
      <c r="J694" s="387"/>
      <c r="K694" s="388">
        <f t="shared" si="205"/>
        <v>0</v>
      </c>
      <c r="L694" s="389">
        <f t="shared" si="206"/>
        <v>0</v>
      </c>
      <c r="M694" s="390">
        <f t="shared" si="207"/>
        <v>0</v>
      </c>
      <c r="N694" s="391">
        <f>L693+L694</f>
        <v>0</v>
      </c>
      <c r="O694" s="392">
        <f t="shared" si="201"/>
        <v>0</v>
      </c>
      <c r="P694" s="392">
        <f t="shared" si="202"/>
        <v>0</v>
      </c>
      <c r="Q694" s="391"/>
      <c r="R694" s="392">
        <f t="shared" si="203"/>
        <v>0</v>
      </c>
      <c r="S694" s="392">
        <f t="shared" si="204"/>
        <v>0</v>
      </c>
      <c r="T694" s="393"/>
      <c r="U694" s="393"/>
      <c r="V694" s="393"/>
      <c r="W694" s="393"/>
      <c r="X694" s="593"/>
      <c r="Y694" s="394"/>
    </row>
    <row r="695" spans="1:25" ht="14.85" customHeight="1">
      <c r="A695" s="316"/>
      <c r="B695" s="259"/>
      <c r="C695" s="259"/>
      <c r="D695" s="256"/>
      <c r="E695" s="403"/>
      <c r="F695" s="385"/>
      <c r="G695" s="404"/>
      <c r="H695" s="404"/>
      <c r="I695" s="385"/>
      <c r="J695" s="387"/>
      <c r="K695" s="388">
        <f t="shared" si="205"/>
        <v>0</v>
      </c>
      <c r="L695" s="389">
        <f t="shared" si="206"/>
        <v>0</v>
      </c>
      <c r="M695" s="390">
        <f t="shared" si="207"/>
        <v>0</v>
      </c>
      <c r="N695" s="391">
        <f>L694+L695</f>
        <v>0</v>
      </c>
      <c r="O695" s="392">
        <f t="shared" si="201"/>
        <v>0</v>
      </c>
      <c r="P695" s="392">
        <f t="shared" si="202"/>
        <v>0</v>
      </c>
      <c r="Q695" s="410"/>
      <c r="R695" s="392"/>
      <c r="S695" s="392"/>
      <c r="T695" s="393"/>
      <c r="U695" s="393"/>
      <c r="V695" s="393"/>
      <c r="W695" s="393"/>
      <c r="X695" s="593"/>
      <c r="Y695" s="394"/>
    </row>
    <row r="696" spans="1:25" ht="14.85" customHeight="1">
      <c r="A696" s="316"/>
      <c r="B696" s="259"/>
      <c r="C696" s="259"/>
      <c r="D696" s="256"/>
      <c r="E696" s="401"/>
      <c r="F696" s="402"/>
      <c r="G696" s="397"/>
      <c r="H696" s="385"/>
      <c r="I696" s="398"/>
      <c r="J696" s="387"/>
      <c r="K696" s="388">
        <f t="shared" si="205"/>
        <v>0</v>
      </c>
      <c r="L696" s="389">
        <f t="shared" si="206"/>
        <v>0</v>
      </c>
      <c r="M696" s="390">
        <f t="shared" si="207"/>
        <v>0</v>
      </c>
      <c r="N696" s="391">
        <f>L696</f>
        <v>0</v>
      </c>
      <c r="O696" s="392">
        <f t="shared" si="201"/>
        <v>0</v>
      </c>
      <c r="P696" s="392">
        <f t="shared" si="202"/>
        <v>0</v>
      </c>
      <c r="Q696" s="411">
        <f>N693+N694+N695+N696</f>
        <v>0</v>
      </c>
      <c r="R696" s="392">
        <f t="shared" si="203"/>
        <v>0</v>
      </c>
      <c r="S696" s="392">
        <f t="shared" si="204"/>
        <v>0</v>
      </c>
      <c r="T696" s="393"/>
      <c r="U696" s="393"/>
      <c r="V696" s="393"/>
      <c r="W696" s="393"/>
      <c r="X696" s="593"/>
      <c r="Y696" s="394"/>
    </row>
    <row r="697" spans="1:25" ht="14.85" customHeight="1">
      <c r="A697" s="316"/>
      <c r="B697" s="259"/>
      <c r="C697" s="259"/>
      <c r="D697" s="256"/>
      <c r="E697" s="156"/>
      <c r="F697" s="262"/>
      <c r="G697" s="254"/>
      <c r="H697" s="154"/>
      <c r="I697" s="155"/>
      <c r="J697" s="276"/>
      <c r="K697" s="311"/>
      <c r="L697" s="312"/>
      <c r="M697" s="313"/>
      <c r="N697" s="320"/>
      <c r="O697" s="315"/>
      <c r="P697" s="315"/>
      <c r="Q697" s="320"/>
      <c r="R697" s="315"/>
      <c r="S697" s="315"/>
      <c r="T697" s="213"/>
      <c r="U697" s="213"/>
      <c r="V697" s="213"/>
      <c r="W697" s="213"/>
      <c r="X697" s="594"/>
      <c r="Y697" s="317"/>
    </row>
    <row r="698" spans="1:25" s="287" customFormat="1">
      <c r="A698" s="211" t="s">
        <v>129</v>
      </c>
      <c r="B698" s="211">
        <f>COUNTA(B595)</f>
        <v>0</v>
      </c>
      <c r="C698" s="211"/>
      <c r="D698" s="211">
        <f>COUNTA(D595)</f>
        <v>0</v>
      </c>
      <c r="E698" s="212">
        <f>COUNTA(E595:E667)</f>
        <v>0</v>
      </c>
      <c r="F698" s="211">
        <f>COUNTA(F595:F696)</f>
        <v>0</v>
      </c>
      <c r="G698" s="211">
        <f>COUNTA(G595:G696)</f>
        <v>0</v>
      </c>
      <c r="H698" s="211"/>
      <c r="I698" s="211">
        <f>COUNTA(I595:I696)</f>
        <v>0</v>
      </c>
      <c r="J698" s="280">
        <f>SUM(J595:J696)</f>
        <v>0</v>
      </c>
      <c r="K698" s="161">
        <f>SUM(K595:K667)</f>
        <v>0</v>
      </c>
      <c r="L698" s="161">
        <f>SUM(L595:L667)</f>
        <v>0</v>
      </c>
      <c r="M698" s="161">
        <f>SUM(M595:M667)</f>
        <v>0</v>
      </c>
      <c r="N698" s="161">
        <f>SUM(N595:N667)</f>
        <v>0</v>
      </c>
      <c r="O698" s="161">
        <f t="shared" ref="O698:O712" si="209">ROUNDDOWN((N698/$O$11),0)</f>
        <v>0</v>
      </c>
      <c r="P698" s="161">
        <f t="shared" ref="P698:P712" si="210">ROUND((N698-(O698*$P$11)),0)</f>
        <v>0</v>
      </c>
      <c r="Q698" s="161">
        <f>SUM(Q595:Q667)</f>
        <v>0</v>
      </c>
      <c r="R698" s="161">
        <f t="shared" ref="R698:R699" si="211">ROUNDDOWN((Q698/$O$11),0)</f>
        <v>0</v>
      </c>
      <c r="S698" s="161">
        <f t="shared" ref="S698:S699" si="212">ROUND((Q698-(R698*$P$11)),0)</f>
        <v>0</v>
      </c>
      <c r="T698" s="211"/>
      <c r="U698" s="211"/>
      <c r="V698" s="211"/>
      <c r="W698" s="211"/>
      <c r="X698" s="161" t="str">
        <f>IF(X595&lt;1.4,"1",IF(X595&lt;=2.3,"2",IF(X595&gt;2.3, ROUND(X595,0))))</f>
        <v>1</v>
      </c>
      <c r="Y698" s="161">
        <f>$Y$11*F698</f>
        <v>0</v>
      </c>
    </row>
    <row r="699" spans="1:25">
      <c r="A699" s="618"/>
      <c r="B699" s="585"/>
      <c r="C699" s="258"/>
      <c r="D699" s="620"/>
      <c r="E699" s="272"/>
      <c r="F699" s="154"/>
      <c r="G699" s="219"/>
      <c r="H699" s="219"/>
      <c r="I699" s="154"/>
      <c r="J699" s="276"/>
      <c r="K699" s="311">
        <f t="shared" ref="K699" si="213">J699/$K$11</f>
        <v>0</v>
      </c>
      <c r="L699" s="312">
        <f t="shared" ref="L699" si="214">J699/$L$11</f>
        <v>0</v>
      </c>
      <c r="M699" s="313">
        <f t="shared" ref="M699" si="215">ROUND((L699/$M$11),0)</f>
        <v>0</v>
      </c>
      <c r="N699" s="320"/>
      <c r="O699" s="315">
        <f t="shared" si="209"/>
        <v>0</v>
      </c>
      <c r="P699" s="315">
        <f t="shared" si="210"/>
        <v>0</v>
      </c>
      <c r="Q699" s="320"/>
      <c r="R699" s="315">
        <f t="shared" si="211"/>
        <v>0</v>
      </c>
      <c r="S699" s="315">
        <f t="shared" si="212"/>
        <v>0</v>
      </c>
      <c r="T699" s="213"/>
      <c r="U699" s="213"/>
      <c r="V699" s="213"/>
      <c r="W699" s="213"/>
      <c r="X699" s="590">
        <f>F800/$X$11</f>
        <v>0</v>
      </c>
      <c r="Y699" s="590"/>
    </row>
    <row r="700" spans="1:25">
      <c r="A700" s="619"/>
      <c r="B700" s="586"/>
      <c r="C700" s="259"/>
      <c r="D700" s="621"/>
      <c r="E700" s="275"/>
      <c r="F700" s="154"/>
      <c r="G700" s="219"/>
      <c r="H700" s="219"/>
      <c r="I700" s="154"/>
      <c r="J700" s="276"/>
      <c r="K700" s="311">
        <f t="shared" ref="K700:K765" si="216">J700/$K$11</f>
        <v>0</v>
      </c>
      <c r="L700" s="312">
        <f t="shared" ref="L700:L765" si="217">J700/$L$11</f>
        <v>0</v>
      </c>
      <c r="M700" s="313">
        <f t="shared" ref="M700:M765" si="218">ROUND((L700/$M$11),0)</f>
        <v>0</v>
      </c>
      <c r="N700" s="320"/>
      <c r="O700" s="315"/>
      <c r="P700" s="315"/>
      <c r="Q700" s="320"/>
      <c r="R700" s="315"/>
      <c r="S700" s="315"/>
      <c r="T700" s="213"/>
      <c r="U700" s="213"/>
      <c r="V700" s="213"/>
      <c r="W700" s="213"/>
      <c r="X700" s="591"/>
      <c r="Y700" s="591"/>
    </row>
    <row r="701" spans="1:25">
      <c r="A701" s="619"/>
      <c r="B701" s="586"/>
      <c r="C701" s="259"/>
      <c r="D701" s="621"/>
      <c r="E701" s="275"/>
      <c r="F701" s="154"/>
      <c r="G701" s="219"/>
      <c r="H701" s="219"/>
      <c r="I701" s="154"/>
      <c r="J701" s="276"/>
      <c r="K701" s="311">
        <f t="shared" si="216"/>
        <v>0</v>
      </c>
      <c r="L701" s="312">
        <f t="shared" si="217"/>
        <v>0</v>
      </c>
      <c r="M701" s="313">
        <f t="shared" si="218"/>
        <v>0</v>
      </c>
      <c r="N701" s="320"/>
      <c r="O701" s="315"/>
      <c r="P701" s="315"/>
      <c r="Q701" s="320"/>
      <c r="R701" s="315"/>
      <c r="S701" s="315"/>
      <c r="T701" s="213"/>
      <c r="U701" s="213"/>
      <c r="V701" s="213"/>
      <c r="W701" s="213"/>
      <c r="X701" s="591"/>
      <c r="Y701" s="591"/>
    </row>
    <row r="702" spans="1:25" ht="14.85" customHeight="1">
      <c r="A702" s="619"/>
      <c r="B702" s="586"/>
      <c r="C702" s="259"/>
      <c r="D702" s="621"/>
      <c r="E702" s="275"/>
      <c r="F702" s="154"/>
      <c r="G702" s="219"/>
      <c r="H702" s="219"/>
      <c r="I702" s="154"/>
      <c r="J702" s="276"/>
      <c r="K702" s="311">
        <f t="shared" si="216"/>
        <v>0</v>
      </c>
      <c r="L702" s="312">
        <f t="shared" si="217"/>
        <v>0</v>
      </c>
      <c r="M702" s="313">
        <f t="shared" si="218"/>
        <v>0</v>
      </c>
      <c r="N702" s="320"/>
      <c r="O702" s="315">
        <f t="shared" si="209"/>
        <v>0</v>
      </c>
      <c r="P702" s="315">
        <f t="shared" si="210"/>
        <v>0</v>
      </c>
      <c r="Q702" s="320"/>
      <c r="R702" s="315">
        <f>ROUNDDOWN((Q702/$O$11),0)</f>
        <v>0</v>
      </c>
      <c r="S702" s="315">
        <f>ROUND((Q702-(R702*$P$11)),0)</f>
        <v>0</v>
      </c>
      <c r="T702" s="213"/>
      <c r="U702" s="213"/>
      <c r="V702" s="213"/>
      <c r="W702" s="213"/>
      <c r="X702" s="591"/>
      <c r="Y702" s="591"/>
    </row>
    <row r="703" spans="1:25" ht="14.85" customHeight="1">
      <c r="A703" s="619"/>
      <c r="B703" s="586"/>
      <c r="C703" s="259"/>
      <c r="D703" s="621"/>
      <c r="E703" s="275"/>
      <c r="F703" s="154"/>
      <c r="G703" s="219"/>
      <c r="H703" s="219"/>
      <c r="I703" s="154"/>
      <c r="J703" s="276"/>
      <c r="K703" s="311">
        <f t="shared" si="216"/>
        <v>0</v>
      </c>
      <c r="L703" s="312">
        <f t="shared" si="217"/>
        <v>0</v>
      </c>
      <c r="M703" s="313">
        <f t="shared" si="218"/>
        <v>0</v>
      </c>
      <c r="N703" s="320"/>
      <c r="O703" s="315"/>
      <c r="P703" s="315"/>
      <c r="Q703" s="320"/>
      <c r="R703" s="315"/>
      <c r="S703" s="315"/>
      <c r="T703" s="213"/>
      <c r="U703" s="213"/>
      <c r="V703" s="213"/>
      <c r="W703" s="213"/>
      <c r="X703" s="591"/>
      <c r="Y703" s="591"/>
    </row>
    <row r="704" spans="1:25" ht="14.85" customHeight="1">
      <c r="A704" s="619"/>
      <c r="B704" s="586"/>
      <c r="C704" s="259"/>
      <c r="D704" s="621"/>
      <c r="E704" s="275"/>
      <c r="F704" s="154"/>
      <c r="G704" s="219"/>
      <c r="H704" s="219"/>
      <c r="I704" s="154"/>
      <c r="J704" s="276"/>
      <c r="K704" s="311">
        <f t="shared" si="216"/>
        <v>0</v>
      </c>
      <c r="L704" s="312">
        <f t="shared" si="217"/>
        <v>0</v>
      </c>
      <c r="M704" s="313">
        <f t="shared" si="218"/>
        <v>0</v>
      </c>
      <c r="N704" s="320">
        <f>SUM(L699:L704)</f>
        <v>0</v>
      </c>
      <c r="O704" s="315">
        <f t="shared" si="209"/>
        <v>0</v>
      </c>
      <c r="P704" s="315">
        <f t="shared" si="210"/>
        <v>0</v>
      </c>
      <c r="Q704" s="320"/>
      <c r="R704" s="315">
        <f>ROUNDDOWN((Q704/$O$11),0)</f>
        <v>0</v>
      </c>
      <c r="S704" s="315">
        <f>ROUND((Q704-(R704*$P$11)),0)</f>
        <v>0</v>
      </c>
      <c r="T704" s="213"/>
      <c r="U704" s="213"/>
      <c r="V704" s="213"/>
      <c r="W704" s="213"/>
      <c r="X704" s="591"/>
      <c r="Y704" s="591"/>
    </row>
    <row r="705" spans="1:25" ht="14.85" customHeight="1">
      <c r="A705" s="619"/>
      <c r="B705" s="586"/>
      <c r="C705" s="259"/>
      <c r="D705" s="621"/>
      <c r="E705" s="157"/>
      <c r="F705" s="154"/>
      <c r="G705" s="254"/>
      <c r="H705" s="154"/>
      <c r="I705" s="154"/>
      <c r="J705" s="276"/>
      <c r="K705" s="311">
        <f t="shared" si="216"/>
        <v>0</v>
      </c>
      <c r="L705" s="312">
        <f t="shared" si="217"/>
        <v>0</v>
      </c>
      <c r="M705" s="313">
        <f t="shared" si="218"/>
        <v>0</v>
      </c>
      <c r="N705" s="320"/>
      <c r="O705" s="315">
        <f t="shared" si="209"/>
        <v>0</v>
      </c>
      <c r="P705" s="315">
        <f t="shared" si="210"/>
        <v>0</v>
      </c>
      <c r="Q705" s="320"/>
      <c r="R705" s="315">
        <f>ROUNDDOWN((Q705/$O$11),0)</f>
        <v>0</v>
      </c>
      <c r="S705" s="315">
        <f>ROUND((Q705-(R705*$P$11)),0)</f>
        <v>0</v>
      </c>
      <c r="T705" s="213"/>
      <c r="U705" s="213"/>
      <c r="V705" s="213"/>
      <c r="W705" s="213"/>
      <c r="X705" s="591"/>
      <c r="Y705" s="591"/>
    </row>
    <row r="706" spans="1:25" ht="14.85" customHeight="1">
      <c r="A706" s="619"/>
      <c r="B706" s="586"/>
      <c r="C706" s="259"/>
      <c r="D706" s="621"/>
      <c r="E706" s="157"/>
      <c r="F706" s="154"/>
      <c r="G706" s="254"/>
      <c r="H706" s="154"/>
      <c r="I706" s="154"/>
      <c r="J706" s="276"/>
      <c r="K706" s="311">
        <f t="shared" si="216"/>
        <v>0</v>
      </c>
      <c r="L706" s="312">
        <f t="shared" si="217"/>
        <v>0</v>
      </c>
      <c r="M706" s="313">
        <f t="shared" si="218"/>
        <v>0</v>
      </c>
      <c r="N706" s="320"/>
      <c r="O706" s="315"/>
      <c r="P706" s="315"/>
      <c r="Q706" s="320"/>
      <c r="R706" s="315"/>
      <c r="S706" s="315"/>
      <c r="T706" s="213"/>
      <c r="U706" s="213"/>
      <c r="V706" s="213"/>
      <c r="W706" s="213"/>
      <c r="X706" s="591"/>
      <c r="Y706" s="591"/>
    </row>
    <row r="707" spans="1:25" ht="14.85" customHeight="1">
      <c r="A707" s="619"/>
      <c r="B707" s="586"/>
      <c r="C707" s="259"/>
      <c r="D707" s="621"/>
      <c r="E707" s="157"/>
      <c r="F707" s="154"/>
      <c r="G707" s="254"/>
      <c r="H707" s="154"/>
      <c r="I707" s="154"/>
      <c r="J707" s="276"/>
      <c r="K707" s="311">
        <f t="shared" si="216"/>
        <v>0</v>
      </c>
      <c r="L707" s="312">
        <f t="shared" si="217"/>
        <v>0</v>
      </c>
      <c r="M707" s="313">
        <f t="shared" si="218"/>
        <v>0</v>
      </c>
      <c r="N707" s="320"/>
      <c r="O707" s="315">
        <f t="shared" si="209"/>
        <v>0</v>
      </c>
      <c r="P707" s="315">
        <f t="shared" si="210"/>
        <v>0</v>
      </c>
      <c r="Q707" s="320"/>
      <c r="R707" s="315">
        <f>ROUNDDOWN((Q707/$O$11),0)</f>
        <v>0</v>
      </c>
      <c r="S707" s="315">
        <f>ROUND((Q707-(R707*$P$11)),0)</f>
        <v>0</v>
      </c>
      <c r="T707" s="213"/>
      <c r="U707" s="213"/>
      <c r="V707" s="213"/>
      <c r="W707" s="213"/>
      <c r="X707" s="591"/>
      <c r="Y707" s="591"/>
    </row>
    <row r="708" spans="1:25" ht="14.85" customHeight="1">
      <c r="A708" s="619"/>
      <c r="B708" s="586"/>
      <c r="C708" s="259"/>
      <c r="D708" s="621"/>
      <c r="E708" s="157"/>
      <c r="F708" s="154"/>
      <c r="G708" s="254"/>
      <c r="H708" s="154"/>
      <c r="I708" s="154"/>
      <c r="J708" s="276"/>
      <c r="K708" s="311">
        <f t="shared" si="216"/>
        <v>0</v>
      </c>
      <c r="L708" s="312">
        <f t="shared" si="217"/>
        <v>0</v>
      </c>
      <c r="M708" s="313">
        <f t="shared" si="218"/>
        <v>0</v>
      </c>
      <c r="N708" s="320"/>
      <c r="O708" s="315">
        <f t="shared" si="209"/>
        <v>0</v>
      </c>
      <c r="P708" s="315">
        <f t="shared" si="210"/>
        <v>0</v>
      </c>
      <c r="Q708" s="320"/>
      <c r="R708" s="315">
        <f>ROUNDDOWN((Q708/$O$11),0)</f>
        <v>0</v>
      </c>
      <c r="S708" s="315">
        <f>ROUND((Q708-(R708*$P$11)),0)</f>
        <v>0</v>
      </c>
      <c r="T708" s="213"/>
      <c r="U708" s="213"/>
      <c r="V708" s="213"/>
      <c r="W708" s="213"/>
      <c r="X708" s="591"/>
      <c r="Y708" s="591"/>
    </row>
    <row r="709" spans="1:25" ht="14.85" customHeight="1">
      <c r="A709" s="619"/>
      <c r="B709" s="586"/>
      <c r="C709" s="259"/>
      <c r="D709" s="621"/>
      <c r="E709" s="157"/>
      <c r="F709" s="154"/>
      <c r="G709" s="254"/>
      <c r="H709" s="154"/>
      <c r="I709" s="154"/>
      <c r="J709" s="276"/>
      <c r="K709" s="311">
        <f t="shared" si="216"/>
        <v>0</v>
      </c>
      <c r="L709" s="312">
        <f t="shared" si="217"/>
        <v>0</v>
      </c>
      <c r="M709" s="313">
        <f t="shared" si="218"/>
        <v>0</v>
      </c>
      <c r="N709" s="320"/>
      <c r="O709" s="315"/>
      <c r="P709" s="315"/>
      <c r="Q709" s="320"/>
      <c r="R709" s="315"/>
      <c r="S709" s="315"/>
      <c r="T709" s="213"/>
      <c r="U709" s="213"/>
      <c r="V709" s="213"/>
      <c r="W709" s="213"/>
      <c r="X709" s="591"/>
      <c r="Y709" s="591"/>
    </row>
    <row r="710" spans="1:25" ht="14.85" customHeight="1">
      <c r="A710" s="619"/>
      <c r="B710" s="586"/>
      <c r="C710" s="259"/>
      <c r="D710" s="621"/>
      <c r="E710" s="157"/>
      <c r="F710" s="154"/>
      <c r="G710" s="254"/>
      <c r="H710" s="154"/>
      <c r="I710" s="154"/>
      <c r="J710" s="276"/>
      <c r="K710" s="311">
        <f t="shared" si="216"/>
        <v>0</v>
      </c>
      <c r="L710" s="312">
        <f t="shared" si="217"/>
        <v>0</v>
      </c>
      <c r="M710" s="313">
        <f t="shared" si="218"/>
        <v>0</v>
      </c>
      <c r="N710" s="320"/>
      <c r="O710" s="315">
        <f t="shared" si="209"/>
        <v>0</v>
      </c>
      <c r="P710" s="315">
        <f t="shared" si="210"/>
        <v>0</v>
      </c>
      <c r="Q710" s="320"/>
      <c r="R710" s="315">
        <f>ROUNDDOWN((Q710/$O$11),0)</f>
        <v>0</v>
      </c>
      <c r="S710" s="315">
        <f>ROUND((Q710-(R710*$P$11)),0)</f>
        <v>0</v>
      </c>
      <c r="T710" s="213"/>
      <c r="U710" s="213"/>
      <c r="V710" s="213"/>
      <c r="W710" s="213"/>
      <c r="X710" s="591"/>
      <c r="Y710" s="591"/>
    </row>
    <row r="711" spans="1:25" ht="14.85" customHeight="1">
      <c r="A711" s="619"/>
      <c r="B711" s="586"/>
      <c r="C711" s="259"/>
      <c r="D711" s="621"/>
      <c r="E711" s="157"/>
      <c r="F711" s="154"/>
      <c r="G711" s="254"/>
      <c r="H711" s="154"/>
      <c r="I711" s="154"/>
      <c r="J711" s="276"/>
      <c r="K711" s="311">
        <f t="shared" si="216"/>
        <v>0</v>
      </c>
      <c r="L711" s="312">
        <f t="shared" si="217"/>
        <v>0</v>
      </c>
      <c r="M711" s="313">
        <f t="shared" si="218"/>
        <v>0</v>
      </c>
      <c r="N711" s="320"/>
      <c r="O711" s="315"/>
      <c r="P711" s="315"/>
      <c r="Q711" s="320"/>
      <c r="R711" s="315"/>
      <c r="S711" s="315"/>
      <c r="T711" s="213"/>
      <c r="U711" s="213"/>
      <c r="V711" s="213"/>
      <c r="W711" s="213"/>
      <c r="X711" s="591"/>
      <c r="Y711" s="591"/>
    </row>
    <row r="712" spans="1:25" ht="14.85" customHeight="1">
      <c r="A712" s="619"/>
      <c r="B712" s="586"/>
      <c r="C712" s="259"/>
      <c r="D712" s="621"/>
      <c r="E712" s="157"/>
      <c r="F712" s="154"/>
      <c r="G712" s="254"/>
      <c r="H712" s="154"/>
      <c r="I712" s="154"/>
      <c r="J712" s="276"/>
      <c r="K712" s="311">
        <f t="shared" si="216"/>
        <v>0</v>
      </c>
      <c r="L712" s="312">
        <f t="shared" si="217"/>
        <v>0</v>
      </c>
      <c r="M712" s="313">
        <f t="shared" si="218"/>
        <v>0</v>
      </c>
      <c r="N712" s="320"/>
      <c r="O712" s="315">
        <f t="shared" si="209"/>
        <v>0</v>
      </c>
      <c r="P712" s="315">
        <f t="shared" si="210"/>
        <v>0</v>
      </c>
      <c r="Q712" s="320"/>
      <c r="R712" s="315">
        <f>ROUNDDOWN((Q712/$O$11),0)</f>
        <v>0</v>
      </c>
      <c r="S712" s="315">
        <f>ROUND((Q712-(R712*$P$11)),0)</f>
        <v>0</v>
      </c>
      <c r="T712" s="213"/>
      <c r="U712" s="213"/>
      <c r="V712" s="213"/>
      <c r="W712" s="213"/>
      <c r="X712" s="591"/>
      <c r="Y712" s="591"/>
    </row>
    <row r="713" spans="1:25" ht="14.85" customHeight="1">
      <c r="A713" s="619"/>
      <c r="B713" s="586"/>
      <c r="C713" s="259"/>
      <c r="D713" s="621"/>
      <c r="E713" s="157"/>
      <c r="F713" s="154"/>
      <c r="G713" s="254"/>
      <c r="H713" s="154"/>
      <c r="I713" s="154"/>
      <c r="J713" s="276"/>
      <c r="K713" s="311">
        <f t="shared" si="216"/>
        <v>0</v>
      </c>
      <c r="L713" s="312">
        <f t="shared" si="217"/>
        <v>0</v>
      </c>
      <c r="M713" s="313">
        <f t="shared" si="218"/>
        <v>0</v>
      </c>
      <c r="N713" s="320">
        <f>SUM(L705:L713)</f>
        <v>0</v>
      </c>
      <c r="O713" s="315">
        <f t="shared" ref="O713:O714" si="219">ROUNDDOWN((N713/$O$11),0)</f>
        <v>0</v>
      </c>
      <c r="P713" s="315">
        <f t="shared" ref="P713:P714" si="220">ROUND((N713-(O713*$P$11)),0)</f>
        <v>0</v>
      </c>
      <c r="Q713" s="320"/>
      <c r="R713" s="315"/>
      <c r="S713" s="315"/>
      <c r="T713" s="213"/>
      <c r="U713" s="213"/>
      <c r="V713" s="213"/>
      <c r="W713" s="213"/>
      <c r="X713" s="591"/>
      <c r="Y713" s="591"/>
    </row>
    <row r="714" spans="1:25" ht="14.85" customHeight="1">
      <c r="A714" s="619"/>
      <c r="B714" s="586"/>
      <c r="C714" s="259"/>
      <c r="D714" s="621"/>
      <c r="E714" s="157"/>
      <c r="F714" s="154"/>
      <c r="G714" s="254"/>
      <c r="H714" s="154"/>
      <c r="I714" s="154"/>
      <c r="J714" s="276"/>
      <c r="K714" s="311">
        <f t="shared" si="216"/>
        <v>0</v>
      </c>
      <c r="L714" s="312">
        <f t="shared" si="217"/>
        <v>0</v>
      </c>
      <c r="M714" s="313">
        <f t="shared" si="218"/>
        <v>0</v>
      </c>
      <c r="N714" s="320"/>
      <c r="O714" s="315">
        <f t="shared" si="219"/>
        <v>0</v>
      </c>
      <c r="P714" s="315">
        <f t="shared" si="220"/>
        <v>0</v>
      </c>
      <c r="Q714" s="320"/>
      <c r="R714" s="315">
        <f>ROUNDDOWN((Q714/$O$11),0)</f>
        <v>0</v>
      </c>
      <c r="S714" s="315">
        <f>ROUND((Q714-(R714*$P$11)),0)</f>
        <v>0</v>
      </c>
      <c r="T714" s="213"/>
      <c r="U714" s="213"/>
      <c r="V714" s="213"/>
      <c r="W714" s="213"/>
      <c r="X714" s="591"/>
      <c r="Y714" s="591"/>
    </row>
    <row r="715" spans="1:25" ht="14.85" customHeight="1">
      <c r="A715" s="619"/>
      <c r="B715" s="586"/>
      <c r="C715" s="259"/>
      <c r="D715" s="621"/>
      <c r="E715" s="157"/>
      <c r="F715" s="154"/>
      <c r="G715" s="254"/>
      <c r="H715" s="154"/>
      <c r="I715" s="154"/>
      <c r="J715" s="276"/>
      <c r="K715" s="311">
        <f t="shared" si="216"/>
        <v>0</v>
      </c>
      <c r="L715" s="312">
        <f t="shared" si="217"/>
        <v>0</v>
      </c>
      <c r="M715" s="313">
        <f t="shared" si="218"/>
        <v>0</v>
      </c>
      <c r="N715" s="320"/>
      <c r="O715" s="315">
        <f t="shared" ref="O715:O780" si="221">ROUNDDOWN((N715/$O$11),0)</f>
        <v>0</v>
      </c>
      <c r="P715" s="315">
        <f t="shared" ref="P715:P780" si="222">ROUND((N715-(O715*$P$11)),0)</f>
        <v>0</v>
      </c>
      <c r="Q715" s="320"/>
      <c r="R715" s="315"/>
      <c r="S715" s="315"/>
      <c r="T715" s="213"/>
      <c r="U715" s="213"/>
      <c r="V715" s="213"/>
      <c r="W715" s="213"/>
      <c r="X715" s="591"/>
      <c r="Y715" s="591"/>
    </row>
    <row r="716" spans="1:25" ht="14.85" customHeight="1">
      <c r="A716" s="619"/>
      <c r="B716" s="586"/>
      <c r="C716" s="259"/>
      <c r="D716" s="621"/>
      <c r="E716" s="157"/>
      <c r="F716" s="154"/>
      <c r="G716" s="254"/>
      <c r="H716" s="154"/>
      <c r="I716" s="154"/>
      <c r="J716" s="276"/>
      <c r="K716" s="311">
        <f t="shared" si="216"/>
        <v>0</v>
      </c>
      <c r="L716" s="312">
        <f t="shared" si="217"/>
        <v>0</v>
      </c>
      <c r="M716" s="313">
        <f t="shared" si="218"/>
        <v>0</v>
      </c>
      <c r="N716" s="320"/>
      <c r="O716" s="315">
        <f t="shared" si="221"/>
        <v>0</v>
      </c>
      <c r="P716" s="315">
        <f t="shared" si="222"/>
        <v>0</v>
      </c>
      <c r="Q716" s="320"/>
      <c r="R716" s="315"/>
      <c r="S716" s="315"/>
      <c r="T716" s="213"/>
      <c r="U716" s="213"/>
      <c r="V716" s="213"/>
      <c r="W716" s="213"/>
      <c r="X716" s="591"/>
      <c r="Y716" s="591"/>
    </row>
    <row r="717" spans="1:25" ht="14.85" customHeight="1">
      <c r="A717" s="619"/>
      <c r="B717" s="586"/>
      <c r="C717" s="259"/>
      <c r="D717" s="621"/>
      <c r="E717" s="157"/>
      <c r="F717" s="154"/>
      <c r="G717" s="254"/>
      <c r="H717" s="154"/>
      <c r="I717" s="154"/>
      <c r="J717" s="276"/>
      <c r="K717" s="311">
        <f t="shared" si="216"/>
        <v>0</v>
      </c>
      <c r="L717" s="312">
        <f t="shared" si="217"/>
        <v>0</v>
      </c>
      <c r="M717" s="313">
        <f t="shared" si="218"/>
        <v>0</v>
      </c>
      <c r="N717" s="320">
        <f>SUM(L714:L717)</f>
        <v>0</v>
      </c>
      <c r="O717" s="315">
        <f t="shared" si="221"/>
        <v>0</v>
      </c>
      <c r="P717" s="315">
        <f t="shared" si="222"/>
        <v>0</v>
      </c>
      <c r="Q717" s="320">
        <f>N704+N713+N717</f>
        <v>0</v>
      </c>
      <c r="R717" s="315">
        <f>ROUNDDOWN((Q717/$O$11),0)</f>
        <v>0</v>
      </c>
      <c r="S717" s="315">
        <f>ROUND((Q717-(R717*$P$11)),0)</f>
        <v>0</v>
      </c>
      <c r="T717" s="213"/>
      <c r="U717" s="213"/>
      <c r="V717" s="213"/>
      <c r="W717" s="213"/>
      <c r="X717" s="591"/>
      <c r="Y717" s="591"/>
    </row>
    <row r="718" spans="1:25" ht="14.85" customHeight="1">
      <c r="A718" s="619"/>
      <c r="B718" s="586"/>
      <c r="C718" s="259"/>
      <c r="D718" s="621"/>
      <c r="E718" s="157"/>
      <c r="F718" s="154"/>
      <c r="G718" s="254"/>
      <c r="H718" s="154"/>
      <c r="I718" s="154"/>
      <c r="J718" s="276"/>
      <c r="K718" s="311"/>
      <c r="L718" s="312"/>
      <c r="M718" s="313"/>
      <c r="N718" s="320"/>
      <c r="O718" s="315">
        <f t="shared" si="221"/>
        <v>0</v>
      </c>
      <c r="P718" s="315">
        <f t="shared" si="222"/>
        <v>0</v>
      </c>
      <c r="Q718" s="320"/>
      <c r="R718" s="315"/>
      <c r="S718" s="315"/>
      <c r="T718" s="213"/>
      <c r="U718" s="213"/>
      <c r="V718" s="213"/>
      <c r="W718" s="213"/>
      <c r="X718" s="591"/>
      <c r="Y718" s="591"/>
    </row>
    <row r="719" spans="1:25" ht="14.85" customHeight="1">
      <c r="A719" s="619"/>
      <c r="B719" s="586"/>
      <c r="C719" s="259"/>
      <c r="D719" s="621"/>
      <c r="E719" s="272"/>
      <c r="F719" s="154"/>
      <c r="G719" s="219"/>
      <c r="H719" s="219"/>
      <c r="I719" s="154"/>
      <c r="J719" s="276"/>
      <c r="K719" s="311">
        <f t="shared" si="216"/>
        <v>0</v>
      </c>
      <c r="L719" s="312">
        <f t="shared" si="217"/>
        <v>0</v>
      </c>
      <c r="M719" s="313">
        <f t="shared" si="218"/>
        <v>0</v>
      </c>
      <c r="N719" s="320"/>
      <c r="O719" s="315">
        <f t="shared" si="221"/>
        <v>0</v>
      </c>
      <c r="P719" s="315">
        <f t="shared" si="222"/>
        <v>0</v>
      </c>
      <c r="Q719" s="320"/>
      <c r="R719" s="315">
        <f>ROUNDDOWN((Q719/$O$11),0)</f>
        <v>0</v>
      </c>
      <c r="S719" s="315">
        <f>ROUND((Q719-(R719*$P$11)),0)</f>
        <v>0</v>
      </c>
      <c r="T719" s="213"/>
      <c r="U719" s="213"/>
      <c r="V719" s="213"/>
      <c r="W719" s="213"/>
      <c r="X719" s="591"/>
      <c r="Y719" s="591"/>
    </row>
    <row r="720" spans="1:25" ht="14.85" customHeight="1">
      <c r="A720" s="619"/>
      <c r="B720" s="586"/>
      <c r="C720" s="259"/>
      <c r="D720" s="621"/>
      <c r="E720" s="275"/>
      <c r="F720" s="154"/>
      <c r="G720" s="219"/>
      <c r="H720" s="219"/>
      <c r="I720" s="154"/>
      <c r="J720" s="276"/>
      <c r="K720" s="311">
        <f t="shared" si="216"/>
        <v>0</v>
      </c>
      <c r="L720" s="312">
        <f t="shared" si="217"/>
        <v>0</v>
      </c>
      <c r="M720" s="313">
        <f t="shared" si="218"/>
        <v>0</v>
      </c>
      <c r="N720" s="320"/>
      <c r="O720" s="315">
        <f t="shared" si="221"/>
        <v>0</v>
      </c>
      <c r="P720" s="315">
        <f t="shared" si="222"/>
        <v>0</v>
      </c>
      <c r="Q720" s="320"/>
      <c r="R720" s="315"/>
      <c r="S720" s="315"/>
      <c r="T720" s="213"/>
      <c r="U720" s="213"/>
      <c r="V720" s="213"/>
      <c r="W720" s="213"/>
      <c r="X720" s="591"/>
      <c r="Y720" s="591"/>
    </row>
    <row r="721" spans="1:25" ht="14.85" customHeight="1">
      <c r="A721" s="619"/>
      <c r="B721" s="586"/>
      <c r="C721" s="259"/>
      <c r="D721" s="621"/>
      <c r="E721" s="275"/>
      <c r="F721" s="154"/>
      <c r="G721" s="219"/>
      <c r="H721" s="219"/>
      <c r="I721" s="154"/>
      <c r="J721" s="276"/>
      <c r="K721" s="311">
        <f t="shared" si="216"/>
        <v>0</v>
      </c>
      <c r="L721" s="312">
        <f t="shared" si="217"/>
        <v>0</v>
      </c>
      <c r="M721" s="313">
        <f t="shared" si="218"/>
        <v>0</v>
      </c>
      <c r="N721" s="320"/>
      <c r="O721" s="315">
        <f t="shared" si="221"/>
        <v>0</v>
      </c>
      <c r="P721" s="315">
        <f t="shared" si="222"/>
        <v>0</v>
      </c>
      <c r="Q721" s="320"/>
      <c r="R721" s="315">
        <f>ROUNDDOWN((Q721/$O$11),0)</f>
        <v>0</v>
      </c>
      <c r="S721" s="315">
        <f>ROUND((Q721-(R721*$P$11)),0)</f>
        <v>0</v>
      </c>
      <c r="T721" s="213"/>
      <c r="U721" s="213"/>
      <c r="V721" s="213"/>
      <c r="W721" s="213"/>
      <c r="X721" s="591"/>
      <c r="Y721" s="591"/>
    </row>
    <row r="722" spans="1:25" ht="14.85" customHeight="1">
      <c r="A722" s="619"/>
      <c r="B722" s="586"/>
      <c r="C722" s="259"/>
      <c r="D722" s="621"/>
      <c r="E722" s="275"/>
      <c r="F722" s="154"/>
      <c r="G722" s="219"/>
      <c r="H722" s="219"/>
      <c r="I722" s="154"/>
      <c r="J722" s="276"/>
      <c r="K722" s="311">
        <f t="shared" si="216"/>
        <v>0</v>
      </c>
      <c r="L722" s="312">
        <f t="shared" si="217"/>
        <v>0</v>
      </c>
      <c r="M722" s="313">
        <f t="shared" si="218"/>
        <v>0</v>
      </c>
      <c r="N722" s="320"/>
      <c r="O722" s="315">
        <f t="shared" si="221"/>
        <v>0</v>
      </c>
      <c r="P722" s="315">
        <f t="shared" si="222"/>
        <v>0</v>
      </c>
      <c r="Q722" s="320"/>
      <c r="R722" s="315">
        <f>ROUNDDOWN((Q722/$O$11),0)</f>
        <v>0</v>
      </c>
      <c r="S722" s="315">
        <f>ROUND((Q722-(R722*$P$11)),0)</f>
        <v>0</v>
      </c>
      <c r="T722" s="213"/>
      <c r="U722" s="213"/>
      <c r="V722" s="213"/>
      <c r="W722" s="213"/>
      <c r="X722" s="591"/>
      <c r="Y722" s="591"/>
    </row>
    <row r="723" spans="1:25" ht="14.85" customHeight="1">
      <c r="A723" s="619"/>
      <c r="B723" s="586"/>
      <c r="C723" s="259"/>
      <c r="D723" s="621"/>
      <c r="E723" s="275"/>
      <c r="F723" s="154"/>
      <c r="G723" s="219"/>
      <c r="H723" s="219"/>
      <c r="I723" s="154"/>
      <c r="J723" s="276"/>
      <c r="K723" s="311">
        <f t="shared" si="216"/>
        <v>0</v>
      </c>
      <c r="L723" s="312">
        <f t="shared" si="217"/>
        <v>0</v>
      </c>
      <c r="M723" s="313">
        <f t="shared" si="218"/>
        <v>0</v>
      </c>
      <c r="N723" s="320"/>
      <c r="O723" s="315">
        <f t="shared" si="221"/>
        <v>0</v>
      </c>
      <c r="P723" s="315">
        <f t="shared" si="222"/>
        <v>0</v>
      </c>
      <c r="Q723" s="320"/>
      <c r="R723" s="315"/>
      <c r="S723" s="315"/>
      <c r="T723" s="213"/>
      <c r="U723" s="213"/>
      <c r="V723" s="213"/>
      <c r="W723" s="213"/>
      <c r="X723" s="591"/>
      <c r="Y723" s="591"/>
    </row>
    <row r="724" spans="1:25" ht="14.85" customHeight="1">
      <c r="A724" s="619"/>
      <c r="B724" s="586"/>
      <c r="C724" s="259"/>
      <c r="D724" s="621"/>
      <c r="E724" s="275"/>
      <c r="F724" s="154"/>
      <c r="G724" s="219"/>
      <c r="H724" s="219"/>
      <c r="I724" s="154"/>
      <c r="J724" s="276"/>
      <c r="K724" s="311">
        <f t="shared" si="216"/>
        <v>0</v>
      </c>
      <c r="L724" s="312">
        <f t="shared" si="217"/>
        <v>0</v>
      </c>
      <c r="M724" s="313">
        <f t="shared" si="218"/>
        <v>0</v>
      </c>
      <c r="N724" s="320">
        <f>SUM(L719:L724)</f>
        <v>0</v>
      </c>
      <c r="O724" s="315">
        <f t="shared" si="221"/>
        <v>0</v>
      </c>
      <c r="P724" s="315">
        <f t="shared" si="222"/>
        <v>0</v>
      </c>
      <c r="Q724" s="320"/>
      <c r="R724" s="315">
        <f t="shared" ref="R724:R756" si="223">ROUNDDOWN((Q724/$O$11),0)</f>
        <v>0</v>
      </c>
      <c r="S724" s="315">
        <f t="shared" ref="S724:S756" si="224">ROUND((Q724-(R724*$P$11)),0)</f>
        <v>0</v>
      </c>
      <c r="T724" s="213"/>
      <c r="U724" s="213"/>
      <c r="V724" s="213"/>
      <c r="W724" s="213"/>
      <c r="X724" s="591"/>
      <c r="Y724" s="591"/>
    </row>
    <row r="725" spans="1:25" ht="14.85" customHeight="1">
      <c r="A725" s="619"/>
      <c r="B725" s="586"/>
      <c r="C725" s="259"/>
      <c r="D725" s="621"/>
      <c r="E725" s="157"/>
      <c r="F725" s="154"/>
      <c r="G725" s="254"/>
      <c r="H725" s="154"/>
      <c r="I725" s="154"/>
      <c r="J725" s="276"/>
      <c r="K725" s="311">
        <f t="shared" si="216"/>
        <v>0</v>
      </c>
      <c r="L725" s="312">
        <f t="shared" si="217"/>
        <v>0</v>
      </c>
      <c r="M725" s="313">
        <f t="shared" si="218"/>
        <v>0</v>
      </c>
      <c r="N725" s="320"/>
      <c r="O725" s="315">
        <f t="shared" si="221"/>
        <v>0</v>
      </c>
      <c r="P725" s="315">
        <f t="shared" si="222"/>
        <v>0</v>
      </c>
      <c r="Q725" s="320"/>
      <c r="R725" s="315">
        <f t="shared" si="223"/>
        <v>0</v>
      </c>
      <c r="S725" s="315">
        <f t="shared" si="224"/>
        <v>0</v>
      </c>
      <c r="T725" s="213"/>
      <c r="U725" s="213"/>
      <c r="V725" s="213"/>
      <c r="W725" s="213"/>
      <c r="X725" s="591"/>
      <c r="Y725" s="591"/>
    </row>
    <row r="726" spans="1:25" ht="14.85" customHeight="1">
      <c r="A726" s="619"/>
      <c r="B726" s="586"/>
      <c r="C726" s="259"/>
      <c r="D726" s="621"/>
      <c r="E726" s="157"/>
      <c r="F726" s="154"/>
      <c r="G726" s="254"/>
      <c r="H726" s="154"/>
      <c r="I726" s="154"/>
      <c r="J726" s="276"/>
      <c r="K726" s="311">
        <f t="shared" si="216"/>
        <v>0</v>
      </c>
      <c r="L726" s="312">
        <f t="shared" si="217"/>
        <v>0</v>
      </c>
      <c r="M726" s="313">
        <f t="shared" si="218"/>
        <v>0</v>
      </c>
      <c r="N726" s="320"/>
      <c r="O726" s="315">
        <f t="shared" si="221"/>
        <v>0</v>
      </c>
      <c r="P726" s="315">
        <f t="shared" si="222"/>
        <v>0</v>
      </c>
      <c r="Q726" s="320"/>
      <c r="R726" s="315">
        <f t="shared" si="223"/>
        <v>0</v>
      </c>
      <c r="S726" s="315">
        <f t="shared" si="224"/>
        <v>0</v>
      </c>
      <c r="T726" s="213"/>
      <c r="U726" s="213"/>
      <c r="V726" s="213"/>
      <c r="W726" s="213"/>
      <c r="X726" s="591"/>
      <c r="Y726" s="591"/>
    </row>
    <row r="727" spans="1:25" ht="14.85" customHeight="1">
      <c r="A727" s="619"/>
      <c r="B727" s="586"/>
      <c r="C727" s="259"/>
      <c r="D727" s="621"/>
      <c r="E727" s="157"/>
      <c r="F727" s="154"/>
      <c r="G727" s="254"/>
      <c r="H727" s="154"/>
      <c r="I727" s="154"/>
      <c r="J727" s="276"/>
      <c r="K727" s="311">
        <f t="shared" si="216"/>
        <v>0</v>
      </c>
      <c r="L727" s="312">
        <f t="shared" si="217"/>
        <v>0</v>
      </c>
      <c r="M727" s="313">
        <f t="shared" si="218"/>
        <v>0</v>
      </c>
      <c r="N727" s="320"/>
      <c r="O727" s="315">
        <f t="shared" si="221"/>
        <v>0</v>
      </c>
      <c r="P727" s="315">
        <f t="shared" si="222"/>
        <v>0</v>
      </c>
      <c r="Q727" s="320"/>
      <c r="R727" s="315">
        <f t="shared" si="223"/>
        <v>0</v>
      </c>
      <c r="S727" s="315">
        <f t="shared" si="224"/>
        <v>0</v>
      </c>
      <c r="T727" s="213"/>
      <c r="U727" s="213"/>
      <c r="V727" s="213"/>
      <c r="W727" s="213"/>
      <c r="X727" s="591"/>
      <c r="Y727" s="591"/>
    </row>
    <row r="728" spans="1:25" ht="14.85" customHeight="1">
      <c r="A728" s="619"/>
      <c r="B728" s="586"/>
      <c r="C728" s="259"/>
      <c r="D728" s="621"/>
      <c r="E728" s="157"/>
      <c r="F728" s="154"/>
      <c r="G728" s="254"/>
      <c r="H728" s="154"/>
      <c r="I728" s="154"/>
      <c r="J728" s="276"/>
      <c r="K728" s="311">
        <f t="shared" si="216"/>
        <v>0</v>
      </c>
      <c r="L728" s="312">
        <f t="shared" si="217"/>
        <v>0</v>
      </c>
      <c r="M728" s="313">
        <f t="shared" si="218"/>
        <v>0</v>
      </c>
      <c r="N728" s="320"/>
      <c r="O728" s="315">
        <f t="shared" si="221"/>
        <v>0</v>
      </c>
      <c r="P728" s="315">
        <f t="shared" si="222"/>
        <v>0</v>
      </c>
      <c r="Q728" s="320"/>
      <c r="R728" s="315">
        <f t="shared" si="223"/>
        <v>0</v>
      </c>
      <c r="S728" s="315">
        <f t="shared" si="224"/>
        <v>0</v>
      </c>
      <c r="T728" s="213"/>
      <c r="U728" s="213"/>
      <c r="V728" s="213"/>
      <c r="W728" s="213"/>
      <c r="X728" s="591"/>
      <c r="Y728" s="591"/>
    </row>
    <row r="729" spans="1:25" ht="14.85" customHeight="1">
      <c r="A729" s="619"/>
      <c r="B729" s="586"/>
      <c r="C729" s="259"/>
      <c r="D729" s="621"/>
      <c r="E729" s="157"/>
      <c r="F729" s="154"/>
      <c r="G729" s="254"/>
      <c r="H729" s="154"/>
      <c r="I729" s="154"/>
      <c r="J729" s="276"/>
      <c r="K729" s="311">
        <f t="shared" si="216"/>
        <v>0</v>
      </c>
      <c r="L729" s="312">
        <f t="shared" si="217"/>
        <v>0</v>
      </c>
      <c r="M729" s="313">
        <f t="shared" si="218"/>
        <v>0</v>
      </c>
      <c r="N729" s="320"/>
      <c r="O729" s="315">
        <f t="shared" si="221"/>
        <v>0</v>
      </c>
      <c r="P729" s="315">
        <f t="shared" si="222"/>
        <v>0</v>
      </c>
      <c r="Q729" s="320"/>
      <c r="R729" s="315">
        <f t="shared" si="223"/>
        <v>0</v>
      </c>
      <c r="S729" s="315">
        <f t="shared" si="224"/>
        <v>0</v>
      </c>
      <c r="T729" s="213"/>
      <c r="U729" s="213"/>
      <c r="V729" s="213"/>
      <c r="W729" s="213"/>
      <c r="X729" s="591"/>
      <c r="Y729" s="591"/>
    </row>
    <row r="730" spans="1:25" ht="14.85" customHeight="1">
      <c r="A730" s="619"/>
      <c r="B730" s="586"/>
      <c r="C730" s="259"/>
      <c r="D730" s="621"/>
      <c r="E730" s="157"/>
      <c r="F730" s="154"/>
      <c r="G730" s="254"/>
      <c r="H730" s="154"/>
      <c r="I730" s="154"/>
      <c r="J730" s="276"/>
      <c r="K730" s="311">
        <f t="shared" si="216"/>
        <v>0</v>
      </c>
      <c r="L730" s="312">
        <f t="shared" si="217"/>
        <v>0</v>
      </c>
      <c r="M730" s="313">
        <f t="shared" si="218"/>
        <v>0</v>
      </c>
      <c r="N730" s="320"/>
      <c r="O730" s="315">
        <f t="shared" si="221"/>
        <v>0</v>
      </c>
      <c r="P730" s="315">
        <f t="shared" si="222"/>
        <v>0</v>
      </c>
      <c r="Q730" s="320"/>
      <c r="R730" s="315">
        <f t="shared" si="223"/>
        <v>0</v>
      </c>
      <c r="S730" s="315">
        <f t="shared" si="224"/>
        <v>0</v>
      </c>
      <c r="T730" s="213"/>
      <c r="U730" s="213"/>
      <c r="V730" s="213"/>
      <c r="W730" s="213"/>
      <c r="X730" s="591"/>
      <c r="Y730" s="591"/>
    </row>
    <row r="731" spans="1:25" ht="14.85" customHeight="1">
      <c r="A731" s="619"/>
      <c r="B731" s="586"/>
      <c r="C731" s="259"/>
      <c r="D731" s="621"/>
      <c r="E731" s="157"/>
      <c r="F731" s="154"/>
      <c r="G731" s="254"/>
      <c r="H731" s="154"/>
      <c r="I731" s="154"/>
      <c r="J731" s="276"/>
      <c r="K731" s="311">
        <f t="shared" si="216"/>
        <v>0</v>
      </c>
      <c r="L731" s="312">
        <f t="shared" si="217"/>
        <v>0</v>
      </c>
      <c r="M731" s="313">
        <f t="shared" si="218"/>
        <v>0</v>
      </c>
      <c r="N731" s="320">
        <f>SUM(L725:L731)</f>
        <v>0</v>
      </c>
      <c r="O731" s="315">
        <f t="shared" si="221"/>
        <v>0</v>
      </c>
      <c r="P731" s="315">
        <f t="shared" si="222"/>
        <v>0</v>
      </c>
      <c r="Q731" s="320"/>
      <c r="R731" s="315">
        <f t="shared" si="223"/>
        <v>0</v>
      </c>
      <c r="S731" s="315">
        <f t="shared" si="224"/>
        <v>0</v>
      </c>
      <c r="T731" s="213"/>
      <c r="U731" s="213"/>
      <c r="V731" s="213"/>
      <c r="W731" s="213"/>
      <c r="X731" s="591"/>
      <c r="Y731" s="591"/>
    </row>
    <row r="732" spans="1:25" ht="14.85" customHeight="1">
      <c r="A732" s="619"/>
      <c r="B732" s="586"/>
      <c r="C732" s="259"/>
      <c r="D732" s="621"/>
      <c r="E732" s="157"/>
      <c r="F732" s="154"/>
      <c r="G732" s="254"/>
      <c r="H732" s="154"/>
      <c r="I732" s="154"/>
      <c r="J732" s="276"/>
      <c r="K732" s="311">
        <f t="shared" si="216"/>
        <v>0</v>
      </c>
      <c r="L732" s="312">
        <f t="shared" si="217"/>
        <v>0</v>
      </c>
      <c r="M732" s="313">
        <f t="shared" si="218"/>
        <v>0</v>
      </c>
      <c r="N732" s="320"/>
      <c r="O732" s="315">
        <f t="shared" si="221"/>
        <v>0</v>
      </c>
      <c r="P732" s="315">
        <f t="shared" si="222"/>
        <v>0</v>
      </c>
      <c r="Q732" s="320"/>
      <c r="R732" s="315">
        <f t="shared" si="223"/>
        <v>0</v>
      </c>
      <c r="S732" s="315">
        <f t="shared" si="224"/>
        <v>0</v>
      </c>
      <c r="T732" s="213"/>
      <c r="U732" s="213"/>
      <c r="V732" s="213"/>
      <c r="W732" s="213"/>
      <c r="X732" s="591"/>
      <c r="Y732" s="591"/>
    </row>
    <row r="733" spans="1:25" ht="14.85" customHeight="1">
      <c r="A733" s="619"/>
      <c r="B733" s="586"/>
      <c r="C733" s="259"/>
      <c r="D733" s="621"/>
      <c r="E733" s="157"/>
      <c r="F733" s="154"/>
      <c r="G733" s="254"/>
      <c r="H733" s="154"/>
      <c r="I733" s="154"/>
      <c r="J733" s="276"/>
      <c r="K733" s="311">
        <f t="shared" si="216"/>
        <v>0</v>
      </c>
      <c r="L733" s="312">
        <f t="shared" si="217"/>
        <v>0</v>
      </c>
      <c r="M733" s="313">
        <f t="shared" si="218"/>
        <v>0</v>
      </c>
      <c r="N733" s="320"/>
      <c r="O733" s="315">
        <f t="shared" si="221"/>
        <v>0</v>
      </c>
      <c r="P733" s="315">
        <f t="shared" si="222"/>
        <v>0</v>
      </c>
      <c r="Q733" s="320"/>
      <c r="R733" s="315">
        <f t="shared" si="223"/>
        <v>0</v>
      </c>
      <c r="S733" s="315">
        <f t="shared" si="224"/>
        <v>0</v>
      </c>
      <c r="T733" s="213"/>
      <c r="U733" s="213"/>
      <c r="V733" s="213"/>
      <c r="W733" s="213"/>
      <c r="X733" s="591"/>
      <c r="Y733" s="591"/>
    </row>
    <row r="734" spans="1:25" ht="14.85" customHeight="1">
      <c r="A734" s="619"/>
      <c r="B734" s="586"/>
      <c r="C734" s="259"/>
      <c r="D734" s="621"/>
      <c r="E734" s="157"/>
      <c r="F734" s="154"/>
      <c r="G734" s="254"/>
      <c r="H734" s="154"/>
      <c r="I734" s="154"/>
      <c r="J734" s="276"/>
      <c r="K734" s="311">
        <f t="shared" si="216"/>
        <v>0</v>
      </c>
      <c r="L734" s="312">
        <f t="shared" si="217"/>
        <v>0</v>
      </c>
      <c r="M734" s="313">
        <f t="shared" si="218"/>
        <v>0</v>
      </c>
      <c r="N734" s="320"/>
      <c r="O734" s="315">
        <f t="shared" si="221"/>
        <v>0</v>
      </c>
      <c r="P734" s="315">
        <f t="shared" si="222"/>
        <v>0</v>
      </c>
      <c r="Q734" s="320"/>
      <c r="R734" s="315">
        <f t="shared" si="223"/>
        <v>0</v>
      </c>
      <c r="S734" s="315">
        <f t="shared" si="224"/>
        <v>0</v>
      </c>
      <c r="T734" s="213"/>
      <c r="U734" s="213"/>
      <c r="V734" s="213"/>
      <c r="W734" s="213"/>
      <c r="X734" s="591"/>
      <c r="Y734" s="591"/>
    </row>
    <row r="735" spans="1:25" ht="14.85" customHeight="1">
      <c r="A735" s="619"/>
      <c r="B735" s="586"/>
      <c r="C735" s="259"/>
      <c r="D735" s="621"/>
      <c r="E735" s="157"/>
      <c r="F735" s="154"/>
      <c r="G735" s="254"/>
      <c r="H735" s="154"/>
      <c r="I735" s="154"/>
      <c r="J735" s="276"/>
      <c r="K735" s="311">
        <f t="shared" si="216"/>
        <v>0</v>
      </c>
      <c r="L735" s="312">
        <f t="shared" si="217"/>
        <v>0</v>
      </c>
      <c r="M735" s="313">
        <f t="shared" si="218"/>
        <v>0</v>
      </c>
      <c r="N735" s="320"/>
      <c r="O735" s="315">
        <f t="shared" si="221"/>
        <v>0</v>
      </c>
      <c r="P735" s="315">
        <f t="shared" si="222"/>
        <v>0</v>
      </c>
      <c r="Q735" s="320"/>
      <c r="R735" s="315">
        <f t="shared" si="223"/>
        <v>0</v>
      </c>
      <c r="S735" s="315">
        <f t="shared" si="224"/>
        <v>0</v>
      </c>
      <c r="T735" s="213"/>
      <c r="U735" s="213"/>
      <c r="V735" s="213"/>
      <c r="W735" s="213"/>
      <c r="X735" s="591"/>
      <c r="Y735" s="591"/>
    </row>
    <row r="736" spans="1:25" ht="14.85" customHeight="1">
      <c r="A736" s="619"/>
      <c r="B736" s="586"/>
      <c r="C736" s="259"/>
      <c r="D736" s="621"/>
      <c r="E736" s="157"/>
      <c r="F736" s="154"/>
      <c r="G736" s="254"/>
      <c r="H736" s="154"/>
      <c r="I736" s="154"/>
      <c r="J736" s="276"/>
      <c r="K736" s="311">
        <f t="shared" si="216"/>
        <v>0</v>
      </c>
      <c r="L736" s="312">
        <f t="shared" si="217"/>
        <v>0</v>
      </c>
      <c r="M736" s="313">
        <f t="shared" si="218"/>
        <v>0</v>
      </c>
      <c r="N736" s="320"/>
      <c r="O736" s="315">
        <f t="shared" si="221"/>
        <v>0</v>
      </c>
      <c r="P736" s="315">
        <f t="shared" si="222"/>
        <v>0</v>
      </c>
      <c r="Q736" s="320"/>
      <c r="R736" s="315">
        <f t="shared" si="223"/>
        <v>0</v>
      </c>
      <c r="S736" s="315">
        <f t="shared" si="224"/>
        <v>0</v>
      </c>
      <c r="T736" s="213"/>
      <c r="U736" s="213"/>
      <c r="V736" s="213"/>
      <c r="W736" s="213"/>
      <c r="X736" s="591"/>
      <c r="Y736" s="591"/>
    </row>
    <row r="737" spans="1:25" ht="14.85" customHeight="1">
      <c r="A737" s="619"/>
      <c r="B737" s="586"/>
      <c r="C737" s="259"/>
      <c r="D737" s="621"/>
      <c r="E737" s="157"/>
      <c r="F737" s="154"/>
      <c r="G737" s="254"/>
      <c r="H737" s="154"/>
      <c r="I737" s="154"/>
      <c r="J737" s="276"/>
      <c r="K737" s="311">
        <f t="shared" si="216"/>
        <v>0</v>
      </c>
      <c r="L737" s="312">
        <f t="shared" si="217"/>
        <v>0</v>
      </c>
      <c r="M737" s="313">
        <f t="shared" si="218"/>
        <v>0</v>
      </c>
      <c r="N737" s="320">
        <f>SUM(L732:L737)</f>
        <v>0</v>
      </c>
      <c r="O737" s="315">
        <f t="shared" si="221"/>
        <v>0</v>
      </c>
      <c r="P737" s="315">
        <f t="shared" si="222"/>
        <v>0</v>
      </c>
      <c r="Q737" s="320"/>
      <c r="R737" s="315">
        <f t="shared" si="223"/>
        <v>0</v>
      </c>
      <c r="S737" s="315">
        <f t="shared" si="224"/>
        <v>0</v>
      </c>
      <c r="T737" s="213"/>
      <c r="U737" s="213"/>
      <c r="V737" s="213"/>
      <c r="W737" s="213"/>
      <c r="X737" s="591"/>
      <c r="Y737" s="591"/>
    </row>
    <row r="738" spans="1:25" ht="14.85" customHeight="1">
      <c r="A738" s="619"/>
      <c r="B738" s="586"/>
      <c r="C738" s="259"/>
      <c r="D738" s="621"/>
      <c r="E738" s="157"/>
      <c r="F738" s="154"/>
      <c r="G738" s="216"/>
      <c r="H738" s="216"/>
      <c r="I738" s="154"/>
      <c r="J738" s="276"/>
      <c r="K738" s="311">
        <f t="shared" si="216"/>
        <v>0</v>
      </c>
      <c r="L738" s="312">
        <f t="shared" si="217"/>
        <v>0</v>
      </c>
      <c r="M738" s="313">
        <f t="shared" si="218"/>
        <v>0</v>
      </c>
      <c r="N738" s="320"/>
      <c r="O738" s="315">
        <f t="shared" si="221"/>
        <v>0</v>
      </c>
      <c r="P738" s="315">
        <f t="shared" si="222"/>
        <v>0</v>
      </c>
      <c r="Q738" s="320"/>
      <c r="R738" s="315">
        <f t="shared" si="223"/>
        <v>0</v>
      </c>
      <c r="S738" s="315">
        <f t="shared" si="224"/>
        <v>0</v>
      </c>
      <c r="T738" s="213"/>
      <c r="U738" s="213"/>
      <c r="V738" s="213"/>
      <c r="W738" s="213"/>
      <c r="X738" s="591"/>
      <c r="Y738" s="591"/>
    </row>
    <row r="739" spans="1:25" ht="14.85" customHeight="1">
      <c r="A739" s="619"/>
      <c r="B739" s="586"/>
      <c r="C739" s="259"/>
      <c r="D739" s="621"/>
      <c r="E739" s="157"/>
      <c r="F739" s="154"/>
      <c r="G739" s="216"/>
      <c r="H739" s="216"/>
      <c r="I739" s="154"/>
      <c r="J739" s="276"/>
      <c r="K739" s="311">
        <f t="shared" si="216"/>
        <v>0</v>
      </c>
      <c r="L739" s="312">
        <f t="shared" si="217"/>
        <v>0</v>
      </c>
      <c r="M739" s="313">
        <f t="shared" si="218"/>
        <v>0</v>
      </c>
      <c r="N739" s="320"/>
      <c r="O739" s="315">
        <f t="shared" si="221"/>
        <v>0</v>
      </c>
      <c r="P739" s="315">
        <f t="shared" si="222"/>
        <v>0</v>
      </c>
      <c r="Q739" s="320"/>
      <c r="R739" s="315">
        <f t="shared" si="223"/>
        <v>0</v>
      </c>
      <c r="S739" s="315">
        <f t="shared" si="224"/>
        <v>0</v>
      </c>
      <c r="T739" s="213"/>
      <c r="U739" s="213"/>
      <c r="V739" s="213"/>
      <c r="W739" s="213"/>
      <c r="X739" s="591"/>
      <c r="Y739" s="591"/>
    </row>
    <row r="740" spans="1:25" ht="14.85" customHeight="1">
      <c r="A740" s="619"/>
      <c r="B740" s="586"/>
      <c r="C740" s="259"/>
      <c r="D740" s="621"/>
      <c r="E740" s="157"/>
      <c r="F740" s="154"/>
      <c r="G740" s="216"/>
      <c r="H740" s="216"/>
      <c r="I740" s="154"/>
      <c r="J740" s="276"/>
      <c r="K740" s="311">
        <f t="shared" si="216"/>
        <v>0</v>
      </c>
      <c r="L740" s="312">
        <f t="shared" si="217"/>
        <v>0</v>
      </c>
      <c r="M740" s="313">
        <f t="shared" si="218"/>
        <v>0</v>
      </c>
      <c r="N740" s="320"/>
      <c r="O740" s="315">
        <f t="shared" si="221"/>
        <v>0</v>
      </c>
      <c r="P740" s="315">
        <f t="shared" si="222"/>
        <v>0</v>
      </c>
      <c r="Q740" s="320"/>
      <c r="R740" s="315">
        <f t="shared" si="223"/>
        <v>0</v>
      </c>
      <c r="S740" s="315">
        <f t="shared" si="224"/>
        <v>0</v>
      </c>
      <c r="T740" s="213"/>
      <c r="U740" s="213"/>
      <c r="V740" s="213"/>
      <c r="W740" s="213"/>
      <c r="X740" s="591"/>
      <c r="Y740" s="591"/>
    </row>
    <row r="741" spans="1:25" ht="14.85" customHeight="1">
      <c r="A741" s="619"/>
      <c r="B741" s="586"/>
      <c r="C741" s="259"/>
      <c r="D741" s="621"/>
      <c r="E741" s="157"/>
      <c r="F741" s="154"/>
      <c r="G741" s="216"/>
      <c r="H741" s="216"/>
      <c r="I741" s="154"/>
      <c r="J741" s="276"/>
      <c r="K741" s="311">
        <f t="shared" si="216"/>
        <v>0</v>
      </c>
      <c r="L741" s="312">
        <f t="shared" si="217"/>
        <v>0</v>
      </c>
      <c r="M741" s="313">
        <f t="shared" si="218"/>
        <v>0</v>
      </c>
      <c r="N741" s="320"/>
      <c r="O741" s="315">
        <f t="shared" si="221"/>
        <v>0</v>
      </c>
      <c r="P741" s="315">
        <f t="shared" si="222"/>
        <v>0</v>
      </c>
      <c r="Q741" s="320"/>
      <c r="R741" s="315">
        <f t="shared" si="223"/>
        <v>0</v>
      </c>
      <c r="S741" s="315">
        <f t="shared" si="224"/>
        <v>0</v>
      </c>
      <c r="T741" s="213"/>
      <c r="U741" s="213"/>
      <c r="V741" s="213"/>
      <c r="W741" s="213"/>
      <c r="X741" s="591"/>
      <c r="Y741" s="591"/>
    </row>
    <row r="742" spans="1:25" ht="14.85" customHeight="1">
      <c r="A742" s="619"/>
      <c r="B742" s="586"/>
      <c r="C742" s="259"/>
      <c r="D742" s="621"/>
      <c r="E742" s="157"/>
      <c r="F742" s="154"/>
      <c r="G742" s="216"/>
      <c r="H742" s="216"/>
      <c r="I742" s="154"/>
      <c r="J742" s="276"/>
      <c r="K742" s="311">
        <f t="shared" si="216"/>
        <v>0</v>
      </c>
      <c r="L742" s="312">
        <f t="shared" si="217"/>
        <v>0</v>
      </c>
      <c r="M742" s="313">
        <f t="shared" si="218"/>
        <v>0</v>
      </c>
      <c r="N742" s="320"/>
      <c r="O742" s="315">
        <f t="shared" si="221"/>
        <v>0</v>
      </c>
      <c r="P742" s="315">
        <f t="shared" si="222"/>
        <v>0</v>
      </c>
      <c r="Q742" s="320"/>
      <c r="R742" s="315">
        <f t="shared" si="223"/>
        <v>0</v>
      </c>
      <c r="S742" s="315">
        <f t="shared" si="224"/>
        <v>0</v>
      </c>
      <c r="T742" s="213"/>
      <c r="U742" s="213"/>
      <c r="V742" s="213"/>
      <c r="W742" s="213"/>
      <c r="X742" s="591"/>
      <c r="Y742" s="591"/>
    </row>
    <row r="743" spans="1:25" ht="14.85" customHeight="1">
      <c r="A743" s="619"/>
      <c r="B743" s="586"/>
      <c r="C743" s="259"/>
      <c r="D743" s="621"/>
      <c r="E743" s="157"/>
      <c r="F743" s="154"/>
      <c r="G743" s="216"/>
      <c r="H743" s="216"/>
      <c r="I743" s="154"/>
      <c r="J743" s="276"/>
      <c r="K743" s="311">
        <f t="shared" si="216"/>
        <v>0</v>
      </c>
      <c r="L743" s="312">
        <f t="shared" si="217"/>
        <v>0</v>
      </c>
      <c r="M743" s="313">
        <f t="shared" si="218"/>
        <v>0</v>
      </c>
      <c r="N743" s="320">
        <f>SUM(L738:L743)</f>
        <v>0</v>
      </c>
      <c r="O743" s="315">
        <f t="shared" si="221"/>
        <v>0</v>
      </c>
      <c r="P743" s="315">
        <f t="shared" si="222"/>
        <v>0</v>
      </c>
      <c r="Q743" s="320">
        <f>N724+N731+N737+N743</f>
        <v>0</v>
      </c>
      <c r="R743" s="315">
        <f t="shared" si="223"/>
        <v>0</v>
      </c>
      <c r="S743" s="315">
        <f t="shared" si="224"/>
        <v>0</v>
      </c>
      <c r="T743" s="213"/>
      <c r="U743" s="213"/>
      <c r="V743" s="213"/>
      <c r="W743" s="213"/>
      <c r="X743" s="591"/>
      <c r="Y743" s="591"/>
    </row>
    <row r="744" spans="1:25" ht="14.85" customHeight="1">
      <c r="A744" s="619"/>
      <c r="B744" s="586"/>
      <c r="C744" s="259"/>
      <c r="D744" s="621"/>
      <c r="E744" s="157"/>
      <c r="F744" s="154"/>
      <c r="G744" s="216"/>
      <c r="H744" s="216"/>
      <c r="I744" s="154"/>
      <c r="J744" s="276"/>
      <c r="K744" s="311"/>
      <c r="L744" s="312"/>
      <c r="M744" s="313"/>
      <c r="N744" s="320"/>
      <c r="O744" s="315"/>
      <c r="P744" s="315"/>
      <c r="Q744" s="320"/>
      <c r="R744" s="315"/>
      <c r="S744" s="315"/>
      <c r="T744" s="213"/>
      <c r="U744" s="213"/>
      <c r="V744" s="213"/>
      <c r="W744" s="213"/>
      <c r="X744" s="591"/>
      <c r="Y744" s="591"/>
    </row>
    <row r="745" spans="1:25" ht="14.85" customHeight="1">
      <c r="A745" s="619"/>
      <c r="B745" s="586"/>
      <c r="C745" s="259"/>
      <c r="D745" s="621"/>
      <c r="E745" s="272"/>
      <c r="F745" s="154"/>
      <c r="G745" s="216"/>
      <c r="H745" s="216"/>
      <c r="I745" s="154"/>
      <c r="J745" s="276"/>
      <c r="K745" s="311">
        <f t="shared" si="216"/>
        <v>0</v>
      </c>
      <c r="L745" s="312">
        <f t="shared" si="217"/>
        <v>0</v>
      </c>
      <c r="M745" s="313">
        <f t="shared" si="218"/>
        <v>0</v>
      </c>
      <c r="N745" s="320"/>
      <c r="O745" s="315">
        <f t="shared" si="221"/>
        <v>0</v>
      </c>
      <c r="P745" s="315">
        <f t="shared" si="222"/>
        <v>0</v>
      </c>
      <c r="Q745" s="320"/>
      <c r="R745" s="315">
        <f t="shared" si="223"/>
        <v>0</v>
      </c>
      <c r="S745" s="315">
        <f t="shared" si="224"/>
        <v>0</v>
      </c>
      <c r="T745" s="213"/>
      <c r="U745" s="213"/>
      <c r="V745" s="213"/>
      <c r="W745" s="213"/>
      <c r="X745" s="591"/>
      <c r="Y745" s="591"/>
    </row>
    <row r="746" spans="1:25" ht="14.85" customHeight="1">
      <c r="A746" s="619"/>
      <c r="B746" s="586"/>
      <c r="C746" s="259"/>
      <c r="D746" s="621"/>
      <c r="E746" s="275"/>
      <c r="F746" s="154"/>
      <c r="G746" s="216"/>
      <c r="H746" s="216"/>
      <c r="I746" s="154"/>
      <c r="J746" s="276"/>
      <c r="K746" s="311">
        <f t="shared" si="216"/>
        <v>0</v>
      </c>
      <c r="L746" s="312">
        <f t="shared" si="217"/>
        <v>0</v>
      </c>
      <c r="M746" s="313">
        <f t="shared" si="218"/>
        <v>0</v>
      </c>
      <c r="N746" s="320"/>
      <c r="O746" s="315">
        <f t="shared" si="221"/>
        <v>0</v>
      </c>
      <c r="P746" s="315">
        <f t="shared" si="222"/>
        <v>0</v>
      </c>
      <c r="Q746" s="320"/>
      <c r="R746" s="315">
        <f t="shared" si="223"/>
        <v>0</v>
      </c>
      <c r="S746" s="315">
        <f t="shared" si="224"/>
        <v>0</v>
      </c>
      <c r="T746" s="213"/>
      <c r="U746" s="213"/>
      <c r="V746" s="213"/>
      <c r="W746" s="213"/>
      <c r="X746" s="591"/>
      <c r="Y746" s="591"/>
    </row>
    <row r="747" spans="1:25" ht="14.85" customHeight="1">
      <c r="A747" s="619"/>
      <c r="B747" s="586"/>
      <c r="C747" s="259"/>
      <c r="D747" s="621"/>
      <c r="E747" s="275"/>
      <c r="F747" s="154"/>
      <c r="G747" s="216"/>
      <c r="H747" s="216"/>
      <c r="I747" s="154"/>
      <c r="J747" s="276"/>
      <c r="K747" s="311">
        <f t="shared" si="216"/>
        <v>0</v>
      </c>
      <c r="L747" s="312">
        <f t="shared" si="217"/>
        <v>0</v>
      </c>
      <c r="M747" s="313">
        <f t="shared" si="218"/>
        <v>0</v>
      </c>
      <c r="N747" s="320"/>
      <c r="O747" s="315">
        <f t="shared" si="221"/>
        <v>0</v>
      </c>
      <c r="P747" s="315">
        <f t="shared" si="222"/>
        <v>0</v>
      </c>
      <c r="Q747" s="320"/>
      <c r="R747" s="315">
        <f t="shared" si="223"/>
        <v>0</v>
      </c>
      <c r="S747" s="315">
        <f t="shared" si="224"/>
        <v>0</v>
      </c>
      <c r="T747" s="213"/>
      <c r="U747" s="213"/>
      <c r="V747" s="213"/>
      <c r="W747" s="213"/>
      <c r="X747" s="591"/>
      <c r="Y747" s="591"/>
    </row>
    <row r="748" spans="1:25" ht="14.85" customHeight="1">
      <c r="A748" s="619"/>
      <c r="B748" s="586"/>
      <c r="C748" s="259"/>
      <c r="D748" s="621"/>
      <c r="E748" s="275"/>
      <c r="F748" s="154"/>
      <c r="G748" s="216"/>
      <c r="H748" s="216"/>
      <c r="I748" s="154"/>
      <c r="J748" s="276"/>
      <c r="K748" s="311">
        <f t="shared" si="216"/>
        <v>0</v>
      </c>
      <c r="L748" s="312">
        <f t="shared" si="217"/>
        <v>0</v>
      </c>
      <c r="M748" s="313">
        <f t="shared" si="218"/>
        <v>0</v>
      </c>
      <c r="N748" s="320"/>
      <c r="O748" s="315">
        <f t="shared" si="221"/>
        <v>0</v>
      </c>
      <c r="P748" s="315">
        <f t="shared" si="222"/>
        <v>0</v>
      </c>
      <c r="Q748" s="320"/>
      <c r="R748" s="315">
        <f t="shared" si="223"/>
        <v>0</v>
      </c>
      <c r="S748" s="315">
        <f t="shared" si="224"/>
        <v>0</v>
      </c>
      <c r="T748" s="213"/>
      <c r="U748" s="213"/>
      <c r="V748" s="213"/>
      <c r="W748" s="213"/>
      <c r="X748" s="591"/>
      <c r="Y748" s="591"/>
    </row>
    <row r="749" spans="1:25" ht="14.85" customHeight="1">
      <c r="A749" s="619"/>
      <c r="B749" s="586"/>
      <c r="C749" s="259"/>
      <c r="D749" s="621"/>
      <c r="E749" s="275"/>
      <c r="F749" s="154"/>
      <c r="G749" s="216"/>
      <c r="H749" s="216"/>
      <c r="I749" s="154"/>
      <c r="J749" s="276"/>
      <c r="K749" s="311">
        <f t="shared" si="216"/>
        <v>0</v>
      </c>
      <c r="L749" s="312">
        <f t="shared" si="217"/>
        <v>0</v>
      </c>
      <c r="M749" s="313">
        <f t="shared" si="218"/>
        <v>0</v>
      </c>
      <c r="N749" s="320"/>
      <c r="O749" s="315">
        <f t="shared" si="221"/>
        <v>0</v>
      </c>
      <c r="P749" s="315">
        <f t="shared" si="222"/>
        <v>0</v>
      </c>
      <c r="Q749" s="320"/>
      <c r="R749" s="315">
        <f t="shared" si="223"/>
        <v>0</v>
      </c>
      <c r="S749" s="315">
        <f t="shared" si="224"/>
        <v>0</v>
      </c>
      <c r="T749" s="213"/>
      <c r="U749" s="213"/>
      <c r="V749" s="213"/>
      <c r="W749" s="213"/>
      <c r="X749" s="591"/>
      <c r="Y749" s="591"/>
    </row>
    <row r="750" spans="1:25" ht="14.85" customHeight="1">
      <c r="A750" s="619"/>
      <c r="B750" s="586"/>
      <c r="C750" s="259"/>
      <c r="D750" s="621"/>
      <c r="E750" s="275"/>
      <c r="F750" s="154"/>
      <c r="G750" s="216"/>
      <c r="H750" s="216"/>
      <c r="I750" s="154"/>
      <c r="J750" s="276"/>
      <c r="K750" s="311">
        <f t="shared" si="216"/>
        <v>0</v>
      </c>
      <c r="L750" s="312">
        <f t="shared" si="217"/>
        <v>0</v>
      </c>
      <c r="M750" s="313">
        <f t="shared" si="218"/>
        <v>0</v>
      </c>
      <c r="N750" s="320"/>
      <c r="O750" s="315">
        <f t="shared" si="221"/>
        <v>0</v>
      </c>
      <c r="P750" s="315">
        <f t="shared" si="222"/>
        <v>0</v>
      </c>
      <c r="Q750" s="320"/>
      <c r="R750" s="315">
        <f t="shared" si="223"/>
        <v>0</v>
      </c>
      <c r="S750" s="315">
        <f t="shared" si="224"/>
        <v>0</v>
      </c>
      <c r="T750" s="213"/>
      <c r="U750" s="213"/>
      <c r="V750" s="213"/>
      <c r="W750" s="213"/>
      <c r="X750" s="591"/>
      <c r="Y750" s="591"/>
    </row>
    <row r="751" spans="1:25" ht="14.85" customHeight="1">
      <c r="A751" s="619"/>
      <c r="B751" s="586"/>
      <c r="C751" s="259"/>
      <c r="D751" s="621"/>
      <c r="E751" s="275"/>
      <c r="F751" s="154"/>
      <c r="G751" s="216"/>
      <c r="H751" s="216"/>
      <c r="I751" s="154"/>
      <c r="J751" s="276"/>
      <c r="K751" s="311">
        <f t="shared" si="216"/>
        <v>0</v>
      </c>
      <c r="L751" s="312">
        <f t="shared" si="217"/>
        <v>0</v>
      </c>
      <c r="M751" s="313">
        <f t="shared" si="218"/>
        <v>0</v>
      </c>
      <c r="N751" s="320"/>
      <c r="O751" s="315">
        <f t="shared" si="221"/>
        <v>0</v>
      </c>
      <c r="P751" s="315">
        <f t="shared" si="222"/>
        <v>0</v>
      </c>
      <c r="Q751" s="320"/>
      <c r="R751" s="315">
        <f t="shared" si="223"/>
        <v>0</v>
      </c>
      <c r="S751" s="315">
        <f t="shared" si="224"/>
        <v>0</v>
      </c>
      <c r="T751" s="213"/>
      <c r="U751" s="213"/>
      <c r="V751" s="213"/>
      <c r="W751" s="213"/>
      <c r="X751" s="591"/>
      <c r="Y751" s="591"/>
    </row>
    <row r="752" spans="1:25" ht="14.85" customHeight="1">
      <c r="A752" s="619"/>
      <c r="B752" s="586"/>
      <c r="C752" s="259"/>
      <c r="D752" s="621"/>
      <c r="E752" s="275"/>
      <c r="F752" s="154"/>
      <c r="G752" s="216"/>
      <c r="H752" s="216"/>
      <c r="I752" s="154"/>
      <c r="J752" s="276"/>
      <c r="K752" s="311">
        <f t="shared" si="216"/>
        <v>0</v>
      </c>
      <c r="L752" s="312">
        <f t="shared" si="217"/>
        <v>0</v>
      </c>
      <c r="M752" s="313">
        <f t="shared" si="218"/>
        <v>0</v>
      </c>
      <c r="N752" s="320"/>
      <c r="O752" s="315">
        <f t="shared" si="221"/>
        <v>0</v>
      </c>
      <c r="P752" s="315">
        <f t="shared" si="222"/>
        <v>0</v>
      </c>
      <c r="Q752" s="320"/>
      <c r="R752" s="315">
        <f t="shared" si="223"/>
        <v>0</v>
      </c>
      <c r="S752" s="315">
        <f t="shared" si="224"/>
        <v>0</v>
      </c>
      <c r="T752" s="213"/>
      <c r="U752" s="213"/>
      <c r="V752" s="213"/>
      <c r="W752" s="213"/>
      <c r="X752" s="591"/>
      <c r="Y752" s="591"/>
    </row>
    <row r="753" spans="1:25" ht="14.85" customHeight="1">
      <c r="A753" s="619"/>
      <c r="B753" s="586"/>
      <c r="C753" s="259"/>
      <c r="D753" s="621"/>
      <c r="E753" s="275"/>
      <c r="F753" s="154"/>
      <c r="G753" s="216"/>
      <c r="H753" s="216"/>
      <c r="I753" s="154"/>
      <c r="J753" s="276"/>
      <c r="K753" s="311">
        <f t="shared" si="216"/>
        <v>0</v>
      </c>
      <c r="L753" s="312">
        <f t="shared" si="217"/>
        <v>0</v>
      </c>
      <c r="M753" s="313">
        <f t="shared" si="218"/>
        <v>0</v>
      </c>
      <c r="N753" s="320"/>
      <c r="O753" s="315">
        <f t="shared" si="221"/>
        <v>0</v>
      </c>
      <c r="P753" s="315">
        <f t="shared" si="222"/>
        <v>0</v>
      </c>
      <c r="Q753" s="320"/>
      <c r="R753" s="315">
        <f t="shared" si="223"/>
        <v>0</v>
      </c>
      <c r="S753" s="315">
        <f t="shared" si="224"/>
        <v>0</v>
      </c>
      <c r="T753" s="213"/>
      <c r="U753" s="213"/>
      <c r="V753" s="213"/>
      <c r="W753" s="213"/>
      <c r="X753" s="591"/>
      <c r="Y753" s="591"/>
    </row>
    <row r="754" spans="1:25" ht="14.85" customHeight="1">
      <c r="A754" s="619"/>
      <c r="B754" s="586"/>
      <c r="C754" s="259"/>
      <c r="D754" s="621"/>
      <c r="E754" s="275"/>
      <c r="F754" s="154"/>
      <c r="G754" s="216"/>
      <c r="H754" s="216"/>
      <c r="I754" s="154"/>
      <c r="J754" s="276"/>
      <c r="K754" s="311">
        <f t="shared" si="216"/>
        <v>0</v>
      </c>
      <c r="L754" s="312">
        <f t="shared" si="217"/>
        <v>0</v>
      </c>
      <c r="M754" s="313">
        <f t="shared" si="218"/>
        <v>0</v>
      </c>
      <c r="N754" s="320"/>
      <c r="O754" s="315">
        <f t="shared" si="221"/>
        <v>0</v>
      </c>
      <c r="P754" s="315">
        <f t="shared" si="222"/>
        <v>0</v>
      </c>
      <c r="Q754" s="320"/>
      <c r="R754" s="315">
        <f t="shared" si="223"/>
        <v>0</v>
      </c>
      <c r="S754" s="315">
        <f t="shared" si="224"/>
        <v>0</v>
      </c>
      <c r="T754" s="213"/>
      <c r="U754" s="213"/>
      <c r="V754" s="213"/>
      <c r="W754" s="213"/>
      <c r="X754" s="591"/>
      <c r="Y754" s="591"/>
    </row>
    <row r="755" spans="1:25" ht="14.85" customHeight="1">
      <c r="A755" s="619"/>
      <c r="B755" s="586"/>
      <c r="C755" s="259"/>
      <c r="D755" s="621"/>
      <c r="E755" s="275"/>
      <c r="F755" s="154"/>
      <c r="G755" s="216"/>
      <c r="H755" s="216"/>
      <c r="I755" s="154"/>
      <c r="J755" s="276"/>
      <c r="K755" s="311">
        <f t="shared" si="216"/>
        <v>0</v>
      </c>
      <c r="L755" s="312">
        <f t="shared" si="217"/>
        <v>0</v>
      </c>
      <c r="M755" s="313">
        <f t="shared" si="218"/>
        <v>0</v>
      </c>
      <c r="N755" s="320"/>
      <c r="O755" s="315">
        <f t="shared" si="221"/>
        <v>0</v>
      </c>
      <c r="P755" s="315">
        <f t="shared" si="222"/>
        <v>0</v>
      </c>
      <c r="Q755" s="320"/>
      <c r="R755" s="315">
        <f t="shared" si="223"/>
        <v>0</v>
      </c>
      <c r="S755" s="315">
        <f t="shared" si="224"/>
        <v>0</v>
      </c>
      <c r="T755" s="213"/>
      <c r="U755" s="213"/>
      <c r="V755" s="213"/>
      <c r="W755" s="213"/>
      <c r="X755" s="591"/>
      <c r="Y755" s="591"/>
    </row>
    <row r="756" spans="1:25" ht="14.85" customHeight="1">
      <c r="A756" s="619"/>
      <c r="B756" s="586"/>
      <c r="C756" s="259"/>
      <c r="D756" s="621"/>
      <c r="E756" s="275"/>
      <c r="F756" s="154"/>
      <c r="G756" s="216"/>
      <c r="H756" s="216"/>
      <c r="I756" s="154"/>
      <c r="J756" s="276"/>
      <c r="K756" s="311">
        <f t="shared" si="216"/>
        <v>0</v>
      </c>
      <c r="L756" s="312">
        <f t="shared" si="217"/>
        <v>0</v>
      </c>
      <c r="M756" s="313">
        <f t="shared" si="218"/>
        <v>0</v>
      </c>
      <c r="N756" s="320"/>
      <c r="O756" s="315">
        <f t="shared" si="221"/>
        <v>0</v>
      </c>
      <c r="P756" s="315">
        <f t="shared" si="222"/>
        <v>0</v>
      </c>
      <c r="Q756" s="320"/>
      <c r="R756" s="315">
        <f t="shared" si="223"/>
        <v>0</v>
      </c>
      <c r="S756" s="315">
        <f t="shared" si="224"/>
        <v>0</v>
      </c>
      <c r="T756" s="213"/>
      <c r="U756" s="213"/>
      <c r="V756" s="213"/>
      <c r="W756" s="213"/>
      <c r="X756" s="591"/>
      <c r="Y756" s="591"/>
    </row>
    <row r="757" spans="1:25" ht="14.85" customHeight="1">
      <c r="A757" s="619"/>
      <c r="B757" s="586"/>
      <c r="C757" s="259"/>
      <c r="D757" s="621"/>
      <c r="E757" s="275"/>
      <c r="F757" s="154"/>
      <c r="G757" s="216"/>
      <c r="H757" s="216"/>
      <c r="I757" s="154"/>
      <c r="J757" s="276"/>
      <c r="K757" s="311">
        <f t="shared" si="216"/>
        <v>0</v>
      </c>
      <c r="L757" s="312">
        <f t="shared" si="217"/>
        <v>0</v>
      </c>
      <c r="M757" s="313">
        <f t="shared" si="218"/>
        <v>0</v>
      </c>
      <c r="N757" s="320">
        <f>SUM(L745:L757)</f>
        <v>0</v>
      </c>
      <c r="O757" s="315">
        <f t="shared" si="221"/>
        <v>0</v>
      </c>
      <c r="P757" s="315">
        <f t="shared" si="222"/>
        <v>0</v>
      </c>
      <c r="Q757" s="320"/>
      <c r="R757" s="315">
        <f t="shared" ref="R757:R801" si="225">ROUNDDOWN((Q757/$O$11),0)</f>
        <v>0</v>
      </c>
      <c r="S757" s="315">
        <f t="shared" ref="S757:S801" si="226">ROUND((Q757-(R757*$P$11)),0)</f>
        <v>0</v>
      </c>
      <c r="T757" s="213"/>
      <c r="U757" s="213"/>
      <c r="V757" s="213"/>
      <c r="W757" s="213"/>
      <c r="X757" s="591"/>
      <c r="Y757" s="591"/>
    </row>
    <row r="758" spans="1:25" ht="14.85" customHeight="1">
      <c r="A758" s="619"/>
      <c r="B758" s="586"/>
      <c r="C758" s="259"/>
      <c r="D758" s="621"/>
      <c r="E758" s="157"/>
      <c r="F758" s="154"/>
      <c r="G758" s="254"/>
      <c r="H758" s="154"/>
      <c r="I758" s="154"/>
      <c r="J758" s="276"/>
      <c r="K758" s="311">
        <f t="shared" si="216"/>
        <v>0</v>
      </c>
      <c r="L758" s="312">
        <f t="shared" si="217"/>
        <v>0</v>
      </c>
      <c r="M758" s="313">
        <f t="shared" si="218"/>
        <v>0</v>
      </c>
      <c r="N758" s="320"/>
      <c r="O758" s="315">
        <f t="shared" si="221"/>
        <v>0</v>
      </c>
      <c r="P758" s="315">
        <f t="shared" si="222"/>
        <v>0</v>
      </c>
      <c r="Q758" s="320"/>
      <c r="R758" s="315">
        <f t="shared" si="225"/>
        <v>0</v>
      </c>
      <c r="S758" s="315">
        <f t="shared" si="226"/>
        <v>0</v>
      </c>
      <c r="T758" s="213"/>
      <c r="U758" s="213"/>
      <c r="V758" s="213"/>
      <c r="W758" s="213"/>
      <c r="X758" s="591"/>
      <c r="Y758" s="591"/>
    </row>
    <row r="759" spans="1:25" ht="14.85" customHeight="1">
      <c r="A759" s="619"/>
      <c r="B759" s="586"/>
      <c r="C759" s="259"/>
      <c r="D759" s="621"/>
      <c r="E759" s="157"/>
      <c r="F759" s="154"/>
      <c r="G759" s="254"/>
      <c r="H759" s="154"/>
      <c r="I759" s="154"/>
      <c r="J759" s="276"/>
      <c r="K759" s="311">
        <f t="shared" si="216"/>
        <v>0</v>
      </c>
      <c r="L759" s="312">
        <f t="shared" si="217"/>
        <v>0</v>
      </c>
      <c r="M759" s="313">
        <f t="shared" si="218"/>
        <v>0</v>
      </c>
      <c r="N759" s="320"/>
      <c r="O759" s="315">
        <f t="shared" si="221"/>
        <v>0</v>
      </c>
      <c r="P759" s="315">
        <f t="shared" si="222"/>
        <v>0</v>
      </c>
      <c r="Q759" s="320"/>
      <c r="R759" s="315">
        <f t="shared" si="225"/>
        <v>0</v>
      </c>
      <c r="S759" s="315">
        <f t="shared" si="226"/>
        <v>0</v>
      </c>
      <c r="T759" s="213"/>
      <c r="U759" s="213"/>
      <c r="V759" s="213"/>
      <c r="W759" s="213"/>
      <c r="X759" s="591"/>
      <c r="Y759" s="591"/>
    </row>
    <row r="760" spans="1:25" ht="14.85" customHeight="1">
      <c r="A760" s="619"/>
      <c r="B760" s="586"/>
      <c r="C760" s="259"/>
      <c r="D760" s="621"/>
      <c r="E760" s="157"/>
      <c r="F760" s="154"/>
      <c r="G760" s="254"/>
      <c r="H760" s="154"/>
      <c r="I760" s="154"/>
      <c r="J760" s="276"/>
      <c r="K760" s="311">
        <f t="shared" si="216"/>
        <v>0</v>
      </c>
      <c r="L760" s="312">
        <f t="shared" si="217"/>
        <v>0</v>
      </c>
      <c r="M760" s="313">
        <f t="shared" si="218"/>
        <v>0</v>
      </c>
      <c r="N760" s="320"/>
      <c r="O760" s="315">
        <f t="shared" si="221"/>
        <v>0</v>
      </c>
      <c r="P760" s="315">
        <f t="shared" si="222"/>
        <v>0</v>
      </c>
      <c r="Q760" s="320"/>
      <c r="R760" s="315">
        <f t="shared" si="225"/>
        <v>0</v>
      </c>
      <c r="S760" s="315">
        <f t="shared" si="226"/>
        <v>0</v>
      </c>
      <c r="T760" s="213"/>
      <c r="U760" s="213"/>
      <c r="V760" s="213"/>
      <c r="W760" s="213"/>
      <c r="X760" s="591"/>
      <c r="Y760" s="591"/>
    </row>
    <row r="761" spans="1:25" ht="14.85" customHeight="1">
      <c r="A761" s="619"/>
      <c r="B761" s="586"/>
      <c r="C761" s="259"/>
      <c r="D761" s="621"/>
      <c r="E761" s="157"/>
      <c r="F761" s="154"/>
      <c r="G761" s="254"/>
      <c r="H761" s="154"/>
      <c r="I761" s="154"/>
      <c r="J761" s="276"/>
      <c r="K761" s="311">
        <f t="shared" si="216"/>
        <v>0</v>
      </c>
      <c r="L761" s="312">
        <f t="shared" si="217"/>
        <v>0</v>
      </c>
      <c r="M761" s="313">
        <f t="shared" si="218"/>
        <v>0</v>
      </c>
      <c r="N761" s="320"/>
      <c r="O761" s="315">
        <f t="shared" si="221"/>
        <v>0</v>
      </c>
      <c r="P761" s="315">
        <f t="shared" si="222"/>
        <v>0</v>
      </c>
      <c r="Q761" s="320"/>
      <c r="R761" s="315">
        <f t="shared" si="225"/>
        <v>0</v>
      </c>
      <c r="S761" s="315">
        <f t="shared" si="226"/>
        <v>0</v>
      </c>
      <c r="T761" s="213"/>
      <c r="U761" s="213"/>
      <c r="V761" s="213"/>
      <c r="W761" s="213"/>
      <c r="X761" s="591"/>
      <c r="Y761" s="591"/>
    </row>
    <row r="762" spans="1:25" ht="14.85" customHeight="1">
      <c r="A762" s="619"/>
      <c r="B762" s="586"/>
      <c r="C762" s="259"/>
      <c r="D762" s="621"/>
      <c r="E762" s="157"/>
      <c r="F762" s="154"/>
      <c r="G762" s="254"/>
      <c r="H762" s="154"/>
      <c r="I762" s="154"/>
      <c r="J762" s="276"/>
      <c r="K762" s="311">
        <f t="shared" si="216"/>
        <v>0</v>
      </c>
      <c r="L762" s="312">
        <f t="shared" si="217"/>
        <v>0</v>
      </c>
      <c r="M762" s="313">
        <f t="shared" si="218"/>
        <v>0</v>
      </c>
      <c r="N762" s="320">
        <f>SUM(L758:L762)</f>
        <v>0</v>
      </c>
      <c r="O762" s="315">
        <f t="shared" si="221"/>
        <v>0</v>
      </c>
      <c r="P762" s="315">
        <f t="shared" si="222"/>
        <v>0</v>
      </c>
      <c r="Q762" s="320"/>
      <c r="R762" s="315">
        <f t="shared" si="225"/>
        <v>0</v>
      </c>
      <c r="S762" s="315">
        <f t="shared" si="226"/>
        <v>0</v>
      </c>
      <c r="T762" s="213"/>
      <c r="U762" s="213"/>
      <c r="V762" s="213"/>
      <c r="W762" s="213"/>
      <c r="X762" s="591"/>
      <c r="Y762" s="591"/>
    </row>
    <row r="763" spans="1:25" ht="14.85" customHeight="1">
      <c r="A763" s="619"/>
      <c r="B763" s="586"/>
      <c r="C763" s="259"/>
      <c r="D763" s="621"/>
      <c r="E763" s="157"/>
      <c r="F763" s="154"/>
      <c r="G763" s="223"/>
      <c r="H763" s="223"/>
      <c r="I763" s="154"/>
      <c r="J763" s="276"/>
      <c r="K763" s="311">
        <f t="shared" si="216"/>
        <v>0</v>
      </c>
      <c r="L763" s="312">
        <f t="shared" si="217"/>
        <v>0</v>
      </c>
      <c r="M763" s="313">
        <f t="shared" si="218"/>
        <v>0</v>
      </c>
      <c r="N763" s="320"/>
      <c r="O763" s="315">
        <f t="shared" si="221"/>
        <v>0</v>
      </c>
      <c r="P763" s="315">
        <f t="shared" si="222"/>
        <v>0</v>
      </c>
      <c r="Q763" s="320"/>
      <c r="R763" s="315">
        <f t="shared" si="225"/>
        <v>0</v>
      </c>
      <c r="S763" s="315">
        <f t="shared" si="226"/>
        <v>0</v>
      </c>
      <c r="T763" s="213"/>
      <c r="U763" s="213"/>
      <c r="V763" s="213"/>
      <c r="W763" s="213"/>
      <c r="X763" s="591"/>
      <c r="Y763" s="591"/>
    </row>
    <row r="764" spans="1:25" ht="14.85" customHeight="1">
      <c r="A764" s="619"/>
      <c r="B764" s="586"/>
      <c r="C764" s="259"/>
      <c r="D764" s="621"/>
      <c r="E764" s="157"/>
      <c r="F764" s="154"/>
      <c r="G764" s="223"/>
      <c r="H764" s="223"/>
      <c r="I764" s="154"/>
      <c r="J764" s="276"/>
      <c r="K764" s="311">
        <f t="shared" si="216"/>
        <v>0</v>
      </c>
      <c r="L764" s="312">
        <f t="shared" si="217"/>
        <v>0</v>
      </c>
      <c r="M764" s="313">
        <f t="shared" si="218"/>
        <v>0</v>
      </c>
      <c r="N764" s="320"/>
      <c r="O764" s="315">
        <f t="shared" si="221"/>
        <v>0</v>
      </c>
      <c r="P764" s="315">
        <f t="shared" si="222"/>
        <v>0</v>
      </c>
      <c r="Q764" s="320"/>
      <c r="R764" s="315">
        <f t="shared" si="225"/>
        <v>0</v>
      </c>
      <c r="S764" s="315">
        <f t="shared" si="226"/>
        <v>0</v>
      </c>
      <c r="T764" s="213"/>
      <c r="U764" s="213"/>
      <c r="V764" s="213"/>
      <c r="W764" s="213"/>
      <c r="X764" s="591"/>
      <c r="Y764" s="591"/>
    </row>
    <row r="765" spans="1:25" ht="14.85" customHeight="1">
      <c r="A765" s="619"/>
      <c r="B765" s="586"/>
      <c r="C765" s="259"/>
      <c r="D765" s="621"/>
      <c r="E765" s="157"/>
      <c r="F765" s="154"/>
      <c r="G765" s="223"/>
      <c r="H765" s="223"/>
      <c r="I765" s="154"/>
      <c r="J765" s="276"/>
      <c r="K765" s="311">
        <f t="shared" si="216"/>
        <v>0</v>
      </c>
      <c r="L765" s="312">
        <f t="shared" si="217"/>
        <v>0</v>
      </c>
      <c r="M765" s="313">
        <f t="shared" si="218"/>
        <v>0</v>
      </c>
      <c r="N765" s="320"/>
      <c r="O765" s="315">
        <f t="shared" si="221"/>
        <v>0</v>
      </c>
      <c r="P765" s="315">
        <f t="shared" si="222"/>
        <v>0</v>
      </c>
      <c r="Q765" s="320"/>
      <c r="R765" s="315">
        <f t="shared" si="225"/>
        <v>0</v>
      </c>
      <c r="S765" s="315">
        <f t="shared" si="226"/>
        <v>0</v>
      </c>
      <c r="T765" s="213"/>
      <c r="U765" s="213"/>
      <c r="V765" s="213"/>
      <c r="W765" s="213"/>
      <c r="X765" s="591"/>
      <c r="Y765" s="591"/>
    </row>
    <row r="766" spans="1:25" ht="14.85" customHeight="1">
      <c r="A766" s="619"/>
      <c r="B766" s="586"/>
      <c r="C766" s="259"/>
      <c r="D766" s="621"/>
      <c r="E766" s="157"/>
      <c r="F766" s="154"/>
      <c r="G766" s="223"/>
      <c r="H766" s="223"/>
      <c r="I766" s="154"/>
      <c r="J766" s="276"/>
      <c r="K766" s="311">
        <f t="shared" ref="K766:K830" si="227">J766/$K$11</f>
        <v>0</v>
      </c>
      <c r="L766" s="312">
        <f t="shared" ref="L766:L830" si="228">J766/$L$11</f>
        <v>0</v>
      </c>
      <c r="M766" s="313">
        <f t="shared" ref="M766:M830" si="229">ROUND((L766/$M$11),0)</f>
        <v>0</v>
      </c>
      <c r="N766" s="320"/>
      <c r="O766" s="315">
        <f t="shared" si="221"/>
        <v>0</v>
      </c>
      <c r="P766" s="315">
        <f t="shared" si="222"/>
        <v>0</v>
      </c>
      <c r="Q766" s="320"/>
      <c r="R766" s="315">
        <f t="shared" si="225"/>
        <v>0</v>
      </c>
      <c r="S766" s="315">
        <f t="shared" si="226"/>
        <v>0</v>
      </c>
      <c r="T766" s="213"/>
      <c r="U766" s="213"/>
      <c r="V766" s="213"/>
      <c r="W766" s="213"/>
      <c r="X766" s="591"/>
      <c r="Y766" s="591"/>
    </row>
    <row r="767" spans="1:25" ht="17.100000000000001" customHeight="1">
      <c r="A767" s="619"/>
      <c r="B767" s="586"/>
      <c r="C767" s="259"/>
      <c r="D767" s="621"/>
      <c r="E767" s="157"/>
      <c r="F767" s="154"/>
      <c r="G767" s="223"/>
      <c r="H767" s="223"/>
      <c r="I767" s="154"/>
      <c r="J767" s="276"/>
      <c r="K767" s="311">
        <f t="shared" si="227"/>
        <v>0</v>
      </c>
      <c r="L767" s="312">
        <f t="shared" si="228"/>
        <v>0</v>
      </c>
      <c r="M767" s="313">
        <f t="shared" si="229"/>
        <v>0</v>
      </c>
      <c r="N767" s="320">
        <f>SUM(L763:L767)</f>
        <v>0</v>
      </c>
      <c r="O767" s="315">
        <f t="shared" si="221"/>
        <v>0</v>
      </c>
      <c r="P767" s="315">
        <f t="shared" si="222"/>
        <v>0</v>
      </c>
      <c r="Q767" s="320"/>
      <c r="R767" s="315">
        <f t="shared" si="225"/>
        <v>0</v>
      </c>
      <c r="S767" s="315">
        <f t="shared" si="226"/>
        <v>0</v>
      </c>
      <c r="T767" s="213"/>
      <c r="U767" s="213"/>
      <c r="V767" s="213"/>
      <c r="W767" s="213"/>
      <c r="X767" s="591"/>
      <c r="Y767" s="591"/>
    </row>
    <row r="768" spans="1:25" ht="17.100000000000001" customHeight="1">
      <c r="A768" s="619"/>
      <c r="B768" s="586"/>
      <c r="C768" s="259"/>
      <c r="D768" s="621"/>
      <c r="E768" s="157"/>
      <c r="F768" s="154"/>
      <c r="G768" s="254"/>
      <c r="H768" s="154"/>
      <c r="I768" s="154"/>
      <c r="J768" s="276"/>
      <c r="K768" s="311">
        <f t="shared" ref="K768:K798" si="230">J768/$K$11</f>
        <v>0</v>
      </c>
      <c r="L768" s="312">
        <f t="shared" ref="L768:L798" si="231">J768/$L$11</f>
        <v>0</v>
      </c>
      <c r="M768" s="313">
        <f t="shared" ref="M768:M798" si="232">ROUND((L768/$M$11),0)</f>
        <v>0</v>
      </c>
      <c r="N768" s="320"/>
      <c r="O768" s="315">
        <f t="shared" si="221"/>
        <v>0</v>
      </c>
      <c r="P768" s="315">
        <f t="shared" si="222"/>
        <v>0</v>
      </c>
      <c r="Q768" s="320"/>
      <c r="R768" s="315">
        <f t="shared" ref="R768:R799" si="233">ROUNDDOWN((Q768/$O$11),0)</f>
        <v>0</v>
      </c>
      <c r="S768" s="315">
        <f t="shared" ref="S768:S799" si="234">ROUND((Q768-(R768*$P$11)),0)</f>
        <v>0</v>
      </c>
      <c r="T768" s="213"/>
      <c r="U768" s="213"/>
      <c r="V768" s="213"/>
      <c r="W768" s="213"/>
      <c r="X768" s="591"/>
      <c r="Y768" s="591"/>
    </row>
    <row r="769" spans="1:25" ht="17.100000000000001" customHeight="1">
      <c r="A769" s="619"/>
      <c r="B769" s="586"/>
      <c r="C769" s="259"/>
      <c r="D769" s="621"/>
      <c r="E769" s="157"/>
      <c r="F769" s="154"/>
      <c r="G769" s="254"/>
      <c r="H769" s="154"/>
      <c r="I769" s="154"/>
      <c r="J769" s="276"/>
      <c r="K769" s="311">
        <f t="shared" si="230"/>
        <v>0</v>
      </c>
      <c r="L769" s="312">
        <f t="shared" si="231"/>
        <v>0</v>
      </c>
      <c r="M769" s="313">
        <f t="shared" si="232"/>
        <v>0</v>
      </c>
      <c r="N769" s="320"/>
      <c r="O769" s="315">
        <f t="shared" si="221"/>
        <v>0</v>
      </c>
      <c r="P769" s="315">
        <f t="shared" si="222"/>
        <v>0</v>
      </c>
      <c r="Q769" s="320"/>
      <c r="R769" s="315">
        <f t="shared" si="233"/>
        <v>0</v>
      </c>
      <c r="S769" s="315">
        <f t="shared" si="234"/>
        <v>0</v>
      </c>
      <c r="T769" s="213"/>
      <c r="U769" s="213"/>
      <c r="V769" s="213"/>
      <c r="W769" s="213"/>
      <c r="X769" s="591"/>
      <c r="Y769" s="591"/>
    </row>
    <row r="770" spans="1:25" ht="17.100000000000001" customHeight="1">
      <c r="A770" s="619"/>
      <c r="B770" s="586"/>
      <c r="C770" s="259"/>
      <c r="D770" s="621"/>
      <c r="E770" s="157"/>
      <c r="F770" s="154"/>
      <c r="G770" s="254"/>
      <c r="H770" s="154"/>
      <c r="I770" s="154"/>
      <c r="J770" s="276"/>
      <c r="K770" s="311">
        <f t="shared" si="230"/>
        <v>0</v>
      </c>
      <c r="L770" s="312">
        <f t="shared" si="231"/>
        <v>0</v>
      </c>
      <c r="M770" s="313">
        <f t="shared" si="232"/>
        <v>0</v>
      </c>
      <c r="N770" s="320"/>
      <c r="O770" s="315">
        <f t="shared" si="221"/>
        <v>0</v>
      </c>
      <c r="P770" s="315">
        <f t="shared" si="222"/>
        <v>0</v>
      </c>
      <c r="Q770" s="320"/>
      <c r="R770" s="315">
        <f t="shared" si="233"/>
        <v>0</v>
      </c>
      <c r="S770" s="315">
        <f t="shared" si="234"/>
        <v>0</v>
      </c>
      <c r="T770" s="213"/>
      <c r="U770" s="213"/>
      <c r="V770" s="213"/>
      <c r="W770" s="213"/>
      <c r="X770" s="591"/>
      <c r="Y770" s="591"/>
    </row>
    <row r="771" spans="1:25" ht="17.100000000000001" customHeight="1">
      <c r="A771" s="619"/>
      <c r="B771" s="586"/>
      <c r="C771" s="259"/>
      <c r="D771" s="621"/>
      <c r="E771" s="157"/>
      <c r="F771" s="154"/>
      <c r="G771" s="254"/>
      <c r="H771" s="154"/>
      <c r="I771" s="154"/>
      <c r="J771" s="276"/>
      <c r="K771" s="311">
        <f t="shared" si="230"/>
        <v>0</v>
      </c>
      <c r="L771" s="312">
        <f t="shared" si="231"/>
        <v>0</v>
      </c>
      <c r="M771" s="313">
        <f t="shared" si="232"/>
        <v>0</v>
      </c>
      <c r="N771" s="320"/>
      <c r="O771" s="315">
        <f t="shared" si="221"/>
        <v>0</v>
      </c>
      <c r="P771" s="315">
        <f t="shared" si="222"/>
        <v>0</v>
      </c>
      <c r="Q771" s="320"/>
      <c r="R771" s="315">
        <f t="shared" si="233"/>
        <v>0</v>
      </c>
      <c r="S771" s="315">
        <f t="shared" si="234"/>
        <v>0</v>
      </c>
      <c r="T771" s="213"/>
      <c r="U771" s="213"/>
      <c r="V771" s="213"/>
      <c r="W771" s="213"/>
      <c r="X771" s="591"/>
      <c r="Y771" s="591"/>
    </row>
    <row r="772" spans="1:25" ht="17.100000000000001" customHeight="1">
      <c r="A772" s="619"/>
      <c r="B772" s="586"/>
      <c r="C772" s="259"/>
      <c r="D772" s="621"/>
      <c r="E772" s="157"/>
      <c r="F772" s="154"/>
      <c r="G772" s="254"/>
      <c r="H772" s="154"/>
      <c r="I772" s="154"/>
      <c r="J772" s="276"/>
      <c r="K772" s="311">
        <f t="shared" si="230"/>
        <v>0</v>
      </c>
      <c r="L772" s="312">
        <f t="shared" si="231"/>
        <v>0</v>
      </c>
      <c r="M772" s="313">
        <f t="shared" si="232"/>
        <v>0</v>
      </c>
      <c r="N772" s="320">
        <f>SUM(L768:L772)</f>
        <v>0</v>
      </c>
      <c r="O772" s="315">
        <f t="shared" si="221"/>
        <v>0</v>
      </c>
      <c r="P772" s="315">
        <f t="shared" si="222"/>
        <v>0</v>
      </c>
      <c r="Q772" s="320"/>
      <c r="R772" s="315">
        <f t="shared" si="233"/>
        <v>0</v>
      </c>
      <c r="S772" s="315">
        <f t="shared" si="234"/>
        <v>0</v>
      </c>
      <c r="T772" s="213"/>
      <c r="U772" s="213"/>
      <c r="V772" s="213"/>
      <c r="W772" s="213"/>
      <c r="X772" s="591"/>
      <c r="Y772" s="591"/>
    </row>
    <row r="773" spans="1:25" ht="17.100000000000001" customHeight="1">
      <c r="A773" s="619"/>
      <c r="B773" s="586"/>
      <c r="C773" s="259"/>
      <c r="D773" s="621"/>
      <c r="E773" s="157"/>
      <c r="F773" s="154"/>
      <c r="G773" s="254"/>
      <c r="H773" s="154"/>
      <c r="I773" s="154"/>
      <c r="J773" s="276"/>
      <c r="K773" s="311">
        <f t="shared" si="230"/>
        <v>0</v>
      </c>
      <c r="L773" s="312">
        <f t="shared" si="231"/>
        <v>0</v>
      </c>
      <c r="M773" s="313">
        <f t="shared" si="232"/>
        <v>0</v>
      </c>
      <c r="N773" s="320"/>
      <c r="O773" s="315">
        <f t="shared" si="221"/>
        <v>0</v>
      </c>
      <c r="P773" s="315">
        <f t="shared" si="222"/>
        <v>0</v>
      </c>
      <c r="Q773" s="320"/>
      <c r="R773" s="315">
        <f t="shared" si="233"/>
        <v>0</v>
      </c>
      <c r="S773" s="315">
        <f t="shared" si="234"/>
        <v>0</v>
      </c>
      <c r="T773" s="213"/>
      <c r="U773" s="213"/>
      <c r="V773" s="213"/>
      <c r="W773" s="213"/>
      <c r="X773" s="591"/>
      <c r="Y773" s="591"/>
    </row>
    <row r="774" spans="1:25" ht="17.100000000000001" customHeight="1">
      <c r="A774" s="619"/>
      <c r="B774" s="586"/>
      <c r="C774" s="259"/>
      <c r="D774" s="621"/>
      <c r="E774" s="157"/>
      <c r="F774" s="154"/>
      <c r="G774" s="254"/>
      <c r="H774" s="154"/>
      <c r="I774" s="154"/>
      <c r="J774" s="276"/>
      <c r="K774" s="311">
        <f t="shared" si="230"/>
        <v>0</v>
      </c>
      <c r="L774" s="312">
        <f t="shared" si="231"/>
        <v>0</v>
      </c>
      <c r="M774" s="313">
        <f t="shared" si="232"/>
        <v>0</v>
      </c>
      <c r="N774" s="320"/>
      <c r="O774" s="315">
        <f t="shared" si="221"/>
        <v>0</v>
      </c>
      <c r="P774" s="315">
        <f t="shared" si="222"/>
        <v>0</v>
      </c>
      <c r="Q774" s="320"/>
      <c r="R774" s="315">
        <f t="shared" si="233"/>
        <v>0</v>
      </c>
      <c r="S774" s="315">
        <f t="shared" si="234"/>
        <v>0</v>
      </c>
      <c r="T774" s="213"/>
      <c r="U774" s="213"/>
      <c r="V774" s="213"/>
      <c r="W774" s="213"/>
      <c r="X774" s="591"/>
      <c r="Y774" s="591"/>
    </row>
    <row r="775" spans="1:25" ht="17.100000000000001" customHeight="1">
      <c r="A775" s="619"/>
      <c r="B775" s="586"/>
      <c r="C775" s="259"/>
      <c r="D775" s="621"/>
      <c r="E775" s="157"/>
      <c r="F775" s="154"/>
      <c r="G775" s="254"/>
      <c r="H775" s="154"/>
      <c r="I775" s="154"/>
      <c r="J775" s="276"/>
      <c r="K775" s="311">
        <f t="shared" si="230"/>
        <v>0</v>
      </c>
      <c r="L775" s="312">
        <f t="shared" si="231"/>
        <v>0</v>
      </c>
      <c r="M775" s="313">
        <f t="shared" si="232"/>
        <v>0</v>
      </c>
      <c r="N775" s="320"/>
      <c r="O775" s="315">
        <f t="shared" si="221"/>
        <v>0</v>
      </c>
      <c r="P775" s="315">
        <f t="shared" si="222"/>
        <v>0</v>
      </c>
      <c r="Q775" s="320"/>
      <c r="R775" s="315">
        <f t="shared" si="233"/>
        <v>0</v>
      </c>
      <c r="S775" s="315">
        <f t="shared" si="234"/>
        <v>0</v>
      </c>
      <c r="T775" s="213"/>
      <c r="U775" s="213"/>
      <c r="V775" s="213"/>
      <c r="W775" s="213"/>
      <c r="X775" s="591"/>
      <c r="Y775" s="591"/>
    </row>
    <row r="776" spans="1:25" ht="17.100000000000001" customHeight="1">
      <c r="A776" s="619"/>
      <c r="B776" s="586"/>
      <c r="C776" s="259"/>
      <c r="D776" s="621"/>
      <c r="E776" s="157"/>
      <c r="F776" s="154"/>
      <c r="G776" s="254"/>
      <c r="H776" s="154"/>
      <c r="I776" s="154"/>
      <c r="J776" s="276"/>
      <c r="K776" s="311">
        <f t="shared" si="230"/>
        <v>0</v>
      </c>
      <c r="L776" s="312">
        <f t="shared" si="231"/>
        <v>0</v>
      </c>
      <c r="M776" s="313">
        <f t="shared" si="232"/>
        <v>0</v>
      </c>
      <c r="N776" s="320">
        <f>SUM(L773:L776)</f>
        <v>0</v>
      </c>
      <c r="O776" s="315">
        <f t="shared" si="221"/>
        <v>0</v>
      </c>
      <c r="P776" s="315">
        <f t="shared" si="222"/>
        <v>0</v>
      </c>
      <c r="Q776" s="320">
        <f>N757+N762+N767+N772+N776</f>
        <v>0</v>
      </c>
      <c r="R776" s="315">
        <f t="shared" si="233"/>
        <v>0</v>
      </c>
      <c r="S776" s="315">
        <f t="shared" si="234"/>
        <v>0</v>
      </c>
      <c r="T776" s="213"/>
      <c r="U776" s="213"/>
      <c r="V776" s="213"/>
      <c r="W776" s="213"/>
      <c r="X776" s="591"/>
      <c r="Y776" s="591"/>
    </row>
    <row r="777" spans="1:25" ht="17.100000000000001" customHeight="1">
      <c r="A777" s="619"/>
      <c r="B777" s="586"/>
      <c r="C777" s="259"/>
      <c r="D777" s="621"/>
      <c r="E777" s="157"/>
      <c r="F777" s="154"/>
      <c r="G777" s="254"/>
      <c r="H777" s="154"/>
      <c r="I777" s="154"/>
      <c r="J777" s="276"/>
      <c r="K777" s="311"/>
      <c r="L777" s="312"/>
      <c r="M777" s="313"/>
      <c r="N777" s="320"/>
      <c r="O777" s="315"/>
      <c r="P777" s="315"/>
      <c r="Q777" s="320"/>
      <c r="R777" s="315">
        <f t="shared" si="233"/>
        <v>0</v>
      </c>
      <c r="S777" s="315">
        <f t="shared" si="234"/>
        <v>0</v>
      </c>
      <c r="T777" s="213"/>
      <c r="U777" s="213"/>
      <c r="V777" s="213"/>
      <c r="W777" s="213"/>
      <c r="X777" s="591"/>
      <c r="Y777" s="591"/>
    </row>
    <row r="778" spans="1:25" ht="17.100000000000001" customHeight="1">
      <c r="A778" s="619"/>
      <c r="B778" s="586"/>
      <c r="C778" s="259"/>
      <c r="D778" s="621"/>
      <c r="E778" s="157"/>
      <c r="F778" s="154"/>
      <c r="G778" s="254"/>
      <c r="H778" s="154"/>
      <c r="I778" s="154"/>
      <c r="J778" s="276"/>
      <c r="K778" s="311">
        <f t="shared" si="230"/>
        <v>0</v>
      </c>
      <c r="L778" s="312">
        <f t="shared" si="231"/>
        <v>0</v>
      </c>
      <c r="M778" s="313">
        <f t="shared" si="232"/>
        <v>0</v>
      </c>
      <c r="N778" s="320"/>
      <c r="O778" s="315">
        <f t="shared" si="221"/>
        <v>0</v>
      </c>
      <c r="P778" s="315">
        <f t="shared" si="222"/>
        <v>0</v>
      </c>
      <c r="Q778" s="320"/>
      <c r="R778" s="315">
        <f t="shared" si="233"/>
        <v>0</v>
      </c>
      <c r="S778" s="315">
        <f t="shared" si="234"/>
        <v>0</v>
      </c>
      <c r="T778" s="213"/>
      <c r="U778" s="213"/>
      <c r="V778" s="213"/>
      <c r="W778" s="213"/>
      <c r="X778" s="591"/>
      <c r="Y778" s="591"/>
    </row>
    <row r="779" spans="1:25" ht="17.100000000000001" customHeight="1">
      <c r="A779" s="619"/>
      <c r="B779" s="586"/>
      <c r="C779" s="259"/>
      <c r="D779" s="621"/>
      <c r="E779" s="157"/>
      <c r="F779" s="154"/>
      <c r="G779" s="254"/>
      <c r="H779" s="154"/>
      <c r="I779" s="154"/>
      <c r="J779" s="276"/>
      <c r="K779" s="311">
        <f t="shared" si="230"/>
        <v>0</v>
      </c>
      <c r="L779" s="312">
        <f t="shared" si="231"/>
        <v>0</v>
      </c>
      <c r="M779" s="313">
        <f t="shared" si="232"/>
        <v>0</v>
      </c>
      <c r="N779" s="320"/>
      <c r="O779" s="315">
        <f t="shared" si="221"/>
        <v>0</v>
      </c>
      <c r="P779" s="315">
        <f t="shared" si="222"/>
        <v>0</v>
      </c>
      <c r="Q779" s="320"/>
      <c r="R779" s="315">
        <f t="shared" si="233"/>
        <v>0</v>
      </c>
      <c r="S779" s="315">
        <f t="shared" si="234"/>
        <v>0</v>
      </c>
      <c r="T779" s="213"/>
      <c r="U779" s="213"/>
      <c r="V779" s="213"/>
      <c r="W779" s="213"/>
      <c r="X779" s="591"/>
      <c r="Y779" s="591"/>
    </row>
    <row r="780" spans="1:25" ht="17.100000000000001" customHeight="1">
      <c r="A780" s="619"/>
      <c r="B780" s="586"/>
      <c r="C780" s="259"/>
      <c r="D780" s="621"/>
      <c r="E780" s="157"/>
      <c r="F780" s="154"/>
      <c r="G780" s="254"/>
      <c r="H780" s="154"/>
      <c r="I780" s="154"/>
      <c r="J780" s="276"/>
      <c r="K780" s="311">
        <f t="shared" si="230"/>
        <v>0</v>
      </c>
      <c r="L780" s="312">
        <f t="shared" si="231"/>
        <v>0</v>
      </c>
      <c r="M780" s="313">
        <f t="shared" si="232"/>
        <v>0</v>
      </c>
      <c r="N780" s="320"/>
      <c r="O780" s="315">
        <f t="shared" si="221"/>
        <v>0</v>
      </c>
      <c r="P780" s="315">
        <f t="shared" si="222"/>
        <v>0</v>
      </c>
      <c r="Q780" s="320"/>
      <c r="R780" s="315">
        <f t="shared" si="233"/>
        <v>0</v>
      </c>
      <c r="S780" s="315">
        <f t="shared" si="234"/>
        <v>0</v>
      </c>
      <c r="T780" s="213"/>
      <c r="U780" s="213"/>
      <c r="V780" s="213"/>
      <c r="W780" s="213"/>
      <c r="X780" s="591"/>
      <c r="Y780" s="591"/>
    </row>
    <row r="781" spans="1:25" ht="17.100000000000001" customHeight="1">
      <c r="A781" s="619"/>
      <c r="B781" s="586"/>
      <c r="C781" s="259"/>
      <c r="D781" s="621"/>
      <c r="E781" s="272"/>
      <c r="F781" s="154"/>
      <c r="G781" s="219"/>
      <c r="H781" s="219"/>
      <c r="I781" s="272"/>
      <c r="J781" s="276"/>
      <c r="K781" s="311">
        <f t="shared" si="230"/>
        <v>0</v>
      </c>
      <c r="L781" s="312">
        <f t="shared" si="231"/>
        <v>0</v>
      </c>
      <c r="M781" s="313">
        <f t="shared" si="232"/>
        <v>0</v>
      </c>
      <c r="N781" s="320"/>
      <c r="O781" s="315">
        <f t="shared" ref="O781:O798" si="235">ROUNDDOWN((N781/$O$11),0)</f>
        <v>0</v>
      </c>
      <c r="P781" s="315">
        <f t="shared" ref="P781:P798" si="236">ROUND((N781-(O781*$P$11)),0)</f>
        <v>0</v>
      </c>
      <c r="Q781" s="320"/>
      <c r="R781" s="315">
        <f t="shared" si="233"/>
        <v>0</v>
      </c>
      <c r="S781" s="315">
        <f t="shared" si="234"/>
        <v>0</v>
      </c>
      <c r="T781" s="213"/>
      <c r="U781" s="213"/>
      <c r="V781" s="213"/>
      <c r="W781" s="213"/>
      <c r="X781" s="591"/>
      <c r="Y781" s="591"/>
    </row>
    <row r="782" spans="1:25" ht="17.100000000000001" customHeight="1">
      <c r="A782" s="619"/>
      <c r="B782" s="586"/>
      <c r="C782" s="259"/>
      <c r="D782" s="621"/>
      <c r="E782" s="275"/>
      <c r="F782" s="154"/>
      <c r="G782" s="219"/>
      <c r="H782" s="219"/>
      <c r="I782" s="272"/>
      <c r="J782" s="276"/>
      <c r="K782" s="311">
        <f t="shared" si="230"/>
        <v>0</v>
      </c>
      <c r="L782" s="312">
        <f t="shared" si="231"/>
        <v>0</v>
      </c>
      <c r="M782" s="313">
        <f t="shared" si="232"/>
        <v>0</v>
      </c>
      <c r="N782" s="320">
        <f>SUM(L778:L782)</f>
        <v>0</v>
      </c>
      <c r="O782" s="315">
        <f t="shared" si="235"/>
        <v>0</v>
      </c>
      <c r="P782" s="315">
        <f t="shared" si="236"/>
        <v>0</v>
      </c>
      <c r="Q782" s="320"/>
      <c r="R782" s="315">
        <f t="shared" si="233"/>
        <v>0</v>
      </c>
      <c r="S782" s="315">
        <f t="shared" si="234"/>
        <v>0</v>
      </c>
      <c r="T782" s="213"/>
      <c r="U782" s="213"/>
      <c r="V782" s="213"/>
      <c r="W782" s="213"/>
      <c r="X782" s="591"/>
      <c r="Y782" s="591"/>
    </row>
    <row r="783" spans="1:25" ht="17.100000000000001" customHeight="1">
      <c r="A783" s="619"/>
      <c r="B783" s="586"/>
      <c r="C783" s="259"/>
      <c r="D783" s="621"/>
      <c r="E783" s="157"/>
      <c r="F783" s="154"/>
      <c r="G783" s="254"/>
      <c r="H783" s="154"/>
      <c r="I783" s="154"/>
      <c r="J783" s="276"/>
      <c r="K783" s="311">
        <f t="shared" si="230"/>
        <v>0</v>
      </c>
      <c r="L783" s="312">
        <f t="shared" si="231"/>
        <v>0</v>
      </c>
      <c r="M783" s="313">
        <f t="shared" si="232"/>
        <v>0</v>
      </c>
      <c r="N783" s="320"/>
      <c r="O783" s="315">
        <f t="shared" si="235"/>
        <v>0</v>
      </c>
      <c r="P783" s="315">
        <f t="shared" si="236"/>
        <v>0</v>
      </c>
      <c r="Q783" s="320"/>
      <c r="R783" s="315">
        <f t="shared" si="233"/>
        <v>0</v>
      </c>
      <c r="S783" s="315">
        <f t="shared" si="234"/>
        <v>0</v>
      </c>
      <c r="T783" s="213"/>
      <c r="U783" s="213"/>
      <c r="V783" s="213"/>
      <c r="W783" s="213"/>
      <c r="X783" s="591"/>
      <c r="Y783" s="591"/>
    </row>
    <row r="784" spans="1:25" ht="17.100000000000001" customHeight="1">
      <c r="A784" s="619"/>
      <c r="B784" s="586"/>
      <c r="C784" s="259"/>
      <c r="D784" s="621"/>
      <c r="E784" s="157"/>
      <c r="F784" s="154"/>
      <c r="G784" s="254"/>
      <c r="H784" s="154"/>
      <c r="I784" s="154"/>
      <c r="J784" s="276"/>
      <c r="K784" s="311">
        <f t="shared" si="230"/>
        <v>0</v>
      </c>
      <c r="L784" s="312">
        <f t="shared" si="231"/>
        <v>0</v>
      </c>
      <c r="M784" s="313">
        <f t="shared" si="232"/>
        <v>0</v>
      </c>
      <c r="N784" s="320"/>
      <c r="O784" s="315">
        <f t="shared" si="235"/>
        <v>0</v>
      </c>
      <c r="P784" s="315">
        <f t="shared" si="236"/>
        <v>0</v>
      </c>
      <c r="Q784" s="320"/>
      <c r="R784" s="315">
        <f t="shared" si="233"/>
        <v>0</v>
      </c>
      <c r="S784" s="315">
        <f t="shared" si="234"/>
        <v>0</v>
      </c>
      <c r="T784" s="213"/>
      <c r="U784" s="213"/>
      <c r="V784" s="213"/>
      <c r="W784" s="213"/>
      <c r="X784" s="591"/>
      <c r="Y784" s="591"/>
    </row>
    <row r="785" spans="1:25" ht="17.100000000000001" customHeight="1">
      <c r="A785" s="619"/>
      <c r="B785" s="586"/>
      <c r="C785" s="259"/>
      <c r="D785" s="621"/>
      <c r="E785" s="157"/>
      <c r="F785" s="154"/>
      <c r="G785" s="254"/>
      <c r="H785" s="154"/>
      <c r="I785" s="154"/>
      <c r="J785" s="276"/>
      <c r="K785" s="311">
        <f t="shared" si="230"/>
        <v>0</v>
      </c>
      <c r="L785" s="312">
        <f t="shared" si="231"/>
        <v>0</v>
      </c>
      <c r="M785" s="313">
        <f t="shared" si="232"/>
        <v>0</v>
      </c>
      <c r="N785" s="320"/>
      <c r="O785" s="315">
        <f t="shared" si="235"/>
        <v>0</v>
      </c>
      <c r="P785" s="315">
        <f t="shared" si="236"/>
        <v>0</v>
      </c>
      <c r="Q785" s="320"/>
      <c r="R785" s="315">
        <f t="shared" si="233"/>
        <v>0</v>
      </c>
      <c r="S785" s="315">
        <f t="shared" si="234"/>
        <v>0</v>
      </c>
      <c r="T785" s="213"/>
      <c r="U785" s="213"/>
      <c r="V785" s="213"/>
      <c r="W785" s="213"/>
      <c r="X785" s="591"/>
      <c r="Y785" s="591"/>
    </row>
    <row r="786" spans="1:25" ht="17.100000000000001" customHeight="1">
      <c r="A786" s="619"/>
      <c r="B786" s="586"/>
      <c r="C786" s="259"/>
      <c r="D786" s="621"/>
      <c r="E786" s="157"/>
      <c r="F786" s="154"/>
      <c r="G786" s="254"/>
      <c r="H786" s="154"/>
      <c r="I786" s="154"/>
      <c r="J786" s="276"/>
      <c r="K786" s="311">
        <f t="shared" si="230"/>
        <v>0</v>
      </c>
      <c r="L786" s="312">
        <f t="shared" si="231"/>
        <v>0</v>
      </c>
      <c r="M786" s="313">
        <f t="shared" si="232"/>
        <v>0</v>
      </c>
      <c r="N786" s="320">
        <f>SUM(L783:L786)</f>
        <v>0</v>
      </c>
      <c r="O786" s="315">
        <f t="shared" si="235"/>
        <v>0</v>
      </c>
      <c r="P786" s="315">
        <f t="shared" si="236"/>
        <v>0</v>
      </c>
      <c r="Q786" s="320"/>
      <c r="R786" s="315">
        <f t="shared" si="233"/>
        <v>0</v>
      </c>
      <c r="S786" s="315">
        <f t="shared" si="234"/>
        <v>0</v>
      </c>
      <c r="T786" s="213"/>
      <c r="U786" s="213"/>
      <c r="V786" s="213"/>
      <c r="W786" s="213"/>
      <c r="X786" s="591"/>
      <c r="Y786" s="591"/>
    </row>
    <row r="787" spans="1:25" ht="17.100000000000001" customHeight="1">
      <c r="A787" s="619"/>
      <c r="B787" s="586"/>
      <c r="C787" s="259"/>
      <c r="D787" s="621"/>
      <c r="E787" s="157"/>
      <c r="F787" s="154"/>
      <c r="G787" s="254"/>
      <c r="H787" s="154"/>
      <c r="I787" s="154"/>
      <c r="J787" s="276"/>
      <c r="K787" s="311">
        <f t="shared" si="230"/>
        <v>0</v>
      </c>
      <c r="L787" s="312">
        <f t="shared" si="231"/>
        <v>0</v>
      </c>
      <c r="M787" s="313">
        <f t="shared" si="232"/>
        <v>0</v>
      </c>
      <c r="N787" s="320"/>
      <c r="O787" s="315">
        <f t="shared" si="235"/>
        <v>0</v>
      </c>
      <c r="P787" s="315">
        <f t="shared" si="236"/>
        <v>0</v>
      </c>
      <c r="Q787" s="320"/>
      <c r="R787" s="315">
        <f t="shared" si="233"/>
        <v>0</v>
      </c>
      <c r="S787" s="315">
        <f t="shared" si="234"/>
        <v>0</v>
      </c>
      <c r="T787" s="213"/>
      <c r="U787" s="213"/>
      <c r="V787" s="213"/>
      <c r="W787" s="213"/>
      <c r="X787" s="591"/>
      <c r="Y787" s="591"/>
    </row>
    <row r="788" spans="1:25" ht="17.100000000000001" customHeight="1">
      <c r="A788" s="619"/>
      <c r="B788" s="586"/>
      <c r="C788" s="259"/>
      <c r="D788" s="621"/>
      <c r="E788" s="157"/>
      <c r="F788" s="154"/>
      <c r="G788" s="254"/>
      <c r="H788" s="154"/>
      <c r="I788" s="154"/>
      <c r="J788" s="276"/>
      <c r="K788" s="311">
        <f t="shared" si="230"/>
        <v>0</v>
      </c>
      <c r="L788" s="312">
        <f t="shared" si="231"/>
        <v>0</v>
      </c>
      <c r="M788" s="313">
        <f t="shared" si="232"/>
        <v>0</v>
      </c>
      <c r="N788" s="320"/>
      <c r="O788" s="315">
        <f t="shared" si="235"/>
        <v>0</v>
      </c>
      <c r="P788" s="315">
        <f t="shared" si="236"/>
        <v>0</v>
      </c>
      <c r="Q788" s="320"/>
      <c r="R788" s="315">
        <f t="shared" si="233"/>
        <v>0</v>
      </c>
      <c r="S788" s="315">
        <f t="shared" si="234"/>
        <v>0</v>
      </c>
      <c r="T788" s="213"/>
      <c r="U788" s="213"/>
      <c r="V788" s="213"/>
      <c r="W788" s="213"/>
      <c r="X788" s="591"/>
      <c r="Y788" s="591"/>
    </row>
    <row r="789" spans="1:25" ht="17.100000000000001" customHeight="1">
      <c r="A789" s="619"/>
      <c r="B789" s="586"/>
      <c r="C789" s="259"/>
      <c r="D789" s="621"/>
      <c r="E789" s="157"/>
      <c r="F789" s="154"/>
      <c r="G789" s="254"/>
      <c r="H789" s="154"/>
      <c r="I789" s="154"/>
      <c r="J789" s="276"/>
      <c r="K789" s="311">
        <f t="shared" si="230"/>
        <v>0</v>
      </c>
      <c r="L789" s="312">
        <f t="shared" si="231"/>
        <v>0</v>
      </c>
      <c r="M789" s="313">
        <f t="shared" si="232"/>
        <v>0</v>
      </c>
      <c r="N789" s="320"/>
      <c r="O789" s="315">
        <f t="shared" si="235"/>
        <v>0</v>
      </c>
      <c r="P789" s="315">
        <f t="shared" si="236"/>
        <v>0</v>
      </c>
      <c r="Q789" s="320"/>
      <c r="R789" s="315">
        <f t="shared" si="233"/>
        <v>0</v>
      </c>
      <c r="S789" s="315">
        <f t="shared" si="234"/>
        <v>0</v>
      </c>
      <c r="T789" s="213"/>
      <c r="U789" s="213"/>
      <c r="V789" s="213"/>
      <c r="W789" s="213"/>
      <c r="X789" s="591"/>
      <c r="Y789" s="591"/>
    </row>
    <row r="790" spans="1:25" ht="17.100000000000001" customHeight="1">
      <c r="A790" s="619"/>
      <c r="B790" s="586"/>
      <c r="C790" s="259"/>
      <c r="D790" s="621"/>
      <c r="E790" s="157"/>
      <c r="F790" s="154"/>
      <c r="G790" s="254"/>
      <c r="H790" s="154"/>
      <c r="I790" s="154"/>
      <c r="J790" s="276"/>
      <c r="K790" s="311">
        <f t="shared" si="230"/>
        <v>0</v>
      </c>
      <c r="L790" s="312">
        <f t="shared" si="231"/>
        <v>0</v>
      </c>
      <c r="M790" s="313">
        <f t="shared" si="232"/>
        <v>0</v>
      </c>
      <c r="N790" s="320"/>
      <c r="O790" s="315">
        <f t="shared" si="235"/>
        <v>0</v>
      </c>
      <c r="P790" s="315">
        <f t="shared" si="236"/>
        <v>0</v>
      </c>
      <c r="Q790" s="320"/>
      <c r="R790" s="315">
        <f t="shared" si="233"/>
        <v>0</v>
      </c>
      <c r="S790" s="315">
        <f t="shared" si="234"/>
        <v>0</v>
      </c>
      <c r="T790" s="213"/>
      <c r="U790" s="213"/>
      <c r="V790" s="213"/>
      <c r="W790" s="213"/>
      <c r="X790" s="591"/>
      <c r="Y790" s="591"/>
    </row>
    <row r="791" spans="1:25" ht="17.100000000000001" customHeight="1">
      <c r="A791" s="619"/>
      <c r="B791" s="586"/>
      <c r="C791" s="259"/>
      <c r="D791" s="621"/>
      <c r="E791" s="157"/>
      <c r="F791" s="154"/>
      <c r="G791" s="254"/>
      <c r="H791" s="154"/>
      <c r="I791" s="154"/>
      <c r="J791" s="276"/>
      <c r="K791" s="311">
        <f t="shared" si="230"/>
        <v>0</v>
      </c>
      <c r="L791" s="312">
        <f t="shared" si="231"/>
        <v>0</v>
      </c>
      <c r="M791" s="313">
        <f t="shared" si="232"/>
        <v>0</v>
      </c>
      <c r="N791" s="320"/>
      <c r="O791" s="315">
        <f t="shared" si="235"/>
        <v>0</v>
      </c>
      <c r="P791" s="315">
        <f t="shared" si="236"/>
        <v>0</v>
      </c>
      <c r="Q791" s="320"/>
      <c r="R791" s="315">
        <f t="shared" si="233"/>
        <v>0</v>
      </c>
      <c r="S791" s="315">
        <f t="shared" si="234"/>
        <v>0</v>
      </c>
      <c r="T791" s="213"/>
      <c r="U791" s="213"/>
      <c r="V791" s="213"/>
      <c r="W791" s="213"/>
      <c r="X791" s="591"/>
      <c r="Y791" s="591"/>
    </row>
    <row r="792" spans="1:25" ht="17.100000000000001" customHeight="1">
      <c r="A792" s="619"/>
      <c r="B792" s="586"/>
      <c r="C792" s="259"/>
      <c r="D792" s="621"/>
      <c r="E792" s="157"/>
      <c r="F792" s="154"/>
      <c r="G792" s="254"/>
      <c r="H792" s="154"/>
      <c r="I792" s="154"/>
      <c r="J792" s="276"/>
      <c r="K792" s="311">
        <f t="shared" si="230"/>
        <v>0</v>
      </c>
      <c r="L792" s="312">
        <f t="shared" si="231"/>
        <v>0</v>
      </c>
      <c r="M792" s="313">
        <f t="shared" si="232"/>
        <v>0</v>
      </c>
      <c r="N792" s="320"/>
      <c r="O792" s="315">
        <f t="shared" si="235"/>
        <v>0</v>
      </c>
      <c r="P792" s="315">
        <f t="shared" si="236"/>
        <v>0</v>
      </c>
      <c r="Q792" s="320"/>
      <c r="R792" s="315">
        <f t="shared" si="233"/>
        <v>0</v>
      </c>
      <c r="S792" s="315">
        <f t="shared" si="234"/>
        <v>0</v>
      </c>
      <c r="T792" s="213"/>
      <c r="U792" s="213"/>
      <c r="V792" s="213"/>
      <c r="W792" s="213"/>
      <c r="X792" s="591"/>
      <c r="Y792" s="591"/>
    </row>
    <row r="793" spans="1:25" ht="17.100000000000001" customHeight="1">
      <c r="A793" s="619"/>
      <c r="B793" s="586"/>
      <c r="C793" s="259"/>
      <c r="D793" s="621"/>
      <c r="E793" s="157"/>
      <c r="F793" s="154"/>
      <c r="G793" s="254"/>
      <c r="H793" s="154"/>
      <c r="I793" s="154"/>
      <c r="J793" s="276"/>
      <c r="K793" s="311">
        <f t="shared" si="230"/>
        <v>0</v>
      </c>
      <c r="L793" s="312">
        <f t="shared" si="231"/>
        <v>0</v>
      </c>
      <c r="M793" s="313">
        <f t="shared" si="232"/>
        <v>0</v>
      </c>
      <c r="N793" s="320"/>
      <c r="O793" s="315">
        <f t="shared" si="235"/>
        <v>0</v>
      </c>
      <c r="P793" s="315">
        <f t="shared" si="236"/>
        <v>0</v>
      </c>
      <c r="Q793" s="320"/>
      <c r="R793" s="315">
        <f t="shared" si="233"/>
        <v>0</v>
      </c>
      <c r="S793" s="315">
        <f t="shared" si="234"/>
        <v>0</v>
      </c>
      <c r="T793" s="213"/>
      <c r="U793" s="213"/>
      <c r="V793" s="213"/>
      <c r="W793" s="213"/>
      <c r="X793" s="591"/>
      <c r="Y793" s="591"/>
    </row>
    <row r="794" spans="1:25" ht="17.100000000000001" customHeight="1">
      <c r="A794" s="619"/>
      <c r="B794" s="586"/>
      <c r="C794" s="259"/>
      <c r="D794" s="621"/>
      <c r="E794" s="157"/>
      <c r="F794" s="154"/>
      <c r="G794" s="254"/>
      <c r="H794" s="154"/>
      <c r="I794" s="154"/>
      <c r="J794" s="276"/>
      <c r="K794" s="311">
        <f t="shared" si="230"/>
        <v>0</v>
      </c>
      <c r="L794" s="312">
        <f t="shared" si="231"/>
        <v>0</v>
      </c>
      <c r="M794" s="313">
        <f t="shared" si="232"/>
        <v>0</v>
      </c>
      <c r="N794" s="320">
        <f>SUM(L787:L794)</f>
        <v>0</v>
      </c>
      <c r="O794" s="315">
        <f t="shared" si="235"/>
        <v>0</v>
      </c>
      <c r="P794" s="315">
        <f t="shared" si="236"/>
        <v>0</v>
      </c>
      <c r="Q794" s="320">
        <f>SUM(N782:N794)</f>
        <v>0</v>
      </c>
      <c r="R794" s="315">
        <f t="shared" si="233"/>
        <v>0</v>
      </c>
      <c r="S794" s="315">
        <f t="shared" si="234"/>
        <v>0</v>
      </c>
      <c r="T794" s="213"/>
      <c r="U794" s="213"/>
      <c r="V794" s="213"/>
      <c r="W794" s="213"/>
      <c r="X794" s="591"/>
      <c r="Y794" s="591"/>
    </row>
    <row r="795" spans="1:25" ht="17.100000000000001" customHeight="1">
      <c r="A795" s="619"/>
      <c r="B795" s="586"/>
      <c r="C795" s="259"/>
      <c r="D795" s="621"/>
      <c r="E795" s="157"/>
      <c r="F795" s="154"/>
      <c r="G795" s="254"/>
      <c r="H795" s="154"/>
      <c r="I795" s="154"/>
      <c r="J795" s="254"/>
      <c r="K795" s="311">
        <f t="shared" si="230"/>
        <v>0</v>
      </c>
      <c r="L795" s="312">
        <f t="shared" si="231"/>
        <v>0</v>
      </c>
      <c r="M795" s="313">
        <f t="shared" si="232"/>
        <v>0</v>
      </c>
      <c r="N795" s="320"/>
      <c r="O795" s="315">
        <f t="shared" si="235"/>
        <v>0</v>
      </c>
      <c r="P795" s="315">
        <f t="shared" si="236"/>
        <v>0</v>
      </c>
      <c r="Q795" s="320"/>
      <c r="R795" s="315">
        <f t="shared" si="233"/>
        <v>0</v>
      </c>
      <c r="S795" s="315">
        <f t="shared" si="234"/>
        <v>0</v>
      </c>
      <c r="T795" s="213"/>
      <c r="U795" s="213"/>
      <c r="V795" s="213"/>
      <c r="W795" s="213"/>
      <c r="X795" s="591"/>
      <c r="Y795" s="591"/>
    </row>
    <row r="796" spans="1:25" ht="17.100000000000001" customHeight="1">
      <c r="A796" s="619"/>
      <c r="B796" s="586"/>
      <c r="C796" s="259"/>
      <c r="D796" s="621"/>
      <c r="E796" s="157"/>
      <c r="F796" s="154"/>
      <c r="G796" s="254"/>
      <c r="H796" s="154"/>
      <c r="I796" s="154"/>
      <c r="J796" s="254"/>
      <c r="K796" s="311">
        <f t="shared" si="230"/>
        <v>0</v>
      </c>
      <c r="L796" s="312">
        <f t="shared" si="231"/>
        <v>0</v>
      </c>
      <c r="M796" s="313">
        <f t="shared" si="232"/>
        <v>0</v>
      </c>
      <c r="N796" s="320"/>
      <c r="O796" s="315">
        <f t="shared" si="235"/>
        <v>0</v>
      </c>
      <c r="P796" s="315">
        <f t="shared" si="236"/>
        <v>0</v>
      </c>
      <c r="Q796" s="320"/>
      <c r="R796" s="315">
        <f t="shared" si="233"/>
        <v>0</v>
      </c>
      <c r="S796" s="315">
        <f t="shared" si="234"/>
        <v>0</v>
      </c>
      <c r="T796" s="213"/>
      <c r="U796" s="213"/>
      <c r="V796" s="213"/>
      <c r="W796" s="213"/>
      <c r="X796" s="591"/>
      <c r="Y796" s="591"/>
    </row>
    <row r="797" spans="1:25" ht="17.100000000000001" customHeight="1">
      <c r="A797" s="619"/>
      <c r="B797" s="586"/>
      <c r="C797" s="259"/>
      <c r="D797" s="621"/>
      <c r="E797" s="272"/>
      <c r="F797" s="154"/>
      <c r="G797" s="216"/>
      <c r="H797" s="216"/>
      <c r="I797" s="154"/>
      <c r="J797" s="276"/>
      <c r="K797" s="311">
        <f t="shared" si="230"/>
        <v>0</v>
      </c>
      <c r="L797" s="312">
        <f t="shared" si="231"/>
        <v>0</v>
      </c>
      <c r="M797" s="313">
        <f t="shared" si="232"/>
        <v>0</v>
      </c>
      <c r="N797" s="320"/>
      <c r="O797" s="315">
        <f t="shared" si="235"/>
        <v>0</v>
      </c>
      <c r="P797" s="315">
        <f t="shared" si="236"/>
        <v>0</v>
      </c>
      <c r="Q797" s="320"/>
      <c r="R797" s="315">
        <f t="shared" si="233"/>
        <v>0</v>
      </c>
      <c r="S797" s="315">
        <f t="shared" si="234"/>
        <v>0</v>
      </c>
      <c r="T797" s="213"/>
      <c r="U797" s="213"/>
      <c r="V797" s="213"/>
      <c r="W797" s="213"/>
      <c r="X797" s="591"/>
      <c r="Y797" s="591"/>
    </row>
    <row r="798" spans="1:25" ht="17.100000000000001" customHeight="1">
      <c r="A798" s="619"/>
      <c r="B798" s="586"/>
      <c r="C798" s="259"/>
      <c r="D798" s="621"/>
      <c r="E798" s="157"/>
      <c r="F798" s="154"/>
      <c r="G798" s="254"/>
      <c r="H798" s="154"/>
      <c r="I798" s="154"/>
      <c r="J798" s="276"/>
      <c r="K798" s="311">
        <f t="shared" si="230"/>
        <v>0</v>
      </c>
      <c r="L798" s="312">
        <f t="shared" si="231"/>
        <v>0</v>
      </c>
      <c r="M798" s="313">
        <f t="shared" si="232"/>
        <v>0</v>
      </c>
      <c r="N798" s="320">
        <f>SUM(L795:L798)</f>
        <v>0</v>
      </c>
      <c r="O798" s="315">
        <f t="shared" si="235"/>
        <v>0</v>
      </c>
      <c r="P798" s="315">
        <f t="shared" si="236"/>
        <v>0</v>
      </c>
      <c r="Q798" s="320">
        <f>N798</f>
        <v>0</v>
      </c>
      <c r="R798" s="315">
        <f t="shared" si="233"/>
        <v>0</v>
      </c>
      <c r="S798" s="315">
        <f t="shared" si="234"/>
        <v>0</v>
      </c>
      <c r="T798" s="213"/>
      <c r="U798" s="213"/>
      <c r="V798" s="213"/>
      <c r="W798" s="213"/>
      <c r="X798" s="591"/>
      <c r="Y798" s="591"/>
    </row>
    <row r="799" spans="1:25" ht="17.100000000000001" customHeight="1">
      <c r="A799" s="316"/>
      <c r="B799" s="259"/>
      <c r="C799" s="259"/>
      <c r="D799" s="256"/>
      <c r="E799" s="157"/>
      <c r="F799" s="154"/>
      <c r="G799" s="254"/>
      <c r="H799" s="154"/>
      <c r="I799" s="154"/>
      <c r="J799" s="276"/>
      <c r="K799" s="311"/>
      <c r="L799" s="312"/>
      <c r="M799" s="313"/>
      <c r="N799" s="320"/>
      <c r="O799" s="315"/>
      <c r="P799" s="315"/>
      <c r="Q799" s="320"/>
      <c r="R799" s="315">
        <f t="shared" si="233"/>
        <v>0</v>
      </c>
      <c r="S799" s="315">
        <f t="shared" si="234"/>
        <v>0</v>
      </c>
      <c r="T799" s="213"/>
      <c r="U799" s="213"/>
      <c r="V799" s="213"/>
      <c r="W799" s="213"/>
      <c r="X799" s="317"/>
      <c r="Y799" s="317"/>
    </row>
    <row r="800" spans="1:25" s="287" customFormat="1">
      <c r="A800" s="211" t="s">
        <v>129</v>
      </c>
      <c r="B800" s="211">
        <f>COUNTA(B699)</f>
        <v>0</v>
      </c>
      <c r="C800" s="211"/>
      <c r="D800" s="211">
        <f>COUNTA(D759)</f>
        <v>0</v>
      </c>
      <c r="E800" s="212">
        <f>COUNTA(E759:E798)</f>
        <v>0</v>
      </c>
      <c r="F800" s="211">
        <f>COUNTA(F699:F798)</f>
        <v>0</v>
      </c>
      <c r="G800" s="211">
        <f>COUNTA(G699:G798)</f>
        <v>0</v>
      </c>
      <c r="H800" s="211"/>
      <c r="I800" s="211">
        <f>COUNTA(I699:I798)</f>
        <v>0</v>
      </c>
      <c r="J800" s="280">
        <f>SUM(J699:J799)</f>
        <v>0</v>
      </c>
      <c r="K800" s="161">
        <f>SUM(K759:K798)</f>
        <v>0</v>
      </c>
      <c r="L800" s="161">
        <f>SUM(L759:L798)</f>
        <v>0</v>
      </c>
      <c r="M800" s="161">
        <f>SUM(M759:M798)</f>
        <v>0</v>
      </c>
      <c r="N800" s="161">
        <f>SUM(N759:N798)</f>
        <v>0</v>
      </c>
      <c r="O800" s="161">
        <f t="shared" ref="O800:O801" si="237">ROUNDDOWN((N800/$O$11),0)</f>
        <v>0</v>
      </c>
      <c r="P800" s="161">
        <f t="shared" ref="P800:P801" si="238">ROUND((N800-(O800*$P$11)),0)</f>
        <v>0</v>
      </c>
      <c r="Q800" s="161">
        <f>SUM(Q759:Q798)</f>
        <v>0</v>
      </c>
      <c r="R800" s="161">
        <f t="shared" si="225"/>
        <v>0</v>
      </c>
      <c r="S800" s="161">
        <f t="shared" si="226"/>
        <v>0</v>
      </c>
      <c r="T800" s="211"/>
      <c r="U800" s="211"/>
      <c r="V800" s="211"/>
      <c r="W800" s="211"/>
      <c r="X800" s="161" t="str">
        <f>IF(X699&lt;1.4,"1",IF(X699&lt;=2.3,"2",IF(X699&gt;2.3, ROUND(X699,0))))</f>
        <v>1</v>
      </c>
      <c r="Y800" s="161">
        <f>$Y$11*F800</f>
        <v>0</v>
      </c>
    </row>
    <row r="801" spans="1:25">
      <c r="A801" s="618"/>
      <c r="B801" s="585"/>
      <c r="C801" s="258"/>
      <c r="D801" s="620"/>
      <c r="E801" s="272"/>
      <c r="F801" s="154"/>
      <c r="G801" s="224"/>
      <c r="H801" s="224"/>
      <c r="I801" s="154"/>
      <c r="J801" s="276"/>
      <c r="K801" s="311">
        <f>J773/$K$11</f>
        <v>0</v>
      </c>
      <c r="L801" s="312">
        <f>J773/$L$11</f>
        <v>0</v>
      </c>
      <c r="M801" s="313">
        <f t="shared" si="229"/>
        <v>0</v>
      </c>
      <c r="N801" s="320"/>
      <c r="O801" s="315">
        <f t="shared" si="237"/>
        <v>0</v>
      </c>
      <c r="P801" s="315">
        <f t="shared" si="238"/>
        <v>0</v>
      </c>
      <c r="Q801" s="320"/>
      <c r="R801" s="315">
        <f t="shared" si="225"/>
        <v>0</v>
      </c>
      <c r="S801" s="315">
        <f t="shared" si="226"/>
        <v>0</v>
      </c>
      <c r="T801" s="213"/>
      <c r="U801" s="213"/>
      <c r="V801" s="213"/>
      <c r="W801" s="213"/>
      <c r="X801" s="590">
        <f>F952/$X$11</f>
        <v>0</v>
      </c>
      <c r="Y801" s="590"/>
    </row>
    <row r="802" spans="1:25">
      <c r="A802" s="619"/>
      <c r="B802" s="586"/>
      <c r="C802" s="259"/>
      <c r="D802" s="621"/>
      <c r="E802" s="275"/>
      <c r="F802" s="154"/>
      <c r="G802" s="224"/>
      <c r="H802" s="224"/>
      <c r="I802" s="154"/>
      <c r="J802" s="276"/>
      <c r="K802" s="311">
        <f>J774/$K$11</f>
        <v>0</v>
      </c>
      <c r="L802" s="312">
        <f>J774/$L$11</f>
        <v>0</v>
      </c>
      <c r="M802" s="313">
        <f t="shared" si="229"/>
        <v>0</v>
      </c>
      <c r="N802" s="320"/>
      <c r="O802" s="315">
        <f t="shared" ref="O802:O868" si="239">ROUNDDOWN((N802/$O$11),0)</f>
        <v>0</v>
      </c>
      <c r="P802" s="315">
        <f t="shared" ref="P802:P868" si="240">ROUND((N802-(O802*$P$11)),0)</f>
        <v>0</v>
      </c>
      <c r="Q802" s="320"/>
      <c r="R802" s="315">
        <f t="shared" ref="R802:R865" si="241">ROUNDDOWN((Q802/$O$11),0)</f>
        <v>0</v>
      </c>
      <c r="S802" s="315">
        <f t="shared" ref="S802:S865" si="242">ROUND((Q802-(R802*$P$11)),0)</f>
        <v>0</v>
      </c>
      <c r="T802" s="213"/>
      <c r="U802" s="213"/>
      <c r="V802" s="213"/>
      <c r="W802" s="213"/>
      <c r="X802" s="591"/>
      <c r="Y802" s="591"/>
    </row>
    <row r="803" spans="1:25">
      <c r="A803" s="619"/>
      <c r="B803" s="586"/>
      <c r="C803" s="259"/>
      <c r="D803" s="621"/>
      <c r="E803" s="275"/>
      <c r="F803" s="154"/>
      <c r="G803" s="224"/>
      <c r="H803" s="224"/>
      <c r="I803" s="154"/>
      <c r="J803" s="276"/>
      <c r="K803" s="311">
        <f>J775/$K$11</f>
        <v>0</v>
      </c>
      <c r="L803" s="312">
        <f>J775/$L$11</f>
        <v>0</v>
      </c>
      <c r="M803" s="313">
        <f t="shared" si="229"/>
        <v>0</v>
      </c>
      <c r="N803" s="320"/>
      <c r="O803" s="315">
        <f t="shared" si="239"/>
        <v>0</v>
      </c>
      <c r="P803" s="315">
        <f t="shared" si="240"/>
        <v>0</v>
      </c>
      <c r="Q803" s="320"/>
      <c r="R803" s="315">
        <f t="shared" si="241"/>
        <v>0</v>
      </c>
      <c r="S803" s="315">
        <f t="shared" si="242"/>
        <v>0</v>
      </c>
      <c r="T803" s="213"/>
      <c r="U803" s="213"/>
      <c r="V803" s="213"/>
      <c r="W803" s="213"/>
      <c r="X803" s="591"/>
      <c r="Y803" s="591"/>
    </row>
    <row r="804" spans="1:25" ht="14.85" customHeight="1">
      <c r="A804" s="619"/>
      <c r="B804" s="586"/>
      <c r="C804" s="259"/>
      <c r="D804" s="621"/>
      <c r="E804" s="275"/>
      <c r="F804" s="154"/>
      <c r="G804" s="224"/>
      <c r="H804" s="224"/>
      <c r="I804" s="154"/>
      <c r="J804" s="276"/>
      <c r="K804" s="311">
        <f>J776/$K$11</f>
        <v>0</v>
      </c>
      <c r="L804" s="312">
        <f>J776/$L$11</f>
        <v>0</v>
      </c>
      <c r="M804" s="313">
        <f t="shared" si="229"/>
        <v>0</v>
      </c>
      <c r="N804" s="320"/>
      <c r="O804" s="315">
        <f t="shared" si="239"/>
        <v>0</v>
      </c>
      <c r="P804" s="315">
        <f t="shared" si="240"/>
        <v>0</v>
      </c>
      <c r="Q804" s="320"/>
      <c r="R804" s="315">
        <f t="shared" si="241"/>
        <v>0</v>
      </c>
      <c r="S804" s="315">
        <f t="shared" si="242"/>
        <v>0</v>
      </c>
      <c r="T804" s="213"/>
      <c r="U804" s="213"/>
      <c r="V804" s="213"/>
      <c r="W804" s="213"/>
      <c r="X804" s="591"/>
      <c r="Y804" s="591"/>
    </row>
    <row r="805" spans="1:25" ht="14.85" customHeight="1">
      <c r="A805" s="619"/>
      <c r="B805" s="586"/>
      <c r="C805" s="259"/>
      <c r="D805" s="621"/>
      <c r="E805" s="275"/>
      <c r="F805" s="154"/>
      <c r="G805" s="224"/>
      <c r="H805" s="224"/>
      <c r="I805" s="154"/>
      <c r="J805" s="276"/>
      <c r="K805" s="311">
        <f t="shared" ref="K805:K818" si="243">J778/$K$11</f>
        <v>0</v>
      </c>
      <c r="L805" s="312">
        <f t="shared" ref="L805:L818" si="244">J778/$L$11</f>
        <v>0</v>
      </c>
      <c r="M805" s="313">
        <f t="shared" si="229"/>
        <v>0</v>
      </c>
      <c r="N805" s="320"/>
      <c r="O805" s="315">
        <f t="shared" si="239"/>
        <v>0</v>
      </c>
      <c r="P805" s="315">
        <f t="shared" si="240"/>
        <v>0</v>
      </c>
      <c r="Q805" s="320"/>
      <c r="R805" s="315">
        <f t="shared" si="241"/>
        <v>0</v>
      </c>
      <c r="S805" s="315">
        <f t="shared" si="242"/>
        <v>0</v>
      </c>
      <c r="T805" s="213"/>
      <c r="U805" s="213"/>
      <c r="V805" s="213"/>
      <c r="W805" s="213"/>
      <c r="X805" s="591"/>
      <c r="Y805" s="591"/>
    </row>
    <row r="806" spans="1:25" ht="14.85" customHeight="1">
      <c r="A806" s="619"/>
      <c r="B806" s="586"/>
      <c r="C806" s="259"/>
      <c r="D806" s="621"/>
      <c r="E806" s="275"/>
      <c r="F806" s="154"/>
      <c r="G806" s="224"/>
      <c r="H806" s="224"/>
      <c r="I806" s="154"/>
      <c r="J806" s="276"/>
      <c r="K806" s="311">
        <f t="shared" si="243"/>
        <v>0</v>
      </c>
      <c r="L806" s="312">
        <f t="shared" si="244"/>
        <v>0</v>
      </c>
      <c r="M806" s="313">
        <f t="shared" si="229"/>
        <v>0</v>
      </c>
      <c r="N806" s="320">
        <f>SUM(L801:L806)</f>
        <v>0</v>
      </c>
      <c r="O806" s="315">
        <f t="shared" si="239"/>
        <v>0</v>
      </c>
      <c r="P806" s="315">
        <f t="shared" si="240"/>
        <v>0</v>
      </c>
      <c r="Q806" s="320"/>
      <c r="R806" s="315">
        <f t="shared" si="241"/>
        <v>0</v>
      </c>
      <c r="S806" s="315">
        <f t="shared" si="242"/>
        <v>0</v>
      </c>
      <c r="T806" s="213"/>
      <c r="U806" s="213"/>
      <c r="V806" s="213"/>
      <c r="W806" s="213"/>
      <c r="X806" s="591"/>
      <c r="Y806" s="591"/>
    </row>
    <row r="807" spans="1:25" ht="14.85" customHeight="1">
      <c r="A807" s="619"/>
      <c r="B807" s="586"/>
      <c r="C807" s="259"/>
      <c r="D807" s="621"/>
      <c r="E807" s="157"/>
      <c r="F807" s="154"/>
      <c r="G807" s="254"/>
      <c r="H807" s="154"/>
      <c r="I807" s="154"/>
      <c r="J807" s="276"/>
      <c r="K807" s="311">
        <f t="shared" si="243"/>
        <v>0</v>
      </c>
      <c r="L807" s="312">
        <f t="shared" si="244"/>
        <v>0</v>
      </c>
      <c r="M807" s="313">
        <f t="shared" si="229"/>
        <v>0</v>
      </c>
      <c r="N807" s="320"/>
      <c r="O807" s="315">
        <f t="shared" si="239"/>
        <v>0</v>
      </c>
      <c r="P807" s="315">
        <f t="shared" si="240"/>
        <v>0</v>
      </c>
      <c r="Q807" s="320"/>
      <c r="R807" s="315">
        <f t="shared" si="241"/>
        <v>0</v>
      </c>
      <c r="S807" s="315">
        <f t="shared" si="242"/>
        <v>0</v>
      </c>
      <c r="T807" s="213"/>
      <c r="U807" s="213"/>
      <c r="V807" s="213"/>
      <c r="W807" s="213"/>
      <c r="X807" s="591"/>
      <c r="Y807" s="591"/>
    </row>
    <row r="808" spans="1:25" ht="14.85" customHeight="1">
      <c r="A808" s="619"/>
      <c r="B808" s="586"/>
      <c r="C808" s="259"/>
      <c r="D808" s="621"/>
      <c r="E808" s="157"/>
      <c r="F808" s="154"/>
      <c r="G808" s="254"/>
      <c r="H808" s="154"/>
      <c r="I808" s="154"/>
      <c r="J808" s="276"/>
      <c r="K808" s="311">
        <f t="shared" si="243"/>
        <v>0</v>
      </c>
      <c r="L808" s="312">
        <f t="shared" si="244"/>
        <v>0</v>
      </c>
      <c r="M808" s="313">
        <f t="shared" si="229"/>
        <v>0</v>
      </c>
      <c r="N808" s="320"/>
      <c r="O808" s="315">
        <f t="shared" si="239"/>
        <v>0</v>
      </c>
      <c r="P808" s="315">
        <f t="shared" si="240"/>
        <v>0</v>
      </c>
      <c r="Q808" s="320"/>
      <c r="R808" s="315">
        <f t="shared" si="241"/>
        <v>0</v>
      </c>
      <c r="S808" s="315">
        <f t="shared" si="242"/>
        <v>0</v>
      </c>
      <c r="T808" s="213"/>
      <c r="U808" s="213"/>
      <c r="V808" s="213"/>
      <c r="W808" s="213"/>
      <c r="X808" s="591"/>
      <c r="Y808" s="591"/>
    </row>
    <row r="809" spans="1:25" ht="14.85" customHeight="1">
      <c r="A809" s="619"/>
      <c r="B809" s="586"/>
      <c r="C809" s="259"/>
      <c r="D809" s="621"/>
      <c r="E809" s="157"/>
      <c r="F809" s="154"/>
      <c r="G809" s="254"/>
      <c r="H809" s="154"/>
      <c r="I809" s="154"/>
      <c r="J809" s="276"/>
      <c r="K809" s="311">
        <f t="shared" si="243"/>
        <v>0</v>
      </c>
      <c r="L809" s="312">
        <f t="shared" si="244"/>
        <v>0</v>
      </c>
      <c r="M809" s="313">
        <f t="shared" si="229"/>
        <v>0</v>
      </c>
      <c r="N809" s="320"/>
      <c r="O809" s="315">
        <f t="shared" si="239"/>
        <v>0</v>
      </c>
      <c r="P809" s="315">
        <f t="shared" si="240"/>
        <v>0</v>
      </c>
      <c r="Q809" s="320"/>
      <c r="R809" s="315">
        <f t="shared" si="241"/>
        <v>0</v>
      </c>
      <c r="S809" s="315">
        <f t="shared" si="242"/>
        <v>0</v>
      </c>
      <c r="T809" s="213"/>
      <c r="U809" s="213"/>
      <c r="V809" s="213"/>
      <c r="W809" s="213"/>
      <c r="X809" s="591"/>
      <c r="Y809" s="591"/>
    </row>
    <row r="810" spans="1:25" ht="14.85" customHeight="1">
      <c r="A810" s="619"/>
      <c r="B810" s="586"/>
      <c r="C810" s="259"/>
      <c r="D810" s="621"/>
      <c r="E810" s="157"/>
      <c r="F810" s="154"/>
      <c r="G810" s="254"/>
      <c r="H810" s="154"/>
      <c r="I810" s="154"/>
      <c r="J810" s="276"/>
      <c r="K810" s="311">
        <f t="shared" si="243"/>
        <v>0</v>
      </c>
      <c r="L810" s="312">
        <f t="shared" si="244"/>
        <v>0</v>
      </c>
      <c r="M810" s="313">
        <f t="shared" si="229"/>
        <v>0</v>
      </c>
      <c r="N810" s="320"/>
      <c r="O810" s="315">
        <f t="shared" si="239"/>
        <v>0</v>
      </c>
      <c r="P810" s="315">
        <f t="shared" si="240"/>
        <v>0</v>
      </c>
      <c r="Q810" s="320"/>
      <c r="R810" s="315">
        <f t="shared" si="241"/>
        <v>0</v>
      </c>
      <c r="S810" s="315">
        <f t="shared" si="242"/>
        <v>0</v>
      </c>
      <c r="T810" s="213"/>
      <c r="U810" s="213"/>
      <c r="V810" s="213"/>
      <c r="W810" s="213"/>
      <c r="X810" s="591"/>
      <c r="Y810" s="591"/>
    </row>
    <row r="811" spans="1:25" ht="14.85" customHeight="1">
      <c r="A811" s="619"/>
      <c r="B811" s="586"/>
      <c r="C811" s="259"/>
      <c r="D811" s="621"/>
      <c r="E811" s="157"/>
      <c r="F811" s="154"/>
      <c r="G811" s="254"/>
      <c r="H811" s="154"/>
      <c r="I811" s="154"/>
      <c r="J811" s="276"/>
      <c r="K811" s="311">
        <f t="shared" si="243"/>
        <v>0</v>
      </c>
      <c r="L811" s="312">
        <f t="shared" si="244"/>
        <v>0</v>
      </c>
      <c r="M811" s="313">
        <f t="shared" si="229"/>
        <v>0</v>
      </c>
      <c r="N811" s="320"/>
      <c r="O811" s="315">
        <f t="shared" si="239"/>
        <v>0</v>
      </c>
      <c r="P811" s="315">
        <f t="shared" si="240"/>
        <v>0</v>
      </c>
      <c r="Q811" s="320"/>
      <c r="R811" s="315">
        <f t="shared" si="241"/>
        <v>0</v>
      </c>
      <c r="S811" s="315">
        <f t="shared" si="242"/>
        <v>0</v>
      </c>
      <c r="T811" s="213"/>
      <c r="U811" s="213"/>
      <c r="V811" s="213"/>
      <c r="W811" s="213"/>
      <c r="X811" s="591"/>
      <c r="Y811" s="591"/>
    </row>
    <row r="812" spans="1:25" ht="14.85" customHeight="1">
      <c r="A812" s="619"/>
      <c r="B812" s="586"/>
      <c r="C812" s="259"/>
      <c r="D812" s="621"/>
      <c r="E812" s="157"/>
      <c r="F812" s="154"/>
      <c r="G812" s="254"/>
      <c r="H812" s="154"/>
      <c r="I812" s="154"/>
      <c r="J812" s="276"/>
      <c r="K812" s="311">
        <f t="shared" si="243"/>
        <v>0</v>
      </c>
      <c r="L812" s="312">
        <f t="shared" si="244"/>
        <v>0</v>
      </c>
      <c r="M812" s="313">
        <f t="shared" si="229"/>
        <v>0</v>
      </c>
      <c r="N812" s="320"/>
      <c r="O812" s="315">
        <f t="shared" si="239"/>
        <v>0</v>
      </c>
      <c r="P812" s="315">
        <f t="shared" si="240"/>
        <v>0</v>
      </c>
      <c r="Q812" s="320"/>
      <c r="R812" s="315">
        <f t="shared" si="241"/>
        <v>0</v>
      </c>
      <c r="S812" s="315">
        <f t="shared" si="242"/>
        <v>0</v>
      </c>
      <c r="T812" s="213"/>
      <c r="U812" s="213"/>
      <c r="V812" s="213"/>
      <c r="W812" s="213"/>
      <c r="X812" s="591"/>
      <c r="Y812" s="591"/>
    </row>
    <row r="813" spans="1:25" ht="14.85" customHeight="1">
      <c r="A813" s="619"/>
      <c r="B813" s="586"/>
      <c r="C813" s="259"/>
      <c r="D813" s="621"/>
      <c r="E813" s="157"/>
      <c r="F813" s="154"/>
      <c r="G813" s="254"/>
      <c r="H813" s="154"/>
      <c r="I813" s="154"/>
      <c r="J813" s="276"/>
      <c r="K813" s="311">
        <f t="shared" si="243"/>
        <v>0</v>
      </c>
      <c r="L813" s="312">
        <f t="shared" si="244"/>
        <v>0</v>
      </c>
      <c r="M813" s="313">
        <f t="shared" si="229"/>
        <v>0</v>
      </c>
      <c r="N813" s="320">
        <f>SUM(L807:L813)</f>
        <v>0</v>
      </c>
      <c r="O813" s="315">
        <f t="shared" si="239"/>
        <v>0</v>
      </c>
      <c r="P813" s="315">
        <f t="shared" si="240"/>
        <v>0</v>
      </c>
      <c r="Q813" s="320"/>
      <c r="R813" s="315">
        <f t="shared" si="241"/>
        <v>0</v>
      </c>
      <c r="S813" s="315">
        <f t="shared" si="242"/>
        <v>0</v>
      </c>
      <c r="T813" s="213"/>
      <c r="U813" s="213"/>
      <c r="V813" s="213"/>
      <c r="W813" s="213"/>
      <c r="X813" s="591"/>
      <c r="Y813" s="591"/>
    </row>
    <row r="814" spans="1:25" ht="14.85" customHeight="1">
      <c r="A814" s="619"/>
      <c r="B814" s="586"/>
      <c r="C814" s="259"/>
      <c r="D814" s="621"/>
      <c r="E814" s="157"/>
      <c r="F814" s="154"/>
      <c r="G814" s="254"/>
      <c r="H814" s="154"/>
      <c r="I814" s="154"/>
      <c r="J814" s="276"/>
      <c r="K814" s="311">
        <f t="shared" si="243"/>
        <v>0</v>
      </c>
      <c r="L814" s="312">
        <f t="shared" si="244"/>
        <v>0</v>
      </c>
      <c r="M814" s="313">
        <f t="shared" si="229"/>
        <v>0</v>
      </c>
      <c r="N814" s="320"/>
      <c r="O814" s="315">
        <f t="shared" si="239"/>
        <v>0</v>
      </c>
      <c r="P814" s="315">
        <f t="shared" si="240"/>
        <v>0</v>
      </c>
      <c r="Q814" s="320"/>
      <c r="R814" s="315">
        <f t="shared" si="241"/>
        <v>0</v>
      </c>
      <c r="S814" s="315">
        <f t="shared" si="242"/>
        <v>0</v>
      </c>
      <c r="T814" s="213"/>
      <c r="U814" s="213"/>
      <c r="V814" s="213"/>
      <c r="W814" s="213"/>
      <c r="X814" s="591"/>
      <c r="Y814" s="591"/>
    </row>
    <row r="815" spans="1:25" ht="14.85" customHeight="1">
      <c r="A815" s="619"/>
      <c r="B815" s="586"/>
      <c r="C815" s="259"/>
      <c r="D815" s="621"/>
      <c r="E815" s="157"/>
      <c r="F815" s="154"/>
      <c r="G815" s="254"/>
      <c r="H815" s="154"/>
      <c r="I815" s="154"/>
      <c r="J815" s="276"/>
      <c r="K815" s="311">
        <f t="shared" si="243"/>
        <v>0</v>
      </c>
      <c r="L815" s="312">
        <f t="shared" si="244"/>
        <v>0</v>
      </c>
      <c r="M815" s="313">
        <f t="shared" si="229"/>
        <v>0</v>
      </c>
      <c r="N815" s="320"/>
      <c r="O815" s="315">
        <f t="shared" si="239"/>
        <v>0</v>
      </c>
      <c r="P815" s="315">
        <f t="shared" si="240"/>
        <v>0</v>
      </c>
      <c r="Q815" s="320"/>
      <c r="R815" s="315">
        <f t="shared" si="241"/>
        <v>0</v>
      </c>
      <c r="S815" s="315">
        <f t="shared" si="242"/>
        <v>0</v>
      </c>
      <c r="T815" s="213"/>
      <c r="U815" s="213"/>
      <c r="V815" s="213"/>
      <c r="W815" s="213"/>
      <c r="X815" s="591"/>
      <c r="Y815" s="591"/>
    </row>
    <row r="816" spans="1:25" ht="14.85" customHeight="1">
      <c r="A816" s="619"/>
      <c r="B816" s="586"/>
      <c r="C816" s="259"/>
      <c r="D816" s="621"/>
      <c r="E816" s="157"/>
      <c r="F816" s="154"/>
      <c r="G816" s="254"/>
      <c r="H816" s="154"/>
      <c r="I816" s="154"/>
      <c r="J816" s="276"/>
      <c r="K816" s="311">
        <f t="shared" si="243"/>
        <v>0</v>
      </c>
      <c r="L816" s="312">
        <f t="shared" si="244"/>
        <v>0</v>
      </c>
      <c r="M816" s="313">
        <f t="shared" si="229"/>
        <v>0</v>
      </c>
      <c r="N816" s="320"/>
      <c r="O816" s="315">
        <f t="shared" si="239"/>
        <v>0</v>
      </c>
      <c r="P816" s="315">
        <f t="shared" si="240"/>
        <v>0</v>
      </c>
      <c r="Q816" s="320"/>
      <c r="R816" s="315">
        <f t="shared" si="241"/>
        <v>0</v>
      </c>
      <c r="S816" s="315">
        <f t="shared" si="242"/>
        <v>0</v>
      </c>
      <c r="T816" s="213"/>
      <c r="U816" s="213"/>
      <c r="V816" s="213"/>
      <c r="W816" s="213"/>
      <c r="X816" s="591"/>
      <c r="Y816" s="591"/>
    </row>
    <row r="817" spans="1:25" ht="14.85" customHeight="1">
      <c r="A817" s="619"/>
      <c r="B817" s="586"/>
      <c r="C817" s="259"/>
      <c r="D817" s="621"/>
      <c r="E817" s="157"/>
      <c r="F817" s="154"/>
      <c r="G817" s="254"/>
      <c r="H817" s="154"/>
      <c r="I817" s="154"/>
      <c r="J817" s="276"/>
      <c r="K817" s="311">
        <f t="shared" si="243"/>
        <v>0</v>
      </c>
      <c r="L817" s="312">
        <f t="shared" si="244"/>
        <v>0</v>
      </c>
      <c r="M817" s="313">
        <f t="shared" si="229"/>
        <v>0</v>
      </c>
      <c r="N817" s="320"/>
      <c r="O817" s="315">
        <f t="shared" si="239"/>
        <v>0</v>
      </c>
      <c r="P817" s="315">
        <f t="shared" si="240"/>
        <v>0</v>
      </c>
      <c r="Q817" s="320"/>
      <c r="R817" s="315">
        <f t="shared" si="241"/>
        <v>0</v>
      </c>
      <c r="S817" s="315">
        <f t="shared" si="242"/>
        <v>0</v>
      </c>
      <c r="T817" s="213"/>
      <c r="U817" s="213"/>
      <c r="V817" s="213"/>
      <c r="W817" s="213"/>
      <c r="X817" s="591"/>
      <c r="Y817" s="591"/>
    </row>
    <row r="818" spans="1:25" ht="14.85" customHeight="1">
      <c r="A818" s="619"/>
      <c r="B818" s="586"/>
      <c r="C818" s="259"/>
      <c r="D818" s="621"/>
      <c r="E818" s="157"/>
      <c r="F818" s="154"/>
      <c r="G818" s="254"/>
      <c r="H818" s="154"/>
      <c r="I818" s="154"/>
      <c r="J818" s="276"/>
      <c r="K818" s="311">
        <f t="shared" si="243"/>
        <v>0</v>
      </c>
      <c r="L818" s="312">
        <f t="shared" si="244"/>
        <v>0</v>
      </c>
      <c r="M818" s="313">
        <f t="shared" si="229"/>
        <v>0</v>
      </c>
      <c r="N818" s="320">
        <f>SUM(L814:L818)</f>
        <v>0</v>
      </c>
      <c r="O818" s="315">
        <f t="shared" si="239"/>
        <v>0</v>
      </c>
      <c r="P818" s="315">
        <f t="shared" si="240"/>
        <v>0</v>
      </c>
      <c r="Q818" s="320">
        <f>N806+N813+N818</f>
        <v>0</v>
      </c>
      <c r="R818" s="315">
        <f t="shared" si="241"/>
        <v>0</v>
      </c>
      <c r="S818" s="315">
        <f t="shared" si="242"/>
        <v>0</v>
      </c>
      <c r="T818" s="213"/>
      <c r="U818" s="213"/>
      <c r="V818" s="213"/>
      <c r="W818" s="213"/>
      <c r="X818" s="591"/>
      <c r="Y818" s="591"/>
    </row>
    <row r="819" spans="1:25" ht="14.85" customHeight="1">
      <c r="A819" s="619"/>
      <c r="B819" s="586"/>
      <c r="C819" s="259"/>
      <c r="D819" s="621"/>
      <c r="E819" s="157"/>
      <c r="F819" s="154"/>
      <c r="G819" s="254"/>
      <c r="H819" s="154"/>
      <c r="I819" s="154"/>
      <c r="J819" s="276"/>
      <c r="K819" s="311"/>
      <c r="L819" s="312"/>
      <c r="M819" s="313"/>
      <c r="N819" s="320"/>
      <c r="O819" s="315">
        <f t="shared" si="239"/>
        <v>0</v>
      </c>
      <c r="P819" s="315">
        <f t="shared" si="240"/>
        <v>0</v>
      </c>
      <c r="Q819" s="320"/>
      <c r="R819" s="315">
        <f t="shared" si="241"/>
        <v>0</v>
      </c>
      <c r="S819" s="315">
        <f t="shared" si="242"/>
        <v>0</v>
      </c>
      <c r="T819" s="213"/>
      <c r="U819" s="213"/>
      <c r="V819" s="213"/>
      <c r="W819" s="213"/>
      <c r="X819" s="591"/>
      <c r="Y819" s="591"/>
    </row>
    <row r="820" spans="1:25" ht="14.85" customHeight="1">
      <c r="A820" s="619"/>
      <c r="B820" s="586"/>
      <c r="C820" s="259"/>
      <c r="D820" s="621"/>
      <c r="E820" s="272"/>
      <c r="F820" s="154"/>
      <c r="G820" s="224"/>
      <c r="H820" s="224"/>
      <c r="I820" s="154"/>
      <c r="J820" s="276"/>
      <c r="K820" s="311">
        <f t="shared" ref="K820:K826" si="245">J792/$K$11</f>
        <v>0</v>
      </c>
      <c r="L820" s="312">
        <f t="shared" ref="L820:L826" si="246">J792/$L$11</f>
        <v>0</v>
      </c>
      <c r="M820" s="313">
        <f t="shared" si="229"/>
        <v>0</v>
      </c>
      <c r="N820" s="320"/>
      <c r="O820" s="315">
        <f t="shared" si="239"/>
        <v>0</v>
      </c>
      <c r="P820" s="315">
        <f t="shared" si="240"/>
        <v>0</v>
      </c>
      <c r="Q820" s="320"/>
      <c r="R820" s="315">
        <f t="shared" si="241"/>
        <v>0</v>
      </c>
      <c r="S820" s="315">
        <f t="shared" si="242"/>
        <v>0</v>
      </c>
      <c r="T820" s="213"/>
      <c r="U820" s="213"/>
      <c r="V820" s="213"/>
      <c r="W820" s="213"/>
      <c r="X820" s="591"/>
      <c r="Y820" s="591"/>
    </row>
    <row r="821" spans="1:25" ht="14.85" customHeight="1">
      <c r="A821" s="619"/>
      <c r="B821" s="586"/>
      <c r="C821" s="259"/>
      <c r="D821" s="621"/>
      <c r="E821" s="275"/>
      <c r="F821" s="154"/>
      <c r="G821" s="224"/>
      <c r="H821" s="224"/>
      <c r="I821" s="154"/>
      <c r="J821" s="276"/>
      <c r="K821" s="311">
        <f t="shared" si="245"/>
        <v>0</v>
      </c>
      <c r="L821" s="312">
        <f t="shared" si="246"/>
        <v>0</v>
      </c>
      <c r="M821" s="313">
        <f t="shared" si="229"/>
        <v>0</v>
      </c>
      <c r="N821" s="320"/>
      <c r="O821" s="315">
        <f t="shared" si="239"/>
        <v>0</v>
      </c>
      <c r="P821" s="315">
        <f t="shared" si="240"/>
        <v>0</v>
      </c>
      <c r="Q821" s="320"/>
      <c r="R821" s="315">
        <f t="shared" si="241"/>
        <v>0</v>
      </c>
      <c r="S821" s="315">
        <f t="shared" si="242"/>
        <v>0</v>
      </c>
      <c r="T821" s="213"/>
      <c r="U821" s="213"/>
      <c r="V821" s="213"/>
      <c r="W821" s="213"/>
      <c r="X821" s="591"/>
      <c r="Y821" s="591"/>
    </row>
    <row r="822" spans="1:25" ht="14.85" customHeight="1">
      <c r="A822" s="619"/>
      <c r="B822" s="586"/>
      <c r="C822" s="259"/>
      <c r="D822" s="621"/>
      <c r="E822" s="275"/>
      <c r="F822" s="154"/>
      <c r="G822" s="224"/>
      <c r="H822" s="224"/>
      <c r="I822" s="154"/>
      <c r="J822" s="276"/>
      <c r="K822" s="311">
        <f t="shared" si="245"/>
        <v>0</v>
      </c>
      <c r="L822" s="312">
        <f t="shared" si="246"/>
        <v>0</v>
      </c>
      <c r="M822" s="313">
        <f t="shared" si="229"/>
        <v>0</v>
      </c>
      <c r="N822" s="320"/>
      <c r="O822" s="315">
        <f t="shared" si="239"/>
        <v>0</v>
      </c>
      <c r="P822" s="315">
        <f t="shared" si="240"/>
        <v>0</v>
      </c>
      <c r="Q822" s="320"/>
      <c r="R822" s="315">
        <f t="shared" si="241"/>
        <v>0</v>
      </c>
      <c r="S822" s="315">
        <f t="shared" si="242"/>
        <v>0</v>
      </c>
      <c r="T822" s="213"/>
      <c r="U822" s="213"/>
      <c r="V822" s="213"/>
      <c r="W822" s="213"/>
      <c r="X822" s="591"/>
      <c r="Y822" s="591"/>
    </row>
    <row r="823" spans="1:25" ht="14.85" customHeight="1">
      <c r="A823" s="619"/>
      <c r="B823" s="586"/>
      <c r="C823" s="259"/>
      <c r="D823" s="621"/>
      <c r="E823" s="275"/>
      <c r="F823" s="154"/>
      <c r="G823" s="224"/>
      <c r="H823" s="224"/>
      <c r="I823" s="154"/>
      <c r="J823" s="276"/>
      <c r="K823" s="311">
        <f t="shared" si="245"/>
        <v>0</v>
      </c>
      <c r="L823" s="312">
        <f t="shared" si="246"/>
        <v>0</v>
      </c>
      <c r="M823" s="313">
        <f t="shared" si="229"/>
        <v>0</v>
      </c>
      <c r="N823" s="320"/>
      <c r="O823" s="315">
        <f t="shared" si="239"/>
        <v>0</v>
      </c>
      <c r="P823" s="315">
        <f t="shared" si="240"/>
        <v>0</v>
      </c>
      <c r="Q823" s="320"/>
      <c r="R823" s="315">
        <f t="shared" si="241"/>
        <v>0</v>
      </c>
      <c r="S823" s="315">
        <f t="shared" si="242"/>
        <v>0</v>
      </c>
      <c r="T823" s="213"/>
      <c r="U823" s="213"/>
      <c r="V823" s="213"/>
      <c r="W823" s="213"/>
      <c r="X823" s="591"/>
      <c r="Y823" s="591"/>
    </row>
    <row r="824" spans="1:25" ht="14.85" customHeight="1">
      <c r="A824" s="619"/>
      <c r="B824" s="586"/>
      <c r="C824" s="259"/>
      <c r="D824" s="621"/>
      <c r="E824" s="275"/>
      <c r="F824" s="154"/>
      <c r="G824" s="224"/>
      <c r="H824" s="224"/>
      <c r="I824" s="154"/>
      <c r="J824" s="276"/>
      <c r="K824" s="311">
        <f t="shared" si="245"/>
        <v>0</v>
      </c>
      <c r="L824" s="312">
        <f t="shared" si="246"/>
        <v>0</v>
      </c>
      <c r="M824" s="313">
        <f t="shared" si="229"/>
        <v>0</v>
      </c>
      <c r="N824" s="320"/>
      <c r="O824" s="315">
        <f t="shared" si="239"/>
        <v>0</v>
      </c>
      <c r="P824" s="315">
        <f t="shared" si="240"/>
        <v>0</v>
      </c>
      <c r="Q824" s="320"/>
      <c r="R824" s="315">
        <f t="shared" si="241"/>
        <v>0</v>
      </c>
      <c r="S824" s="315">
        <f t="shared" si="242"/>
        <v>0</v>
      </c>
      <c r="T824" s="213"/>
      <c r="U824" s="213"/>
      <c r="V824" s="213"/>
      <c r="W824" s="213"/>
      <c r="X824" s="591"/>
      <c r="Y824" s="591"/>
    </row>
    <row r="825" spans="1:25" ht="14.85" customHeight="1">
      <c r="A825" s="619"/>
      <c r="B825" s="586"/>
      <c r="C825" s="259"/>
      <c r="D825" s="621"/>
      <c r="E825" s="275"/>
      <c r="F825" s="154"/>
      <c r="G825" s="224"/>
      <c r="H825" s="224"/>
      <c r="I825" s="154"/>
      <c r="J825" s="276"/>
      <c r="K825" s="311">
        <f t="shared" si="245"/>
        <v>0</v>
      </c>
      <c r="L825" s="312">
        <f t="shared" si="246"/>
        <v>0</v>
      </c>
      <c r="M825" s="313">
        <f t="shared" si="229"/>
        <v>0</v>
      </c>
      <c r="N825" s="320"/>
      <c r="O825" s="315">
        <f t="shared" si="239"/>
        <v>0</v>
      </c>
      <c r="P825" s="315">
        <f t="shared" si="240"/>
        <v>0</v>
      </c>
      <c r="Q825" s="320"/>
      <c r="R825" s="315">
        <f t="shared" si="241"/>
        <v>0</v>
      </c>
      <c r="S825" s="315">
        <f t="shared" si="242"/>
        <v>0</v>
      </c>
      <c r="T825" s="213"/>
      <c r="U825" s="213"/>
      <c r="V825" s="213"/>
      <c r="W825" s="213"/>
      <c r="X825" s="591"/>
      <c r="Y825" s="591"/>
    </row>
    <row r="826" spans="1:25" ht="14.85" customHeight="1">
      <c r="A826" s="619"/>
      <c r="B826" s="586"/>
      <c r="C826" s="259"/>
      <c r="D826" s="621"/>
      <c r="E826" s="275"/>
      <c r="F826" s="154"/>
      <c r="G826" s="224"/>
      <c r="H826" s="224"/>
      <c r="I826" s="154"/>
      <c r="J826" s="276"/>
      <c r="K826" s="311">
        <f t="shared" si="245"/>
        <v>0</v>
      </c>
      <c r="L826" s="312">
        <f t="shared" si="246"/>
        <v>0</v>
      </c>
      <c r="M826" s="313">
        <f t="shared" si="229"/>
        <v>0</v>
      </c>
      <c r="N826" s="320"/>
      <c r="O826" s="315">
        <f t="shared" si="239"/>
        <v>0</v>
      </c>
      <c r="P826" s="315">
        <f t="shared" si="240"/>
        <v>0</v>
      </c>
      <c r="Q826" s="320"/>
      <c r="R826" s="315">
        <f t="shared" si="241"/>
        <v>0</v>
      </c>
      <c r="S826" s="315">
        <f t="shared" si="242"/>
        <v>0</v>
      </c>
      <c r="T826" s="213"/>
      <c r="U826" s="213"/>
      <c r="V826" s="213"/>
      <c r="W826" s="213"/>
      <c r="X826" s="591"/>
      <c r="Y826" s="591"/>
    </row>
    <row r="827" spans="1:25" ht="14.85" customHeight="1">
      <c r="A827" s="619"/>
      <c r="B827" s="586"/>
      <c r="C827" s="259"/>
      <c r="D827" s="621"/>
      <c r="E827" s="275"/>
      <c r="F827" s="154"/>
      <c r="G827" s="224"/>
      <c r="H827" s="224"/>
      <c r="I827" s="154"/>
      <c r="J827" s="276"/>
      <c r="K827" s="311">
        <f t="shared" si="227"/>
        <v>0</v>
      </c>
      <c r="L827" s="312">
        <f t="shared" si="228"/>
        <v>0</v>
      </c>
      <c r="M827" s="313">
        <f t="shared" si="229"/>
        <v>0</v>
      </c>
      <c r="N827" s="320">
        <f>SUM(L820:L827)</f>
        <v>0</v>
      </c>
      <c r="O827" s="315">
        <f t="shared" si="239"/>
        <v>0</v>
      </c>
      <c r="P827" s="315">
        <f t="shared" si="240"/>
        <v>0</v>
      </c>
      <c r="Q827" s="320"/>
      <c r="R827" s="315">
        <f t="shared" si="241"/>
        <v>0</v>
      </c>
      <c r="S827" s="315">
        <f t="shared" si="242"/>
        <v>0</v>
      </c>
      <c r="T827" s="213"/>
      <c r="U827" s="213"/>
      <c r="V827" s="213"/>
      <c r="W827" s="213"/>
      <c r="X827" s="591"/>
      <c r="Y827" s="591"/>
    </row>
    <row r="828" spans="1:25" ht="14.85" customHeight="1">
      <c r="A828" s="619"/>
      <c r="B828" s="586"/>
      <c r="C828" s="259"/>
      <c r="D828" s="621"/>
      <c r="E828" s="157"/>
      <c r="F828" s="154"/>
      <c r="G828" s="254"/>
      <c r="H828" s="154"/>
      <c r="I828" s="154"/>
      <c r="J828" s="276"/>
      <c r="K828" s="311">
        <f t="shared" si="227"/>
        <v>0</v>
      </c>
      <c r="L828" s="312">
        <f t="shared" si="228"/>
        <v>0</v>
      </c>
      <c r="M828" s="313">
        <f t="shared" si="229"/>
        <v>0</v>
      </c>
      <c r="N828" s="320"/>
      <c r="O828" s="315">
        <f t="shared" si="239"/>
        <v>0</v>
      </c>
      <c r="P828" s="315">
        <f t="shared" si="240"/>
        <v>0</v>
      </c>
      <c r="Q828" s="320"/>
      <c r="R828" s="315">
        <f t="shared" si="241"/>
        <v>0</v>
      </c>
      <c r="S828" s="315">
        <f t="shared" si="242"/>
        <v>0</v>
      </c>
      <c r="T828" s="213"/>
      <c r="U828" s="213"/>
      <c r="V828" s="213"/>
      <c r="W828" s="213"/>
      <c r="X828" s="591"/>
      <c r="Y828" s="591"/>
    </row>
    <row r="829" spans="1:25" ht="14.85" customHeight="1">
      <c r="A829" s="619"/>
      <c r="B829" s="586"/>
      <c r="C829" s="259"/>
      <c r="D829" s="621"/>
      <c r="E829" s="157"/>
      <c r="F829" s="154"/>
      <c r="G829" s="254"/>
      <c r="H829" s="154"/>
      <c r="I829" s="154"/>
      <c r="J829" s="276"/>
      <c r="K829" s="311">
        <f t="shared" si="227"/>
        <v>0</v>
      </c>
      <c r="L829" s="312">
        <f t="shared" si="228"/>
        <v>0</v>
      </c>
      <c r="M829" s="313">
        <f t="shared" si="229"/>
        <v>0</v>
      </c>
      <c r="N829" s="320"/>
      <c r="O829" s="315">
        <f t="shared" si="239"/>
        <v>0</v>
      </c>
      <c r="P829" s="315">
        <f t="shared" si="240"/>
        <v>0</v>
      </c>
      <c r="Q829" s="320"/>
      <c r="R829" s="315">
        <f t="shared" si="241"/>
        <v>0</v>
      </c>
      <c r="S829" s="315">
        <f t="shared" si="242"/>
        <v>0</v>
      </c>
      <c r="T829" s="213"/>
      <c r="U829" s="213"/>
      <c r="V829" s="213"/>
      <c r="W829" s="213"/>
      <c r="X829" s="591"/>
      <c r="Y829" s="591"/>
    </row>
    <row r="830" spans="1:25" ht="14.85" customHeight="1">
      <c r="A830" s="619"/>
      <c r="B830" s="586"/>
      <c r="C830" s="259"/>
      <c r="D830" s="621"/>
      <c r="E830" s="157"/>
      <c r="F830" s="154"/>
      <c r="G830" s="254"/>
      <c r="H830" s="154"/>
      <c r="I830" s="154"/>
      <c r="J830" s="276"/>
      <c r="K830" s="311">
        <f t="shared" si="227"/>
        <v>0</v>
      </c>
      <c r="L830" s="312">
        <f t="shared" si="228"/>
        <v>0</v>
      </c>
      <c r="M830" s="313">
        <f t="shared" si="229"/>
        <v>0</v>
      </c>
      <c r="N830" s="320"/>
      <c r="O830" s="315">
        <f t="shared" si="239"/>
        <v>0</v>
      </c>
      <c r="P830" s="315">
        <f t="shared" si="240"/>
        <v>0</v>
      </c>
      <c r="Q830" s="320"/>
      <c r="R830" s="315">
        <f t="shared" si="241"/>
        <v>0</v>
      </c>
      <c r="S830" s="315">
        <f t="shared" si="242"/>
        <v>0</v>
      </c>
      <c r="T830" s="213"/>
      <c r="U830" s="213"/>
      <c r="V830" s="213"/>
      <c r="W830" s="213"/>
      <c r="X830" s="591"/>
      <c r="Y830" s="591"/>
    </row>
    <row r="831" spans="1:25" ht="14.85" customHeight="1">
      <c r="A831" s="619"/>
      <c r="B831" s="586"/>
      <c r="C831" s="259"/>
      <c r="D831" s="621"/>
      <c r="E831" s="157"/>
      <c r="F831" s="154"/>
      <c r="G831" s="254"/>
      <c r="H831" s="154"/>
      <c r="I831" s="154"/>
      <c r="J831" s="276"/>
      <c r="K831" s="311">
        <f t="shared" ref="K831:K842" si="247">J831/$K$11</f>
        <v>0</v>
      </c>
      <c r="L831" s="312">
        <f t="shared" ref="L831:L842" si="248">J831/$L$11</f>
        <v>0</v>
      </c>
      <c r="M831" s="313">
        <f t="shared" ref="M831:M842" si="249">ROUND((L831/$M$11),0)</f>
        <v>0</v>
      </c>
      <c r="N831" s="320"/>
      <c r="O831" s="315">
        <f t="shared" si="239"/>
        <v>0</v>
      </c>
      <c r="P831" s="315">
        <f t="shared" si="240"/>
        <v>0</v>
      </c>
      <c r="Q831" s="320"/>
      <c r="R831" s="315">
        <f t="shared" si="241"/>
        <v>0</v>
      </c>
      <c r="S831" s="315">
        <f t="shared" si="242"/>
        <v>0</v>
      </c>
      <c r="T831" s="213"/>
      <c r="U831" s="213"/>
      <c r="V831" s="213"/>
      <c r="W831" s="213"/>
      <c r="X831" s="591"/>
      <c r="Y831" s="591"/>
    </row>
    <row r="832" spans="1:25" ht="14.85" customHeight="1">
      <c r="A832" s="619"/>
      <c r="B832" s="586"/>
      <c r="C832" s="259"/>
      <c r="D832" s="621"/>
      <c r="E832" s="157"/>
      <c r="F832" s="154"/>
      <c r="G832" s="254"/>
      <c r="H832" s="154"/>
      <c r="I832" s="154"/>
      <c r="J832" s="276"/>
      <c r="K832" s="311">
        <f t="shared" si="247"/>
        <v>0</v>
      </c>
      <c r="L832" s="312">
        <f t="shared" si="248"/>
        <v>0</v>
      </c>
      <c r="M832" s="313">
        <f t="shared" si="249"/>
        <v>0</v>
      </c>
      <c r="N832" s="320"/>
      <c r="O832" s="315">
        <f t="shared" si="239"/>
        <v>0</v>
      </c>
      <c r="P832" s="315">
        <f t="shared" si="240"/>
        <v>0</v>
      </c>
      <c r="Q832" s="320"/>
      <c r="R832" s="315">
        <f t="shared" si="241"/>
        <v>0</v>
      </c>
      <c r="S832" s="315">
        <f t="shared" si="242"/>
        <v>0</v>
      </c>
      <c r="T832" s="213"/>
      <c r="U832" s="213"/>
      <c r="V832" s="213"/>
      <c r="W832" s="213"/>
      <c r="X832" s="591"/>
      <c r="Y832" s="591"/>
    </row>
    <row r="833" spans="1:25" ht="14.85" customHeight="1">
      <c r="A833" s="619"/>
      <c r="B833" s="586"/>
      <c r="C833" s="259"/>
      <c r="D833" s="621"/>
      <c r="E833" s="157"/>
      <c r="F833" s="154"/>
      <c r="G833" s="254"/>
      <c r="H833" s="154"/>
      <c r="I833" s="154"/>
      <c r="J833" s="276"/>
      <c r="K833" s="311">
        <f t="shared" si="247"/>
        <v>0</v>
      </c>
      <c r="L833" s="312">
        <f t="shared" si="248"/>
        <v>0</v>
      </c>
      <c r="M833" s="313">
        <f t="shared" si="249"/>
        <v>0</v>
      </c>
      <c r="N833" s="320"/>
      <c r="O833" s="315">
        <f t="shared" si="239"/>
        <v>0</v>
      </c>
      <c r="P833" s="315">
        <f t="shared" si="240"/>
        <v>0</v>
      </c>
      <c r="Q833" s="320"/>
      <c r="R833" s="315">
        <f t="shared" si="241"/>
        <v>0</v>
      </c>
      <c r="S833" s="315">
        <f t="shared" si="242"/>
        <v>0</v>
      </c>
      <c r="T833" s="213"/>
      <c r="U833" s="213"/>
      <c r="V833" s="213"/>
      <c r="W833" s="213"/>
      <c r="X833" s="591"/>
      <c r="Y833" s="591"/>
    </row>
    <row r="834" spans="1:25" ht="14.85" customHeight="1">
      <c r="A834" s="619"/>
      <c r="B834" s="586"/>
      <c r="C834" s="259"/>
      <c r="D834" s="621"/>
      <c r="E834" s="157"/>
      <c r="F834" s="154"/>
      <c r="G834" s="254"/>
      <c r="H834" s="154"/>
      <c r="I834" s="154"/>
      <c r="J834" s="276"/>
      <c r="K834" s="311">
        <f t="shared" si="247"/>
        <v>0</v>
      </c>
      <c r="L834" s="312">
        <f t="shared" si="248"/>
        <v>0</v>
      </c>
      <c r="M834" s="313">
        <f t="shared" si="249"/>
        <v>0</v>
      </c>
      <c r="N834" s="320">
        <f>SUM(L828:L834)</f>
        <v>0</v>
      </c>
      <c r="O834" s="315">
        <f t="shared" si="239"/>
        <v>0</v>
      </c>
      <c r="P834" s="315">
        <f t="shared" si="240"/>
        <v>0</v>
      </c>
      <c r="Q834" s="320">
        <f>N827+N834</f>
        <v>0</v>
      </c>
      <c r="R834" s="315">
        <f t="shared" si="241"/>
        <v>0</v>
      </c>
      <c r="S834" s="315">
        <f t="shared" si="242"/>
        <v>0</v>
      </c>
      <c r="T834" s="213"/>
      <c r="U834" s="213"/>
      <c r="V834" s="213"/>
      <c r="W834" s="213"/>
      <c r="X834" s="591"/>
      <c r="Y834" s="591"/>
    </row>
    <row r="835" spans="1:25" ht="14.85" customHeight="1">
      <c r="A835" s="619"/>
      <c r="B835" s="586"/>
      <c r="C835" s="259"/>
      <c r="D835" s="621"/>
      <c r="E835" s="157"/>
      <c r="F835" s="154"/>
      <c r="G835" s="254"/>
      <c r="H835" s="154"/>
      <c r="I835" s="154"/>
      <c r="J835" s="276"/>
      <c r="K835" s="311"/>
      <c r="L835" s="312"/>
      <c r="M835" s="313"/>
      <c r="N835" s="320"/>
      <c r="O835" s="315"/>
      <c r="P835" s="315"/>
      <c r="Q835" s="320"/>
      <c r="R835" s="315">
        <f t="shared" si="241"/>
        <v>0</v>
      </c>
      <c r="S835" s="315">
        <f t="shared" si="242"/>
        <v>0</v>
      </c>
      <c r="T835" s="213"/>
      <c r="U835" s="213"/>
      <c r="V835" s="213"/>
      <c r="W835" s="213"/>
      <c r="X835" s="591"/>
      <c r="Y835" s="591"/>
    </row>
    <row r="836" spans="1:25" ht="14.85" customHeight="1">
      <c r="A836" s="619"/>
      <c r="B836" s="586"/>
      <c r="C836" s="259"/>
      <c r="D836" s="621"/>
      <c r="E836" s="272"/>
      <c r="F836" s="154"/>
      <c r="G836" s="224"/>
      <c r="H836" s="224"/>
      <c r="I836" s="154"/>
      <c r="J836" s="276"/>
      <c r="K836" s="311">
        <f t="shared" si="247"/>
        <v>0</v>
      </c>
      <c r="L836" s="312">
        <f t="shared" si="248"/>
        <v>0</v>
      </c>
      <c r="M836" s="313">
        <f t="shared" si="249"/>
        <v>0</v>
      </c>
      <c r="N836" s="320"/>
      <c r="O836" s="315">
        <f t="shared" si="239"/>
        <v>0</v>
      </c>
      <c r="P836" s="315">
        <f t="shared" si="240"/>
        <v>0</v>
      </c>
      <c r="Q836" s="320"/>
      <c r="R836" s="315">
        <f t="shared" si="241"/>
        <v>0</v>
      </c>
      <c r="S836" s="315">
        <f t="shared" si="242"/>
        <v>0</v>
      </c>
      <c r="T836" s="213"/>
      <c r="U836" s="213"/>
      <c r="V836" s="213"/>
      <c r="W836" s="213"/>
      <c r="X836" s="591"/>
      <c r="Y836" s="591"/>
    </row>
    <row r="837" spans="1:25" ht="14.85" customHeight="1">
      <c r="A837" s="619"/>
      <c r="B837" s="586"/>
      <c r="C837" s="259"/>
      <c r="D837" s="621"/>
      <c r="E837" s="275"/>
      <c r="F837" s="154"/>
      <c r="G837" s="224"/>
      <c r="H837" s="224"/>
      <c r="I837" s="154"/>
      <c r="J837" s="276"/>
      <c r="K837" s="311">
        <f t="shared" si="247"/>
        <v>0</v>
      </c>
      <c r="L837" s="312">
        <f t="shared" si="248"/>
        <v>0</v>
      </c>
      <c r="M837" s="313">
        <f t="shared" si="249"/>
        <v>0</v>
      </c>
      <c r="N837" s="320"/>
      <c r="O837" s="315">
        <f t="shared" si="239"/>
        <v>0</v>
      </c>
      <c r="P837" s="315">
        <f t="shared" si="240"/>
        <v>0</v>
      </c>
      <c r="Q837" s="320"/>
      <c r="R837" s="315">
        <f t="shared" si="241"/>
        <v>0</v>
      </c>
      <c r="S837" s="315">
        <f t="shared" si="242"/>
        <v>0</v>
      </c>
      <c r="T837" s="213"/>
      <c r="U837" s="213"/>
      <c r="V837" s="213"/>
      <c r="W837" s="213"/>
      <c r="X837" s="591"/>
      <c r="Y837" s="591"/>
    </row>
    <row r="838" spans="1:25" ht="14.85" customHeight="1">
      <c r="A838" s="619"/>
      <c r="B838" s="586"/>
      <c r="C838" s="259"/>
      <c r="D838" s="621"/>
      <c r="E838" s="275"/>
      <c r="F838" s="154"/>
      <c r="G838" s="224"/>
      <c r="H838" s="224"/>
      <c r="I838" s="154"/>
      <c r="J838" s="276"/>
      <c r="K838" s="311">
        <f t="shared" si="247"/>
        <v>0</v>
      </c>
      <c r="L838" s="312">
        <f t="shared" si="248"/>
        <v>0</v>
      </c>
      <c r="M838" s="313">
        <f t="shared" si="249"/>
        <v>0</v>
      </c>
      <c r="N838" s="320"/>
      <c r="O838" s="315">
        <f t="shared" si="239"/>
        <v>0</v>
      </c>
      <c r="P838" s="315">
        <f t="shared" si="240"/>
        <v>0</v>
      </c>
      <c r="Q838" s="320"/>
      <c r="R838" s="315">
        <f t="shared" si="241"/>
        <v>0</v>
      </c>
      <c r="S838" s="315">
        <f t="shared" si="242"/>
        <v>0</v>
      </c>
      <c r="T838" s="213"/>
      <c r="U838" s="213"/>
      <c r="V838" s="213"/>
      <c r="W838" s="213"/>
      <c r="X838" s="591"/>
      <c r="Y838" s="591"/>
    </row>
    <row r="839" spans="1:25" ht="14.85" customHeight="1">
      <c r="A839" s="619"/>
      <c r="B839" s="586"/>
      <c r="C839" s="259"/>
      <c r="D839" s="621"/>
      <c r="E839" s="275"/>
      <c r="F839" s="154"/>
      <c r="G839" s="224"/>
      <c r="H839" s="224"/>
      <c r="I839" s="154"/>
      <c r="J839" s="276"/>
      <c r="K839" s="311">
        <f t="shared" si="247"/>
        <v>0</v>
      </c>
      <c r="L839" s="312">
        <f t="shared" si="248"/>
        <v>0</v>
      </c>
      <c r="M839" s="313">
        <f t="shared" si="249"/>
        <v>0</v>
      </c>
      <c r="N839" s="320"/>
      <c r="O839" s="315">
        <f t="shared" si="239"/>
        <v>0</v>
      </c>
      <c r="P839" s="315">
        <f t="shared" si="240"/>
        <v>0</v>
      </c>
      <c r="Q839" s="320"/>
      <c r="R839" s="315">
        <f t="shared" si="241"/>
        <v>0</v>
      </c>
      <c r="S839" s="315">
        <f t="shared" si="242"/>
        <v>0</v>
      </c>
      <c r="T839" s="213"/>
      <c r="U839" s="213"/>
      <c r="V839" s="213"/>
      <c r="W839" s="213"/>
      <c r="X839" s="591"/>
      <c r="Y839" s="591"/>
    </row>
    <row r="840" spans="1:25" ht="14.85" customHeight="1">
      <c r="A840" s="619"/>
      <c r="B840" s="586"/>
      <c r="C840" s="259"/>
      <c r="D840" s="621"/>
      <c r="E840" s="275"/>
      <c r="F840" s="154"/>
      <c r="G840" s="224"/>
      <c r="H840" s="224"/>
      <c r="I840" s="154"/>
      <c r="J840" s="276"/>
      <c r="K840" s="311">
        <f t="shared" si="247"/>
        <v>0</v>
      </c>
      <c r="L840" s="312">
        <f t="shared" si="248"/>
        <v>0</v>
      </c>
      <c r="M840" s="313">
        <f t="shared" si="249"/>
        <v>0</v>
      </c>
      <c r="N840" s="320"/>
      <c r="O840" s="315">
        <f t="shared" si="239"/>
        <v>0</v>
      </c>
      <c r="P840" s="315">
        <f t="shared" si="240"/>
        <v>0</v>
      </c>
      <c r="Q840" s="320"/>
      <c r="R840" s="315">
        <f t="shared" si="241"/>
        <v>0</v>
      </c>
      <c r="S840" s="315">
        <f t="shared" si="242"/>
        <v>0</v>
      </c>
      <c r="T840" s="213"/>
      <c r="U840" s="213"/>
      <c r="V840" s="213"/>
      <c r="W840" s="213"/>
      <c r="X840" s="591"/>
      <c r="Y840" s="591"/>
    </row>
    <row r="841" spans="1:25" ht="14.85" customHeight="1">
      <c r="A841" s="619"/>
      <c r="B841" s="586"/>
      <c r="C841" s="259"/>
      <c r="D841" s="621"/>
      <c r="E841" s="275"/>
      <c r="F841" s="154"/>
      <c r="G841" s="224"/>
      <c r="H841" s="224"/>
      <c r="I841" s="154"/>
      <c r="J841" s="276"/>
      <c r="K841" s="311">
        <f t="shared" si="247"/>
        <v>0</v>
      </c>
      <c r="L841" s="312">
        <f t="shared" si="248"/>
        <v>0</v>
      </c>
      <c r="M841" s="313">
        <f t="shared" si="249"/>
        <v>0</v>
      </c>
      <c r="N841" s="320"/>
      <c r="O841" s="315">
        <f t="shared" si="239"/>
        <v>0</v>
      </c>
      <c r="P841" s="315">
        <f t="shared" si="240"/>
        <v>0</v>
      </c>
      <c r="Q841" s="320"/>
      <c r="R841" s="315">
        <f t="shared" si="241"/>
        <v>0</v>
      </c>
      <c r="S841" s="315">
        <f t="shared" si="242"/>
        <v>0</v>
      </c>
      <c r="T841" s="213"/>
      <c r="U841" s="213"/>
      <c r="V841" s="213"/>
      <c r="W841" s="213"/>
      <c r="X841" s="591"/>
      <c r="Y841" s="591"/>
    </row>
    <row r="842" spans="1:25" ht="14.85" customHeight="1">
      <c r="A842" s="619"/>
      <c r="B842" s="586"/>
      <c r="C842" s="259"/>
      <c r="D842" s="621"/>
      <c r="E842" s="371"/>
      <c r="F842" s="273"/>
      <c r="G842" s="254"/>
      <c r="H842" s="154"/>
      <c r="I842" s="155"/>
      <c r="J842" s="276"/>
      <c r="K842" s="311">
        <f t="shared" si="247"/>
        <v>0</v>
      </c>
      <c r="L842" s="312">
        <f t="shared" si="248"/>
        <v>0</v>
      </c>
      <c r="M842" s="313">
        <f t="shared" si="249"/>
        <v>0</v>
      </c>
      <c r="N842" s="320">
        <f>SUM(L836:L842)</f>
        <v>0</v>
      </c>
      <c r="O842" s="315">
        <f t="shared" si="239"/>
        <v>0</v>
      </c>
      <c r="P842" s="315">
        <f t="shared" si="240"/>
        <v>0</v>
      </c>
      <c r="Q842" s="320"/>
      <c r="R842" s="315">
        <f t="shared" si="241"/>
        <v>0</v>
      </c>
      <c r="S842" s="315">
        <f t="shared" si="242"/>
        <v>0</v>
      </c>
      <c r="T842" s="213"/>
      <c r="U842" s="213"/>
      <c r="V842" s="213"/>
      <c r="W842" s="213"/>
      <c r="X842" s="591"/>
      <c r="Y842" s="591"/>
    </row>
    <row r="843" spans="1:25" ht="14.85" customHeight="1">
      <c r="A843" s="619"/>
      <c r="B843" s="586"/>
      <c r="C843" s="259"/>
      <c r="D843" s="621"/>
      <c r="E843" s="371"/>
      <c r="F843" s="273"/>
      <c r="G843" s="254"/>
      <c r="H843" s="154"/>
      <c r="I843" s="155"/>
      <c r="J843" s="276"/>
      <c r="K843" s="311">
        <f t="shared" ref="K843:K912" si="250">J843/$K$11</f>
        <v>0</v>
      </c>
      <c r="L843" s="312">
        <f t="shared" ref="L843:L912" si="251">J843/$L$11</f>
        <v>0</v>
      </c>
      <c r="M843" s="313">
        <f t="shared" ref="M843:M912" si="252">ROUND((L843/$M$11),0)</f>
        <v>0</v>
      </c>
      <c r="N843" s="320"/>
      <c r="O843" s="315">
        <f t="shared" si="239"/>
        <v>0</v>
      </c>
      <c r="P843" s="315">
        <f t="shared" si="240"/>
        <v>0</v>
      </c>
      <c r="Q843" s="320"/>
      <c r="R843" s="315">
        <f t="shared" si="241"/>
        <v>0</v>
      </c>
      <c r="S843" s="315">
        <f t="shared" si="242"/>
        <v>0</v>
      </c>
      <c r="T843" s="213"/>
      <c r="U843" s="213"/>
      <c r="V843" s="213"/>
      <c r="W843" s="213"/>
      <c r="X843" s="591"/>
      <c r="Y843" s="591"/>
    </row>
    <row r="844" spans="1:25" ht="14.85" customHeight="1">
      <c r="A844" s="619"/>
      <c r="B844" s="586"/>
      <c r="C844" s="259"/>
      <c r="D844" s="621"/>
      <c r="E844" s="371"/>
      <c r="F844" s="273"/>
      <c r="G844" s="254"/>
      <c r="H844" s="154"/>
      <c r="I844" s="155"/>
      <c r="J844" s="276"/>
      <c r="K844" s="311">
        <f t="shared" si="250"/>
        <v>0</v>
      </c>
      <c r="L844" s="312">
        <f t="shared" si="251"/>
        <v>0</v>
      </c>
      <c r="M844" s="313">
        <f t="shared" si="252"/>
        <v>0</v>
      </c>
      <c r="N844" s="320"/>
      <c r="O844" s="315">
        <f t="shared" si="239"/>
        <v>0</v>
      </c>
      <c r="P844" s="315">
        <f t="shared" si="240"/>
        <v>0</v>
      </c>
      <c r="Q844" s="320"/>
      <c r="R844" s="315">
        <f t="shared" si="241"/>
        <v>0</v>
      </c>
      <c r="S844" s="315">
        <f t="shared" si="242"/>
        <v>0</v>
      </c>
      <c r="T844" s="213"/>
      <c r="U844" s="213"/>
      <c r="V844" s="213"/>
      <c r="W844" s="213"/>
      <c r="X844" s="591"/>
      <c r="Y844" s="591"/>
    </row>
    <row r="845" spans="1:25" ht="14.85" customHeight="1">
      <c r="A845" s="619"/>
      <c r="B845" s="586"/>
      <c r="C845" s="259"/>
      <c r="D845" s="621"/>
      <c r="E845" s="371"/>
      <c r="F845" s="273"/>
      <c r="G845" s="254"/>
      <c r="H845" s="154"/>
      <c r="I845" s="155"/>
      <c r="J845" s="276"/>
      <c r="K845" s="311">
        <f t="shared" si="250"/>
        <v>0</v>
      </c>
      <c r="L845" s="312">
        <f t="shared" si="251"/>
        <v>0</v>
      </c>
      <c r="M845" s="313">
        <f t="shared" si="252"/>
        <v>0</v>
      </c>
      <c r="N845" s="320"/>
      <c r="O845" s="315">
        <f t="shared" si="239"/>
        <v>0</v>
      </c>
      <c r="P845" s="315">
        <f t="shared" si="240"/>
        <v>0</v>
      </c>
      <c r="Q845" s="320"/>
      <c r="R845" s="315">
        <f t="shared" si="241"/>
        <v>0</v>
      </c>
      <c r="S845" s="315">
        <f t="shared" si="242"/>
        <v>0</v>
      </c>
      <c r="T845" s="213"/>
      <c r="U845" s="213"/>
      <c r="V845" s="213"/>
      <c r="W845" s="213"/>
      <c r="X845" s="591"/>
      <c r="Y845" s="591"/>
    </row>
    <row r="846" spans="1:25" ht="14.85" customHeight="1">
      <c r="A846" s="619"/>
      <c r="B846" s="586"/>
      <c r="C846" s="259"/>
      <c r="D846" s="621"/>
      <c r="E846" s="371"/>
      <c r="F846" s="273"/>
      <c r="G846" s="254"/>
      <c r="H846" s="154"/>
      <c r="I846" s="155"/>
      <c r="J846" s="276"/>
      <c r="K846" s="311">
        <f t="shared" si="250"/>
        <v>0</v>
      </c>
      <c r="L846" s="312">
        <f t="shared" si="251"/>
        <v>0</v>
      </c>
      <c r="M846" s="313">
        <f t="shared" si="252"/>
        <v>0</v>
      </c>
      <c r="N846" s="320">
        <f>SUM(L843:L846)</f>
        <v>0</v>
      </c>
      <c r="O846" s="315">
        <f t="shared" si="239"/>
        <v>0</v>
      </c>
      <c r="P846" s="315">
        <f t="shared" si="240"/>
        <v>0</v>
      </c>
      <c r="Q846" s="320">
        <f>N842+N846</f>
        <v>0</v>
      </c>
      <c r="R846" s="315">
        <f t="shared" si="241"/>
        <v>0</v>
      </c>
      <c r="S846" s="315">
        <f t="shared" si="242"/>
        <v>0</v>
      </c>
      <c r="T846" s="213"/>
      <c r="U846" s="213"/>
      <c r="V846" s="213"/>
      <c r="W846" s="213"/>
      <c r="X846" s="591"/>
      <c r="Y846" s="591"/>
    </row>
    <row r="847" spans="1:25" ht="14.85" customHeight="1">
      <c r="A847" s="619"/>
      <c r="B847" s="586"/>
      <c r="C847" s="259"/>
      <c r="D847" s="621"/>
      <c r="E847" s="371"/>
      <c r="F847" s="273"/>
      <c r="G847" s="254"/>
      <c r="H847" s="154"/>
      <c r="I847" s="155"/>
      <c r="J847" s="276"/>
      <c r="K847" s="311"/>
      <c r="L847" s="312"/>
      <c r="M847" s="313"/>
      <c r="N847" s="320"/>
      <c r="O847" s="315"/>
      <c r="P847" s="315"/>
      <c r="Q847" s="320"/>
      <c r="R847" s="315">
        <f t="shared" si="241"/>
        <v>0</v>
      </c>
      <c r="S847" s="315">
        <f t="shared" si="242"/>
        <v>0</v>
      </c>
      <c r="T847" s="213"/>
      <c r="U847" s="213"/>
      <c r="V847" s="213"/>
      <c r="W847" s="213"/>
      <c r="X847" s="591"/>
      <c r="Y847" s="591"/>
    </row>
    <row r="848" spans="1:25" ht="14.85" customHeight="1">
      <c r="A848" s="619"/>
      <c r="B848" s="586"/>
      <c r="C848" s="259"/>
      <c r="D848" s="621"/>
      <c r="E848" s="272"/>
      <c r="F848" s="273"/>
      <c r="G848" s="224"/>
      <c r="H848" s="224"/>
      <c r="I848" s="155"/>
      <c r="J848" s="276"/>
      <c r="K848" s="311">
        <f t="shared" si="250"/>
        <v>0</v>
      </c>
      <c r="L848" s="312">
        <f t="shared" si="251"/>
        <v>0</v>
      </c>
      <c r="M848" s="313">
        <f t="shared" si="252"/>
        <v>0</v>
      </c>
      <c r="N848" s="320"/>
      <c r="O848" s="315">
        <f t="shared" si="239"/>
        <v>0</v>
      </c>
      <c r="P848" s="315">
        <f t="shared" si="240"/>
        <v>0</v>
      </c>
      <c r="Q848" s="320"/>
      <c r="R848" s="315">
        <f t="shared" si="241"/>
        <v>0</v>
      </c>
      <c r="S848" s="315">
        <f t="shared" si="242"/>
        <v>0</v>
      </c>
      <c r="T848" s="213"/>
      <c r="U848" s="213"/>
      <c r="V848" s="213"/>
      <c r="W848" s="213"/>
      <c r="X848" s="591"/>
      <c r="Y848" s="591"/>
    </row>
    <row r="849" spans="1:25" ht="14.85" customHeight="1">
      <c r="A849" s="619"/>
      <c r="B849" s="586"/>
      <c r="C849" s="259"/>
      <c r="D849" s="621"/>
      <c r="E849" s="275"/>
      <c r="F849" s="273"/>
      <c r="G849" s="224"/>
      <c r="H849" s="224"/>
      <c r="I849" s="155"/>
      <c r="J849" s="276"/>
      <c r="K849" s="311">
        <f t="shared" si="250"/>
        <v>0</v>
      </c>
      <c r="L849" s="312">
        <f t="shared" si="251"/>
        <v>0</v>
      </c>
      <c r="M849" s="313">
        <f t="shared" si="252"/>
        <v>0</v>
      </c>
      <c r="N849" s="320"/>
      <c r="O849" s="315">
        <f t="shared" si="239"/>
        <v>0</v>
      </c>
      <c r="P849" s="315">
        <f t="shared" si="240"/>
        <v>0</v>
      </c>
      <c r="Q849" s="320"/>
      <c r="R849" s="315">
        <f t="shared" si="241"/>
        <v>0</v>
      </c>
      <c r="S849" s="315">
        <f t="shared" si="242"/>
        <v>0</v>
      </c>
      <c r="T849" s="213"/>
      <c r="U849" s="213"/>
      <c r="V849" s="213"/>
      <c r="W849" s="213"/>
      <c r="X849" s="591"/>
      <c r="Y849" s="591"/>
    </row>
    <row r="850" spans="1:25" ht="14.85" customHeight="1">
      <c r="A850" s="619"/>
      <c r="B850" s="586"/>
      <c r="C850" s="259"/>
      <c r="D850" s="621"/>
      <c r="E850" s="275"/>
      <c r="F850" s="273"/>
      <c r="G850" s="224"/>
      <c r="H850" s="224"/>
      <c r="I850" s="155"/>
      <c r="J850" s="276"/>
      <c r="K850" s="311">
        <f t="shared" si="250"/>
        <v>0</v>
      </c>
      <c r="L850" s="312">
        <f t="shared" si="251"/>
        <v>0</v>
      </c>
      <c r="M850" s="313">
        <f t="shared" si="252"/>
        <v>0</v>
      </c>
      <c r="N850" s="320"/>
      <c r="O850" s="315">
        <f t="shared" si="239"/>
        <v>0</v>
      </c>
      <c r="P850" s="315">
        <f t="shared" si="240"/>
        <v>0</v>
      </c>
      <c r="Q850" s="320"/>
      <c r="R850" s="315">
        <f t="shared" si="241"/>
        <v>0</v>
      </c>
      <c r="S850" s="315">
        <f t="shared" si="242"/>
        <v>0</v>
      </c>
      <c r="T850" s="213"/>
      <c r="U850" s="213"/>
      <c r="V850" s="213"/>
      <c r="W850" s="213"/>
      <c r="X850" s="591"/>
      <c r="Y850" s="591"/>
    </row>
    <row r="851" spans="1:25" ht="14.85" customHeight="1">
      <c r="A851" s="619"/>
      <c r="B851" s="586"/>
      <c r="C851" s="259"/>
      <c r="D851" s="621"/>
      <c r="E851" s="275"/>
      <c r="F851" s="273"/>
      <c r="G851" s="224"/>
      <c r="H851" s="224"/>
      <c r="I851" s="155"/>
      <c r="J851" s="276"/>
      <c r="K851" s="311">
        <f t="shared" si="250"/>
        <v>0</v>
      </c>
      <c r="L851" s="312">
        <f t="shared" si="251"/>
        <v>0</v>
      </c>
      <c r="M851" s="313">
        <f t="shared" si="252"/>
        <v>0</v>
      </c>
      <c r="N851" s="320"/>
      <c r="O851" s="315">
        <f t="shared" si="239"/>
        <v>0</v>
      </c>
      <c r="P851" s="315">
        <f t="shared" si="240"/>
        <v>0</v>
      </c>
      <c r="Q851" s="320"/>
      <c r="R851" s="315">
        <f t="shared" si="241"/>
        <v>0</v>
      </c>
      <c r="S851" s="315">
        <f t="shared" si="242"/>
        <v>0</v>
      </c>
      <c r="T851" s="213"/>
      <c r="U851" s="213"/>
      <c r="V851" s="213"/>
      <c r="W851" s="213"/>
      <c r="X851" s="591"/>
      <c r="Y851" s="591"/>
    </row>
    <row r="852" spans="1:25" ht="14.85" customHeight="1">
      <c r="A852" s="619"/>
      <c r="B852" s="586"/>
      <c r="C852" s="259"/>
      <c r="D852" s="621"/>
      <c r="E852" s="275"/>
      <c r="F852" s="273"/>
      <c r="G852" s="224"/>
      <c r="H852" s="224"/>
      <c r="I852" s="155"/>
      <c r="J852" s="276"/>
      <c r="K852" s="311">
        <f t="shared" si="250"/>
        <v>0</v>
      </c>
      <c r="L852" s="312">
        <f t="shared" si="251"/>
        <v>0</v>
      </c>
      <c r="M852" s="313">
        <f t="shared" si="252"/>
        <v>0</v>
      </c>
      <c r="N852" s="320"/>
      <c r="O852" s="315">
        <f t="shared" si="239"/>
        <v>0</v>
      </c>
      <c r="P852" s="315">
        <f t="shared" si="240"/>
        <v>0</v>
      </c>
      <c r="Q852" s="320"/>
      <c r="R852" s="315">
        <f t="shared" si="241"/>
        <v>0</v>
      </c>
      <c r="S852" s="315">
        <f t="shared" si="242"/>
        <v>0</v>
      </c>
      <c r="T852" s="213"/>
      <c r="U852" s="213"/>
      <c r="V852" s="213"/>
      <c r="W852" s="213"/>
      <c r="X852" s="591"/>
      <c r="Y852" s="591"/>
    </row>
    <row r="853" spans="1:25" ht="14.85" customHeight="1">
      <c r="A853" s="619"/>
      <c r="B853" s="586"/>
      <c r="C853" s="259"/>
      <c r="D853" s="621"/>
      <c r="E853" s="275"/>
      <c r="F853" s="273"/>
      <c r="G853" s="224"/>
      <c r="H853" s="224"/>
      <c r="I853" s="155"/>
      <c r="J853" s="276"/>
      <c r="K853" s="311">
        <f t="shared" si="250"/>
        <v>0</v>
      </c>
      <c r="L853" s="312">
        <f t="shared" si="251"/>
        <v>0</v>
      </c>
      <c r="M853" s="313">
        <f t="shared" si="252"/>
        <v>0</v>
      </c>
      <c r="N853" s="320"/>
      <c r="O853" s="315">
        <f t="shared" si="239"/>
        <v>0</v>
      </c>
      <c r="P853" s="315">
        <f t="shared" si="240"/>
        <v>0</v>
      </c>
      <c r="Q853" s="320"/>
      <c r="R853" s="315">
        <f t="shared" si="241"/>
        <v>0</v>
      </c>
      <c r="S853" s="315">
        <f t="shared" si="242"/>
        <v>0</v>
      </c>
      <c r="T853" s="213"/>
      <c r="U853" s="213"/>
      <c r="V853" s="213"/>
      <c r="W853" s="213"/>
      <c r="X853" s="591"/>
      <c r="Y853" s="591"/>
    </row>
    <row r="854" spans="1:25" ht="14.85" customHeight="1">
      <c r="A854" s="619"/>
      <c r="B854" s="586"/>
      <c r="C854" s="259"/>
      <c r="D854" s="621"/>
      <c r="E854" s="275"/>
      <c r="F854" s="273"/>
      <c r="G854" s="224"/>
      <c r="H854" s="224"/>
      <c r="I854" s="155"/>
      <c r="J854" s="276"/>
      <c r="K854" s="311">
        <f t="shared" si="250"/>
        <v>0</v>
      </c>
      <c r="L854" s="312">
        <f t="shared" si="251"/>
        <v>0</v>
      </c>
      <c r="M854" s="313">
        <f t="shared" si="252"/>
        <v>0</v>
      </c>
      <c r="N854" s="320">
        <f>SUM(L848:L854)</f>
        <v>0</v>
      </c>
      <c r="O854" s="315">
        <f t="shared" si="239"/>
        <v>0</v>
      </c>
      <c r="P854" s="315">
        <f t="shared" si="240"/>
        <v>0</v>
      </c>
      <c r="Q854" s="320"/>
      <c r="R854" s="315">
        <f t="shared" si="241"/>
        <v>0</v>
      </c>
      <c r="S854" s="315">
        <f t="shared" si="242"/>
        <v>0</v>
      </c>
      <c r="T854" s="213"/>
      <c r="U854" s="213"/>
      <c r="V854" s="213"/>
      <c r="W854" s="213"/>
      <c r="X854" s="591"/>
      <c r="Y854" s="591"/>
    </row>
    <row r="855" spans="1:25" ht="14.85" customHeight="1">
      <c r="A855" s="619"/>
      <c r="B855" s="586"/>
      <c r="C855" s="259"/>
      <c r="D855" s="621"/>
      <c r="E855" s="371"/>
      <c r="F855" s="273"/>
      <c r="G855" s="254"/>
      <c r="H855" s="154"/>
      <c r="I855" s="155"/>
      <c r="J855" s="276"/>
      <c r="K855" s="311">
        <f t="shared" si="250"/>
        <v>0</v>
      </c>
      <c r="L855" s="312">
        <f t="shared" si="251"/>
        <v>0</v>
      </c>
      <c r="M855" s="313">
        <f t="shared" si="252"/>
        <v>0</v>
      </c>
      <c r="N855" s="320"/>
      <c r="O855" s="315">
        <f t="shared" si="239"/>
        <v>0</v>
      </c>
      <c r="P855" s="315">
        <f t="shared" si="240"/>
        <v>0</v>
      </c>
      <c r="Q855" s="320"/>
      <c r="R855" s="315">
        <f t="shared" si="241"/>
        <v>0</v>
      </c>
      <c r="S855" s="315">
        <f t="shared" si="242"/>
        <v>0</v>
      </c>
      <c r="T855" s="213"/>
      <c r="U855" s="213"/>
      <c r="V855" s="213"/>
      <c r="W855" s="213"/>
      <c r="X855" s="591"/>
      <c r="Y855" s="591"/>
    </row>
    <row r="856" spans="1:25" ht="14.85" customHeight="1">
      <c r="A856" s="619"/>
      <c r="B856" s="586"/>
      <c r="C856" s="259"/>
      <c r="D856" s="621"/>
      <c r="E856" s="371"/>
      <c r="F856" s="273"/>
      <c r="G856" s="254"/>
      <c r="H856" s="154"/>
      <c r="I856" s="155"/>
      <c r="J856" s="276"/>
      <c r="K856" s="311">
        <f t="shared" si="250"/>
        <v>0</v>
      </c>
      <c r="L856" s="312">
        <f t="shared" si="251"/>
        <v>0</v>
      </c>
      <c r="M856" s="313">
        <f t="shared" si="252"/>
        <v>0</v>
      </c>
      <c r="N856" s="320"/>
      <c r="O856" s="315">
        <f t="shared" si="239"/>
        <v>0</v>
      </c>
      <c r="P856" s="315">
        <f t="shared" si="240"/>
        <v>0</v>
      </c>
      <c r="Q856" s="320"/>
      <c r="R856" s="315">
        <f t="shared" si="241"/>
        <v>0</v>
      </c>
      <c r="S856" s="315">
        <f t="shared" si="242"/>
        <v>0</v>
      </c>
      <c r="T856" s="213"/>
      <c r="U856" s="213"/>
      <c r="V856" s="213"/>
      <c r="W856" s="213"/>
      <c r="X856" s="591"/>
      <c r="Y856" s="591"/>
    </row>
    <row r="857" spans="1:25" ht="14.85" customHeight="1">
      <c r="A857" s="619"/>
      <c r="B857" s="586"/>
      <c r="C857" s="259"/>
      <c r="D857" s="621"/>
      <c r="E857" s="371"/>
      <c r="F857" s="273"/>
      <c r="G857" s="254"/>
      <c r="H857" s="154"/>
      <c r="I857" s="155"/>
      <c r="J857" s="276"/>
      <c r="K857" s="311">
        <f t="shared" si="250"/>
        <v>0</v>
      </c>
      <c r="L857" s="312">
        <f t="shared" si="251"/>
        <v>0</v>
      </c>
      <c r="M857" s="313">
        <f t="shared" si="252"/>
        <v>0</v>
      </c>
      <c r="N857" s="320"/>
      <c r="O857" s="315">
        <f t="shared" si="239"/>
        <v>0</v>
      </c>
      <c r="P857" s="315">
        <f t="shared" si="240"/>
        <v>0</v>
      </c>
      <c r="Q857" s="320"/>
      <c r="R857" s="315">
        <f t="shared" si="241"/>
        <v>0</v>
      </c>
      <c r="S857" s="315">
        <f t="shared" si="242"/>
        <v>0</v>
      </c>
      <c r="T857" s="213"/>
      <c r="U857" s="213"/>
      <c r="V857" s="213"/>
      <c r="W857" s="213"/>
      <c r="X857" s="591"/>
      <c r="Y857" s="591"/>
    </row>
    <row r="858" spans="1:25" ht="14.85" customHeight="1">
      <c r="A858" s="619"/>
      <c r="B858" s="586"/>
      <c r="C858" s="259"/>
      <c r="D858" s="621"/>
      <c r="E858" s="371"/>
      <c r="F858" s="273"/>
      <c r="G858" s="254"/>
      <c r="H858" s="154"/>
      <c r="I858" s="155"/>
      <c r="J858" s="276"/>
      <c r="K858" s="311">
        <f t="shared" si="250"/>
        <v>0</v>
      </c>
      <c r="L858" s="312">
        <f t="shared" si="251"/>
        <v>0</v>
      </c>
      <c r="M858" s="313">
        <f t="shared" si="252"/>
        <v>0</v>
      </c>
      <c r="N858" s="320"/>
      <c r="O858" s="315">
        <f t="shared" si="239"/>
        <v>0</v>
      </c>
      <c r="P858" s="315">
        <f t="shared" si="240"/>
        <v>0</v>
      </c>
      <c r="Q858" s="320"/>
      <c r="R858" s="315">
        <f t="shared" si="241"/>
        <v>0</v>
      </c>
      <c r="S858" s="315">
        <f t="shared" si="242"/>
        <v>0</v>
      </c>
      <c r="T858" s="213"/>
      <c r="U858" s="213"/>
      <c r="V858" s="213"/>
      <c r="W858" s="213"/>
      <c r="X858" s="591"/>
      <c r="Y858" s="591"/>
    </row>
    <row r="859" spans="1:25" ht="14.85" customHeight="1">
      <c r="A859" s="619"/>
      <c r="B859" s="586"/>
      <c r="C859" s="259"/>
      <c r="D859" s="621"/>
      <c r="E859" s="371"/>
      <c r="F859" s="273"/>
      <c r="G859" s="254"/>
      <c r="H859" s="154"/>
      <c r="I859" s="155"/>
      <c r="J859" s="276"/>
      <c r="K859" s="311">
        <f t="shared" si="250"/>
        <v>0</v>
      </c>
      <c r="L859" s="312">
        <f t="shared" si="251"/>
        <v>0</v>
      </c>
      <c r="M859" s="313">
        <f t="shared" si="252"/>
        <v>0</v>
      </c>
      <c r="N859" s="320">
        <f>SUM(L855:L859)</f>
        <v>0</v>
      </c>
      <c r="O859" s="315">
        <f t="shared" si="239"/>
        <v>0</v>
      </c>
      <c r="P859" s="315">
        <f t="shared" si="240"/>
        <v>0</v>
      </c>
      <c r="Q859" s="320">
        <f>N854+N859</f>
        <v>0</v>
      </c>
      <c r="R859" s="315">
        <f t="shared" si="241"/>
        <v>0</v>
      </c>
      <c r="S859" s="315">
        <f t="shared" si="242"/>
        <v>0</v>
      </c>
      <c r="T859" s="213"/>
      <c r="U859" s="213"/>
      <c r="V859" s="213"/>
      <c r="W859" s="213"/>
      <c r="X859" s="591"/>
      <c r="Y859" s="591"/>
    </row>
    <row r="860" spans="1:25" ht="14.85" customHeight="1">
      <c r="A860" s="619"/>
      <c r="B860" s="586"/>
      <c r="C860" s="259"/>
      <c r="D860" s="621"/>
      <c r="E860" s="371"/>
      <c r="F860" s="273"/>
      <c r="G860" s="254"/>
      <c r="H860" s="154"/>
      <c r="I860" s="155"/>
      <c r="J860" s="276"/>
      <c r="K860" s="311"/>
      <c r="L860" s="312"/>
      <c r="M860" s="313"/>
      <c r="N860" s="320"/>
      <c r="O860" s="315"/>
      <c r="P860" s="315"/>
      <c r="Q860" s="320"/>
      <c r="R860" s="315">
        <f t="shared" si="241"/>
        <v>0</v>
      </c>
      <c r="S860" s="315">
        <f t="shared" si="242"/>
        <v>0</v>
      </c>
      <c r="T860" s="213"/>
      <c r="U860" s="213"/>
      <c r="V860" s="213"/>
      <c r="W860" s="213"/>
      <c r="X860" s="591"/>
      <c r="Y860" s="591"/>
    </row>
    <row r="861" spans="1:25" ht="14.85" customHeight="1">
      <c r="A861" s="619"/>
      <c r="B861" s="586"/>
      <c r="C861" s="259"/>
      <c r="D861" s="621"/>
      <c r="E861" s="272"/>
      <c r="F861" s="273"/>
      <c r="G861" s="224"/>
      <c r="H861" s="224"/>
      <c r="I861" s="155"/>
      <c r="J861" s="276"/>
      <c r="K861" s="311">
        <f t="shared" si="250"/>
        <v>0</v>
      </c>
      <c r="L861" s="312">
        <f t="shared" si="251"/>
        <v>0</v>
      </c>
      <c r="M861" s="313">
        <f t="shared" si="252"/>
        <v>0</v>
      </c>
      <c r="N861" s="320"/>
      <c r="O861" s="315">
        <f t="shared" si="239"/>
        <v>0</v>
      </c>
      <c r="P861" s="315">
        <f t="shared" si="240"/>
        <v>0</v>
      </c>
      <c r="Q861" s="320"/>
      <c r="R861" s="315">
        <f t="shared" si="241"/>
        <v>0</v>
      </c>
      <c r="S861" s="315">
        <f t="shared" si="242"/>
        <v>0</v>
      </c>
      <c r="T861" s="213"/>
      <c r="U861" s="213"/>
      <c r="V861" s="213"/>
      <c r="W861" s="213"/>
      <c r="X861" s="591"/>
      <c r="Y861" s="591"/>
    </row>
    <row r="862" spans="1:25" ht="14.85" customHeight="1">
      <c r="A862" s="619"/>
      <c r="B862" s="586"/>
      <c r="C862" s="259"/>
      <c r="D862" s="621"/>
      <c r="E862" s="275"/>
      <c r="F862" s="273"/>
      <c r="G862" s="224"/>
      <c r="H862" s="224"/>
      <c r="I862" s="155"/>
      <c r="J862" s="276"/>
      <c r="K862" s="311">
        <f t="shared" si="250"/>
        <v>0</v>
      </c>
      <c r="L862" s="312">
        <f t="shared" si="251"/>
        <v>0</v>
      </c>
      <c r="M862" s="313">
        <f t="shared" si="252"/>
        <v>0</v>
      </c>
      <c r="N862" s="320"/>
      <c r="O862" s="315">
        <f t="shared" si="239"/>
        <v>0</v>
      </c>
      <c r="P862" s="315">
        <f t="shared" si="240"/>
        <v>0</v>
      </c>
      <c r="Q862" s="320"/>
      <c r="R862" s="315">
        <f t="shared" si="241"/>
        <v>0</v>
      </c>
      <c r="S862" s="315">
        <f t="shared" si="242"/>
        <v>0</v>
      </c>
      <c r="T862" s="213"/>
      <c r="U862" s="213"/>
      <c r="V862" s="213"/>
      <c r="W862" s="213"/>
      <c r="X862" s="591"/>
      <c r="Y862" s="591"/>
    </row>
    <row r="863" spans="1:25" ht="14.85" customHeight="1">
      <c r="A863" s="619"/>
      <c r="B863" s="586"/>
      <c r="C863" s="259"/>
      <c r="D863" s="621"/>
      <c r="E863" s="275"/>
      <c r="F863" s="273"/>
      <c r="G863" s="224"/>
      <c r="H863" s="224"/>
      <c r="I863" s="155"/>
      <c r="J863" s="276"/>
      <c r="K863" s="311">
        <f t="shared" si="250"/>
        <v>0</v>
      </c>
      <c r="L863" s="312">
        <f t="shared" si="251"/>
        <v>0</v>
      </c>
      <c r="M863" s="313">
        <f t="shared" si="252"/>
        <v>0</v>
      </c>
      <c r="N863" s="320"/>
      <c r="O863" s="315">
        <f t="shared" si="239"/>
        <v>0</v>
      </c>
      <c r="P863" s="315">
        <f t="shared" si="240"/>
        <v>0</v>
      </c>
      <c r="Q863" s="320"/>
      <c r="R863" s="315">
        <f t="shared" si="241"/>
        <v>0</v>
      </c>
      <c r="S863" s="315">
        <f t="shared" si="242"/>
        <v>0</v>
      </c>
      <c r="T863" s="213"/>
      <c r="U863" s="213"/>
      <c r="V863" s="213"/>
      <c r="W863" s="213"/>
      <c r="X863" s="591"/>
      <c r="Y863" s="591"/>
    </row>
    <row r="864" spans="1:25" ht="14.85" customHeight="1">
      <c r="A864" s="619"/>
      <c r="B864" s="586"/>
      <c r="C864" s="259"/>
      <c r="D864" s="621"/>
      <c r="E864" s="275"/>
      <c r="F864" s="273"/>
      <c r="G864" s="224"/>
      <c r="H864" s="224"/>
      <c r="I864" s="155"/>
      <c r="J864" s="276"/>
      <c r="K864" s="311">
        <f t="shared" si="250"/>
        <v>0</v>
      </c>
      <c r="L864" s="312">
        <f t="shared" si="251"/>
        <v>0</v>
      </c>
      <c r="M864" s="313">
        <f t="shared" si="252"/>
        <v>0</v>
      </c>
      <c r="N864" s="320"/>
      <c r="O864" s="315">
        <f t="shared" si="239"/>
        <v>0</v>
      </c>
      <c r="P864" s="315">
        <f t="shared" si="240"/>
        <v>0</v>
      </c>
      <c r="Q864" s="320"/>
      <c r="R864" s="315">
        <f t="shared" si="241"/>
        <v>0</v>
      </c>
      <c r="S864" s="315">
        <f t="shared" si="242"/>
        <v>0</v>
      </c>
      <c r="T864" s="213"/>
      <c r="U864" s="213"/>
      <c r="V864" s="213"/>
      <c r="W864" s="213"/>
      <c r="X864" s="591"/>
      <c r="Y864" s="591"/>
    </row>
    <row r="865" spans="1:25" ht="14.85" customHeight="1">
      <c r="A865" s="619"/>
      <c r="B865" s="586"/>
      <c r="C865" s="259"/>
      <c r="D865" s="621"/>
      <c r="E865" s="275"/>
      <c r="F865" s="273"/>
      <c r="G865" s="224"/>
      <c r="H865" s="224"/>
      <c r="I865" s="155"/>
      <c r="J865" s="276"/>
      <c r="K865" s="311">
        <f t="shared" si="250"/>
        <v>0</v>
      </c>
      <c r="L865" s="312">
        <f t="shared" si="251"/>
        <v>0</v>
      </c>
      <c r="M865" s="313">
        <f t="shared" si="252"/>
        <v>0</v>
      </c>
      <c r="N865" s="320">
        <f>SUM(L861:L865)</f>
        <v>0</v>
      </c>
      <c r="O865" s="315">
        <f t="shared" si="239"/>
        <v>0</v>
      </c>
      <c r="P865" s="315">
        <f t="shared" si="240"/>
        <v>0</v>
      </c>
      <c r="Q865" s="320"/>
      <c r="R865" s="315">
        <f t="shared" si="241"/>
        <v>0</v>
      </c>
      <c r="S865" s="315">
        <f t="shared" si="242"/>
        <v>0</v>
      </c>
      <c r="T865" s="213"/>
      <c r="U865" s="213"/>
      <c r="V865" s="213"/>
      <c r="W865" s="213"/>
      <c r="X865" s="591"/>
      <c r="Y865" s="591"/>
    </row>
    <row r="866" spans="1:25" ht="14.85" customHeight="1">
      <c r="A866" s="619"/>
      <c r="B866" s="586"/>
      <c r="C866" s="259"/>
      <c r="D866" s="621"/>
      <c r="E866" s="371"/>
      <c r="F866" s="273"/>
      <c r="G866" s="254"/>
      <c r="H866" s="154"/>
      <c r="I866" s="155"/>
      <c r="J866" s="276"/>
      <c r="K866" s="311">
        <f t="shared" si="250"/>
        <v>0</v>
      </c>
      <c r="L866" s="312">
        <f t="shared" si="251"/>
        <v>0</v>
      </c>
      <c r="M866" s="313">
        <f t="shared" si="252"/>
        <v>0</v>
      </c>
      <c r="N866" s="320"/>
      <c r="O866" s="315">
        <f t="shared" si="239"/>
        <v>0</v>
      </c>
      <c r="P866" s="315">
        <f t="shared" si="240"/>
        <v>0</v>
      </c>
      <c r="Q866" s="320"/>
      <c r="R866" s="315">
        <f t="shared" ref="R866:R929" si="253">ROUNDDOWN((Q866/$O$11),0)</f>
        <v>0</v>
      </c>
      <c r="S866" s="315">
        <f t="shared" ref="S866:S929" si="254">ROUND((Q866-(R866*$P$11)),0)</f>
        <v>0</v>
      </c>
      <c r="T866" s="213"/>
      <c r="U866" s="213"/>
      <c r="V866" s="213"/>
      <c r="W866" s="213"/>
      <c r="X866" s="591"/>
      <c r="Y866" s="591"/>
    </row>
    <row r="867" spans="1:25" ht="14.85" customHeight="1">
      <c r="A867" s="619"/>
      <c r="B867" s="586"/>
      <c r="C867" s="259"/>
      <c r="D867" s="621"/>
      <c r="E867" s="371"/>
      <c r="F867" s="273"/>
      <c r="G867" s="254"/>
      <c r="H867" s="154"/>
      <c r="I867" s="155"/>
      <c r="J867" s="276"/>
      <c r="K867" s="311">
        <f t="shared" si="250"/>
        <v>0</v>
      </c>
      <c r="L867" s="312">
        <f t="shared" si="251"/>
        <v>0</v>
      </c>
      <c r="M867" s="313">
        <f t="shared" si="252"/>
        <v>0</v>
      </c>
      <c r="N867" s="320"/>
      <c r="O867" s="315">
        <f t="shared" si="239"/>
        <v>0</v>
      </c>
      <c r="P867" s="315">
        <f t="shared" si="240"/>
        <v>0</v>
      </c>
      <c r="Q867" s="320"/>
      <c r="R867" s="315">
        <f t="shared" si="253"/>
        <v>0</v>
      </c>
      <c r="S867" s="315">
        <f t="shared" si="254"/>
        <v>0</v>
      </c>
      <c r="T867" s="213"/>
      <c r="U867" s="213"/>
      <c r="V867" s="213"/>
      <c r="W867" s="213"/>
      <c r="X867" s="591"/>
      <c r="Y867" s="591"/>
    </row>
    <row r="868" spans="1:25" ht="14.85" customHeight="1">
      <c r="A868" s="619"/>
      <c r="B868" s="586"/>
      <c r="C868" s="259"/>
      <c r="D868" s="621"/>
      <c r="E868" s="371"/>
      <c r="F868" s="273"/>
      <c r="G868" s="254"/>
      <c r="H868" s="154"/>
      <c r="I868" s="155"/>
      <c r="J868" s="276"/>
      <c r="K868" s="311">
        <f t="shared" si="250"/>
        <v>0</v>
      </c>
      <c r="L868" s="312">
        <f t="shared" si="251"/>
        <v>0</v>
      </c>
      <c r="M868" s="313">
        <f t="shared" si="252"/>
        <v>0</v>
      </c>
      <c r="N868" s="320"/>
      <c r="O868" s="315">
        <f t="shared" si="239"/>
        <v>0</v>
      </c>
      <c r="P868" s="315">
        <f t="shared" si="240"/>
        <v>0</v>
      </c>
      <c r="Q868" s="320"/>
      <c r="R868" s="315">
        <f t="shared" si="253"/>
        <v>0</v>
      </c>
      <c r="S868" s="315">
        <f t="shared" si="254"/>
        <v>0</v>
      </c>
      <c r="T868" s="213"/>
      <c r="U868" s="213"/>
      <c r="V868" s="213"/>
      <c r="W868" s="213"/>
      <c r="X868" s="591"/>
      <c r="Y868" s="591"/>
    </row>
    <row r="869" spans="1:25" ht="14.85" customHeight="1">
      <c r="A869" s="619"/>
      <c r="B869" s="586"/>
      <c r="C869" s="259"/>
      <c r="D869" s="621"/>
      <c r="E869" s="371"/>
      <c r="F869" s="273"/>
      <c r="G869" s="254"/>
      <c r="H869" s="154"/>
      <c r="I869" s="155"/>
      <c r="J869" s="276"/>
      <c r="K869" s="311">
        <f t="shared" si="250"/>
        <v>0</v>
      </c>
      <c r="L869" s="312">
        <f t="shared" si="251"/>
        <v>0</v>
      </c>
      <c r="M869" s="313">
        <f t="shared" si="252"/>
        <v>0</v>
      </c>
      <c r="N869" s="320"/>
      <c r="O869" s="315">
        <f t="shared" ref="O869:O936" si="255">ROUNDDOWN((N869/$O$11),0)</f>
        <v>0</v>
      </c>
      <c r="P869" s="315">
        <f t="shared" ref="P869:P936" si="256">ROUND((N869-(O869*$P$11)),0)</f>
        <v>0</v>
      </c>
      <c r="Q869" s="320"/>
      <c r="R869" s="315">
        <f t="shared" si="253"/>
        <v>0</v>
      </c>
      <c r="S869" s="315">
        <f t="shared" si="254"/>
        <v>0</v>
      </c>
      <c r="T869" s="213"/>
      <c r="U869" s="213"/>
      <c r="V869" s="213"/>
      <c r="W869" s="213"/>
      <c r="X869" s="591"/>
      <c r="Y869" s="591"/>
    </row>
    <row r="870" spans="1:25" ht="14.85" customHeight="1">
      <c r="A870" s="619"/>
      <c r="B870" s="586"/>
      <c r="C870" s="259"/>
      <c r="D870" s="621"/>
      <c r="E870" s="371"/>
      <c r="F870" s="273"/>
      <c r="G870" s="254"/>
      <c r="H870" s="154"/>
      <c r="I870" s="155"/>
      <c r="J870" s="276"/>
      <c r="K870" s="311">
        <f t="shared" si="250"/>
        <v>0</v>
      </c>
      <c r="L870" s="312">
        <f t="shared" si="251"/>
        <v>0</v>
      </c>
      <c r="M870" s="313">
        <f t="shared" si="252"/>
        <v>0</v>
      </c>
      <c r="N870" s="320">
        <f>SUM(L866:L870)</f>
        <v>0</v>
      </c>
      <c r="O870" s="315">
        <f t="shared" si="255"/>
        <v>0</v>
      </c>
      <c r="P870" s="315">
        <f t="shared" si="256"/>
        <v>0</v>
      </c>
      <c r="Q870" s="320">
        <f>N865+N870</f>
        <v>0</v>
      </c>
      <c r="R870" s="315">
        <f t="shared" si="253"/>
        <v>0</v>
      </c>
      <c r="S870" s="315">
        <f t="shared" si="254"/>
        <v>0</v>
      </c>
      <c r="T870" s="213"/>
      <c r="U870" s="213"/>
      <c r="V870" s="213"/>
      <c r="W870" s="213"/>
      <c r="X870" s="591"/>
      <c r="Y870" s="591"/>
    </row>
    <row r="871" spans="1:25" ht="14.85" customHeight="1">
      <c r="A871" s="619"/>
      <c r="B871" s="586"/>
      <c r="C871" s="259"/>
      <c r="D871" s="621"/>
      <c r="E871" s="371"/>
      <c r="F871" s="273"/>
      <c r="G871" s="254"/>
      <c r="H871" s="154"/>
      <c r="I871" s="155"/>
      <c r="J871" s="276"/>
      <c r="K871" s="311"/>
      <c r="L871" s="312"/>
      <c r="M871" s="313"/>
      <c r="N871" s="320"/>
      <c r="O871" s="315"/>
      <c r="P871" s="315"/>
      <c r="Q871" s="320"/>
      <c r="R871" s="315">
        <f t="shared" si="253"/>
        <v>0</v>
      </c>
      <c r="S871" s="315">
        <f t="shared" si="254"/>
        <v>0</v>
      </c>
      <c r="T871" s="213"/>
      <c r="U871" s="213"/>
      <c r="V871" s="213"/>
      <c r="W871" s="213"/>
      <c r="X871" s="591"/>
      <c r="Y871" s="591"/>
    </row>
    <row r="872" spans="1:25" ht="14.85" customHeight="1">
      <c r="A872" s="619"/>
      <c r="B872" s="586"/>
      <c r="C872" s="259"/>
      <c r="D872" s="621"/>
      <c r="E872" s="371"/>
      <c r="F872" s="273"/>
      <c r="G872" s="254"/>
      <c r="H872" s="154"/>
      <c r="I872" s="155"/>
      <c r="J872" s="276"/>
      <c r="K872" s="311">
        <f t="shared" si="250"/>
        <v>0</v>
      </c>
      <c r="L872" s="312">
        <f t="shared" si="251"/>
        <v>0</v>
      </c>
      <c r="M872" s="313">
        <f t="shared" si="252"/>
        <v>0</v>
      </c>
      <c r="N872" s="320"/>
      <c r="O872" s="315">
        <f t="shared" si="255"/>
        <v>0</v>
      </c>
      <c r="P872" s="315">
        <f t="shared" si="256"/>
        <v>0</v>
      </c>
      <c r="Q872" s="320"/>
      <c r="R872" s="315">
        <f t="shared" si="253"/>
        <v>0</v>
      </c>
      <c r="S872" s="315">
        <f t="shared" si="254"/>
        <v>0</v>
      </c>
      <c r="T872" s="213"/>
      <c r="U872" s="213"/>
      <c r="V872" s="213"/>
      <c r="W872" s="213"/>
      <c r="X872" s="591"/>
      <c r="Y872" s="591"/>
    </row>
    <row r="873" spans="1:25" ht="14.85" customHeight="1">
      <c r="A873" s="619"/>
      <c r="B873" s="586"/>
      <c r="C873" s="259"/>
      <c r="D873" s="621"/>
      <c r="E873" s="371"/>
      <c r="F873" s="273"/>
      <c r="G873" s="254"/>
      <c r="H873" s="154"/>
      <c r="I873" s="155"/>
      <c r="J873" s="276"/>
      <c r="K873" s="311">
        <f t="shared" si="250"/>
        <v>0</v>
      </c>
      <c r="L873" s="312">
        <f t="shared" si="251"/>
        <v>0</v>
      </c>
      <c r="M873" s="313">
        <f t="shared" si="252"/>
        <v>0</v>
      </c>
      <c r="N873" s="320"/>
      <c r="O873" s="315">
        <f t="shared" si="255"/>
        <v>0</v>
      </c>
      <c r="P873" s="315">
        <f t="shared" si="256"/>
        <v>0</v>
      </c>
      <c r="Q873" s="320"/>
      <c r="R873" s="315">
        <f t="shared" si="253"/>
        <v>0</v>
      </c>
      <c r="S873" s="315">
        <f t="shared" si="254"/>
        <v>0</v>
      </c>
      <c r="T873" s="213"/>
      <c r="U873" s="213"/>
      <c r="V873" s="213"/>
      <c r="W873" s="213"/>
      <c r="X873" s="591"/>
      <c r="Y873" s="591"/>
    </row>
    <row r="874" spans="1:25" ht="14.85" customHeight="1">
      <c r="A874" s="619"/>
      <c r="B874" s="586"/>
      <c r="C874" s="259"/>
      <c r="D874" s="621"/>
      <c r="E874" s="272"/>
      <c r="F874" s="273"/>
      <c r="G874" s="224"/>
      <c r="H874" s="224"/>
      <c r="I874" s="155"/>
      <c r="J874" s="276"/>
      <c r="K874" s="311">
        <f t="shared" si="250"/>
        <v>0</v>
      </c>
      <c r="L874" s="312">
        <f t="shared" si="251"/>
        <v>0</v>
      </c>
      <c r="M874" s="313">
        <f t="shared" si="252"/>
        <v>0</v>
      </c>
      <c r="N874" s="320"/>
      <c r="O874" s="315">
        <f t="shared" si="255"/>
        <v>0</v>
      </c>
      <c r="P874" s="315">
        <f t="shared" si="256"/>
        <v>0</v>
      </c>
      <c r="Q874" s="320"/>
      <c r="R874" s="315">
        <f t="shared" si="253"/>
        <v>0</v>
      </c>
      <c r="S874" s="315">
        <f t="shared" si="254"/>
        <v>0</v>
      </c>
      <c r="T874" s="213"/>
      <c r="U874" s="213"/>
      <c r="V874" s="213"/>
      <c r="W874" s="213"/>
      <c r="X874" s="591"/>
      <c r="Y874" s="591"/>
    </row>
    <row r="875" spans="1:25" ht="14.85" customHeight="1">
      <c r="A875" s="619"/>
      <c r="B875" s="586"/>
      <c r="C875" s="259"/>
      <c r="D875" s="621"/>
      <c r="E875" s="156"/>
      <c r="F875" s="254"/>
      <c r="G875" s="254"/>
      <c r="H875" s="154"/>
      <c r="I875" s="155"/>
      <c r="J875" s="279"/>
      <c r="K875" s="311">
        <f t="shared" si="250"/>
        <v>0</v>
      </c>
      <c r="L875" s="312">
        <f t="shared" si="251"/>
        <v>0</v>
      </c>
      <c r="M875" s="313">
        <f t="shared" si="252"/>
        <v>0</v>
      </c>
      <c r="N875" s="320">
        <f>SUM(L872:L875)</f>
        <v>0</v>
      </c>
      <c r="O875" s="315">
        <f t="shared" si="255"/>
        <v>0</v>
      </c>
      <c r="P875" s="315">
        <f t="shared" si="256"/>
        <v>0</v>
      </c>
      <c r="Q875" s="320">
        <f>N875</f>
        <v>0</v>
      </c>
      <c r="R875" s="315">
        <f t="shared" si="253"/>
        <v>0</v>
      </c>
      <c r="S875" s="315">
        <f t="shared" si="254"/>
        <v>0</v>
      </c>
      <c r="T875" s="213"/>
      <c r="U875" s="213"/>
      <c r="V875" s="213"/>
      <c r="W875" s="213"/>
      <c r="X875" s="591"/>
      <c r="Y875" s="591"/>
    </row>
    <row r="876" spans="1:25" ht="14.85" customHeight="1">
      <c r="A876" s="619"/>
      <c r="B876" s="586"/>
      <c r="C876" s="259"/>
      <c r="D876" s="621"/>
      <c r="E876" s="156"/>
      <c r="F876" s="254"/>
      <c r="G876" s="254"/>
      <c r="H876" s="154"/>
      <c r="I876" s="155"/>
      <c r="J876" s="279"/>
      <c r="K876" s="311"/>
      <c r="L876" s="312"/>
      <c r="M876" s="313"/>
      <c r="N876" s="320"/>
      <c r="O876" s="315"/>
      <c r="P876" s="315"/>
      <c r="Q876" s="320"/>
      <c r="R876" s="315">
        <f t="shared" si="253"/>
        <v>0</v>
      </c>
      <c r="S876" s="315">
        <f t="shared" si="254"/>
        <v>0</v>
      </c>
      <c r="T876" s="213"/>
      <c r="U876" s="213"/>
      <c r="V876" s="213"/>
      <c r="W876" s="213"/>
      <c r="X876" s="591"/>
      <c r="Y876" s="591"/>
    </row>
    <row r="877" spans="1:25" ht="14.85" customHeight="1">
      <c r="A877" s="619"/>
      <c r="B877" s="586"/>
      <c r="C877" s="259"/>
      <c r="D877" s="621"/>
      <c r="E877" s="272"/>
      <c r="F877" s="262"/>
      <c r="G877" s="224"/>
      <c r="H877" s="224"/>
      <c r="I877" s="155"/>
      <c r="J877" s="276"/>
      <c r="K877" s="311">
        <f t="shared" si="250"/>
        <v>0</v>
      </c>
      <c r="L877" s="312">
        <f t="shared" si="251"/>
        <v>0</v>
      </c>
      <c r="M877" s="313">
        <f t="shared" si="252"/>
        <v>0</v>
      </c>
      <c r="N877" s="320"/>
      <c r="O877" s="315">
        <f t="shared" si="255"/>
        <v>0</v>
      </c>
      <c r="P877" s="315">
        <f t="shared" si="256"/>
        <v>0</v>
      </c>
      <c r="Q877" s="320"/>
      <c r="R877" s="315">
        <f t="shared" si="253"/>
        <v>0</v>
      </c>
      <c r="S877" s="315">
        <f t="shared" si="254"/>
        <v>0</v>
      </c>
      <c r="T877" s="213"/>
      <c r="U877" s="213"/>
      <c r="V877" s="213"/>
      <c r="W877" s="213"/>
      <c r="X877" s="591"/>
      <c r="Y877" s="591"/>
    </row>
    <row r="878" spans="1:25" ht="14.85" customHeight="1">
      <c r="A878" s="619"/>
      <c r="B878" s="586"/>
      <c r="C878" s="259"/>
      <c r="D878" s="621"/>
      <c r="E878" s="272"/>
      <c r="F878" s="254"/>
      <c r="G878" s="224"/>
      <c r="H878" s="224"/>
      <c r="I878" s="155"/>
      <c r="J878" s="276"/>
      <c r="K878" s="311">
        <f t="shared" si="250"/>
        <v>0</v>
      </c>
      <c r="L878" s="312">
        <f t="shared" si="251"/>
        <v>0</v>
      </c>
      <c r="M878" s="313">
        <f t="shared" si="252"/>
        <v>0</v>
      </c>
      <c r="N878" s="320"/>
      <c r="O878" s="315">
        <f t="shared" si="255"/>
        <v>0</v>
      </c>
      <c r="P878" s="315">
        <f t="shared" si="256"/>
        <v>0</v>
      </c>
      <c r="Q878" s="320"/>
      <c r="R878" s="315">
        <f t="shared" si="253"/>
        <v>0</v>
      </c>
      <c r="S878" s="315">
        <f t="shared" si="254"/>
        <v>0</v>
      </c>
      <c r="T878" s="213"/>
      <c r="U878" s="213"/>
      <c r="V878" s="213"/>
      <c r="W878" s="213"/>
      <c r="X878" s="591"/>
      <c r="Y878" s="591"/>
    </row>
    <row r="879" spans="1:25" ht="14.85" customHeight="1">
      <c r="A879" s="619"/>
      <c r="B879" s="586"/>
      <c r="C879" s="259"/>
      <c r="D879" s="621"/>
      <c r="E879" s="272"/>
      <c r="F879" s="254"/>
      <c r="G879" s="224"/>
      <c r="H879" s="224"/>
      <c r="I879" s="155"/>
      <c r="J879" s="276"/>
      <c r="K879" s="311">
        <f t="shared" si="250"/>
        <v>0</v>
      </c>
      <c r="L879" s="312">
        <f t="shared" si="251"/>
        <v>0</v>
      </c>
      <c r="M879" s="313">
        <f t="shared" si="252"/>
        <v>0</v>
      </c>
      <c r="N879" s="320"/>
      <c r="O879" s="315">
        <f t="shared" si="255"/>
        <v>0</v>
      </c>
      <c r="P879" s="315">
        <f t="shared" si="256"/>
        <v>0</v>
      </c>
      <c r="Q879" s="320"/>
      <c r="R879" s="315">
        <f t="shared" si="253"/>
        <v>0</v>
      </c>
      <c r="S879" s="315">
        <f t="shared" si="254"/>
        <v>0</v>
      </c>
      <c r="T879" s="213"/>
      <c r="U879" s="213"/>
      <c r="V879" s="213"/>
      <c r="W879" s="213"/>
      <c r="X879" s="591"/>
      <c r="Y879" s="591"/>
    </row>
    <row r="880" spans="1:25" ht="14.85" customHeight="1">
      <c r="A880" s="619"/>
      <c r="B880" s="586"/>
      <c r="C880" s="259"/>
      <c r="D880" s="621"/>
      <c r="E880" s="272"/>
      <c r="F880" s="254"/>
      <c r="G880" s="224"/>
      <c r="H880" s="224"/>
      <c r="I880" s="155"/>
      <c r="J880" s="276"/>
      <c r="K880" s="311">
        <f t="shared" si="250"/>
        <v>0</v>
      </c>
      <c r="L880" s="312">
        <f t="shared" si="251"/>
        <v>0</v>
      </c>
      <c r="M880" s="313">
        <f t="shared" si="252"/>
        <v>0</v>
      </c>
      <c r="N880" s="320"/>
      <c r="O880" s="315">
        <f t="shared" si="255"/>
        <v>0</v>
      </c>
      <c r="P880" s="315">
        <f t="shared" si="256"/>
        <v>0</v>
      </c>
      <c r="Q880" s="320"/>
      <c r="R880" s="315">
        <f t="shared" si="253"/>
        <v>0</v>
      </c>
      <c r="S880" s="315">
        <f t="shared" si="254"/>
        <v>0</v>
      </c>
      <c r="T880" s="213"/>
      <c r="U880" s="213"/>
      <c r="V880" s="213"/>
      <c r="W880" s="213"/>
      <c r="X880" s="591"/>
      <c r="Y880" s="591"/>
    </row>
    <row r="881" spans="1:25" ht="14.85" customHeight="1">
      <c r="A881" s="619"/>
      <c r="B881" s="586"/>
      <c r="C881" s="259"/>
      <c r="D881" s="621"/>
      <c r="E881" s="272"/>
      <c r="F881" s="254"/>
      <c r="G881" s="224"/>
      <c r="H881" s="224"/>
      <c r="I881" s="155"/>
      <c r="J881" s="276"/>
      <c r="K881" s="311">
        <f t="shared" si="250"/>
        <v>0</v>
      </c>
      <c r="L881" s="312">
        <f t="shared" si="251"/>
        <v>0</v>
      </c>
      <c r="M881" s="313">
        <f t="shared" si="252"/>
        <v>0</v>
      </c>
      <c r="N881" s="320"/>
      <c r="O881" s="315">
        <f t="shared" si="255"/>
        <v>0</v>
      </c>
      <c r="P881" s="315">
        <f t="shared" si="256"/>
        <v>0</v>
      </c>
      <c r="Q881" s="320"/>
      <c r="R881" s="315">
        <f t="shared" si="253"/>
        <v>0</v>
      </c>
      <c r="S881" s="315">
        <f t="shared" si="254"/>
        <v>0</v>
      </c>
      <c r="T881" s="213"/>
      <c r="U881" s="213"/>
      <c r="V881" s="213"/>
      <c r="W881" s="213"/>
      <c r="X881" s="591"/>
      <c r="Y881" s="591"/>
    </row>
    <row r="882" spans="1:25" ht="14.85" customHeight="1">
      <c r="A882" s="619"/>
      <c r="B882" s="586"/>
      <c r="C882" s="259"/>
      <c r="D882" s="621"/>
      <c r="E882" s="272"/>
      <c r="F882" s="254"/>
      <c r="G882" s="224"/>
      <c r="H882" s="224"/>
      <c r="I882" s="155"/>
      <c r="J882" s="276"/>
      <c r="K882" s="311">
        <f t="shared" si="250"/>
        <v>0</v>
      </c>
      <c r="L882" s="312">
        <f t="shared" si="251"/>
        <v>0</v>
      </c>
      <c r="M882" s="313">
        <f t="shared" si="252"/>
        <v>0</v>
      </c>
      <c r="N882" s="320"/>
      <c r="O882" s="315">
        <f t="shared" si="255"/>
        <v>0</v>
      </c>
      <c r="P882" s="315">
        <f t="shared" si="256"/>
        <v>0</v>
      </c>
      <c r="Q882" s="320"/>
      <c r="R882" s="315">
        <f t="shared" si="253"/>
        <v>0</v>
      </c>
      <c r="S882" s="315">
        <f t="shared" si="254"/>
        <v>0</v>
      </c>
      <c r="T882" s="213"/>
      <c r="U882" s="213"/>
      <c r="V882" s="213"/>
      <c r="W882" s="213"/>
      <c r="X882" s="591"/>
      <c r="Y882" s="591"/>
    </row>
    <row r="883" spans="1:25" ht="14.85" customHeight="1">
      <c r="A883" s="619"/>
      <c r="B883" s="586"/>
      <c r="C883" s="259"/>
      <c r="D883" s="621"/>
      <c r="E883" s="272"/>
      <c r="F883" s="254"/>
      <c r="G883" s="224"/>
      <c r="H883" s="224"/>
      <c r="I883" s="155"/>
      <c r="J883" s="276"/>
      <c r="K883" s="311">
        <f t="shared" si="250"/>
        <v>0</v>
      </c>
      <c r="L883" s="312">
        <f t="shared" si="251"/>
        <v>0</v>
      </c>
      <c r="M883" s="313">
        <f t="shared" si="252"/>
        <v>0</v>
      </c>
      <c r="N883" s="320"/>
      <c r="O883" s="315">
        <f t="shared" si="255"/>
        <v>0</v>
      </c>
      <c r="P883" s="315">
        <f t="shared" si="256"/>
        <v>0</v>
      </c>
      <c r="Q883" s="320"/>
      <c r="R883" s="315">
        <f t="shared" si="253"/>
        <v>0</v>
      </c>
      <c r="S883" s="315">
        <f t="shared" si="254"/>
        <v>0</v>
      </c>
      <c r="T883" s="213"/>
      <c r="U883" s="213"/>
      <c r="V883" s="213"/>
      <c r="W883" s="213"/>
      <c r="X883" s="591"/>
      <c r="Y883" s="591"/>
    </row>
    <row r="884" spans="1:25" ht="14.85" customHeight="1">
      <c r="A884" s="619"/>
      <c r="B884" s="586"/>
      <c r="C884" s="259"/>
      <c r="D884" s="621"/>
      <c r="E884" s="272"/>
      <c r="F884" s="254"/>
      <c r="G884" s="224"/>
      <c r="H884" s="224"/>
      <c r="I884" s="155"/>
      <c r="J884" s="276"/>
      <c r="K884" s="311">
        <f t="shared" si="250"/>
        <v>0</v>
      </c>
      <c r="L884" s="312">
        <f t="shared" si="251"/>
        <v>0</v>
      </c>
      <c r="M884" s="313">
        <f t="shared" si="252"/>
        <v>0</v>
      </c>
      <c r="N884" s="320"/>
      <c r="O884" s="315">
        <f t="shared" si="255"/>
        <v>0</v>
      </c>
      <c r="P884" s="315">
        <f t="shared" si="256"/>
        <v>0</v>
      </c>
      <c r="Q884" s="320"/>
      <c r="R884" s="315">
        <f t="shared" si="253"/>
        <v>0</v>
      </c>
      <c r="S884" s="315">
        <f t="shared" si="254"/>
        <v>0</v>
      </c>
      <c r="T884" s="213"/>
      <c r="U884" s="213"/>
      <c r="V884" s="213"/>
      <c r="W884" s="213"/>
      <c r="X884" s="591"/>
      <c r="Y884" s="591"/>
    </row>
    <row r="885" spans="1:25" ht="14.85" customHeight="1">
      <c r="A885" s="619"/>
      <c r="B885" s="586"/>
      <c r="C885" s="259"/>
      <c r="D885" s="621"/>
      <c r="E885" s="272"/>
      <c r="F885" s="254"/>
      <c r="G885" s="224"/>
      <c r="H885" s="224"/>
      <c r="I885" s="155"/>
      <c r="J885" s="276"/>
      <c r="K885" s="311">
        <f t="shared" si="250"/>
        <v>0</v>
      </c>
      <c r="L885" s="312">
        <f t="shared" si="251"/>
        <v>0</v>
      </c>
      <c r="M885" s="313">
        <f t="shared" si="252"/>
        <v>0</v>
      </c>
      <c r="N885" s="320"/>
      <c r="O885" s="315">
        <f t="shared" si="255"/>
        <v>0</v>
      </c>
      <c r="P885" s="315">
        <f t="shared" si="256"/>
        <v>0</v>
      </c>
      <c r="Q885" s="320"/>
      <c r="R885" s="315">
        <f t="shared" si="253"/>
        <v>0</v>
      </c>
      <c r="S885" s="315">
        <f t="shared" si="254"/>
        <v>0</v>
      </c>
      <c r="T885" s="213"/>
      <c r="U885" s="213"/>
      <c r="V885" s="213"/>
      <c r="W885" s="213"/>
      <c r="X885" s="591"/>
      <c r="Y885" s="591"/>
    </row>
    <row r="886" spans="1:25" ht="14.85" customHeight="1">
      <c r="A886" s="619"/>
      <c r="B886" s="586"/>
      <c r="C886" s="259"/>
      <c r="D886" s="621"/>
      <c r="E886" s="272"/>
      <c r="F886" s="254"/>
      <c r="G886" s="224"/>
      <c r="H886" s="224"/>
      <c r="I886" s="155"/>
      <c r="J886" s="276"/>
      <c r="K886" s="311">
        <f t="shared" si="250"/>
        <v>0</v>
      </c>
      <c r="L886" s="312">
        <f t="shared" si="251"/>
        <v>0</v>
      </c>
      <c r="M886" s="313">
        <f t="shared" si="252"/>
        <v>0</v>
      </c>
      <c r="N886" s="320"/>
      <c r="O886" s="315">
        <f t="shared" si="255"/>
        <v>0</v>
      </c>
      <c r="P886" s="315">
        <f t="shared" si="256"/>
        <v>0</v>
      </c>
      <c r="Q886" s="320"/>
      <c r="R886" s="315">
        <f t="shared" si="253"/>
        <v>0</v>
      </c>
      <c r="S886" s="315">
        <f t="shared" si="254"/>
        <v>0</v>
      </c>
      <c r="T886" s="213"/>
      <c r="U886" s="213"/>
      <c r="V886" s="213"/>
      <c r="W886" s="213"/>
      <c r="X886" s="591"/>
      <c r="Y886" s="591"/>
    </row>
    <row r="887" spans="1:25" ht="14.85" customHeight="1">
      <c r="A887" s="619"/>
      <c r="B887" s="586"/>
      <c r="C887" s="259"/>
      <c r="D887" s="621"/>
      <c r="E887" s="272"/>
      <c r="F887" s="254"/>
      <c r="G887" s="224"/>
      <c r="H887" s="224"/>
      <c r="I887" s="155"/>
      <c r="J887" s="276"/>
      <c r="K887" s="311">
        <f t="shared" si="250"/>
        <v>0</v>
      </c>
      <c r="L887" s="312">
        <f t="shared" si="251"/>
        <v>0</v>
      </c>
      <c r="M887" s="313">
        <f t="shared" si="252"/>
        <v>0</v>
      </c>
      <c r="N887" s="320"/>
      <c r="O887" s="315">
        <f t="shared" si="255"/>
        <v>0</v>
      </c>
      <c r="P887" s="315">
        <f t="shared" si="256"/>
        <v>0</v>
      </c>
      <c r="Q887" s="320"/>
      <c r="R887" s="315">
        <f t="shared" si="253"/>
        <v>0</v>
      </c>
      <c r="S887" s="315">
        <f t="shared" si="254"/>
        <v>0</v>
      </c>
      <c r="T887" s="213"/>
      <c r="U887" s="213"/>
      <c r="V887" s="213"/>
      <c r="W887" s="213"/>
      <c r="X887" s="591"/>
      <c r="Y887" s="591"/>
    </row>
    <row r="888" spans="1:25" ht="14.85" customHeight="1">
      <c r="A888" s="619"/>
      <c r="B888" s="586"/>
      <c r="C888" s="259"/>
      <c r="D888" s="621"/>
      <c r="E888" s="272"/>
      <c r="F888" s="254"/>
      <c r="G888" s="254"/>
      <c r="H888" s="154"/>
      <c r="I888" s="155"/>
      <c r="J888" s="279"/>
      <c r="K888" s="311">
        <f t="shared" si="250"/>
        <v>0</v>
      </c>
      <c r="L888" s="312">
        <f t="shared" si="251"/>
        <v>0</v>
      </c>
      <c r="M888" s="313">
        <f t="shared" si="252"/>
        <v>0</v>
      </c>
      <c r="N888" s="320">
        <f>SUM(L877:L888)</f>
        <v>0</v>
      </c>
      <c r="O888" s="315">
        <f t="shared" si="255"/>
        <v>0</v>
      </c>
      <c r="P888" s="315">
        <f t="shared" si="256"/>
        <v>0</v>
      </c>
      <c r="Q888" s="320">
        <f>N888</f>
        <v>0</v>
      </c>
      <c r="R888" s="315">
        <f t="shared" si="253"/>
        <v>0</v>
      </c>
      <c r="S888" s="315">
        <f t="shared" si="254"/>
        <v>0</v>
      </c>
      <c r="T888" s="213"/>
      <c r="U888" s="213"/>
      <c r="V888" s="213"/>
      <c r="W888" s="213"/>
      <c r="X888" s="591"/>
      <c r="Y888" s="591"/>
    </row>
    <row r="889" spans="1:25" ht="14.85" customHeight="1">
      <c r="A889" s="619"/>
      <c r="B889" s="586"/>
      <c r="C889" s="259"/>
      <c r="D889" s="621"/>
      <c r="E889" s="272"/>
      <c r="F889" s="254"/>
      <c r="G889" s="254"/>
      <c r="H889" s="154"/>
      <c r="I889" s="155"/>
      <c r="J889" s="279"/>
      <c r="K889" s="311"/>
      <c r="L889" s="312"/>
      <c r="M889" s="313"/>
      <c r="N889" s="320"/>
      <c r="O889" s="315"/>
      <c r="P889" s="315"/>
      <c r="Q889" s="320"/>
      <c r="R889" s="315">
        <f t="shared" si="253"/>
        <v>0</v>
      </c>
      <c r="S889" s="315">
        <f t="shared" si="254"/>
        <v>0</v>
      </c>
      <c r="T889" s="213"/>
      <c r="U889" s="213"/>
      <c r="V889" s="213"/>
      <c r="W889" s="213"/>
      <c r="X889" s="591"/>
      <c r="Y889" s="591"/>
    </row>
    <row r="890" spans="1:25" ht="14.85" customHeight="1">
      <c r="A890" s="619"/>
      <c r="B890" s="586"/>
      <c r="C890" s="259"/>
      <c r="D890" s="621"/>
      <c r="E890" s="272"/>
      <c r="F890" s="254"/>
      <c r="G890" s="224"/>
      <c r="H890" s="224"/>
      <c r="I890" s="155"/>
      <c r="J890" s="276"/>
      <c r="K890" s="311">
        <f t="shared" si="250"/>
        <v>0</v>
      </c>
      <c r="L890" s="312">
        <f t="shared" si="251"/>
        <v>0</v>
      </c>
      <c r="M890" s="313">
        <f t="shared" si="252"/>
        <v>0</v>
      </c>
      <c r="N890" s="320"/>
      <c r="O890" s="315">
        <f t="shared" si="255"/>
        <v>0</v>
      </c>
      <c r="P890" s="315">
        <f t="shared" si="256"/>
        <v>0</v>
      </c>
      <c r="Q890" s="320"/>
      <c r="R890" s="315">
        <f t="shared" si="253"/>
        <v>0</v>
      </c>
      <c r="S890" s="315">
        <f t="shared" si="254"/>
        <v>0</v>
      </c>
      <c r="T890" s="213"/>
      <c r="U890" s="213"/>
      <c r="V890" s="213"/>
      <c r="W890" s="213"/>
      <c r="X890" s="591"/>
      <c r="Y890" s="591"/>
    </row>
    <row r="891" spans="1:25" ht="14.85" customHeight="1">
      <c r="A891" s="619"/>
      <c r="B891" s="586"/>
      <c r="C891" s="259"/>
      <c r="D891" s="621"/>
      <c r="E891" s="275"/>
      <c r="F891" s="254"/>
      <c r="G891" s="224"/>
      <c r="H891" s="224"/>
      <c r="I891" s="155"/>
      <c r="J891" s="276"/>
      <c r="K891" s="311">
        <f t="shared" si="250"/>
        <v>0</v>
      </c>
      <c r="L891" s="312">
        <f t="shared" si="251"/>
        <v>0</v>
      </c>
      <c r="M891" s="313">
        <f t="shared" si="252"/>
        <v>0</v>
      </c>
      <c r="N891" s="320"/>
      <c r="O891" s="315">
        <f t="shared" si="255"/>
        <v>0</v>
      </c>
      <c r="P891" s="315">
        <f t="shared" si="256"/>
        <v>0</v>
      </c>
      <c r="Q891" s="320"/>
      <c r="R891" s="315">
        <f t="shared" si="253"/>
        <v>0</v>
      </c>
      <c r="S891" s="315">
        <f t="shared" si="254"/>
        <v>0</v>
      </c>
      <c r="T891" s="213"/>
      <c r="U891" s="213"/>
      <c r="V891" s="213"/>
      <c r="W891" s="213"/>
      <c r="X891" s="591"/>
      <c r="Y891" s="591"/>
    </row>
    <row r="892" spans="1:25" ht="14.85" customHeight="1">
      <c r="A892" s="619"/>
      <c r="B892" s="586"/>
      <c r="C892" s="259"/>
      <c r="D892" s="621"/>
      <c r="E892" s="275"/>
      <c r="F892" s="254"/>
      <c r="G892" s="224"/>
      <c r="H892" s="224"/>
      <c r="I892" s="155"/>
      <c r="J892" s="276"/>
      <c r="K892" s="311">
        <f t="shared" si="250"/>
        <v>0</v>
      </c>
      <c r="L892" s="312">
        <f t="shared" si="251"/>
        <v>0</v>
      </c>
      <c r="M892" s="313">
        <f t="shared" si="252"/>
        <v>0</v>
      </c>
      <c r="N892" s="320"/>
      <c r="O892" s="315">
        <f t="shared" si="255"/>
        <v>0</v>
      </c>
      <c r="P892" s="315">
        <f t="shared" si="256"/>
        <v>0</v>
      </c>
      <c r="Q892" s="320"/>
      <c r="R892" s="315">
        <f t="shared" si="253"/>
        <v>0</v>
      </c>
      <c r="S892" s="315">
        <f t="shared" si="254"/>
        <v>0</v>
      </c>
      <c r="T892" s="213"/>
      <c r="U892" s="213"/>
      <c r="V892" s="213"/>
      <c r="W892" s="213"/>
      <c r="X892" s="591"/>
      <c r="Y892" s="591"/>
    </row>
    <row r="893" spans="1:25" ht="14.85" customHeight="1">
      <c r="A893" s="619"/>
      <c r="B893" s="586"/>
      <c r="C893" s="259"/>
      <c r="D893" s="621"/>
      <c r="E893" s="275"/>
      <c r="F893" s="254"/>
      <c r="G893" s="224"/>
      <c r="H893" s="224"/>
      <c r="I893" s="155"/>
      <c r="J893" s="276"/>
      <c r="K893" s="311">
        <f t="shared" si="250"/>
        <v>0</v>
      </c>
      <c r="L893" s="312">
        <f t="shared" si="251"/>
        <v>0</v>
      </c>
      <c r="M893" s="313">
        <f t="shared" si="252"/>
        <v>0</v>
      </c>
      <c r="N893" s="320"/>
      <c r="O893" s="315">
        <f t="shared" si="255"/>
        <v>0</v>
      </c>
      <c r="P893" s="315">
        <f t="shared" si="256"/>
        <v>0</v>
      </c>
      <c r="Q893" s="320"/>
      <c r="R893" s="315">
        <f t="shared" si="253"/>
        <v>0</v>
      </c>
      <c r="S893" s="315">
        <f t="shared" si="254"/>
        <v>0</v>
      </c>
      <c r="T893" s="213"/>
      <c r="U893" s="213"/>
      <c r="V893" s="213"/>
      <c r="W893" s="213"/>
      <c r="X893" s="591"/>
      <c r="Y893" s="591"/>
    </row>
    <row r="894" spans="1:25" ht="14.85" customHeight="1">
      <c r="A894" s="619"/>
      <c r="B894" s="586"/>
      <c r="C894" s="259"/>
      <c r="D894" s="621"/>
      <c r="E894" s="275"/>
      <c r="F894" s="254"/>
      <c r="G894" s="224"/>
      <c r="H894" s="224"/>
      <c r="I894" s="155"/>
      <c r="J894" s="276"/>
      <c r="K894" s="311">
        <f t="shared" si="250"/>
        <v>0</v>
      </c>
      <c r="L894" s="312">
        <f t="shared" si="251"/>
        <v>0</v>
      </c>
      <c r="M894" s="313">
        <f t="shared" si="252"/>
        <v>0</v>
      </c>
      <c r="N894" s="320"/>
      <c r="O894" s="315">
        <f t="shared" si="255"/>
        <v>0</v>
      </c>
      <c r="P894" s="315">
        <f t="shared" si="256"/>
        <v>0</v>
      </c>
      <c r="Q894" s="320"/>
      <c r="R894" s="315">
        <f t="shared" si="253"/>
        <v>0</v>
      </c>
      <c r="S894" s="315">
        <f t="shared" si="254"/>
        <v>0</v>
      </c>
      <c r="T894" s="213"/>
      <c r="U894" s="213"/>
      <c r="V894" s="213"/>
      <c r="W894" s="213"/>
      <c r="X894" s="591"/>
      <c r="Y894" s="591"/>
    </row>
    <row r="895" spans="1:25" ht="14.85" customHeight="1">
      <c r="A895" s="619"/>
      <c r="B895" s="586"/>
      <c r="C895" s="259"/>
      <c r="D895" s="621"/>
      <c r="E895" s="275"/>
      <c r="F895" s="254"/>
      <c r="G895" s="224"/>
      <c r="H895" s="224"/>
      <c r="I895" s="155"/>
      <c r="J895" s="276"/>
      <c r="K895" s="311">
        <f t="shared" si="250"/>
        <v>0</v>
      </c>
      <c r="L895" s="312">
        <f t="shared" si="251"/>
        <v>0</v>
      </c>
      <c r="M895" s="313">
        <f t="shared" si="252"/>
        <v>0</v>
      </c>
      <c r="N895" s="320">
        <f>SUM(L890:L895)</f>
        <v>0</v>
      </c>
      <c r="O895" s="315">
        <f t="shared" si="255"/>
        <v>0</v>
      </c>
      <c r="P895" s="315">
        <f t="shared" si="256"/>
        <v>0</v>
      </c>
      <c r="Q895" s="320"/>
      <c r="R895" s="315">
        <f t="shared" si="253"/>
        <v>0</v>
      </c>
      <c r="S895" s="315">
        <f t="shared" si="254"/>
        <v>0</v>
      </c>
      <c r="T895" s="213"/>
      <c r="U895" s="213"/>
      <c r="V895" s="213"/>
      <c r="W895" s="213"/>
      <c r="X895" s="591"/>
      <c r="Y895" s="591"/>
    </row>
    <row r="896" spans="1:25" ht="14.85" customHeight="1">
      <c r="A896" s="619"/>
      <c r="B896" s="586"/>
      <c r="C896" s="259"/>
      <c r="D896" s="621"/>
      <c r="E896" s="156"/>
      <c r="F896" s="254"/>
      <c r="G896" s="254"/>
      <c r="H896" s="154"/>
      <c r="I896" s="155"/>
      <c r="J896" s="276"/>
      <c r="K896" s="311">
        <f t="shared" si="250"/>
        <v>0</v>
      </c>
      <c r="L896" s="312">
        <f t="shared" si="251"/>
        <v>0</v>
      </c>
      <c r="M896" s="313">
        <f t="shared" si="252"/>
        <v>0</v>
      </c>
      <c r="N896" s="320"/>
      <c r="O896" s="315">
        <f t="shared" si="255"/>
        <v>0</v>
      </c>
      <c r="P896" s="315">
        <f t="shared" si="256"/>
        <v>0</v>
      </c>
      <c r="Q896" s="320"/>
      <c r="R896" s="315">
        <f t="shared" si="253"/>
        <v>0</v>
      </c>
      <c r="S896" s="315">
        <f t="shared" si="254"/>
        <v>0</v>
      </c>
      <c r="T896" s="213"/>
      <c r="U896" s="213"/>
      <c r="V896" s="213"/>
      <c r="W896" s="213"/>
      <c r="X896" s="591"/>
      <c r="Y896" s="591"/>
    </row>
    <row r="897" spans="1:25" ht="14.85" customHeight="1">
      <c r="A897" s="619"/>
      <c r="B897" s="586"/>
      <c r="C897" s="259"/>
      <c r="D897" s="621"/>
      <c r="E897" s="156"/>
      <c r="F897" s="254"/>
      <c r="G897" s="254"/>
      <c r="H897" s="154"/>
      <c r="I897" s="155"/>
      <c r="J897" s="276"/>
      <c r="K897" s="311">
        <f t="shared" si="250"/>
        <v>0</v>
      </c>
      <c r="L897" s="312">
        <f t="shared" si="251"/>
        <v>0</v>
      </c>
      <c r="M897" s="313">
        <f t="shared" si="252"/>
        <v>0</v>
      </c>
      <c r="N897" s="320"/>
      <c r="O897" s="315">
        <f t="shared" si="255"/>
        <v>0</v>
      </c>
      <c r="P897" s="315">
        <f t="shared" si="256"/>
        <v>0</v>
      </c>
      <c r="Q897" s="320"/>
      <c r="R897" s="315">
        <f t="shared" si="253"/>
        <v>0</v>
      </c>
      <c r="S897" s="315">
        <f t="shared" si="254"/>
        <v>0</v>
      </c>
      <c r="T897" s="213"/>
      <c r="U897" s="213"/>
      <c r="V897" s="213"/>
      <c r="W897" s="213"/>
      <c r="X897" s="591"/>
      <c r="Y897" s="591"/>
    </row>
    <row r="898" spans="1:25" ht="14.85" customHeight="1">
      <c r="A898" s="619"/>
      <c r="B898" s="586"/>
      <c r="C898" s="259"/>
      <c r="D898" s="621"/>
      <c r="E898" s="156"/>
      <c r="F898" s="254"/>
      <c r="G898" s="254"/>
      <c r="H898" s="154"/>
      <c r="I898" s="155"/>
      <c r="J898" s="276"/>
      <c r="K898" s="311">
        <f t="shared" si="250"/>
        <v>0</v>
      </c>
      <c r="L898" s="312">
        <f t="shared" si="251"/>
        <v>0</v>
      </c>
      <c r="M898" s="313">
        <f t="shared" si="252"/>
        <v>0</v>
      </c>
      <c r="N898" s="320">
        <f>SUM(L896:L898)</f>
        <v>0</v>
      </c>
      <c r="O898" s="315">
        <f t="shared" si="255"/>
        <v>0</v>
      </c>
      <c r="P898" s="315">
        <f t="shared" si="256"/>
        <v>0</v>
      </c>
      <c r="Q898" s="320">
        <f>N895+N898</f>
        <v>0</v>
      </c>
      <c r="R898" s="315">
        <f t="shared" si="253"/>
        <v>0</v>
      </c>
      <c r="S898" s="315">
        <f t="shared" si="254"/>
        <v>0</v>
      </c>
      <c r="T898" s="213"/>
      <c r="U898" s="213"/>
      <c r="V898" s="213"/>
      <c r="W898" s="213"/>
      <c r="X898" s="591"/>
      <c r="Y898" s="591"/>
    </row>
    <row r="899" spans="1:25" ht="14.85" customHeight="1">
      <c r="A899" s="619"/>
      <c r="B899" s="586"/>
      <c r="C899" s="259"/>
      <c r="D899" s="621"/>
      <c r="E899" s="156"/>
      <c r="F899" s="254"/>
      <c r="G899" s="254"/>
      <c r="H899" s="154"/>
      <c r="I899" s="155"/>
      <c r="J899" s="276"/>
      <c r="K899" s="311"/>
      <c r="L899" s="312"/>
      <c r="M899" s="313"/>
      <c r="N899" s="320"/>
      <c r="O899" s="315"/>
      <c r="P899" s="315"/>
      <c r="Q899" s="320"/>
      <c r="R899" s="315">
        <f t="shared" si="253"/>
        <v>0</v>
      </c>
      <c r="S899" s="315">
        <f t="shared" si="254"/>
        <v>0</v>
      </c>
      <c r="T899" s="213"/>
      <c r="U899" s="213"/>
      <c r="V899" s="213"/>
      <c r="W899" s="213"/>
      <c r="X899" s="591"/>
      <c r="Y899" s="591"/>
    </row>
    <row r="900" spans="1:25" ht="14.85" customHeight="1">
      <c r="A900" s="619"/>
      <c r="B900" s="586"/>
      <c r="C900" s="259"/>
      <c r="D900" s="621"/>
      <c r="E900" s="375"/>
      <c r="F900" s="254"/>
      <c r="G900" s="224"/>
      <c r="H900" s="224"/>
      <c r="I900" s="155"/>
      <c r="J900" s="276"/>
      <c r="K900" s="311">
        <f t="shared" si="250"/>
        <v>0</v>
      </c>
      <c r="L900" s="312">
        <f t="shared" si="251"/>
        <v>0</v>
      </c>
      <c r="M900" s="313">
        <f t="shared" si="252"/>
        <v>0</v>
      </c>
      <c r="N900" s="320"/>
      <c r="O900" s="315">
        <f t="shared" si="255"/>
        <v>0</v>
      </c>
      <c r="P900" s="315">
        <f t="shared" si="256"/>
        <v>0</v>
      </c>
      <c r="Q900" s="320"/>
      <c r="R900" s="315">
        <f t="shared" si="253"/>
        <v>0</v>
      </c>
      <c r="S900" s="315">
        <f t="shared" si="254"/>
        <v>0</v>
      </c>
      <c r="T900" s="213"/>
      <c r="U900" s="213"/>
      <c r="V900" s="213"/>
      <c r="W900" s="213"/>
      <c r="X900" s="591"/>
      <c r="Y900" s="591"/>
    </row>
    <row r="901" spans="1:25" ht="14.85" customHeight="1">
      <c r="A901" s="619"/>
      <c r="B901" s="586"/>
      <c r="C901" s="259"/>
      <c r="D901" s="621"/>
      <c r="E901" s="376"/>
      <c r="F901" s="254"/>
      <c r="G901" s="224"/>
      <c r="H901" s="224"/>
      <c r="I901" s="155"/>
      <c r="J901" s="276"/>
      <c r="K901" s="311">
        <f t="shared" si="250"/>
        <v>0</v>
      </c>
      <c r="L901" s="312">
        <f t="shared" si="251"/>
        <v>0</v>
      </c>
      <c r="M901" s="313">
        <f t="shared" si="252"/>
        <v>0</v>
      </c>
      <c r="N901" s="320"/>
      <c r="O901" s="315">
        <f t="shared" si="255"/>
        <v>0</v>
      </c>
      <c r="P901" s="315">
        <f t="shared" si="256"/>
        <v>0</v>
      </c>
      <c r="Q901" s="320"/>
      <c r="R901" s="315">
        <f t="shared" si="253"/>
        <v>0</v>
      </c>
      <c r="S901" s="315">
        <f t="shared" si="254"/>
        <v>0</v>
      </c>
      <c r="T901" s="213"/>
      <c r="U901" s="213"/>
      <c r="V901" s="213"/>
      <c r="W901" s="213"/>
      <c r="X901" s="591"/>
      <c r="Y901" s="591"/>
    </row>
    <row r="902" spans="1:25" ht="14.85" customHeight="1">
      <c r="A902" s="619"/>
      <c r="B902" s="586"/>
      <c r="C902" s="259"/>
      <c r="D902" s="621"/>
      <c r="E902" s="376"/>
      <c r="F902" s="254"/>
      <c r="G902" s="224"/>
      <c r="H902" s="224"/>
      <c r="I902" s="155"/>
      <c r="J902" s="276"/>
      <c r="K902" s="311">
        <f t="shared" si="250"/>
        <v>0</v>
      </c>
      <c r="L902" s="312">
        <f t="shared" si="251"/>
        <v>0</v>
      </c>
      <c r="M902" s="313">
        <f t="shared" si="252"/>
        <v>0</v>
      </c>
      <c r="N902" s="320">
        <f>SUM(L900:L902)</f>
        <v>0</v>
      </c>
      <c r="O902" s="315">
        <f t="shared" si="255"/>
        <v>0</v>
      </c>
      <c r="P902" s="315">
        <f t="shared" si="256"/>
        <v>0</v>
      </c>
      <c r="Q902" s="320"/>
      <c r="R902" s="315">
        <f t="shared" si="253"/>
        <v>0</v>
      </c>
      <c r="S902" s="315">
        <f t="shared" si="254"/>
        <v>0</v>
      </c>
      <c r="T902" s="213"/>
      <c r="U902" s="213"/>
      <c r="V902" s="213"/>
      <c r="W902" s="213"/>
      <c r="X902" s="591"/>
      <c r="Y902" s="591"/>
    </row>
    <row r="903" spans="1:25" ht="14.85" customHeight="1">
      <c r="A903" s="619"/>
      <c r="B903" s="586"/>
      <c r="C903" s="259"/>
      <c r="D903" s="621"/>
      <c r="E903" s="156"/>
      <c r="F903" s="254"/>
      <c r="G903" s="254"/>
      <c r="H903" s="154"/>
      <c r="I903" s="155"/>
      <c r="J903" s="270"/>
      <c r="K903" s="311">
        <f t="shared" si="250"/>
        <v>0</v>
      </c>
      <c r="L903" s="312">
        <f t="shared" si="251"/>
        <v>0</v>
      </c>
      <c r="M903" s="313">
        <f t="shared" si="252"/>
        <v>0</v>
      </c>
      <c r="N903" s="320"/>
      <c r="O903" s="315">
        <f t="shared" si="255"/>
        <v>0</v>
      </c>
      <c r="P903" s="315">
        <f t="shared" si="256"/>
        <v>0</v>
      </c>
      <c r="Q903" s="320"/>
      <c r="R903" s="315">
        <f t="shared" si="253"/>
        <v>0</v>
      </c>
      <c r="S903" s="315">
        <f t="shared" si="254"/>
        <v>0</v>
      </c>
      <c r="T903" s="213"/>
      <c r="U903" s="213"/>
      <c r="V903" s="213"/>
      <c r="W903" s="213"/>
      <c r="X903" s="591"/>
      <c r="Y903" s="591"/>
    </row>
    <row r="904" spans="1:25" ht="14.85" customHeight="1">
      <c r="A904" s="619"/>
      <c r="B904" s="586"/>
      <c r="C904" s="259"/>
      <c r="D904" s="621"/>
      <c r="E904" s="156"/>
      <c r="F904" s="254"/>
      <c r="G904" s="254"/>
      <c r="H904" s="154"/>
      <c r="I904" s="155"/>
      <c r="J904" s="270"/>
      <c r="K904" s="311">
        <f t="shared" si="250"/>
        <v>0</v>
      </c>
      <c r="L904" s="312">
        <f t="shared" si="251"/>
        <v>0</v>
      </c>
      <c r="M904" s="313">
        <f t="shared" si="252"/>
        <v>0</v>
      </c>
      <c r="N904" s="320"/>
      <c r="O904" s="315">
        <f t="shared" si="255"/>
        <v>0</v>
      </c>
      <c r="P904" s="315">
        <f t="shared" si="256"/>
        <v>0</v>
      </c>
      <c r="Q904" s="320"/>
      <c r="R904" s="315">
        <f t="shared" si="253"/>
        <v>0</v>
      </c>
      <c r="S904" s="315">
        <f t="shared" si="254"/>
        <v>0</v>
      </c>
      <c r="T904" s="213"/>
      <c r="U904" s="213"/>
      <c r="V904" s="213"/>
      <c r="W904" s="213"/>
      <c r="X904" s="591"/>
      <c r="Y904" s="591"/>
    </row>
    <row r="905" spans="1:25" ht="14.85" customHeight="1">
      <c r="A905" s="619"/>
      <c r="B905" s="586"/>
      <c r="C905" s="259"/>
      <c r="D905" s="621"/>
      <c r="E905" s="156"/>
      <c r="F905" s="254"/>
      <c r="G905" s="254"/>
      <c r="H905" s="154"/>
      <c r="I905" s="155"/>
      <c r="J905" s="270"/>
      <c r="K905" s="311">
        <f t="shared" si="250"/>
        <v>0</v>
      </c>
      <c r="L905" s="312">
        <f t="shared" si="251"/>
        <v>0</v>
      </c>
      <c r="M905" s="313">
        <f t="shared" si="252"/>
        <v>0</v>
      </c>
      <c r="N905" s="320"/>
      <c r="O905" s="315">
        <f t="shared" si="255"/>
        <v>0</v>
      </c>
      <c r="P905" s="315">
        <f t="shared" si="256"/>
        <v>0</v>
      </c>
      <c r="Q905" s="320"/>
      <c r="R905" s="315">
        <f t="shared" si="253"/>
        <v>0</v>
      </c>
      <c r="S905" s="315">
        <f t="shared" si="254"/>
        <v>0</v>
      </c>
      <c r="T905" s="213"/>
      <c r="U905" s="213"/>
      <c r="V905" s="213"/>
      <c r="W905" s="213"/>
      <c r="X905" s="591"/>
      <c r="Y905" s="591"/>
    </row>
    <row r="906" spans="1:25" ht="14.85" customHeight="1">
      <c r="A906" s="619"/>
      <c r="B906" s="586"/>
      <c r="C906" s="259"/>
      <c r="D906" s="621"/>
      <c r="E906" s="156"/>
      <c r="F906" s="254"/>
      <c r="G906" s="254"/>
      <c r="H906" s="154"/>
      <c r="I906" s="155"/>
      <c r="J906" s="270"/>
      <c r="K906" s="311">
        <f t="shared" si="250"/>
        <v>0</v>
      </c>
      <c r="L906" s="312">
        <f t="shared" si="251"/>
        <v>0</v>
      </c>
      <c r="M906" s="313">
        <f t="shared" si="252"/>
        <v>0</v>
      </c>
      <c r="N906" s="320">
        <f>SUM(L903:L906)</f>
        <v>0</v>
      </c>
      <c r="O906" s="315">
        <f t="shared" si="255"/>
        <v>0</v>
      </c>
      <c r="P906" s="315">
        <f t="shared" si="256"/>
        <v>0</v>
      </c>
      <c r="Q906" s="320">
        <f>N902+N906</f>
        <v>0</v>
      </c>
      <c r="R906" s="315">
        <f t="shared" si="253"/>
        <v>0</v>
      </c>
      <c r="S906" s="315">
        <f t="shared" si="254"/>
        <v>0</v>
      </c>
      <c r="T906" s="213"/>
      <c r="U906" s="213"/>
      <c r="V906" s="213"/>
      <c r="W906" s="213"/>
      <c r="X906" s="591"/>
      <c r="Y906" s="591"/>
    </row>
    <row r="907" spans="1:25" ht="14.85" customHeight="1">
      <c r="A907" s="619"/>
      <c r="B907" s="586"/>
      <c r="C907" s="259"/>
      <c r="D907" s="621"/>
      <c r="E907" s="156"/>
      <c r="F907" s="254"/>
      <c r="G907" s="254"/>
      <c r="H907" s="154"/>
      <c r="I907" s="155"/>
      <c r="J907" s="270"/>
      <c r="K907" s="311"/>
      <c r="L907" s="312"/>
      <c r="M907" s="313"/>
      <c r="N907" s="320"/>
      <c r="O907" s="315"/>
      <c r="P907" s="315"/>
      <c r="Q907" s="320"/>
      <c r="R907" s="315">
        <f t="shared" si="253"/>
        <v>0</v>
      </c>
      <c r="S907" s="315">
        <f t="shared" si="254"/>
        <v>0</v>
      </c>
      <c r="T907" s="213"/>
      <c r="U907" s="213"/>
      <c r="V907" s="213"/>
      <c r="W907" s="213"/>
      <c r="X907" s="591"/>
      <c r="Y907" s="591"/>
    </row>
    <row r="908" spans="1:25" ht="14.85" customHeight="1">
      <c r="A908" s="619"/>
      <c r="B908" s="586"/>
      <c r="C908" s="259"/>
      <c r="D908" s="621"/>
      <c r="E908" s="375"/>
      <c r="F908" s="254"/>
      <c r="G908" s="219"/>
      <c r="H908" s="219"/>
      <c r="I908" s="155"/>
      <c r="J908" s="276"/>
      <c r="K908" s="311">
        <f t="shared" si="250"/>
        <v>0</v>
      </c>
      <c r="L908" s="312">
        <f t="shared" si="251"/>
        <v>0</v>
      </c>
      <c r="M908" s="313">
        <f t="shared" si="252"/>
        <v>0</v>
      </c>
      <c r="N908" s="320"/>
      <c r="O908" s="315">
        <f t="shared" si="255"/>
        <v>0</v>
      </c>
      <c r="P908" s="315">
        <f t="shared" si="256"/>
        <v>0</v>
      </c>
      <c r="Q908" s="320"/>
      <c r="R908" s="315">
        <f t="shared" si="253"/>
        <v>0</v>
      </c>
      <c r="S908" s="315">
        <f t="shared" si="254"/>
        <v>0</v>
      </c>
      <c r="T908" s="213"/>
      <c r="U908" s="213"/>
      <c r="V908" s="213"/>
      <c r="W908" s="213"/>
      <c r="X908" s="591"/>
      <c r="Y908" s="591"/>
    </row>
    <row r="909" spans="1:25" ht="14.85" customHeight="1">
      <c r="A909" s="619"/>
      <c r="B909" s="586"/>
      <c r="C909" s="259"/>
      <c r="D909" s="621"/>
      <c r="E909" s="376"/>
      <c r="F909" s="254"/>
      <c r="G909" s="219"/>
      <c r="H909" s="219"/>
      <c r="I909" s="155"/>
      <c r="J909" s="276"/>
      <c r="K909" s="311">
        <f t="shared" si="250"/>
        <v>0</v>
      </c>
      <c r="L909" s="312">
        <f t="shared" si="251"/>
        <v>0</v>
      </c>
      <c r="M909" s="313">
        <f t="shared" si="252"/>
        <v>0</v>
      </c>
      <c r="N909" s="320"/>
      <c r="O909" s="315">
        <f t="shared" si="255"/>
        <v>0</v>
      </c>
      <c r="P909" s="315">
        <f t="shared" si="256"/>
        <v>0</v>
      </c>
      <c r="Q909" s="320"/>
      <c r="R909" s="315">
        <f t="shared" si="253"/>
        <v>0</v>
      </c>
      <c r="S909" s="315">
        <f t="shared" si="254"/>
        <v>0</v>
      </c>
      <c r="T909" s="213"/>
      <c r="U909" s="213"/>
      <c r="V909" s="213"/>
      <c r="W909" s="213"/>
      <c r="X909" s="591"/>
      <c r="Y909" s="591"/>
    </row>
    <row r="910" spans="1:25" ht="14.85" customHeight="1">
      <c r="A910" s="619"/>
      <c r="B910" s="586"/>
      <c r="C910" s="259"/>
      <c r="D910" s="621"/>
      <c r="E910" s="376"/>
      <c r="F910" s="254"/>
      <c r="G910" s="219"/>
      <c r="H910" s="219"/>
      <c r="I910" s="155"/>
      <c r="J910" s="276"/>
      <c r="K910" s="311">
        <f t="shared" si="250"/>
        <v>0</v>
      </c>
      <c r="L910" s="312">
        <f t="shared" si="251"/>
        <v>0</v>
      </c>
      <c r="M910" s="313">
        <f t="shared" si="252"/>
        <v>0</v>
      </c>
      <c r="N910" s="320"/>
      <c r="O910" s="315">
        <f t="shared" si="255"/>
        <v>0</v>
      </c>
      <c r="P910" s="315">
        <f t="shared" si="256"/>
        <v>0</v>
      </c>
      <c r="Q910" s="320"/>
      <c r="R910" s="315">
        <f t="shared" si="253"/>
        <v>0</v>
      </c>
      <c r="S910" s="315">
        <f t="shared" si="254"/>
        <v>0</v>
      </c>
      <c r="T910" s="213"/>
      <c r="U910" s="213"/>
      <c r="V910" s="213"/>
      <c r="W910" s="213"/>
      <c r="X910" s="591"/>
      <c r="Y910" s="591"/>
    </row>
    <row r="911" spans="1:25" ht="14.85" customHeight="1">
      <c r="A911" s="619"/>
      <c r="B911" s="586"/>
      <c r="C911" s="259"/>
      <c r="D911" s="621"/>
      <c r="E911" s="376"/>
      <c r="F911" s="254"/>
      <c r="G911" s="219"/>
      <c r="H911" s="219"/>
      <c r="I911" s="155"/>
      <c r="J911" s="276"/>
      <c r="K911" s="311">
        <f t="shared" si="250"/>
        <v>0</v>
      </c>
      <c r="L911" s="312">
        <f t="shared" si="251"/>
        <v>0</v>
      </c>
      <c r="M911" s="313">
        <f t="shared" si="252"/>
        <v>0</v>
      </c>
      <c r="N911" s="320"/>
      <c r="O911" s="315">
        <f t="shared" si="255"/>
        <v>0</v>
      </c>
      <c r="P911" s="315">
        <f t="shared" si="256"/>
        <v>0</v>
      </c>
      <c r="Q911" s="320"/>
      <c r="R911" s="315">
        <f t="shared" si="253"/>
        <v>0</v>
      </c>
      <c r="S911" s="315">
        <f t="shared" si="254"/>
        <v>0</v>
      </c>
      <c r="T911" s="213"/>
      <c r="U911" s="213"/>
      <c r="V911" s="213"/>
      <c r="W911" s="213"/>
      <c r="X911" s="591"/>
      <c r="Y911" s="591"/>
    </row>
    <row r="912" spans="1:25" ht="14.85" customHeight="1">
      <c r="A912" s="619"/>
      <c r="B912" s="586"/>
      <c r="C912" s="259"/>
      <c r="D912" s="621"/>
      <c r="E912" s="376"/>
      <c r="F912" s="254"/>
      <c r="G912" s="219"/>
      <c r="H912" s="219"/>
      <c r="I912" s="155"/>
      <c r="J912" s="276"/>
      <c r="K912" s="311">
        <f t="shared" si="250"/>
        <v>0</v>
      </c>
      <c r="L912" s="312">
        <f t="shared" si="251"/>
        <v>0</v>
      </c>
      <c r="M912" s="313">
        <f t="shared" si="252"/>
        <v>0</v>
      </c>
      <c r="N912" s="320"/>
      <c r="O912" s="315">
        <f t="shared" si="255"/>
        <v>0</v>
      </c>
      <c r="P912" s="315">
        <f t="shared" si="256"/>
        <v>0</v>
      </c>
      <c r="Q912" s="320"/>
      <c r="R912" s="315">
        <f t="shared" si="253"/>
        <v>0</v>
      </c>
      <c r="S912" s="315">
        <f t="shared" si="254"/>
        <v>0</v>
      </c>
      <c r="T912" s="213"/>
      <c r="U912" s="213"/>
      <c r="V912" s="213"/>
      <c r="W912" s="213"/>
      <c r="X912" s="591"/>
      <c r="Y912" s="591"/>
    </row>
    <row r="913" spans="1:25" ht="14.85" customHeight="1">
      <c r="A913" s="619"/>
      <c r="B913" s="586"/>
      <c r="C913" s="259"/>
      <c r="D913" s="621"/>
      <c r="E913" s="376"/>
      <c r="F913" s="254"/>
      <c r="G913" s="219"/>
      <c r="H913" s="219"/>
      <c r="I913" s="155"/>
      <c r="J913" s="276"/>
      <c r="K913" s="311">
        <f t="shared" ref="K913:K951" si="257">J913/$K$11</f>
        <v>0</v>
      </c>
      <c r="L913" s="312">
        <f t="shared" ref="L913:L951" si="258">J913/$L$11</f>
        <v>0</v>
      </c>
      <c r="M913" s="313">
        <f t="shared" ref="M913:M951" si="259">ROUND((L913/$M$11),0)</f>
        <v>0</v>
      </c>
      <c r="N913" s="320"/>
      <c r="O913" s="315">
        <f t="shared" si="255"/>
        <v>0</v>
      </c>
      <c r="P913" s="315">
        <f t="shared" si="256"/>
        <v>0</v>
      </c>
      <c r="Q913" s="320"/>
      <c r="R913" s="315">
        <f t="shared" si="253"/>
        <v>0</v>
      </c>
      <c r="S913" s="315">
        <f t="shared" si="254"/>
        <v>0</v>
      </c>
      <c r="T913" s="213"/>
      <c r="U913" s="213"/>
      <c r="V913" s="213"/>
      <c r="W913" s="213"/>
      <c r="X913" s="591"/>
      <c r="Y913" s="591"/>
    </row>
    <row r="914" spans="1:25" ht="14.85" customHeight="1">
      <c r="A914" s="619"/>
      <c r="B914" s="586"/>
      <c r="C914" s="259"/>
      <c r="D914" s="621"/>
      <c r="E914" s="376"/>
      <c r="F914" s="254"/>
      <c r="G914" s="219"/>
      <c r="H914" s="219"/>
      <c r="I914" s="155"/>
      <c r="J914" s="276"/>
      <c r="K914" s="311">
        <f t="shared" si="257"/>
        <v>0</v>
      </c>
      <c r="L914" s="312">
        <f t="shared" si="258"/>
        <v>0</v>
      </c>
      <c r="M914" s="313">
        <f t="shared" si="259"/>
        <v>0</v>
      </c>
      <c r="N914" s="320">
        <f>SUM(L908:L914)</f>
        <v>0</v>
      </c>
      <c r="O914" s="315">
        <f t="shared" si="255"/>
        <v>0</v>
      </c>
      <c r="P914" s="315">
        <f t="shared" si="256"/>
        <v>0</v>
      </c>
      <c r="Q914" s="320"/>
      <c r="R914" s="315">
        <f t="shared" si="253"/>
        <v>0</v>
      </c>
      <c r="S914" s="315">
        <f t="shared" si="254"/>
        <v>0</v>
      </c>
      <c r="T914" s="213"/>
      <c r="U914" s="213"/>
      <c r="V914" s="213"/>
      <c r="W914" s="213"/>
      <c r="X914" s="591"/>
      <c r="Y914" s="591"/>
    </row>
    <row r="915" spans="1:25" ht="14.85" customHeight="1">
      <c r="A915" s="619"/>
      <c r="B915" s="586"/>
      <c r="C915" s="259"/>
      <c r="D915" s="621"/>
      <c r="E915" s="156"/>
      <c r="F915" s="254"/>
      <c r="G915" s="254"/>
      <c r="H915" s="154"/>
      <c r="I915" s="155"/>
      <c r="J915" s="276"/>
      <c r="K915" s="311">
        <f t="shared" si="257"/>
        <v>0</v>
      </c>
      <c r="L915" s="312">
        <f t="shared" si="258"/>
        <v>0</v>
      </c>
      <c r="M915" s="313">
        <f t="shared" si="259"/>
        <v>0</v>
      </c>
      <c r="N915" s="320"/>
      <c r="O915" s="315">
        <f t="shared" si="255"/>
        <v>0</v>
      </c>
      <c r="P915" s="315">
        <f t="shared" si="256"/>
        <v>0</v>
      </c>
      <c r="Q915" s="320"/>
      <c r="R915" s="315">
        <f t="shared" si="253"/>
        <v>0</v>
      </c>
      <c r="S915" s="315">
        <f t="shared" si="254"/>
        <v>0</v>
      </c>
      <c r="T915" s="213"/>
      <c r="U915" s="213"/>
      <c r="V915" s="213"/>
      <c r="W915" s="213"/>
      <c r="X915" s="591"/>
      <c r="Y915" s="591"/>
    </row>
    <row r="916" spans="1:25" ht="14.85" customHeight="1">
      <c r="A916" s="619"/>
      <c r="B916" s="586"/>
      <c r="C916" s="259"/>
      <c r="D916" s="621"/>
      <c r="E916" s="156"/>
      <c r="F916" s="254"/>
      <c r="G916" s="254"/>
      <c r="H916" s="154"/>
      <c r="I916" s="155"/>
      <c r="J916" s="276"/>
      <c r="K916" s="311">
        <f t="shared" si="257"/>
        <v>0</v>
      </c>
      <c r="L916" s="312">
        <f t="shared" si="258"/>
        <v>0</v>
      </c>
      <c r="M916" s="313">
        <f t="shared" si="259"/>
        <v>0</v>
      </c>
      <c r="N916" s="320"/>
      <c r="O916" s="315">
        <f t="shared" si="255"/>
        <v>0</v>
      </c>
      <c r="P916" s="315">
        <f t="shared" si="256"/>
        <v>0</v>
      </c>
      <c r="Q916" s="320"/>
      <c r="R916" s="315">
        <f t="shared" si="253"/>
        <v>0</v>
      </c>
      <c r="S916" s="315">
        <f t="shared" si="254"/>
        <v>0</v>
      </c>
      <c r="T916" s="213"/>
      <c r="U916" s="213"/>
      <c r="V916" s="213"/>
      <c r="W916" s="213"/>
      <c r="X916" s="591"/>
      <c r="Y916" s="591"/>
    </row>
    <row r="917" spans="1:25" ht="14.85" customHeight="1">
      <c r="A917" s="619"/>
      <c r="B917" s="586"/>
      <c r="C917" s="259"/>
      <c r="D917" s="621"/>
      <c r="E917" s="156"/>
      <c r="F917" s="254"/>
      <c r="G917" s="254"/>
      <c r="H917" s="154"/>
      <c r="I917" s="155"/>
      <c r="J917" s="276"/>
      <c r="K917" s="311">
        <f t="shared" si="257"/>
        <v>0</v>
      </c>
      <c r="L917" s="312">
        <f t="shared" si="258"/>
        <v>0</v>
      </c>
      <c r="M917" s="313">
        <f t="shared" si="259"/>
        <v>0</v>
      </c>
      <c r="N917" s="320"/>
      <c r="O917" s="315">
        <f t="shared" si="255"/>
        <v>0</v>
      </c>
      <c r="P917" s="315">
        <f t="shared" si="256"/>
        <v>0</v>
      </c>
      <c r="Q917" s="320"/>
      <c r="R917" s="315">
        <f t="shared" si="253"/>
        <v>0</v>
      </c>
      <c r="S917" s="315">
        <f t="shared" si="254"/>
        <v>0</v>
      </c>
      <c r="T917" s="213"/>
      <c r="U917" s="213"/>
      <c r="V917" s="213"/>
      <c r="W917" s="213"/>
      <c r="X917" s="591"/>
      <c r="Y917" s="591"/>
    </row>
    <row r="918" spans="1:25" ht="14.85" customHeight="1">
      <c r="A918" s="619"/>
      <c r="B918" s="586"/>
      <c r="C918" s="259"/>
      <c r="D918" s="621"/>
      <c r="E918" s="156"/>
      <c r="F918" s="254"/>
      <c r="G918" s="254"/>
      <c r="H918" s="154"/>
      <c r="I918" s="155"/>
      <c r="J918" s="276"/>
      <c r="K918" s="311">
        <f t="shared" si="257"/>
        <v>0</v>
      </c>
      <c r="L918" s="312">
        <f t="shared" si="258"/>
        <v>0</v>
      </c>
      <c r="M918" s="313">
        <f t="shared" si="259"/>
        <v>0</v>
      </c>
      <c r="N918" s="320">
        <f>SUM(L915:L918)</f>
        <v>0</v>
      </c>
      <c r="O918" s="315">
        <f t="shared" si="255"/>
        <v>0</v>
      </c>
      <c r="P918" s="315">
        <f t="shared" si="256"/>
        <v>0</v>
      </c>
      <c r="Q918" s="320"/>
      <c r="R918" s="315">
        <f t="shared" si="253"/>
        <v>0</v>
      </c>
      <c r="S918" s="315">
        <f t="shared" si="254"/>
        <v>0</v>
      </c>
      <c r="T918" s="213"/>
      <c r="U918" s="213"/>
      <c r="V918" s="213"/>
      <c r="W918" s="213"/>
      <c r="X918" s="591"/>
      <c r="Y918" s="591"/>
    </row>
    <row r="919" spans="1:25" ht="14.85" customHeight="1">
      <c r="A919" s="619"/>
      <c r="B919" s="586"/>
      <c r="C919" s="259"/>
      <c r="D919" s="621"/>
      <c r="E919" s="156"/>
      <c r="F919" s="254"/>
      <c r="G919" s="224"/>
      <c r="H919" s="224"/>
      <c r="I919" s="155"/>
      <c r="J919" s="276"/>
      <c r="K919" s="311">
        <f t="shared" si="257"/>
        <v>0</v>
      </c>
      <c r="L919" s="312">
        <f t="shared" si="258"/>
        <v>0</v>
      </c>
      <c r="M919" s="313">
        <f t="shared" si="259"/>
        <v>0</v>
      </c>
      <c r="N919" s="320"/>
      <c r="O919" s="315">
        <f t="shared" si="255"/>
        <v>0</v>
      </c>
      <c r="P919" s="315">
        <f t="shared" si="256"/>
        <v>0</v>
      </c>
      <c r="Q919" s="320"/>
      <c r="R919" s="315">
        <f t="shared" si="253"/>
        <v>0</v>
      </c>
      <c r="S919" s="315">
        <f t="shared" si="254"/>
        <v>0</v>
      </c>
      <c r="T919" s="213"/>
      <c r="U919" s="213"/>
      <c r="V919" s="213"/>
      <c r="W919" s="213"/>
      <c r="X919" s="591"/>
      <c r="Y919" s="591"/>
    </row>
    <row r="920" spans="1:25" ht="14.85" customHeight="1">
      <c r="A920" s="619"/>
      <c r="B920" s="586"/>
      <c r="C920" s="259"/>
      <c r="D920" s="621"/>
      <c r="E920" s="156"/>
      <c r="F920" s="254"/>
      <c r="G920" s="224"/>
      <c r="H920" s="224"/>
      <c r="I920" s="155"/>
      <c r="J920" s="276"/>
      <c r="K920" s="311">
        <f t="shared" si="257"/>
        <v>0</v>
      </c>
      <c r="L920" s="312">
        <f t="shared" si="258"/>
        <v>0</v>
      </c>
      <c r="M920" s="313">
        <f t="shared" si="259"/>
        <v>0</v>
      </c>
      <c r="N920" s="320"/>
      <c r="O920" s="315">
        <f t="shared" si="255"/>
        <v>0</v>
      </c>
      <c r="P920" s="315">
        <f t="shared" si="256"/>
        <v>0</v>
      </c>
      <c r="Q920" s="320"/>
      <c r="R920" s="315">
        <f t="shared" si="253"/>
        <v>0</v>
      </c>
      <c r="S920" s="315">
        <f t="shared" si="254"/>
        <v>0</v>
      </c>
      <c r="T920" s="213"/>
      <c r="U920" s="213"/>
      <c r="V920" s="213"/>
      <c r="W920" s="213"/>
      <c r="X920" s="591"/>
      <c r="Y920" s="591"/>
    </row>
    <row r="921" spans="1:25" ht="14.85" customHeight="1">
      <c r="A921" s="619"/>
      <c r="B921" s="586"/>
      <c r="C921" s="259"/>
      <c r="D921" s="621"/>
      <c r="E921" s="156"/>
      <c r="F921" s="254"/>
      <c r="G921" s="224"/>
      <c r="H921" s="224"/>
      <c r="I921" s="155"/>
      <c r="J921" s="276"/>
      <c r="K921" s="311">
        <f t="shared" si="257"/>
        <v>0</v>
      </c>
      <c r="L921" s="312">
        <f t="shared" si="258"/>
        <v>0</v>
      </c>
      <c r="M921" s="313">
        <f t="shared" si="259"/>
        <v>0</v>
      </c>
      <c r="N921" s="320"/>
      <c r="O921" s="315">
        <f t="shared" si="255"/>
        <v>0</v>
      </c>
      <c r="P921" s="315">
        <f t="shared" si="256"/>
        <v>0</v>
      </c>
      <c r="Q921" s="320"/>
      <c r="R921" s="315">
        <f t="shared" si="253"/>
        <v>0</v>
      </c>
      <c r="S921" s="315">
        <f t="shared" si="254"/>
        <v>0</v>
      </c>
      <c r="T921" s="213"/>
      <c r="U921" s="213"/>
      <c r="V921" s="213"/>
      <c r="W921" s="213"/>
      <c r="X921" s="591"/>
      <c r="Y921" s="591"/>
    </row>
    <row r="922" spans="1:25" ht="14.85" customHeight="1">
      <c r="A922" s="619"/>
      <c r="B922" s="586"/>
      <c r="C922" s="259"/>
      <c r="D922" s="621"/>
      <c r="E922" s="156"/>
      <c r="F922" s="254"/>
      <c r="G922" s="224"/>
      <c r="H922" s="224"/>
      <c r="I922" s="155"/>
      <c r="J922" s="276"/>
      <c r="K922" s="311">
        <f t="shared" si="257"/>
        <v>0</v>
      </c>
      <c r="L922" s="312">
        <f t="shared" si="258"/>
        <v>0</v>
      </c>
      <c r="M922" s="313">
        <f t="shared" si="259"/>
        <v>0</v>
      </c>
      <c r="N922" s="320"/>
      <c r="O922" s="315">
        <f t="shared" si="255"/>
        <v>0</v>
      </c>
      <c r="P922" s="315">
        <f t="shared" si="256"/>
        <v>0</v>
      </c>
      <c r="Q922" s="320"/>
      <c r="R922" s="315">
        <f t="shared" si="253"/>
        <v>0</v>
      </c>
      <c r="S922" s="315">
        <f t="shared" si="254"/>
        <v>0</v>
      </c>
      <c r="T922" s="213"/>
      <c r="U922" s="213"/>
      <c r="V922" s="213"/>
      <c r="W922" s="213"/>
      <c r="X922" s="591"/>
      <c r="Y922" s="591"/>
    </row>
    <row r="923" spans="1:25" ht="14.85" customHeight="1">
      <c r="A923" s="619"/>
      <c r="B923" s="586"/>
      <c r="C923" s="259"/>
      <c r="D923" s="621"/>
      <c r="E923" s="156"/>
      <c r="F923" s="254"/>
      <c r="G923" s="224"/>
      <c r="H923" s="224"/>
      <c r="I923" s="155"/>
      <c r="J923" s="276"/>
      <c r="K923" s="311">
        <f t="shared" si="257"/>
        <v>0</v>
      </c>
      <c r="L923" s="312">
        <f t="shared" si="258"/>
        <v>0</v>
      </c>
      <c r="M923" s="313">
        <f t="shared" si="259"/>
        <v>0</v>
      </c>
      <c r="N923" s="320"/>
      <c r="O923" s="315">
        <f t="shared" si="255"/>
        <v>0</v>
      </c>
      <c r="P923" s="315">
        <f t="shared" si="256"/>
        <v>0</v>
      </c>
      <c r="Q923" s="320"/>
      <c r="R923" s="315">
        <f t="shared" si="253"/>
        <v>0</v>
      </c>
      <c r="S923" s="315">
        <f t="shared" si="254"/>
        <v>0</v>
      </c>
      <c r="T923" s="213"/>
      <c r="U923" s="213"/>
      <c r="V923" s="213"/>
      <c r="W923" s="213"/>
      <c r="X923" s="591"/>
      <c r="Y923" s="591"/>
    </row>
    <row r="924" spans="1:25" ht="14.85" customHeight="1">
      <c r="A924" s="619"/>
      <c r="B924" s="586"/>
      <c r="C924" s="259"/>
      <c r="D924" s="621"/>
      <c r="E924" s="156"/>
      <c r="F924" s="254"/>
      <c r="G924" s="224"/>
      <c r="H924" s="224"/>
      <c r="I924" s="155"/>
      <c r="J924" s="276"/>
      <c r="K924" s="311">
        <f t="shared" si="257"/>
        <v>0</v>
      </c>
      <c r="L924" s="312">
        <f t="shared" si="258"/>
        <v>0</v>
      </c>
      <c r="M924" s="313">
        <f t="shared" si="259"/>
        <v>0</v>
      </c>
      <c r="N924" s="320"/>
      <c r="O924" s="315">
        <f t="shared" si="255"/>
        <v>0</v>
      </c>
      <c r="P924" s="315">
        <f t="shared" si="256"/>
        <v>0</v>
      </c>
      <c r="Q924" s="320"/>
      <c r="R924" s="315">
        <f t="shared" si="253"/>
        <v>0</v>
      </c>
      <c r="S924" s="315">
        <f t="shared" si="254"/>
        <v>0</v>
      </c>
      <c r="T924" s="213"/>
      <c r="U924" s="213"/>
      <c r="V924" s="213"/>
      <c r="W924" s="213"/>
      <c r="X924" s="591"/>
      <c r="Y924" s="591"/>
    </row>
    <row r="925" spans="1:25" ht="14.85" customHeight="1">
      <c r="A925" s="619"/>
      <c r="B925" s="586"/>
      <c r="C925" s="259"/>
      <c r="D925" s="621"/>
      <c r="E925" s="156"/>
      <c r="F925" s="254"/>
      <c r="G925" s="224"/>
      <c r="H925" s="224"/>
      <c r="I925" s="155"/>
      <c r="J925" s="276"/>
      <c r="K925" s="311">
        <f t="shared" si="257"/>
        <v>0</v>
      </c>
      <c r="L925" s="312">
        <f t="shared" si="258"/>
        <v>0</v>
      </c>
      <c r="M925" s="313">
        <f t="shared" si="259"/>
        <v>0</v>
      </c>
      <c r="N925" s="320"/>
      <c r="O925" s="315">
        <f t="shared" si="255"/>
        <v>0</v>
      </c>
      <c r="P925" s="315">
        <f t="shared" si="256"/>
        <v>0</v>
      </c>
      <c r="Q925" s="320"/>
      <c r="R925" s="315">
        <f t="shared" si="253"/>
        <v>0</v>
      </c>
      <c r="S925" s="315">
        <f t="shared" si="254"/>
        <v>0</v>
      </c>
      <c r="T925" s="213"/>
      <c r="U925" s="213"/>
      <c r="V925" s="213"/>
      <c r="W925" s="213"/>
      <c r="X925" s="591"/>
      <c r="Y925" s="591"/>
    </row>
    <row r="926" spans="1:25" ht="14.85" customHeight="1">
      <c r="A926" s="619"/>
      <c r="B926" s="586"/>
      <c r="C926" s="259"/>
      <c r="D926" s="621"/>
      <c r="E926" s="156"/>
      <c r="F926" s="254"/>
      <c r="G926" s="224"/>
      <c r="H926" s="224"/>
      <c r="I926" s="155"/>
      <c r="J926" s="276"/>
      <c r="K926" s="311">
        <f t="shared" si="257"/>
        <v>0</v>
      </c>
      <c r="L926" s="312">
        <f t="shared" si="258"/>
        <v>0</v>
      </c>
      <c r="M926" s="313">
        <f t="shared" si="259"/>
        <v>0</v>
      </c>
      <c r="N926" s="320">
        <f>SUM(L919:L926)</f>
        <v>0</v>
      </c>
      <c r="O926" s="315">
        <f t="shared" si="255"/>
        <v>0</v>
      </c>
      <c r="P926" s="315">
        <f t="shared" si="256"/>
        <v>0</v>
      </c>
      <c r="Q926" s="320"/>
      <c r="R926" s="315">
        <f t="shared" si="253"/>
        <v>0</v>
      </c>
      <c r="S926" s="315">
        <f t="shared" si="254"/>
        <v>0</v>
      </c>
      <c r="T926" s="213"/>
      <c r="U926" s="213"/>
      <c r="V926" s="213"/>
      <c r="W926" s="213"/>
      <c r="X926" s="591"/>
      <c r="Y926" s="591"/>
    </row>
    <row r="927" spans="1:25" ht="14.85" customHeight="1">
      <c r="A927" s="619"/>
      <c r="B927" s="586"/>
      <c r="C927" s="259"/>
      <c r="D927" s="621"/>
      <c r="E927" s="157"/>
      <c r="F927" s="154"/>
      <c r="G927" s="254"/>
      <c r="H927" s="154"/>
      <c r="I927" s="154"/>
      <c r="J927" s="270"/>
      <c r="K927" s="311">
        <f t="shared" si="257"/>
        <v>0</v>
      </c>
      <c r="L927" s="312">
        <f t="shared" si="258"/>
        <v>0</v>
      </c>
      <c r="M927" s="313">
        <f t="shared" si="259"/>
        <v>0</v>
      </c>
      <c r="N927" s="320"/>
      <c r="O927" s="315">
        <f t="shared" si="255"/>
        <v>0</v>
      </c>
      <c r="P927" s="315">
        <f t="shared" si="256"/>
        <v>0</v>
      </c>
      <c r="Q927" s="320"/>
      <c r="R927" s="315">
        <f t="shared" si="253"/>
        <v>0</v>
      </c>
      <c r="S927" s="315">
        <f t="shared" si="254"/>
        <v>0</v>
      </c>
      <c r="T927" s="213"/>
      <c r="U927" s="213"/>
      <c r="V927" s="213"/>
      <c r="W927" s="213"/>
      <c r="X927" s="591"/>
      <c r="Y927" s="591"/>
    </row>
    <row r="928" spans="1:25" ht="14.85" customHeight="1">
      <c r="A928" s="619"/>
      <c r="B928" s="586"/>
      <c r="C928" s="259"/>
      <c r="D928" s="621"/>
      <c r="E928" s="157"/>
      <c r="F928" s="154"/>
      <c r="G928" s="254"/>
      <c r="H928" s="154"/>
      <c r="I928" s="154"/>
      <c r="J928" s="270"/>
      <c r="K928" s="311">
        <f t="shared" si="257"/>
        <v>0</v>
      </c>
      <c r="L928" s="312">
        <f t="shared" si="258"/>
        <v>0</v>
      </c>
      <c r="M928" s="313">
        <f t="shared" si="259"/>
        <v>0</v>
      </c>
      <c r="N928" s="320"/>
      <c r="O928" s="315">
        <f t="shared" si="255"/>
        <v>0</v>
      </c>
      <c r="P928" s="315">
        <f t="shared" si="256"/>
        <v>0</v>
      </c>
      <c r="Q928" s="320"/>
      <c r="R928" s="315">
        <f t="shared" si="253"/>
        <v>0</v>
      </c>
      <c r="S928" s="315">
        <f t="shared" si="254"/>
        <v>0</v>
      </c>
      <c r="T928" s="213"/>
      <c r="U928" s="213"/>
      <c r="V928" s="213"/>
      <c r="W928" s="213"/>
      <c r="X928" s="591"/>
      <c r="Y928" s="591"/>
    </row>
    <row r="929" spans="1:25" ht="14.85" customHeight="1">
      <c r="A929" s="619"/>
      <c r="B929" s="586"/>
      <c r="C929" s="259"/>
      <c r="D929" s="621"/>
      <c r="E929" s="157"/>
      <c r="F929" s="154"/>
      <c r="G929" s="254"/>
      <c r="H929" s="154"/>
      <c r="I929" s="154"/>
      <c r="J929" s="270"/>
      <c r="K929" s="311">
        <f t="shared" si="257"/>
        <v>0</v>
      </c>
      <c r="L929" s="312">
        <f t="shared" si="258"/>
        <v>0</v>
      </c>
      <c r="M929" s="313">
        <f t="shared" si="259"/>
        <v>0</v>
      </c>
      <c r="N929" s="320">
        <f>SUM(L927:L929)</f>
        <v>0</v>
      </c>
      <c r="O929" s="315">
        <f t="shared" si="255"/>
        <v>0</v>
      </c>
      <c r="P929" s="315">
        <f t="shared" si="256"/>
        <v>0</v>
      </c>
      <c r="Q929" s="320">
        <f>N914+N918+N926+N929</f>
        <v>0</v>
      </c>
      <c r="R929" s="315">
        <f t="shared" si="253"/>
        <v>0</v>
      </c>
      <c r="S929" s="315">
        <f t="shared" si="254"/>
        <v>0</v>
      </c>
      <c r="T929" s="213"/>
      <c r="U929" s="213"/>
      <c r="V929" s="213"/>
      <c r="W929" s="213"/>
      <c r="X929" s="591"/>
      <c r="Y929" s="591"/>
    </row>
    <row r="930" spans="1:25" ht="14.85" customHeight="1">
      <c r="A930" s="619"/>
      <c r="B930" s="586"/>
      <c r="C930" s="259"/>
      <c r="D930" s="621"/>
      <c r="E930" s="157"/>
      <c r="F930" s="154"/>
      <c r="G930" s="254"/>
      <c r="H930" s="154"/>
      <c r="I930" s="154"/>
      <c r="J930" s="270"/>
      <c r="K930" s="311"/>
      <c r="L930" s="312"/>
      <c r="M930" s="313"/>
      <c r="N930" s="320"/>
      <c r="O930" s="315"/>
      <c r="P930" s="315"/>
      <c r="Q930" s="320"/>
      <c r="R930" s="315">
        <f t="shared" ref="R930:R951" si="260">ROUNDDOWN((Q930/$O$11),0)</f>
        <v>0</v>
      </c>
      <c r="S930" s="315">
        <f t="shared" ref="S930:S951" si="261">ROUND((Q930-(R930*$P$11)),0)</f>
        <v>0</v>
      </c>
      <c r="T930" s="213"/>
      <c r="U930" s="213"/>
      <c r="V930" s="213"/>
      <c r="W930" s="213"/>
      <c r="X930" s="591"/>
      <c r="Y930" s="591"/>
    </row>
    <row r="931" spans="1:25" ht="14.85" customHeight="1">
      <c r="A931" s="619"/>
      <c r="B931" s="586"/>
      <c r="C931" s="259"/>
      <c r="D931" s="621"/>
      <c r="E931" s="375"/>
      <c r="F931" s="154"/>
      <c r="G931" s="236"/>
      <c r="H931" s="236"/>
      <c r="I931" s="154"/>
      <c r="J931" s="270"/>
      <c r="K931" s="311">
        <f t="shared" si="257"/>
        <v>0</v>
      </c>
      <c r="L931" s="312">
        <f t="shared" si="258"/>
        <v>0</v>
      </c>
      <c r="M931" s="313">
        <f t="shared" si="259"/>
        <v>0</v>
      </c>
      <c r="N931" s="320"/>
      <c r="O931" s="315">
        <f t="shared" si="255"/>
        <v>0</v>
      </c>
      <c r="P931" s="315">
        <f t="shared" si="256"/>
        <v>0</v>
      </c>
      <c r="Q931" s="320"/>
      <c r="R931" s="315">
        <f t="shared" si="260"/>
        <v>0</v>
      </c>
      <c r="S931" s="315">
        <f t="shared" si="261"/>
        <v>0</v>
      </c>
      <c r="T931" s="213"/>
      <c r="U931" s="213"/>
      <c r="V931" s="213"/>
      <c r="W931" s="213"/>
      <c r="X931" s="591"/>
      <c r="Y931" s="591"/>
    </row>
    <row r="932" spans="1:25" ht="14.85" customHeight="1">
      <c r="A932" s="619"/>
      <c r="B932" s="586"/>
      <c r="C932" s="259"/>
      <c r="D932" s="621"/>
      <c r="E932" s="376"/>
      <c r="F932" s="154"/>
      <c r="G932" s="236"/>
      <c r="H932" s="236"/>
      <c r="I932" s="154"/>
      <c r="J932" s="270"/>
      <c r="K932" s="311">
        <f t="shared" si="257"/>
        <v>0</v>
      </c>
      <c r="L932" s="312">
        <f t="shared" si="258"/>
        <v>0</v>
      </c>
      <c r="M932" s="313">
        <f t="shared" si="259"/>
        <v>0</v>
      </c>
      <c r="N932" s="320"/>
      <c r="O932" s="315">
        <f t="shared" si="255"/>
        <v>0</v>
      </c>
      <c r="P932" s="315">
        <f t="shared" si="256"/>
        <v>0</v>
      </c>
      <c r="Q932" s="320"/>
      <c r="R932" s="315">
        <f t="shared" si="260"/>
        <v>0</v>
      </c>
      <c r="S932" s="315">
        <f t="shared" si="261"/>
        <v>0</v>
      </c>
      <c r="T932" s="213"/>
      <c r="U932" s="213"/>
      <c r="V932" s="213"/>
      <c r="W932" s="213"/>
      <c r="X932" s="591"/>
      <c r="Y932" s="591"/>
    </row>
    <row r="933" spans="1:25" ht="14.85" customHeight="1">
      <c r="A933" s="619"/>
      <c r="B933" s="586"/>
      <c r="C933" s="259"/>
      <c r="D933" s="621"/>
      <c r="E933" s="376"/>
      <c r="F933" s="154"/>
      <c r="G933" s="236"/>
      <c r="H933" s="236"/>
      <c r="I933" s="154"/>
      <c r="J933" s="270"/>
      <c r="K933" s="311">
        <f t="shared" si="257"/>
        <v>0</v>
      </c>
      <c r="L933" s="312">
        <f t="shared" si="258"/>
        <v>0</v>
      </c>
      <c r="M933" s="313">
        <f t="shared" si="259"/>
        <v>0</v>
      </c>
      <c r="N933" s="320"/>
      <c r="O933" s="315">
        <f t="shared" si="255"/>
        <v>0</v>
      </c>
      <c r="P933" s="315">
        <f t="shared" si="256"/>
        <v>0</v>
      </c>
      <c r="Q933" s="320"/>
      <c r="R933" s="315">
        <f t="shared" si="260"/>
        <v>0</v>
      </c>
      <c r="S933" s="315">
        <f t="shared" si="261"/>
        <v>0</v>
      </c>
      <c r="T933" s="213"/>
      <c r="U933" s="213"/>
      <c r="V933" s="213"/>
      <c r="W933" s="213"/>
      <c r="X933" s="591"/>
      <c r="Y933" s="591"/>
    </row>
    <row r="934" spans="1:25" ht="14.85" customHeight="1">
      <c r="A934" s="619"/>
      <c r="B934" s="586"/>
      <c r="C934" s="259"/>
      <c r="D934" s="621"/>
      <c r="E934" s="376"/>
      <c r="F934" s="154"/>
      <c r="G934" s="236"/>
      <c r="H934" s="236"/>
      <c r="I934" s="154"/>
      <c r="J934" s="270"/>
      <c r="K934" s="311">
        <f t="shared" si="257"/>
        <v>0</v>
      </c>
      <c r="L934" s="312">
        <f t="shared" si="258"/>
        <v>0</v>
      </c>
      <c r="M934" s="313">
        <f t="shared" si="259"/>
        <v>0</v>
      </c>
      <c r="N934" s="320"/>
      <c r="O934" s="315">
        <f t="shared" si="255"/>
        <v>0</v>
      </c>
      <c r="P934" s="315">
        <f t="shared" si="256"/>
        <v>0</v>
      </c>
      <c r="Q934" s="320"/>
      <c r="R934" s="315">
        <f t="shared" si="260"/>
        <v>0</v>
      </c>
      <c r="S934" s="315">
        <f t="shared" si="261"/>
        <v>0</v>
      </c>
      <c r="T934" s="213"/>
      <c r="U934" s="213"/>
      <c r="V934" s="213"/>
      <c r="W934" s="213"/>
      <c r="X934" s="591"/>
      <c r="Y934" s="591"/>
    </row>
    <row r="935" spans="1:25" ht="14.85" customHeight="1">
      <c r="A935" s="619"/>
      <c r="B935" s="586"/>
      <c r="C935" s="259"/>
      <c r="D935" s="621"/>
      <c r="E935" s="376"/>
      <c r="F935" s="154"/>
      <c r="G935" s="236"/>
      <c r="H935" s="236"/>
      <c r="I935" s="154"/>
      <c r="J935" s="270"/>
      <c r="K935" s="311">
        <f t="shared" si="257"/>
        <v>0</v>
      </c>
      <c r="L935" s="312">
        <f t="shared" si="258"/>
        <v>0</v>
      </c>
      <c r="M935" s="313">
        <f t="shared" si="259"/>
        <v>0</v>
      </c>
      <c r="N935" s="320">
        <f>SUM(L931:L935)</f>
        <v>0</v>
      </c>
      <c r="O935" s="315">
        <f t="shared" si="255"/>
        <v>0</v>
      </c>
      <c r="P935" s="315">
        <f t="shared" si="256"/>
        <v>0</v>
      </c>
      <c r="Q935" s="320"/>
      <c r="R935" s="315">
        <f t="shared" si="260"/>
        <v>0</v>
      </c>
      <c r="S935" s="315">
        <f t="shared" si="261"/>
        <v>0</v>
      </c>
      <c r="T935" s="213"/>
      <c r="U935" s="213"/>
      <c r="V935" s="213"/>
      <c r="W935" s="213"/>
      <c r="X935" s="591"/>
      <c r="Y935" s="591"/>
    </row>
    <row r="936" spans="1:25" ht="14.85" customHeight="1">
      <c r="A936" s="619"/>
      <c r="B936" s="586"/>
      <c r="C936" s="259"/>
      <c r="D936" s="621"/>
      <c r="E936" s="157"/>
      <c r="F936" s="154"/>
      <c r="G936" s="254"/>
      <c r="H936" s="154"/>
      <c r="I936" s="154"/>
      <c r="J936" s="276"/>
      <c r="K936" s="311">
        <f t="shared" si="257"/>
        <v>0</v>
      </c>
      <c r="L936" s="312">
        <f t="shared" si="258"/>
        <v>0</v>
      </c>
      <c r="M936" s="313">
        <f t="shared" si="259"/>
        <v>0</v>
      </c>
      <c r="N936" s="320"/>
      <c r="O936" s="315">
        <f t="shared" si="255"/>
        <v>0</v>
      </c>
      <c r="P936" s="315">
        <f t="shared" si="256"/>
        <v>0</v>
      </c>
      <c r="Q936" s="320"/>
      <c r="R936" s="315">
        <f t="shared" si="260"/>
        <v>0</v>
      </c>
      <c r="S936" s="315">
        <f t="shared" si="261"/>
        <v>0</v>
      </c>
      <c r="T936" s="213"/>
      <c r="U936" s="213"/>
      <c r="V936" s="213"/>
      <c r="W936" s="213"/>
      <c r="X936" s="591"/>
      <c r="Y936" s="591"/>
    </row>
    <row r="937" spans="1:25" ht="14.85" customHeight="1">
      <c r="A937" s="619"/>
      <c r="B937" s="586"/>
      <c r="C937" s="259"/>
      <c r="D937" s="621"/>
      <c r="E937" s="157"/>
      <c r="F937" s="154"/>
      <c r="G937" s="254"/>
      <c r="H937" s="154"/>
      <c r="I937" s="154"/>
      <c r="J937" s="276"/>
      <c r="K937" s="311">
        <f t="shared" si="257"/>
        <v>0</v>
      </c>
      <c r="L937" s="312">
        <f t="shared" si="258"/>
        <v>0</v>
      </c>
      <c r="M937" s="313">
        <f t="shared" si="259"/>
        <v>0</v>
      </c>
      <c r="N937" s="320"/>
      <c r="O937" s="315">
        <f t="shared" ref="O937:O951" si="262">ROUNDDOWN((N937/$O$11),0)</f>
        <v>0</v>
      </c>
      <c r="P937" s="315">
        <f t="shared" ref="P937:P951" si="263">ROUND((N937-(O937*$P$11)),0)</f>
        <v>0</v>
      </c>
      <c r="Q937" s="320"/>
      <c r="R937" s="315">
        <f t="shared" si="260"/>
        <v>0</v>
      </c>
      <c r="S937" s="315">
        <f t="shared" si="261"/>
        <v>0</v>
      </c>
      <c r="T937" s="213"/>
      <c r="U937" s="213"/>
      <c r="V937" s="213"/>
      <c r="W937" s="213"/>
      <c r="X937" s="591"/>
      <c r="Y937" s="591"/>
    </row>
    <row r="938" spans="1:25" ht="14.85" customHeight="1">
      <c r="A938" s="619"/>
      <c r="B938" s="586"/>
      <c r="C938" s="259"/>
      <c r="D938" s="621"/>
      <c r="E938" s="157"/>
      <c r="F938" s="154"/>
      <c r="G938" s="254"/>
      <c r="H938" s="154"/>
      <c r="I938" s="154"/>
      <c r="J938" s="276"/>
      <c r="K938" s="311">
        <f t="shared" si="257"/>
        <v>0</v>
      </c>
      <c r="L938" s="312">
        <f t="shared" si="258"/>
        <v>0</v>
      </c>
      <c r="M938" s="313">
        <f t="shared" si="259"/>
        <v>0</v>
      </c>
      <c r="N938" s="320"/>
      <c r="O938" s="315">
        <f t="shared" si="262"/>
        <v>0</v>
      </c>
      <c r="P938" s="315">
        <f t="shared" si="263"/>
        <v>0</v>
      </c>
      <c r="Q938" s="320"/>
      <c r="R938" s="315">
        <f t="shared" si="260"/>
        <v>0</v>
      </c>
      <c r="S938" s="315">
        <f t="shared" si="261"/>
        <v>0</v>
      </c>
      <c r="T938" s="213"/>
      <c r="U938" s="213"/>
      <c r="V938" s="213"/>
      <c r="W938" s="213"/>
      <c r="X938" s="591"/>
      <c r="Y938" s="591"/>
    </row>
    <row r="939" spans="1:25" ht="14.85" customHeight="1">
      <c r="A939" s="619"/>
      <c r="B939" s="586"/>
      <c r="C939" s="259"/>
      <c r="D939" s="621"/>
      <c r="E939" s="157"/>
      <c r="F939" s="154"/>
      <c r="G939" s="254"/>
      <c r="H939" s="154"/>
      <c r="I939" s="154"/>
      <c r="J939" s="276"/>
      <c r="K939" s="311">
        <f t="shared" si="257"/>
        <v>0</v>
      </c>
      <c r="L939" s="312">
        <f t="shared" si="258"/>
        <v>0</v>
      </c>
      <c r="M939" s="313">
        <f t="shared" si="259"/>
        <v>0</v>
      </c>
      <c r="N939" s="320"/>
      <c r="O939" s="315">
        <f t="shared" si="262"/>
        <v>0</v>
      </c>
      <c r="P939" s="315">
        <f t="shared" si="263"/>
        <v>0</v>
      </c>
      <c r="Q939" s="320"/>
      <c r="R939" s="315">
        <f t="shared" si="260"/>
        <v>0</v>
      </c>
      <c r="S939" s="315">
        <f t="shared" si="261"/>
        <v>0</v>
      </c>
      <c r="T939" s="213"/>
      <c r="U939" s="213"/>
      <c r="V939" s="213"/>
      <c r="W939" s="213"/>
      <c r="X939" s="591"/>
      <c r="Y939" s="591"/>
    </row>
    <row r="940" spans="1:25" ht="14.85" customHeight="1">
      <c r="A940" s="619"/>
      <c r="B940" s="586"/>
      <c r="C940" s="259"/>
      <c r="D940" s="621"/>
      <c r="E940" s="157"/>
      <c r="F940" s="154"/>
      <c r="G940" s="254"/>
      <c r="H940" s="154"/>
      <c r="I940" s="154"/>
      <c r="J940" s="276"/>
      <c r="K940" s="311">
        <f t="shared" si="257"/>
        <v>0</v>
      </c>
      <c r="L940" s="312">
        <f t="shared" si="258"/>
        <v>0</v>
      </c>
      <c r="M940" s="313">
        <f t="shared" si="259"/>
        <v>0</v>
      </c>
      <c r="N940" s="320"/>
      <c r="O940" s="315">
        <f t="shared" si="262"/>
        <v>0</v>
      </c>
      <c r="P940" s="315">
        <f t="shared" si="263"/>
        <v>0</v>
      </c>
      <c r="Q940" s="320"/>
      <c r="R940" s="315">
        <f t="shared" si="260"/>
        <v>0</v>
      </c>
      <c r="S940" s="315">
        <f t="shared" si="261"/>
        <v>0</v>
      </c>
      <c r="T940" s="213"/>
      <c r="U940" s="213"/>
      <c r="V940" s="213"/>
      <c r="W940" s="213"/>
      <c r="X940" s="591"/>
      <c r="Y940" s="591"/>
    </row>
    <row r="941" spans="1:25" ht="14.85" customHeight="1">
      <c r="A941" s="619"/>
      <c r="B941" s="586"/>
      <c r="C941" s="259"/>
      <c r="D941" s="621"/>
      <c r="E941" s="157"/>
      <c r="F941" s="154"/>
      <c r="G941" s="254"/>
      <c r="H941" s="154"/>
      <c r="I941" s="154"/>
      <c r="J941" s="276"/>
      <c r="K941" s="311">
        <f t="shared" si="257"/>
        <v>0</v>
      </c>
      <c r="L941" s="312">
        <f t="shared" si="258"/>
        <v>0</v>
      </c>
      <c r="M941" s="313">
        <f t="shared" si="259"/>
        <v>0</v>
      </c>
      <c r="N941" s="320"/>
      <c r="O941" s="315">
        <f t="shared" si="262"/>
        <v>0</v>
      </c>
      <c r="P941" s="315">
        <f t="shared" si="263"/>
        <v>0</v>
      </c>
      <c r="Q941" s="320"/>
      <c r="R941" s="315">
        <f t="shared" si="260"/>
        <v>0</v>
      </c>
      <c r="S941" s="315">
        <f t="shared" si="261"/>
        <v>0</v>
      </c>
      <c r="T941" s="213"/>
      <c r="U941" s="213"/>
      <c r="V941" s="213"/>
      <c r="W941" s="213"/>
      <c r="X941" s="591"/>
      <c r="Y941" s="591"/>
    </row>
    <row r="942" spans="1:25" ht="14.85" customHeight="1">
      <c r="A942" s="619"/>
      <c r="B942" s="586"/>
      <c r="C942" s="259"/>
      <c r="D942" s="621"/>
      <c r="E942" s="157"/>
      <c r="F942" s="154"/>
      <c r="G942" s="254"/>
      <c r="H942" s="154"/>
      <c r="I942" s="154"/>
      <c r="J942" s="276"/>
      <c r="K942" s="311">
        <f t="shared" si="257"/>
        <v>0</v>
      </c>
      <c r="L942" s="312">
        <f t="shared" si="258"/>
        <v>0</v>
      </c>
      <c r="M942" s="313">
        <f t="shared" si="259"/>
        <v>0</v>
      </c>
      <c r="N942" s="320"/>
      <c r="O942" s="315">
        <f t="shared" si="262"/>
        <v>0</v>
      </c>
      <c r="P942" s="315">
        <f t="shared" si="263"/>
        <v>0</v>
      </c>
      <c r="Q942" s="320"/>
      <c r="R942" s="315">
        <f t="shared" si="260"/>
        <v>0</v>
      </c>
      <c r="S942" s="315">
        <f t="shared" si="261"/>
        <v>0</v>
      </c>
      <c r="T942" s="213"/>
      <c r="U942" s="213"/>
      <c r="V942" s="213"/>
      <c r="W942" s="213"/>
      <c r="X942" s="591"/>
      <c r="Y942" s="591"/>
    </row>
    <row r="943" spans="1:25" ht="14.85" customHeight="1">
      <c r="A943" s="619"/>
      <c r="B943" s="586"/>
      <c r="C943" s="259"/>
      <c r="D943" s="621"/>
      <c r="E943" s="157"/>
      <c r="F943" s="154"/>
      <c r="G943" s="254"/>
      <c r="H943" s="154"/>
      <c r="I943" s="154"/>
      <c r="J943" s="276"/>
      <c r="K943" s="311">
        <f t="shared" si="257"/>
        <v>0</v>
      </c>
      <c r="L943" s="312">
        <f t="shared" si="258"/>
        <v>0</v>
      </c>
      <c r="M943" s="313">
        <f t="shared" si="259"/>
        <v>0</v>
      </c>
      <c r="N943" s="320"/>
      <c r="O943" s="315">
        <f t="shared" si="262"/>
        <v>0</v>
      </c>
      <c r="P943" s="315">
        <f t="shared" si="263"/>
        <v>0</v>
      </c>
      <c r="Q943" s="320"/>
      <c r="R943" s="315">
        <f t="shared" si="260"/>
        <v>0</v>
      </c>
      <c r="S943" s="315">
        <f t="shared" si="261"/>
        <v>0</v>
      </c>
      <c r="T943" s="213"/>
      <c r="U943" s="213"/>
      <c r="V943" s="213"/>
      <c r="W943" s="213"/>
      <c r="X943" s="591"/>
      <c r="Y943" s="591"/>
    </row>
    <row r="944" spans="1:25" ht="14.85" customHeight="1">
      <c r="A944" s="619"/>
      <c r="B944" s="586"/>
      <c r="C944" s="259"/>
      <c r="D944" s="621"/>
      <c r="E944" s="157"/>
      <c r="F944" s="154"/>
      <c r="G944" s="254"/>
      <c r="H944" s="154"/>
      <c r="I944" s="154"/>
      <c r="J944" s="276"/>
      <c r="K944" s="311">
        <f t="shared" si="257"/>
        <v>0</v>
      </c>
      <c r="L944" s="312">
        <f t="shared" si="258"/>
        <v>0</v>
      </c>
      <c r="M944" s="313">
        <f t="shared" si="259"/>
        <v>0</v>
      </c>
      <c r="N944" s="320"/>
      <c r="O944" s="315">
        <f t="shared" si="262"/>
        <v>0</v>
      </c>
      <c r="P944" s="315">
        <f t="shared" si="263"/>
        <v>0</v>
      </c>
      <c r="Q944" s="320"/>
      <c r="R944" s="315">
        <f t="shared" si="260"/>
        <v>0</v>
      </c>
      <c r="S944" s="315">
        <f t="shared" si="261"/>
        <v>0</v>
      </c>
      <c r="T944" s="213"/>
      <c r="U944" s="213"/>
      <c r="V944" s="213"/>
      <c r="W944" s="213"/>
      <c r="X944" s="591"/>
      <c r="Y944" s="591"/>
    </row>
    <row r="945" spans="1:25" ht="14.85" customHeight="1">
      <c r="A945" s="619"/>
      <c r="B945" s="586"/>
      <c r="C945" s="259"/>
      <c r="D945" s="621"/>
      <c r="E945" s="157"/>
      <c r="F945" s="154"/>
      <c r="G945" s="254"/>
      <c r="H945" s="154"/>
      <c r="I945" s="154"/>
      <c r="J945" s="276"/>
      <c r="K945" s="311">
        <f t="shared" si="257"/>
        <v>0</v>
      </c>
      <c r="L945" s="312">
        <f t="shared" si="258"/>
        <v>0</v>
      </c>
      <c r="M945" s="313">
        <f t="shared" si="259"/>
        <v>0</v>
      </c>
      <c r="N945" s="320">
        <f>SUM(L936:L945)</f>
        <v>0</v>
      </c>
      <c r="O945" s="315">
        <f t="shared" si="262"/>
        <v>0</v>
      </c>
      <c r="P945" s="315">
        <f t="shared" si="263"/>
        <v>0</v>
      </c>
      <c r="Q945" s="320"/>
      <c r="R945" s="315">
        <f t="shared" si="260"/>
        <v>0</v>
      </c>
      <c r="S945" s="315">
        <f t="shared" si="261"/>
        <v>0</v>
      </c>
      <c r="T945" s="213"/>
      <c r="U945" s="213"/>
      <c r="V945" s="213"/>
      <c r="W945" s="213"/>
      <c r="X945" s="591"/>
      <c r="Y945" s="591"/>
    </row>
    <row r="946" spans="1:25" ht="14.85" customHeight="1">
      <c r="A946" s="619"/>
      <c r="B946" s="586"/>
      <c r="C946" s="259"/>
      <c r="D946" s="621"/>
      <c r="E946" s="157"/>
      <c r="F946" s="154"/>
      <c r="G946" s="254"/>
      <c r="H946" s="154"/>
      <c r="I946" s="154"/>
      <c r="J946" s="276"/>
      <c r="K946" s="311">
        <f t="shared" si="257"/>
        <v>0</v>
      </c>
      <c r="L946" s="312">
        <f t="shared" si="258"/>
        <v>0</v>
      </c>
      <c r="M946" s="313">
        <f t="shared" si="259"/>
        <v>0</v>
      </c>
      <c r="N946" s="320"/>
      <c r="O946" s="315">
        <f t="shared" si="262"/>
        <v>0</v>
      </c>
      <c r="P946" s="315">
        <f t="shared" si="263"/>
        <v>0</v>
      </c>
      <c r="Q946" s="320"/>
      <c r="R946" s="315">
        <f t="shared" si="260"/>
        <v>0</v>
      </c>
      <c r="S946" s="315">
        <f t="shared" si="261"/>
        <v>0</v>
      </c>
      <c r="T946" s="213"/>
      <c r="U946" s="213"/>
      <c r="V946" s="213"/>
      <c r="W946" s="213"/>
      <c r="X946" s="591"/>
      <c r="Y946" s="591"/>
    </row>
    <row r="947" spans="1:25" ht="14.85" customHeight="1">
      <c r="A947" s="619"/>
      <c r="B947" s="586"/>
      <c r="C947" s="259"/>
      <c r="D947" s="621"/>
      <c r="E947" s="157"/>
      <c r="F947" s="154"/>
      <c r="G947" s="254"/>
      <c r="H947" s="154"/>
      <c r="I947" s="154"/>
      <c r="J947" s="325"/>
      <c r="K947" s="311">
        <f t="shared" si="257"/>
        <v>0</v>
      </c>
      <c r="L947" s="312">
        <f t="shared" si="258"/>
        <v>0</v>
      </c>
      <c r="M947" s="313">
        <f t="shared" si="259"/>
        <v>0</v>
      </c>
      <c r="N947" s="320"/>
      <c r="O947" s="315">
        <f t="shared" si="262"/>
        <v>0</v>
      </c>
      <c r="P947" s="315">
        <f t="shared" si="263"/>
        <v>0</v>
      </c>
      <c r="Q947" s="320"/>
      <c r="R947" s="315">
        <f t="shared" si="260"/>
        <v>0</v>
      </c>
      <c r="S947" s="315">
        <f t="shared" si="261"/>
        <v>0</v>
      </c>
      <c r="T947" s="213"/>
      <c r="U947" s="213"/>
      <c r="V947" s="213"/>
      <c r="W947" s="213"/>
      <c r="X947" s="591"/>
      <c r="Y947" s="591"/>
    </row>
    <row r="948" spans="1:25" ht="14.85" customHeight="1">
      <c r="A948" s="619"/>
      <c r="B948" s="586"/>
      <c r="C948" s="259"/>
      <c r="D948" s="621"/>
      <c r="E948" s="157"/>
      <c r="F948" s="154"/>
      <c r="G948" s="254"/>
      <c r="H948" s="154"/>
      <c r="I948" s="154"/>
      <c r="J948" s="254"/>
      <c r="K948" s="311">
        <f t="shared" si="257"/>
        <v>0</v>
      </c>
      <c r="L948" s="312">
        <f t="shared" si="258"/>
        <v>0</v>
      </c>
      <c r="M948" s="313">
        <f t="shared" si="259"/>
        <v>0</v>
      </c>
      <c r="N948" s="320"/>
      <c r="O948" s="315">
        <f t="shared" si="262"/>
        <v>0</v>
      </c>
      <c r="P948" s="315">
        <f t="shared" si="263"/>
        <v>0</v>
      </c>
      <c r="Q948" s="320"/>
      <c r="R948" s="315">
        <f t="shared" si="260"/>
        <v>0</v>
      </c>
      <c r="S948" s="315">
        <f t="shared" si="261"/>
        <v>0</v>
      </c>
      <c r="T948" s="213"/>
      <c r="U948" s="213"/>
      <c r="V948" s="213"/>
      <c r="W948" s="213"/>
      <c r="X948" s="591"/>
      <c r="Y948" s="591"/>
    </row>
    <row r="949" spans="1:25" ht="14.85" customHeight="1">
      <c r="A949" s="619"/>
      <c r="B949" s="586"/>
      <c r="C949" s="259"/>
      <c r="D949" s="621"/>
      <c r="E949" s="157"/>
      <c r="F949" s="154"/>
      <c r="G949" s="254"/>
      <c r="H949" s="154"/>
      <c r="I949" s="154"/>
      <c r="J949" s="254"/>
      <c r="K949" s="311">
        <f t="shared" si="257"/>
        <v>0</v>
      </c>
      <c r="L949" s="312">
        <f t="shared" si="258"/>
        <v>0</v>
      </c>
      <c r="M949" s="313">
        <f t="shared" si="259"/>
        <v>0</v>
      </c>
      <c r="N949" s="320"/>
      <c r="O949" s="315">
        <f t="shared" si="262"/>
        <v>0</v>
      </c>
      <c r="P949" s="315">
        <f t="shared" si="263"/>
        <v>0</v>
      </c>
      <c r="Q949" s="320"/>
      <c r="R949" s="315">
        <f t="shared" si="260"/>
        <v>0</v>
      </c>
      <c r="S949" s="315">
        <f t="shared" si="261"/>
        <v>0</v>
      </c>
      <c r="T949" s="213"/>
      <c r="U949" s="213"/>
      <c r="V949" s="213"/>
      <c r="W949" s="213"/>
      <c r="X949" s="591"/>
      <c r="Y949" s="591"/>
    </row>
    <row r="950" spans="1:25" ht="14.85" customHeight="1">
      <c r="A950" s="619"/>
      <c r="B950" s="586"/>
      <c r="C950" s="259"/>
      <c r="D950" s="621"/>
      <c r="E950" s="157"/>
      <c r="F950" s="154"/>
      <c r="G950" s="254"/>
      <c r="H950" s="154"/>
      <c r="I950" s="154"/>
      <c r="J950" s="254"/>
      <c r="K950" s="311">
        <f t="shared" si="257"/>
        <v>0</v>
      </c>
      <c r="L950" s="312">
        <f t="shared" si="258"/>
        <v>0</v>
      </c>
      <c r="M950" s="313">
        <f t="shared" si="259"/>
        <v>0</v>
      </c>
      <c r="N950" s="320"/>
      <c r="O950" s="315">
        <f t="shared" si="262"/>
        <v>0</v>
      </c>
      <c r="P950" s="315">
        <f t="shared" si="263"/>
        <v>0</v>
      </c>
      <c r="Q950" s="320"/>
      <c r="R950" s="315">
        <f t="shared" si="260"/>
        <v>0</v>
      </c>
      <c r="S950" s="315">
        <f t="shared" si="261"/>
        <v>0</v>
      </c>
      <c r="T950" s="213"/>
      <c r="U950" s="213"/>
      <c r="V950" s="213"/>
      <c r="W950" s="213"/>
      <c r="X950" s="591"/>
      <c r="Y950" s="591"/>
    </row>
    <row r="951" spans="1:25" ht="14.85" customHeight="1">
      <c r="A951" s="619"/>
      <c r="B951" s="586"/>
      <c r="C951" s="259"/>
      <c r="D951" s="621"/>
      <c r="E951" s="157"/>
      <c r="F951" s="154"/>
      <c r="G951" s="254"/>
      <c r="H951" s="154"/>
      <c r="I951" s="154"/>
      <c r="J951" s="254"/>
      <c r="K951" s="311">
        <f t="shared" si="257"/>
        <v>0</v>
      </c>
      <c r="L951" s="312">
        <f t="shared" si="258"/>
        <v>0</v>
      </c>
      <c r="M951" s="313">
        <f t="shared" si="259"/>
        <v>0</v>
      </c>
      <c r="N951" s="320">
        <f>SUM(L946:L951)</f>
        <v>0</v>
      </c>
      <c r="O951" s="315">
        <f t="shared" si="262"/>
        <v>0</v>
      </c>
      <c r="P951" s="315">
        <f t="shared" si="263"/>
        <v>0</v>
      </c>
      <c r="Q951" s="320">
        <f>N935+N945+N951</f>
        <v>0</v>
      </c>
      <c r="R951" s="315">
        <f t="shared" si="260"/>
        <v>0</v>
      </c>
      <c r="S951" s="315">
        <f t="shared" si="261"/>
        <v>0</v>
      </c>
      <c r="T951" s="213"/>
      <c r="U951" s="213"/>
      <c r="V951" s="213"/>
      <c r="W951" s="213"/>
      <c r="X951" s="591"/>
      <c r="Y951" s="591"/>
    </row>
    <row r="952" spans="1:25" s="287" customFormat="1">
      <c r="A952" s="211" t="s">
        <v>129</v>
      </c>
      <c r="B952" s="211">
        <f>COUNTA(B801:B951)</f>
        <v>0</v>
      </c>
      <c r="C952" s="211"/>
      <c r="D952" s="211">
        <f>COUNTA(D801:D951)</f>
        <v>0</v>
      </c>
      <c r="E952" s="212">
        <f>COUNTA(E773:E951)</f>
        <v>1</v>
      </c>
      <c r="F952" s="211">
        <f>COUNTA(F801:F951)</f>
        <v>0</v>
      </c>
      <c r="G952" s="211">
        <f>COUNTA(G801:G951)</f>
        <v>0</v>
      </c>
      <c r="H952" s="211"/>
      <c r="I952" s="211">
        <f>COUNTA(I801:I951)</f>
        <v>0</v>
      </c>
      <c r="J952" s="280">
        <f>SUM(J801:J951)</f>
        <v>0</v>
      </c>
      <c r="K952" s="161">
        <f>SUM(K801:K951)</f>
        <v>0</v>
      </c>
      <c r="L952" s="161">
        <f>SUM(L801:L951)</f>
        <v>0</v>
      </c>
      <c r="M952" s="161">
        <f>SUM(M801:M951)</f>
        <v>0</v>
      </c>
      <c r="N952" s="161">
        <f>SUM(N801:N951)</f>
        <v>0</v>
      </c>
      <c r="O952" s="161">
        <f t="shared" ref="O952:O975" si="264">ROUNDDOWN((N952/$O$11),0)</f>
        <v>0</v>
      </c>
      <c r="P952" s="161">
        <f t="shared" ref="P952:P975" si="265">ROUND((N952-(O952*$P$11)),0)</f>
        <v>0</v>
      </c>
      <c r="Q952" s="161">
        <f>SUM(Q801:Q951)</f>
        <v>0</v>
      </c>
      <c r="R952" s="161">
        <f t="shared" ref="R952:R963" si="266">ROUNDDOWN((Q952/$O$11),0)</f>
        <v>0</v>
      </c>
      <c r="S952" s="161">
        <f t="shared" ref="S952:S963" si="267">ROUND((Q952-(R952*$P$11)),0)</f>
        <v>0</v>
      </c>
      <c r="T952" s="211"/>
      <c r="U952" s="211"/>
      <c r="V952" s="211"/>
      <c r="W952" s="211"/>
      <c r="X952" s="161" t="str">
        <f>IF(X801&lt;1.4,"1",IF(X801&lt;=2.3,"2",IF(X801&gt;2.3, ROUND(X801,0))))</f>
        <v>1</v>
      </c>
      <c r="Y952" s="161">
        <f>$Y$11*F952</f>
        <v>0</v>
      </c>
    </row>
    <row r="953" spans="1:25">
      <c r="A953" s="618"/>
      <c r="B953" s="585"/>
      <c r="C953" s="258"/>
      <c r="D953" s="620"/>
      <c r="E953" s="375"/>
      <c r="F953" s="154"/>
      <c r="G953" s="223"/>
      <c r="H953" s="223"/>
      <c r="I953" s="154"/>
      <c r="J953" s="276"/>
      <c r="K953" s="311">
        <f t="shared" ref="K953" si="268">J953/$K$11</f>
        <v>0</v>
      </c>
      <c r="L953" s="312">
        <f t="shared" ref="L953" si="269">J953/$L$11</f>
        <v>0</v>
      </c>
      <c r="M953" s="313">
        <f t="shared" ref="M953" si="270">ROUND((L953/$M$11),0)</f>
        <v>0</v>
      </c>
      <c r="N953" s="320"/>
      <c r="O953" s="315">
        <f t="shared" si="264"/>
        <v>0</v>
      </c>
      <c r="P953" s="315">
        <f t="shared" si="265"/>
        <v>0</v>
      </c>
      <c r="Q953" s="320"/>
      <c r="R953" s="315">
        <f t="shared" si="266"/>
        <v>0</v>
      </c>
      <c r="S953" s="315">
        <f t="shared" si="267"/>
        <v>0</v>
      </c>
      <c r="T953" s="213"/>
      <c r="U953" s="213"/>
      <c r="V953" s="213"/>
      <c r="W953" s="213"/>
      <c r="X953" s="590">
        <f>F1038/$X$11</f>
        <v>0</v>
      </c>
      <c r="Y953" s="590"/>
    </row>
    <row r="954" spans="1:25" ht="14.85" customHeight="1">
      <c r="A954" s="619"/>
      <c r="B954" s="586"/>
      <c r="C954" s="259"/>
      <c r="D954" s="621"/>
      <c r="E954" s="376"/>
      <c r="F954" s="154"/>
      <c r="G954" s="223"/>
      <c r="H954" s="223"/>
      <c r="I954" s="154"/>
      <c r="J954" s="276"/>
      <c r="K954" s="311">
        <f t="shared" ref="K954:K975" si="271">J954/$K$11</f>
        <v>0</v>
      </c>
      <c r="L954" s="312">
        <f t="shared" ref="L954:L975" si="272">J954/$L$11</f>
        <v>0</v>
      </c>
      <c r="M954" s="313">
        <f t="shared" ref="M954:M975" si="273">ROUND((L954/$M$11),0)</f>
        <v>0</v>
      </c>
      <c r="N954" s="320">
        <f>L953+L954</f>
        <v>0</v>
      </c>
      <c r="O954" s="315">
        <f t="shared" si="264"/>
        <v>0</v>
      </c>
      <c r="P954" s="315">
        <f t="shared" si="265"/>
        <v>0</v>
      </c>
      <c r="Q954" s="320"/>
      <c r="R954" s="315">
        <f t="shared" si="266"/>
        <v>0</v>
      </c>
      <c r="S954" s="315">
        <f t="shared" si="267"/>
        <v>0</v>
      </c>
      <c r="T954" s="213"/>
      <c r="U954" s="213"/>
      <c r="V954" s="213"/>
      <c r="W954" s="213"/>
      <c r="X954" s="591"/>
      <c r="Y954" s="591"/>
    </row>
    <row r="955" spans="1:25" ht="14.85" customHeight="1">
      <c r="A955" s="619"/>
      <c r="B955" s="586"/>
      <c r="C955" s="259"/>
      <c r="D955" s="621"/>
      <c r="E955" s="157"/>
      <c r="F955" s="154"/>
      <c r="G955" s="254"/>
      <c r="H955" s="154"/>
      <c r="I955" s="154"/>
      <c r="J955" s="276"/>
      <c r="K955" s="311">
        <f t="shared" si="271"/>
        <v>0</v>
      </c>
      <c r="L955" s="312">
        <f t="shared" si="272"/>
        <v>0</v>
      </c>
      <c r="M955" s="313">
        <f t="shared" si="273"/>
        <v>0</v>
      </c>
      <c r="N955" s="320"/>
      <c r="O955" s="315">
        <f t="shared" si="264"/>
        <v>0</v>
      </c>
      <c r="P955" s="315">
        <f t="shared" si="265"/>
        <v>0</v>
      </c>
      <c r="Q955" s="320"/>
      <c r="R955" s="315">
        <f t="shared" si="266"/>
        <v>0</v>
      </c>
      <c r="S955" s="315">
        <f t="shared" si="267"/>
        <v>0</v>
      </c>
      <c r="T955" s="213"/>
      <c r="U955" s="213"/>
      <c r="V955" s="213"/>
      <c r="W955" s="213"/>
      <c r="X955" s="591"/>
      <c r="Y955" s="591"/>
    </row>
    <row r="956" spans="1:25" ht="14.85" customHeight="1">
      <c r="A956" s="619"/>
      <c r="B956" s="586"/>
      <c r="C956" s="259"/>
      <c r="D956" s="621"/>
      <c r="E956" s="157"/>
      <c r="F956" s="154"/>
      <c r="G956" s="254"/>
      <c r="H956" s="154"/>
      <c r="I956" s="154"/>
      <c r="J956" s="276"/>
      <c r="K956" s="311">
        <f t="shared" si="271"/>
        <v>0</v>
      </c>
      <c r="L956" s="312">
        <f t="shared" si="272"/>
        <v>0</v>
      </c>
      <c r="M956" s="313">
        <f t="shared" si="273"/>
        <v>0</v>
      </c>
      <c r="N956" s="320"/>
      <c r="O956" s="315">
        <f t="shared" si="264"/>
        <v>0</v>
      </c>
      <c r="P956" s="315">
        <f t="shared" si="265"/>
        <v>0</v>
      </c>
      <c r="Q956" s="320"/>
      <c r="R956" s="315">
        <f t="shared" si="266"/>
        <v>0</v>
      </c>
      <c r="S956" s="315">
        <f t="shared" si="267"/>
        <v>0</v>
      </c>
      <c r="T956" s="213"/>
      <c r="U956" s="213"/>
      <c r="V956" s="213"/>
      <c r="W956" s="213"/>
      <c r="X956" s="591"/>
      <c r="Y956" s="591"/>
    </row>
    <row r="957" spans="1:25" ht="14.85" customHeight="1">
      <c r="A957" s="619"/>
      <c r="B957" s="586"/>
      <c r="C957" s="259"/>
      <c r="D957" s="621"/>
      <c r="E957" s="157"/>
      <c r="F957" s="154"/>
      <c r="G957" s="254"/>
      <c r="H957" s="154"/>
      <c r="I957" s="154"/>
      <c r="J957" s="276"/>
      <c r="K957" s="311">
        <f t="shared" si="271"/>
        <v>0</v>
      </c>
      <c r="L957" s="312">
        <f t="shared" si="272"/>
        <v>0</v>
      </c>
      <c r="M957" s="313">
        <f t="shared" si="273"/>
        <v>0</v>
      </c>
      <c r="N957" s="320"/>
      <c r="O957" s="315">
        <f t="shared" si="264"/>
        <v>0</v>
      </c>
      <c r="P957" s="315">
        <f t="shared" si="265"/>
        <v>0</v>
      </c>
      <c r="Q957" s="320"/>
      <c r="R957" s="315">
        <f t="shared" si="266"/>
        <v>0</v>
      </c>
      <c r="S957" s="315">
        <f t="shared" si="267"/>
        <v>0</v>
      </c>
      <c r="T957" s="213"/>
      <c r="U957" s="213"/>
      <c r="V957" s="213"/>
      <c r="W957" s="213"/>
      <c r="X957" s="591"/>
      <c r="Y957" s="591"/>
    </row>
    <row r="958" spans="1:25" ht="14.85" customHeight="1">
      <c r="A958" s="619"/>
      <c r="B958" s="586"/>
      <c r="C958" s="259"/>
      <c r="D958" s="621"/>
      <c r="E958" s="157"/>
      <c r="F958" s="154"/>
      <c r="G958" s="254"/>
      <c r="H958" s="154"/>
      <c r="I958" s="154"/>
      <c r="J958" s="276"/>
      <c r="K958" s="311">
        <f t="shared" si="271"/>
        <v>0</v>
      </c>
      <c r="L958" s="312">
        <f t="shared" si="272"/>
        <v>0</v>
      </c>
      <c r="M958" s="313">
        <f t="shared" si="273"/>
        <v>0</v>
      </c>
      <c r="N958" s="320"/>
      <c r="O958" s="315">
        <f t="shared" si="264"/>
        <v>0</v>
      </c>
      <c r="P958" s="315">
        <f t="shared" si="265"/>
        <v>0</v>
      </c>
      <c r="Q958" s="320"/>
      <c r="R958" s="315">
        <f t="shared" si="266"/>
        <v>0</v>
      </c>
      <c r="S958" s="315">
        <f t="shared" si="267"/>
        <v>0</v>
      </c>
      <c r="T958" s="213"/>
      <c r="U958" s="213"/>
      <c r="V958" s="213"/>
      <c r="W958" s="213"/>
      <c r="X958" s="591"/>
      <c r="Y958" s="591"/>
    </row>
    <row r="959" spans="1:25" ht="14.85" customHeight="1">
      <c r="A959" s="619"/>
      <c r="B959" s="586"/>
      <c r="C959" s="259"/>
      <c r="D959" s="621"/>
      <c r="E959" s="157"/>
      <c r="F959" s="154"/>
      <c r="G959" s="254"/>
      <c r="H959" s="154"/>
      <c r="I959" s="154"/>
      <c r="J959" s="276"/>
      <c r="K959" s="311">
        <f t="shared" si="271"/>
        <v>0</v>
      </c>
      <c r="L959" s="312">
        <f t="shared" si="272"/>
        <v>0</v>
      </c>
      <c r="M959" s="313">
        <f t="shared" si="273"/>
        <v>0</v>
      </c>
      <c r="N959" s="320">
        <f>SUM(L955:L959)</f>
        <v>0</v>
      </c>
      <c r="O959" s="315">
        <f t="shared" si="264"/>
        <v>0</v>
      </c>
      <c r="P959" s="315">
        <f t="shared" si="265"/>
        <v>0</v>
      </c>
      <c r="Q959" s="320"/>
      <c r="R959" s="315">
        <f t="shared" si="266"/>
        <v>0</v>
      </c>
      <c r="S959" s="315">
        <f t="shared" si="267"/>
        <v>0</v>
      </c>
      <c r="T959" s="213"/>
      <c r="U959" s="213"/>
      <c r="V959" s="213"/>
      <c r="W959" s="213"/>
      <c r="X959" s="591"/>
      <c r="Y959" s="591"/>
    </row>
    <row r="960" spans="1:25" ht="14.85" customHeight="1">
      <c r="A960" s="619"/>
      <c r="B960" s="586"/>
      <c r="C960" s="259"/>
      <c r="D960" s="621"/>
      <c r="E960" s="157"/>
      <c r="F960" s="154"/>
      <c r="G960" s="254"/>
      <c r="H960" s="154"/>
      <c r="I960" s="154"/>
      <c r="J960" s="270"/>
      <c r="K960" s="311">
        <f t="shared" si="271"/>
        <v>0</v>
      </c>
      <c r="L960" s="312">
        <f t="shared" si="272"/>
        <v>0</v>
      </c>
      <c r="M960" s="313">
        <f t="shared" si="273"/>
        <v>0</v>
      </c>
      <c r="N960" s="320"/>
      <c r="O960" s="315">
        <f t="shared" si="264"/>
        <v>0</v>
      </c>
      <c r="P960" s="315">
        <f t="shared" si="265"/>
        <v>0</v>
      </c>
      <c r="Q960" s="320"/>
      <c r="R960" s="315">
        <f t="shared" si="266"/>
        <v>0</v>
      </c>
      <c r="S960" s="315">
        <f t="shared" si="267"/>
        <v>0</v>
      </c>
      <c r="T960" s="213"/>
      <c r="U960" s="213"/>
      <c r="V960" s="213"/>
      <c r="W960" s="213"/>
      <c r="X960" s="591"/>
      <c r="Y960" s="591"/>
    </row>
    <row r="961" spans="1:25" ht="14.85" customHeight="1">
      <c r="A961" s="619"/>
      <c r="B961" s="586"/>
      <c r="C961" s="259"/>
      <c r="D961" s="621"/>
      <c r="E961" s="157"/>
      <c r="F961" s="154"/>
      <c r="G961" s="254"/>
      <c r="H961" s="154"/>
      <c r="I961" s="154"/>
      <c r="J961" s="270"/>
      <c r="K961" s="311">
        <f t="shared" si="271"/>
        <v>0</v>
      </c>
      <c r="L961" s="312">
        <f t="shared" si="272"/>
        <v>0</v>
      </c>
      <c r="M961" s="313">
        <f t="shared" si="273"/>
        <v>0</v>
      </c>
      <c r="N961" s="320"/>
      <c r="O961" s="315">
        <f t="shared" si="264"/>
        <v>0</v>
      </c>
      <c r="P961" s="315">
        <f t="shared" si="265"/>
        <v>0</v>
      </c>
      <c r="Q961" s="320"/>
      <c r="R961" s="315">
        <f t="shared" si="266"/>
        <v>0</v>
      </c>
      <c r="S961" s="315">
        <f t="shared" si="267"/>
        <v>0</v>
      </c>
      <c r="T961" s="213"/>
      <c r="U961" s="213"/>
      <c r="V961" s="213"/>
      <c r="W961" s="213"/>
      <c r="X961" s="591"/>
      <c r="Y961" s="591"/>
    </row>
    <row r="962" spans="1:25" ht="14.85" customHeight="1">
      <c r="A962" s="619"/>
      <c r="B962" s="586"/>
      <c r="C962" s="259"/>
      <c r="D962" s="621"/>
      <c r="E962" s="157"/>
      <c r="F962" s="154"/>
      <c r="G962" s="254"/>
      <c r="H962" s="154"/>
      <c r="I962" s="154"/>
      <c r="J962" s="270"/>
      <c r="K962" s="311">
        <f t="shared" si="271"/>
        <v>0</v>
      </c>
      <c r="L962" s="312">
        <f t="shared" si="272"/>
        <v>0</v>
      </c>
      <c r="M962" s="313">
        <f t="shared" si="273"/>
        <v>0</v>
      </c>
      <c r="N962" s="320"/>
      <c r="O962" s="315">
        <f t="shared" si="264"/>
        <v>0</v>
      </c>
      <c r="P962" s="315">
        <f t="shared" si="265"/>
        <v>0</v>
      </c>
      <c r="Q962" s="320"/>
      <c r="R962" s="315">
        <f t="shared" si="266"/>
        <v>0</v>
      </c>
      <c r="S962" s="315">
        <f t="shared" si="267"/>
        <v>0</v>
      </c>
      <c r="T962" s="213"/>
      <c r="U962" s="213"/>
      <c r="V962" s="213"/>
      <c r="W962" s="213"/>
      <c r="X962" s="591"/>
      <c r="Y962" s="591"/>
    </row>
    <row r="963" spans="1:25" ht="14.85" customHeight="1">
      <c r="A963" s="619"/>
      <c r="B963" s="586"/>
      <c r="C963" s="259"/>
      <c r="D963" s="621"/>
      <c r="E963" s="157"/>
      <c r="F963" s="154"/>
      <c r="G963" s="254"/>
      <c r="H963" s="154"/>
      <c r="I963" s="154"/>
      <c r="J963" s="270"/>
      <c r="K963" s="311">
        <f t="shared" si="271"/>
        <v>0</v>
      </c>
      <c r="L963" s="312">
        <f t="shared" si="272"/>
        <v>0</v>
      </c>
      <c r="M963" s="313">
        <f t="shared" si="273"/>
        <v>0</v>
      </c>
      <c r="N963" s="320">
        <f>SUM(L960:L963)</f>
        <v>0</v>
      </c>
      <c r="O963" s="315">
        <f t="shared" si="264"/>
        <v>0</v>
      </c>
      <c r="P963" s="315">
        <f t="shared" si="265"/>
        <v>0</v>
      </c>
      <c r="Q963" s="320">
        <f>N954+N959+N963</f>
        <v>0</v>
      </c>
      <c r="R963" s="315">
        <f t="shared" si="266"/>
        <v>0</v>
      </c>
      <c r="S963" s="315">
        <f t="shared" si="267"/>
        <v>0</v>
      </c>
      <c r="T963" s="213"/>
      <c r="U963" s="213"/>
      <c r="V963" s="213"/>
      <c r="W963" s="213"/>
      <c r="X963" s="591"/>
      <c r="Y963" s="591"/>
    </row>
    <row r="964" spans="1:25" ht="14.85" customHeight="1">
      <c r="A964" s="619"/>
      <c r="B964" s="586"/>
      <c r="C964" s="259"/>
      <c r="D964" s="621"/>
      <c r="E964" s="157"/>
      <c r="F964" s="154"/>
      <c r="G964" s="254"/>
      <c r="H964" s="154"/>
      <c r="I964" s="154"/>
      <c r="J964" s="270"/>
      <c r="K964" s="311"/>
      <c r="L964" s="312"/>
      <c r="M964" s="313"/>
      <c r="N964" s="320"/>
      <c r="O964" s="315"/>
      <c r="P964" s="315"/>
      <c r="Q964" s="320"/>
      <c r="R964" s="315"/>
      <c r="S964" s="315"/>
      <c r="T964" s="213"/>
      <c r="U964" s="213"/>
      <c r="V964" s="213"/>
      <c r="W964" s="213"/>
      <c r="X964" s="591"/>
      <c r="Y964" s="591"/>
    </row>
    <row r="965" spans="1:25" ht="14.85" customHeight="1">
      <c r="A965" s="619"/>
      <c r="B965" s="586"/>
      <c r="C965" s="259"/>
      <c r="D965" s="621"/>
      <c r="E965" s="375"/>
      <c r="F965" s="154"/>
      <c r="G965" s="224"/>
      <c r="H965" s="224"/>
      <c r="I965" s="154"/>
      <c r="J965" s="276"/>
      <c r="K965" s="311">
        <f t="shared" si="271"/>
        <v>0</v>
      </c>
      <c r="L965" s="312">
        <f t="shared" si="272"/>
        <v>0</v>
      </c>
      <c r="M965" s="313">
        <f t="shared" si="273"/>
        <v>0</v>
      </c>
      <c r="N965" s="320"/>
      <c r="O965" s="315">
        <f t="shared" si="264"/>
        <v>0</v>
      </c>
      <c r="P965" s="315">
        <f t="shared" si="265"/>
        <v>0</v>
      </c>
      <c r="Q965" s="320"/>
      <c r="R965" s="315">
        <f t="shared" ref="R965:R1037" si="274">ROUNDDOWN((Q965/$O$11),0)</f>
        <v>0</v>
      </c>
      <c r="S965" s="315">
        <f t="shared" ref="S965:S1037" si="275">ROUND((Q965-(R965*$P$11)),0)</f>
        <v>0</v>
      </c>
      <c r="T965" s="213"/>
      <c r="U965" s="213"/>
      <c r="V965" s="213"/>
      <c r="W965" s="213"/>
      <c r="X965" s="591"/>
      <c r="Y965" s="591"/>
    </row>
    <row r="966" spans="1:25" ht="14.85" customHeight="1">
      <c r="A966" s="619"/>
      <c r="B966" s="586"/>
      <c r="C966" s="259"/>
      <c r="D966" s="621"/>
      <c r="E966" s="375"/>
      <c r="F966" s="154"/>
      <c r="G966" s="224"/>
      <c r="H966" s="224"/>
      <c r="I966" s="154"/>
      <c r="J966" s="276"/>
      <c r="K966" s="311">
        <f t="shared" si="271"/>
        <v>0</v>
      </c>
      <c r="L966" s="312">
        <f t="shared" si="272"/>
        <v>0</v>
      </c>
      <c r="M966" s="313">
        <f t="shared" si="273"/>
        <v>0</v>
      </c>
      <c r="N966" s="320"/>
      <c r="O966" s="315">
        <f t="shared" si="264"/>
        <v>0</v>
      </c>
      <c r="P966" s="315">
        <f t="shared" si="265"/>
        <v>0</v>
      </c>
      <c r="Q966" s="320"/>
      <c r="R966" s="315">
        <f t="shared" si="274"/>
        <v>0</v>
      </c>
      <c r="S966" s="315">
        <f t="shared" si="275"/>
        <v>0</v>
      </c>
      <c r="T966" s="213"/>
      <c r="U966" s="213"/>
      <c r="V966" s="213"/>
      <c r="W966" s="213"/>
      <c r="X966" s="591"/>
      <c r="Y966" s="591"/>
    </row>
    <row r="967" spans="1:25" ht="14.85" customHeight="1">
      <c r="A967" s="619"/>
      <c r="B967" s="586"/>
      <c r="C967" s="259"/>
      <c r="D967" s="621"/>
      <c r="E967" s="375"/>
      <c r="F967" s="154"/>
      <c r="G967" s="224"/>
      <c r="H967" s="224"/>
      <c r="I967" s="154"/>
      <c r="J967" s="276"/>
      <c r="K967" s="311">
        <f t="shared" si="271"/>
        <v>0</v>
      </c>
      <c r="L967" s="312">
        <f t="shared" si="272"/>
        <v>0</v>
      </c>
      <c r="M967" s="313">
        <f t="shared" si="273"/>
        <v>0</v>
      </c>
      <c r="N967" s="320"/>
      <c r="O967" s="315">
        <f t="shared" si="264"/>
        <v>0</v>
      </c>
      <c r="P967" s="315">
        <f t="shared" si="265"/>
        <v>0</v>
      </c>
      <c r="Q967" s="320"/>
      <c r="R967" s="315">
        <f t="shared" si="274"/>
        <v>0</v>
      </c>
      <c r="S967" s="315">
        <f t="shared" si="275"/>
        <v>0</v>
      </c>
      <c r="T967" s="213"/>
      <c r="U967" s="213"/>
      <c r="V967" s="213"/>
      <c r="W967" s="213"/>
      <c r="X967" s="591"/>
      <c r="Y967" s="591"/>
    </row>
    <row r="968" spans="1:25" ht="14.85" customHeight="1">
      <c r="A968" s="619"/>
      <c r="B968" s="586"/>
      <c r="C968" s="259"/>
      <c r="D968" s="621"/>
      <c r="E968" s="375"/>
      <c r="F968" s="154"/>
      <c r="G968" s="224"/>
      <c r="H968" s="224"/>
      <c r="I968" s="154"/>
      <c r="J968" s="276"/>
      <c r="K968" s="311">
        <f t="shared" si="271"/>
        <v>0</v>
      </c>
      <c r="L968" s="312">
        <f t="shared" si="272"/>
        <v>0</v>
      </c>
      <c r="M968" s="313">
        <f t="shared" si="273"/>
        <v>0</v>
      </c>
      <c r="N968" s="320">
        <f>SUM(L965:L968)</f>
        <v>0</v>
      </c>
      <c r="O968" s="315">
        <f t="shared" si="264"/>
        <v>0</v>
      </c>
      <c r="P968" s="315">
        <f t="shared" si="265"/>
        <v>0</v>
      </c>
      <c r="Q968" s="320">
        <f>N968</f>
        <v>0</v>
      </c>
      <c r="R968" s="315">
        <f t="shared" si="274"/>
        <v>0</v>
      </c>
      <c r="S968" s="315">
        <f t="shared" si="275"/>
        <v>0</v>
      </c>
      <c r="T968" s="213"/>
      <c r="U968" s="213"/>
      <c r="V968" s="213"/>
      <c r="W968" s="213"/>
      <c r="X968" s="591"/>
      <c r="Y968" s="591"/>
    </row>
    <row r="969" spans="1:25" ht="14.85" customHeight="1">
      <c r="A969" s="619"/>
      <c r="B969" s="586"/>
      <c r="C969" s="259"/>
      <c r="D969" s="621"/>
      <c r="E969" s="375"/>
      <c r="F969" s="154"/>
      <c r="G969" s="224"/>
      <c r="H969" s="224"/>
      <c r="I969" s="154"/>
      <c r="J969" s="276"/>
      <c r="K969" s="311"/>
      <c r="L969" s="312"/>
      <c r="M969" s="313"/>
      <c r="N969" s="320"/>
      <c r="O969" s="315"/>
      <c r="P969" s="315"/>
      <c r="Q969" s="320"/>
      <c r="R969" s="315">
        <f t="shared" ref="R969:R1020" si="276">ROUNDDOWN((Q969/$O$11),0)</f>
        <v>0</v>
      </c>
      <c r="S969" s="315">
        <f t="shared" ref="S969:S1020" si="277">ROUND((Q969-(R969*$P$11)),0)</f>
        <v>0</v>
      </c>
      <c r="T969" s="213"/>
      <c r="U969" s="213"/>
      <c r="V969" s="213"/>
      <c r="W969" s="213"/>
      <c r="X969" s="591"/>
      <c r="Y969" s="591"/>
    </row>
    <row r="970" spans="1:25" ht="14.85" customHeight="1">
      <c r="A970" s="619"/>
      <c r="B970" s="586"/>
      <c r="C970" s="259"/>
      <c r="D970" s="621"/>
      <c r="E970" s="375"/>
      <c r="F970" s="154"/>
      <c r="G970" s="215"/>
      <c r="H970" s="215"/>
      <c r="I970" s="154"/>
      <c r="J970" s="276"/>
      <c r="K970" s="311">
        <f t="shared" si="271"/>
        <v>0</v>
      </c>
      <c r="L970" s="312">
        <f t="shared" si="272"/>
        <v>0</v>
      </c>
      <c r="M970" s="313">
        <f t="shared" si="273"/>
        <v>0</v>
      </c>
      <c r="N970" s="320"/>
      <c r="O970" s="315">
        <f t="shared" si="264"/>
        <v>0</v>
      </c>
      <c r="P970" s="315">
        <f t="shared" si="265"/>
        <v>0</v>
      </c>
      <c r="Q970" s="320"/>
      <c r="R970" s="315">
        <f t="shared" si="276"/>
        <v>0</v>
      </c>
      <c r="S970" s="315">
        <f t="shared" si="277"/>
        <v>0</v>
      </c>
      <c r="T970" s="213"/>
      <c r="U970" s="213"/>
      <c r="V970" s="213"/>
      <c r="W970" s="213"/>
      <c r="X970" s="591"/>
      <c r="Y970" s="591"/>
    </row>
    <row r="971" spans="1:25" ht="14.85" customHeight="1">
      <c r="A971" s="619"/>
      <c r="B971" s="586"/>
      <c r="C971" s="259"/>
      <c r="D971" s="621"/>
      <c r="E971" s="376"/>
      <c r="F971" s="154"/>
      <c r="G971" s="215"/>
      <c r="H971" s="215"/>
      <c r="I971" s="154"/>
      <c r="J971" s="276"/>
      <c r="K971" s="311">
        <f t="shared" si="271"/>
        <v>0</v>
      </c>
      <c r="L971" s="312">
        <f t="shared" si="272"/>
        <v>0</v>
      </c>
      <c r="M971" s="313">
        <f t="shared" si="273"/>
        <v>0</v>
      </c>
      <c r="N971" s="320"/>
      <c r="O971" s="315">
        <f t="shared" si="264"/>
        <v>0</v>
      </c>
      <c r="P971" s="315">
        <f t="shared" si="265"/>
        <v>0</v>
      </c>
      <c r="Q971" s="320"/>
      <c r="R971" s="315">
        <f t="shared" si="276"/>
        <v>0</v>
      </c>
      <c r="S971" s="315">
        <f t="shared" si="277"/>
        <v>0</v>
      </c>
      <c r="T971" s="213"/>
      <c r="U971" s="213"/>
      <c r="V971" s="213"/>
      <c r="W971" s="213"/>
      <c r="X971" s="591"/>
      <c r="Y971" s="591"/>
    </row>
    <row r="972" spans="1:25" ht="14.85" customHeight="1">
      <c r="A972" s="619"/>
      <c r="B972" s="586"/>
      <c r="C972" s="259"/>
      <c r="D972" s="621"/>
      <c r="E972" s="376"/>
      <c r="F972" s="154"/>
      <c r="G972" s="215"/>
      <c r="H972" s="215"/>
      <c r="I972" s="154"/>
      <c r="J972" s="276"/>
      <c r="K972" s="311">
        <f t="shared" si="271"/>
        <v>0</v>
      </c>
      <c r="L972" s="312">
        <f t="shared" si="272"/>
        <v>0</v>
      </c>
      <c r="M972" s="313">
        <f t="shared" si="273"/>
        <v>0</v>
      </c>
      <c r="N972" s="320"/>
      <c r="O972" s="315">
        <f t="shared" si="264"/>
        <v>0</v>
      </c>
      <c r="P972" s="315">
        <f t="shared" si="265"/>
        <v>0</v>
      </c>
      <c r="Q972" s="320"/>
      <c r="R972" s="315">
        <f t="shared" si="276"/>
        <v>0</v>
      </c>
      <c r="S972" s="315">
        <f t="shared" si="277"/>
        <v>0</v>
      </c>
      <c r="T972" s="213"/>
      <c r="U972" s="213"/>
      <c r="V972" s="213"/>
      <c r="W972" s="213"/>
      <c r="X972" s="591"/>
      <c r="Y972" s="591"/>
    </row>
    <row r="973" spans="1:25" ht="14.85" customHeight="1">
      <c r="A973" s="619"/>
      <c r="B973" s="586"/>
      <c r="C973" s="259"/>
      <c r="D973" s="621"/>
      <c r="E973" s="376"/>
      <c r="F973" s="154"/>
      <c r="G973" s="215"/>
      <c r="H973" s="215"/>
      <c r="I973" s="154"/>
      <c r="J973" s="276"/>
      <c r="K973" s="311">
        <f t="shared" si="271"/>
        <v>0</v>
      </c>
      <c r="L973" s="312">
        <f t="shared" si="272"/>
        <v>0</v>
      </c>
      <c r="M973" s="313">
        <f t="shared" si="273"/>
        <v>0</v>
      </c>
      <c r="N973" s="320"/>
      <c r="O973" s="315">
        <f t="shared" si="264"/>
        <v>0</v>
      </c>
      <c r="P973" s="315">
        <f t="shared" si="265"/>
        <v>0</v>
      </c>
      <c r="Q973" s="320"/>
      <c r="R973" s="315">
        <f t="shared" si="276"/>
        <v>0</v>
      </c>
      <c r="S973" s="315">
        <f t="shared" si="277"/>
        <v>0</v>
      </c>
      <c r="T973" s="213"/>
      <c r="U973" s="213"/>
      <c r="V973" s="213"/>
      <c r="W973" s="213"/>
      <c r="X973" s="591"/>
      <c r="Y973" s="591"/>
    </row>
    <row r="974" spans="1:25" ht="14.85" customHeight="1">
      <c r="A974" s="619"/>
      <c r="B974" s="586"/>
      <c r="C974" s="259"/>
      <c r="D974" s="621"/>
      <c r="E974" s="376"/>
      <c r="F974" s="154"/>
      <c r="G974" s="215"/>
      <c r="H974" s="215"/>
      <c r="I974" s="154"/>
      <c r="J974" s="276"/>
      <c r="K974" s="311">
        <f t="shared" si="271"/>
        <v>0</v>
      </c>
      <c r="L974" s="312">
        <f t="shared" si="272"/>
        <v>0</v>
      </c>
      <c r="M974" s="313">
        <f t="shared" si="273"/>
        <v>0</v>
      </c>
      <c r="N974" s="320">
        <f>SUM(L970:L974)</f>
        <v>0</v>
      </c>
      <c r="O974" s="315">
        <f t="shared" si="264"/>
        <v>0</v>
      </c>
      <c r="P974" s="315">
        <f t="shared" si="265"/>
        <v>0</v>
      </c>
      <c r="Q974" s="320"/>
      <c r="R974" s="315">
        <f t="shared" si="276"/>
        <v>0</v>
      </c>
      <c r="S974" s="315">
        <f t="shared" si="277"/>
        <v>0</v>
      </c>
      <c r="T974" s="213"/>
      <c r="U974" s="213"/>
      <c r="V974" s="213"/>
      <c r="W974" s="213"/>
      <c r="X974" s="591"/>
      <c r="Y974" s="591"/>
    </row>
    <row r="975" spans="1:25" ht="14.85" customHeight="1">
      <c r="A975" s="619"/>
      <c r="B975" s="586"/>
      <c r="C975" s="259"/>
      <c r="D975" s="621"/>
      <c r="E975" s="157"/>
      <c r="F975" s="154"/>
      <c r="G975" s="254"/>
      <c r="H975" s="154"/>
      <c r="I975" s="154"/>
      <c r="J975" s="276"/>
      <c r="K975" s="311">
        <f t="shared" si="271"/>
        <v>0</v>
      </c>
      <c r="L975" s="312">
        <f t="shared" si="272"/>
        <v>0</v>
      </c>
      <c r="M975" s="313">
        <f t="shared" si="273"/>
        <v>0</v>
      </c>
      <c r="N975" s="320"/>
      <c r="O975" s="315">
        <f t="shared" si="264"/>
        <v>0</v>
      </c>
      <c r="P975" s="315">
        <f t="shared" si="265"/>
        <v>0</v>
      </c>
      <c r="Q975" s="320"/>
      <c r="R975" s="315">
        <f t="shared" si="276"/>
        <v>0</v>
      </c>
      <c r="S975" s="315">
        <f t="shared" si="277"/>
        <v>0</v>
      </c>
      <c r="T975" s="213"/>
      <c r="U975" s="213"/>
      <c r="V975" s="213"/>
      <c r="W975" s="213"/>
      <c r="X975" s="591"/>
      <c r="Y975" s="591"/>
    </row>
    <row r="976" spans="1:25" ht="14.85" customHeight="1">
      <c r="A976" s="619"/>
      <c r="B976" s="586"/>
      <c r="C976" s="259"/>
      <c r="D976" s="621"/>
      <c r="E976" s="157"/>
      <c r="F976" s="154"/>
      <c r="G976" s="254"/>
      <c r="H976" s="154"/>
      <c r="I976" s="154"/>
      <c r="J976" s="276"/>
      <c r="K976" s="311">
        <f t="shared" ref="K976:K1020" si="278">J976/$K$11</f>
        <v>0</v>
      </c>
      <c r="L976" s="312">
        <f t="shared" ref="L976:L1020" si="279">J976/$L$11</f>
        <v>0</v>
      </c>
      <c r="M976" s="313">
        <f t="shared" ref="M976:M1020" si="280">ROUND((L976/$M$11),0)</f>
        <v>0</v>
      </c>
      <c r="N976" s="320"/>
      <c r="O976" s="315">
        <f t="shared" ref="O976:O1037" si="281">ROUNDDOWN((N976/$O$11),0)</f>
        <v>0</v>
      </c>
      <c r="P976" s="315">
        <f t="shared" ref="P976:P1037" si="282">ROUND((N976-(O976*$P$11)),0)</f>
        <v>0</v>
      </c>
      <c r="Q976" s="320"/>
      <c r="R976" s="315">
        <f t="shared" si="276"/>
        <v>0</v>
      </c>
      <c r="S976" s="315">
        <f t="shared" si="277"/>
        <v>0</v>
      </c>
      <c r="T976" s="213"/>
      <c r="U976" s="213"/>
      <c r="V976" s="213"/>
      <c r="W976" s="213"/>
      <c r="X976" s="591"/>
      <c r="Y976" s="591"/>
    </row>
    <row r="977" spans="1:25" ht="14.85" customHeight="1">
      <c r="A977" s="619"/>
      <c r="B977" s="586"/>
      <c r="C977" s="259"/>
      <c r="D977" s="621"/>
      <c r="E977" s="157"/>
      <c r="F977" s="154"/>
      <c r="G977" s="254"/>
      <c r="H977" s="154"/>
      <c r="I977" s="154"/>
      <c r="J977" s="276"/>
      <c r="K977" s="311">
        <f t="shared" si="278"/>
        <v>0</v>
      </c>
      <c r="L977" s="312">
        <f t="shared" si="279"/>
        <v>0</v>
      </c>
      <c r="M977" s="313">
        <f t="shared" si="280"/>
        <v>0</v>
      </c>
      <c r="N977" s="320"/>
      <c r="O977" s="315">
        <f t="shared" si="281"/>
        <v>0</v>
      </c>
      <c r="P977" s="315">
        <f t="shared" si="282"/>
        <v>0</v>
      </c>
      <c r="Q977" s="320"/>
      <c r="R977" s="315">
        <f t="shared" si="276"/>
        <v>0</v>
      </c>
      <c r="S977" s="315">
        <f t="shared" si="277"/>
        <v>0</v>
      </c>
      <c r="T977" s="213"/>
      <c r="U977" s="213"/>
      <c r="V977" s="213"/>
      <c r="W977" s="213"/>
      <c r="X977" s="591"/>
      <c r="Y977" s="591"/>
    </row>
    <row r="978" spans="1:25" ht="14.85" customHeight="1">
      <c r="A978" s="619"/>
      <c r="B978" s="586"/>
      <c r="C978" s="259"/>
      <c r="D978" s="621"/>
      <c r="E978" s="157"/>
      <c r="F978" s="154"/>
      <c r="G978" s="254"/>
      <c r="H978" s="154"/>
      <c r="I978" s="154"/>
      <c r="J978" s="276"/>
      <c r="K978" s="311">
        <f t="shared" si="278"/>
        <v>0</v>
      </c>
      <c r="L978" s="312">
        <f t="shared" si="279"/>
        <v>0</v>
      </c>
      <c r="M978" s="313">
        <f t="shared" si="280"/>
        <v>0</v>
      </c>
      <c r="N978" s="320">
        <f>SUM(L975:L978)</f>
        <v>0</v>
      </c>
      <c r="O978" s="315">
        <f t="shared" si="281"/>
        <v>0</v>
      </c>
      <c r="P978" s="315">
        <f t="shared" si="282"/>
        <v>0</v>
      </c>
      <c r="Q978" s="320"/>
      <c r="R978" s="315">
        <f t="shared" si="276"/>
        <v>0</v>
      </c>
      <c r="S978" s="315">
        <f t="shared" si="277"/>
        <v>0</v>
      </c>
      <c r="T978" s="213"/>
      <c r="U978" s="213"/>
      <c r="V978" s="213"/>
      <c r="W978" s="213"/>
      <c r="X978" s="591"/>
      <c r="Y978" s="591"/>
    </row>
    <row r="979" spans="1:25" ht="14.85" customHeight="1">
      <c r="A979" s="619"/>
      <c r="B979" s="586"/>
      <c r="C979" s="259"/>
      <c r="D979" s="621"/>
      <c r="E979" s="157"/>
      <c r="F979" s="154"/>
      <c r="G979" s="254"/>
      <c r="H979" s="154"/>
      <c r="I979" s="154"/>
      <c r="J979" s="276"/>
      <c r="K979" s="311">
        <f t="shared" si="278"/>
        <v>0</v>
      </c>
      <c r="L979" s="312">
        <f t="shared" si="279"/>
        <v>0</v>
      </c>
      <c r="M979" s="313">
        <f t="shared" si="280"/>
        <v>0</v>
      </c>
      <c r="N979" s="320"/>
      <c r="O979" s="315">
        <f t="shared" si="281"/>
        <v>0</v>
      </c>
      <c r="P979" s="315">
        <f t="shared" si="282"/>
        <v>0</v>
      </c>
      <c r="Q979" s="320"/>
      <c r="R979" s="315">
        <f t="shared" si="276"/>
        <v>0</v>
      </c>
      <c r="S979" s="315">
        <f t="shared" si="277"/>
        <v>0</v>
      </c>
      <c r="T979" s="213"/>
      <c r="U979" s="213"/>
      <c r="V979" s="213"/>
      <c r="W979" s="213"/>
      <c r="X979" s="591"/>
      <c r="Y979" s="591"/>
    </row>
    <row r="980" spans="1:25" ht="14.85" customHeight="1">
      <c r="A980" s="619"/>
      <c r="B980" s="586"/>
      <c r="C980" s="259"/>
      <c r="D980" s="621"/>
      <c r="E980" s="157"/>
      <c r="F980" s="154"/>
      <c r="G980" s="254"/>
      <c r="H980" s="154"/>
      <c r="I980" s="154"/>
      <c r="J980" s="276"/>
      <c r="K980" s="311">
        <f t="shared" si="278"/>
        <v>0</v>
      </c>
      <c r="L980" s="312">
        <f t="shared" si="279"/>
        <v>0</v>
      </c>
      <c r="M980" s="313">
        <f t="shared" si="280"/>
        <v>0</v>
      </c>
      <c r="N980" s="320"/>
      <c r="O980" s="315">
        <f t="shared" si="281"/>
        <v>0</v>
      </c>
      <c r="P980" s="315">
        <f t="shared" si="282"/>
        <v>0</v>
      </c>
      <c r="Q980" s="320"/>
      <c r="R980" s="315">
        <f t="shared" si="276"/>
        <v>0</v>
      </c>
      <c r="S980" s="315">
        <f t="shared" si="277"/>
        <v>0</v>
      </c>
      <c r="T980" s="213"/>
      <c r="U980" s="213"/>
      <c r="V980" s="213"/>
      <c r="W980" s="213"/>
      <c r="X980" s="591"/>
      <c r="Y980" s="591"/>
    </row>
    <row r="981" spans="1:25" ht="14.85" customHeight="1">
      <c r="A981" s="619"/>
      <c r="B981" s="586"/>
      <c r="C981" s="259"/>
      <c r="D981" s="621"/>
      <c r="E981" s="157"/>
      <c r="F981" s="154"/>
      <c r="G981" s="254"/>
      <c r="H981" s="154"/>
      <c r="I981" s="154"/>
      <c r="J981" s="276"/>
      <c r="K981" s="311">
        <f t="shared" si="278"/>
        <v>0</v>
      </c>
      <c r="L981" s="312">
        <f t="shared" si="279"/>
        <v>0</v>
      </c>
      <c r="M981" s="313">
        <f t="shared" si="280"/>
        <v>0</v>
      </c>
      <c r="N981" s="320"/>
      <c r="O981" s="315">
        <f t="shared" si="281"/>
        <v>0</v>
      </c>
      <c r="P981" s="315">
        <f t="shared" si="282"/>
        <v>0</v>
      </c>
      <c r="Q981" s="320"/>
      <c r="R981" s="315">
        <f t="shared" si="276"/>
        <v>0</v>
      </c>
      <c r="S981" s="315">
        <f t="shared" si="277"/>
        <v>0</v>
      </c>
      <c r="T981" s="213"/>
      <c r="U981" s="213"/>
      <c r="V981" s="213"/>
      <c r="W981" s="213"/>
      <c r="X981" s="591"/>
      <c r="Y981" s="591"/>
    </row>
    <row r="982" spans="1:25" ht="14.85" customHeight="1">
      <c r="A982" s="619"/>
      <c r="B982" s="586"/>
      <c r="C982" s="259"/>
      <c r="D982" s="621"/>
      <c r="E982" s="157"/>
      <c r="F982" s="154"/>
      <c r="G982" s="254"/>
      <c r="H982" s="154"/>
      <c r="I982" s="154"/>
      <c r="J982" s="276"/>
      <c r="K982" s="311">
        <f t="shared" si="278"/>
        <v>0</v>
      </c>
      <c r="L982" s="312">
        <f t="shared" si="279"/>
        <v>0</v>
      </c>
      <c r="M982" s="313">
        <f t="shared" si="280"/>
        <v>0</v>
      </c>
      <c r="N982" s="320">
        <f>SUM(L979:L982)</f>
        <v>0</v>
      </c>
      <c r="O982" s="315">
        <f t="shared" si="281"/>
        <v>0</v>
      </c>
      <c r="P982" s="315">
        <f t="shared" si="282"/>
        <v>0</v>
      </c>
      <c r="Q982" s="320">
        <f>N974+N978+N982</f>
        <v>0</v>
      </c>
      <c r="R982" s="315">
        <f t="shared" si="276"/>
        <v>0</v>
      </c>
      <c r="S982" s="315">
        <f t="shared" si="277"/>
        <v>0</v>
      </c>
      <c r="T982" s="213"/>
      <c r="U982" s="213"/>
      <c r="V982" s="213"/>
      <c r="W982" s="213"/>
      <c r="X982" s="591"/>
      <c r="Y982" s="591"/>
    </row>
    <row r="983" spans="1:25" ht="14.85" customHeight="1">
      <c r="A983" s="619"/>
      <c r="B983" s="586"/>
      <c r="C983" s="259"/>
      <c r="D983" s="621"/>
      <c r="E983" s="157"/>
      <c r="F983" s="154"/>
      <c r="G983" s="254"/>
      <c r="H983" s="154"/>
      <c r="I983" s="154"/>
      <c r="J983" s="276"/>
      <c r="K983" s="311"/>
      <c r="L983" s="312"/>
      <c r="M983" s="313"/>
      <c r="N983" s="320"/>
      <c r="O983" s="315"/>
      <c r="P983" s="315"/>
      <c r="Q983" s="320"/>
      <c r="R983" s="315">
        <f t="shared" si="276"/>
        <v>0</v>
      </c>
      <c r="S983" s="315">
        <f t="shared" si="277"/>
        <v>0</v>
      </c>
      <c r="T983" s="213"/>
      <c r="U983" s="213"/>
      <c r="V983" s="213"/>
      <c r="W983" s="213"/>
      <c r="X983" s="591"/>
      <c r="Y983" s="591"/>
    </row>
    <row r="984" spans="1:25" ht="14.85" customHeight="1">
      <c r="A984" s="619"/>
      <c r="B984" s="586"/>
      <c r="C984" s="259"/>
      <c r="D984" s="621"/>
      <c r="E984" s="375"/>
      <c r="F984" s="154"/>
      <c r="G984" s="223"/>
      <c r="H984" s="223"/>
      <c r="I984" s="154"/>
      <c r="J984" s="276"/>
      <c r="K984" s="311">
        <f t="shared" si="278"/>
        <v>0</v>
      </c>
      <c r="L984" s="312">
        <f t="shared" si="279"/>
        <v>0</v>
      </c>
      <c r="M984" s="313">
        <f t="shared" si="280"/>
        <v>0</v>
      </c>
      <c r="N984" s="320"/>
      <c r="O984" s="315">
        <f t="shared" si="281"/>
        <v>0</v>
      </c>
      <c r="P984" s="315">
        <f t="shared" si="282"/>
        <v>0</v>
      </c>
      <c r="Q984" s="320"/>
      <c r="R984" s="315">
        <f t="shared" si="276"/>
        <v>0</v>
      </c>
      <c r="S984" s="315">
        <f t="shared" si="277"/>
        <v>0</v>
      </c>
      <c r="T984" s="213"/>
      <c r="U984" s="213"/>
      <c r="V984" s="213"/>
      <c r="W984" s="213"/>
      <c r="X984" s="591"/>
      <c r="Y984" s="591"/>
    </row>
    <row r="985" spans="1:25" ht="14.85" customHeight="1">
      <c r="A985" s="619"/>
      <c r="B985" s="586"/>
      <c r="C985" s="259"/>
      <c r="D985" s="621"/>
      <c r="E985" s="376"/>
      <c r="F985" s="154"/>
      <c r="G985" s="223"/>
      <c r="H985" s="223"/>
      <c r="I985" s="154"/>
      <c r="J985" s="276"/>
      <c r="K985" s="311">
        <f t="shared" si="278"/>
        <v>0</v>
      </c>
      <c r="L985" s="312">
        <f t="shared" si="279"/>
        <v>0</v>
      </c>
      <c r="M985" s="313">
        <f t="shared" si="280"/>
        <v>0</v>
      </c>
      <c r="N985" s="320"/>
      <c r="O985" s="315">
        <f t="shared" si="281"/>
        <v>0</v>
      </c>
      <c r="P985" s="315">
        <f t="shared" si="282"/>
        <v>0</v>
      </c>
      <c r="Q985" s="320"/>
      <c r="R985" s="315">
        <f t="shared" si="276"/>
        <v>0</v>
      </c>
      <c r="S985" s="315">
        <f t="shared" si="277"/>
        <v>0</v>
      </c>
      <c r="T985" s="213"/>
      <c r="U985" s="213"/>
      <c r="V985" s="213"/>
      <c r="W985" s="213"/>
      <c r="X985" s="591"/>
      <c r="Y985" s="591"/>
    </row>
    <row r="986" spans="1:25" ht="14.85" customHeight="1">
      <c r="A986" s="619"/>
      <c r="B986" s="586"/>
      <c r="C986" s="259"/>
      <c r="D986" s="621"/>
      <c r="E986" s="376"/>
      <c r="F986" s="154"/>
      <c r="G986" s="223"/>
      <c r="H986" s="223"/>
      <c r="I986" s="154"/>
      <c r="J986" s="276"/>
      <c r="K986" s="311">
        <f t="shared" si="278"/>
        <v>0</v>
      </c>
      <c r="L986" s="312">
        <f t="shared" si="279"/>
        <v>0</v>
      </c>
      <c r="M986" s="313">
        <f t="shared" si="280"/>
        <v>0</v>
      </c>
      <c r="N986" s="320">
        <f>SUM(L984:L986)</f>
        <v>0</v>
      </c>
      <c r="O986" s="315">
        <f t="shared" si="281"/>
        <v>0</v>
      </c>
      <c r="P986" s="315">
        <f t="shared" si="282"/>
        <v>0</v>
      </c>
      <c r="Q986" s="320"/>
      <c r="R986" s="315">
        <f t="shared" si="276"/>
        <v>0</v>
      </c>
      <c r="S986" s="315">
        <f t="shared" si="277"/>
        <v>0</v>
      </c>
      <c r="T986" s="213"/>
      <c r="U986" s="213"/>
      <c r="V986" s="213"/>
      <c r="W986" s="213"/>
      <c r="X986" s="591"/>
      <c r="Y986" s="591"/>
    </row>
    <row r="987" spans="1:25" ht="14.85" customHeight="1">
      <c r="A987" s="619"/>
      <c r="B987" s="586"/>
      <c r="C987" s="259"/>
      <c r="D987" s="621"/>
      <c r="E987" s="371"/>
      <c r="F987" s="273"/>
      <c r="G987" s="254"/>
      <c r="H987" s="154"/>
      <c r="I987" s="155"/>
      <c r="J987" s="276"/>
      <c r="K987" s="311">
        <f t="shared" si="278"/>
        <v>0</v>
      </c>
      <c r="L987" s="312">
        <f t="shared" si="279"/>
        <v>0</v>
      </c>
      <c r="M987" s="313">
        <f t="shared" si="280"/>
        <v>0</v>
      </c>
      <c r="N987" s="320"/>
      <c r="O987" s="315">
        <f t="shared" si="281"/>
        <v>0</v>
      </c>
      <c r="P987" s="315">
        <f t="shared" si="282"/>
        <v>0</v>
      </c>
      <c r="Q987" s="320"/>
      <c r="R987" s="315">
        <f t="shared" si="276"/>
        <v>0</v>
      </c>
      <c r="S987" s="315">
        <f t="shared" si="277"/>
        <v>0</v>
      </c>
      <c r="T987" s="213"/>
      <c r="U987" s="213"/>
      <c r="V987" s="213"/>
      <c r="W987" s="213"/>
      <c r="X987" s="591"/>
      <c r="Y987" s="591"/>
    </row>
    <row r="988" spans="1:25" ht="14.85" customHeight="1">
      <c r="A988" s="619"/>
      <c r="B988" s="586"/>
      <c r="C988" s="259"/>
      <c r="D988" s="621"/>
      <c r="E988" s="371"/>
      <c r="F988" s="273"/>
      <c r="G988" s="254"/>
      <c r="H988" s="154"/>
      <c r="I988" s="155"/>
      <c r="J988" s="276"/>
      <c r="K988" s="311">
        <f t="shared" si="278"/>
        <v>0</v>
      </c>
      <c r="L988" s="312">
        <f t="shared" si="279"/>
        <v>0</v>
      </c>
      <c r="M988" s="313">
        <f t="shared" si="280"/>
        <v>0</v>
      </c>
      <c r="N988" s="320">
        <f>SUM(L987:L988)</f>
        <v>0</v>
      </c>
      <c r="O988" s="315">
        <f t="shared" si="281"/>
        <v>0</v>
      </c>
      <c r="P988" s="315">
        <f t="shared" si="282"/>
        <v>0</v>
      </c>
      <c r="Q988" s="320"/>
      <c r="R988" s="315">
        <f t="shared" si="276"/>
        <v>0</v>
      </c>
      <c r="S988" s="315">
        <f t="shared" si="277"/>
        <v>0</v>
      </c>
      <c r="T988" s="213"/>
      <c r="U988" s="213"/>
      <c r="V988" s="213"/>
      <c r="W988" s="213"/>
      <c r="X988" s="591"/>
      <c r="Y988" s="591"/>
    </row>
    <row r="989" spans="1:25" ht="14.85" customHeight="1">
      <c r="A989" s="619"/>
      <c r="B989" s="586"/>
      <c r="C989" s="259"/>
      <c r="D989" s="621"/>
      <c r="E989" s="371"/>
      <c r="F989" s="273"/>
      <c r="G989" s="254"/>
      <c r="H989" s="154"/>
      <c r="I989" s="155"/>
      <c r="J989" s="276"/>
      <c r="K989" s="311">
        <f t="shared" si="278"/>
        <v>0</v>
      </c>
      <c r="L989" s="312">
        <f t="shared" si="279"/>
        <v>0</v>
      </c>
      <c r="M989" s="313">
        <f t="shared" si="280"/>
        <v>0</v>
      </c>
      <c r="N989" s="320"/>
      <c r="O989" s="315">
        <f t="shared" si="281"/>
        <v>0</v>
      </c>
      <c r="P989" s="315">
        <f t="shared" si="282"/>
        <v>0</v>
      </c>
      <c r="Q989" s="320"/>
      <c r="R989" s="315">
        <f t="shared" si="276"/>
        <v>0</v>
      </c>
      <c r="S989" s="315">
        <f t="shared" si="277"/>
        <v>0</v>
      </c>
      <c r="T989" s="213"/>
      <c r="U989" s="213"/>
      <c r="V989" s="213"/>
      <c r="W989" s="213"/>
      <c r="X989" s="591"/>
      <c r="Y989" s="591"/>
    </row>
    <row r="990" spans="1:25" ht="14.85" customHeight="1">
      <c r="A990" s="619"/>
      <c r="B990" s="586"/>
      <c r="C990" s="259"/>
      <c r="D990" s="621"/>
      <c r="E990" s="371"/>
      <c r="F990" s="273"/>
      <c r="G990" s="254"/>
      <c r="H990" s="154"/>
      <c r="I990" s="155"/>
      <c r="J990" s="276"/>
      <c r="K990" s="311">
        <f t="shared" si="278"/>
        <v>0</v>
      </c>
      <c r="L990" s="312">
        <f t="shared" si="279"/>
        <v>0</v>
      </c>
      <c r="M990" s="313">
        <f t="shared" si="280"/>
        <v>0</v>
      </c>
      <c r="N990" s="320"/>
      <c r="O990" s="315">
        <f t="shared" si="281"/>
        <v>0</v>
      </c>
      <c r="P990" s="315">
        <f t="shared" si="282"/>
        <v>0</v>
      </c>
      <c r="Q990" s="320"/>
      <c r="R990" s="315">
        <f t="shared" si="276"/>
        <v>0</v>
      </c>
      <c r="S990" s="315">
        <f t="shared" si="277"/>
        <v>0</v>
      </c>
      <c r="T990" s="213"/>
      <c r="U990" s="213"/>
      <c r="V990" s="213"/>
      <c r="W990" s="213"/>
      <c r="X990" s="591"/>
      <c r="Y990" s="591"/>
    </row>
    <row r="991" spans="1:25" ht="14.85" customHeight="1">
      <c r="A991" s="619"/>
      <c r="B991" s="586"/>
      <c r="C991" s="259"/>
      <c r="D991" s="621"/>
      <c r="E991" s="371"/>
      <c r="F991" s="273"/>
      <c r="G991" s="254"/>
      <c r="H991" s="154"/>
      <c r="I991" s="155"/>
      <c r="J991" s="276"/>
      <c r="K991" s="311">
        <f t="shared" si="278"/>
        <v>0</v>
      </c>
      <c r="L991" s="312">
        <f t="shared" si="279"/>
        <v>0</v>
      </c>
      <c r="M991" s="313">
        <f t="shared" si="280"/>
        <v>0</v>
      </c>
      <c r="N991" s="320"/>
      <c r="O991" s="315">
        <f t="shared" si="281"/>
        <v>0</v>
      </c>
      <c r="P991" s="315">
        <f t="shared" si="282"/>
        <v>0</v>
      </c>
      <c r="Q991" s="320"/>
      <c r="R991" s="315">
        <f t="shared" si="276"/>
        <v>0</v>
      </c>
      <c r="S991" s="315">
        <f t="shared" si="277"/>
        <v>0</v>
      </c>
      <c r="T991" s="213"/>
      <c r="U991" s="213"/>
      <c r="V991" s="213"/>
      <c r="W991" s="213"/>
      <c r="X991" s="591"/>
      <c r="Y991" s="591"/>
    </row>
    <row r="992" spans="1:25" ht="14.85" customHeight="1">
      <c r="A992" s="619"/>
      <c r="B992" s="586"/>
      <c r="C992" s="259"/>
      <c r="D992" s="621"/>
      <c r="E992" s="371"/>
      <c r="F992" s="273"/>
      <c r="G992" s="254"/>
      <c r="H992" s="154"/>
      <c r="I992" s="155"/>
      <c r="J992" s="276"/>
      <c r="K992" s="311">
        <f t="shared" si="278"/>
        <v>0</v>
      </c>
      <c r="L992" s="312">
        <f t="shared" si="279"/>
        <v>0</v>
      </c>
      <c r="M992" s="313">
        <f t="shared" si="280"/>
        <v>0</v>
      </c>
      <c r="N992" s="320">
        <f>SUM(L989:L992)</f>
        <v>0</v>
      </c>
      <c r="O992" s="315">
        <f t="shared" si="281"/>
        <v>0</v>
      </c>
      <c r="P992" s="315">
        <f t="shared" si="282"/>
        <v>0</v>
      </c>
      <c r="Q992" s="320">
        <f>N986+N988+N992</f>
        <v>0</v>
      </c>
      <c r="R992" s="315">
        <f t="shared" si="276"/>
        <v>0</v>
      </c>
      <c r="S992" s="315">
        <f t="shared" si="277"/>
        <v>0</v>
      </c>
      <c r="T992" s="213"/>
      <c r="U992" s="213"/>
      <c r="V992" s="213"/>
      <c r="W992" s="213"/>
      <c r="X992" s="591"/>
      <c r="Y992" s="591"/>
    </row>
    <row r="993" spans="1:25" ht="14.85" customHeight="1">
      <c r="A993" s="619"/>
      <c r="B993" s="586"/>
      <c r="C993" s="259"/>
      <c r="D993" s="621"/>
      <c r="E993" s="371"/>
      <c r="F993" s="273"/>
      <c r="G993" s="254"/>
      <c r="H993" s="154"/>
      <c r="I993" s="155"/>
      <c r="J993" s="276"/>
      <c r="K993" s="311"/>
      <c r="L993" s="312"/>
      <c r="M993" s="313"/>
      <c r="N993" s="320"/>
      <c r="O993" s="315"/>
      <c r="P993" s="315"/>
      <c r="Q993" s="320"/>
      <c r="R993" s="315">
        <f t="shared" si="276"/>
        <v>0</v>
      </c>
      <c r="S993" s="315">
        <f t="shared" si="277"/>
        <v>0</v>
      </c>
      <c r="T993" s="213"/>
      <c r="U993" s="213"/>
      <c r="V993" s="213"/>
      <c r="W993" s="213"/>
      <c r="X993" s="591"/>
      <c r="Y993" s="591"/>
    </row>
    <row r="994" spans="1:25" ht="14.85" customHeight="1">
      <c r="A994" s="619"/>
      <c r="B994" s="586"/>
      <c r="C994" s="259"/>
      <c r="D994" s="621"/>
      <c r="E994" s="375"/>
      <c r="F994" s="273"/>
      <c r="G994" s="219"/>
      <c r="H994" s="219"/>
      <c r="I994" s="155"/>
      <c r="J994" s="276"/>
      <c r="K994" s="311">
        <f t="shared" si="278"/>
        <v>0</v>
      </c>
      <c r="L994" s="312">
        <f t="shared" si="279"/>
        <v>0</v>
      </c>
      <c r="M994" s="313">
        <f t="shared" si="280"/>
        <v>0</v>
      </c>
      <c r="N994" s="320"/>
      <c r="O994" s="315">
        <f t="shared" si="281"/>
        <v>0</v>
      </c>
      <c r="P994" s="315">
        <f t="shared" si="282"/>
        <v>0</v>
      </c>
      <c r="Q994" s="320"/>
      <c r="R994" s="315">
        <f t="shared" si="276"/>
        <v>0</v>
      </c>
      <c r="S994" s="315">
        <f t="shared" si="277"/>
        <v>0</v>
      </c>
      <c r="T994" s="213"/>
      <c r="U994" s="213"/>
      <c r="V994" s="213"/>
      <c r="W994" s="213"/>
      <c r="X994" s="591"/>
      <c r="Y994" s="591"/>
    </row>
    <row r="995" spans="1:25" ht="14.85" customHeight="1">
      <c r="A995" s="619"/>
      <c r="B995" s="586"/>
      <c r="C995" s="259"/>
      <c r="D995" s="621"/>
      <c r="E995" s="375"/>
      <c r="F995" s="273"/>
      <c r="G995" s="219"/>
      <c r="H995" s="219"/>
      <c r="I995" s="155"/>
      <c r="J995" s="276"/>
      <c r="K995" s="311">
        <f t="shared" si="278"/>
        <v>0</v>
      </c>
      <c r="L995" s="312">
        <f t="shared" si="279"/>
        <v>0</v>
      </c>
      <c r="M995" s="313">
        <f t="shared" si="280"/>
        <v>0</v>
      </c>
      <c r="N995" s="320"/>
      <c r="O995" s="315">
        <f t="shared" si="281"/>
        <v>0</v>
      </c>
      <c r="P995" s="315">
        <f t="shared" si="282"/>
        <v>0</v>
      </c>
      <c r="Q995" s="320"/>
      <c r="R995" s="315">
        <f t="shared" si="276"/>
        <v>0</v>
      </c>
      <c r="S995" s="315">
        <f t="shared" si="277"/>
        <v>0</v>
      </c>
      <c r="T995" s="213"/>
      <c r="U995" s="213"/>
      <c r="V995" s="213"/>
      <c r="W995" s="213"/>
      <c r="X995" s="591"/>
      <c r="Y995" s="591"/>
    </row>
    <row r="996" spans="1:25" ht="14.85" customHeight="1">
      <c r="A996" s="619"/>
      <c r="B996" s="586"/>
      <c r="C996" s="259"/>
      <c r="D996" s="621"/>
      <c r="E996" s="375"/>
      <c r="F996" s="273"/>
      <c r="G996" s="219"/>
      <c r="H996" s="219"/>
      <c r="I996" s="155"/>
      <c r="J996" s="276"/>
      <c r="K996" s="311">
        <f t="shared" si="278"/>
        <v>0</v>
      </c>
      <c r="L996" s="312">
        <f t="shared" si="279"/>
        <v>0</v>
      </c>
      <c r="M996" s="313">
        <f t="shared" si="280"/>
        <v>0</v>
      </c>
      <c r="N996" s="320">
        <f>SUM(L994:L996)</f>
        <v>0</v>
      </c>
      <c r="O996" s="315">
        <f t="shared" si="281"/>
        <v>0</v>
      </c>
      <c r="P996" s="315">
        <f t="shared" si="282"/>
        <v>0</v>
      </c>
      <c r="Q996" s="320">
        <f>N996</f>
        <v>0</v>
      </c>
      <c r="R996" s="315">
        <f t="shared" si="276"/>
        <v>0</v>
      </c>
      <c r="S996" s="315">
        <f t="shared" si="277"/>
        <v>0</v>
      </c>
      <c r="T996" s="213"/>
      <c r="U996" s="213"/>
      <c r="V996" s="213"/>
      <c r="W996" s="213"/>
      <c r="X996" s="591"/>
      <c r="Y996" s="591"/>
    </row>
    <row r="997" spans="1:25" ht="14.85" customHeight="1">
      <c r="A997" s="619"/>
      <c r="B997" s="586"/>
      <c r="C997" s="259"/>
      <c r="D997" s="621"/>
      <c r="E997" s="375"/>
      <c r="F997" s="273"/>
      <c r="G997" s="219"/>
      <c r="H997" s="219"/>
      <c r="I997" s="155"/>
      <c r="J997" s="276"/>
      <c r="K997" s="311"/>
      <c r="L997" s="312"/>
      <c r="M997" s="313"/>
      <c r="N997" s="320"/>
      <c r="O997" s="315"/>
      <c r="P997" s="315"/>
      <c r="Q997" s="320"/>
      <c r="R997" s="315">
        <f t="shared" si="276"/>
        <v>0</v>
      </c>
      <c r="S997" s="315">
        <f t="shared" si="277"/>
        <v>0</v>
      </c>
      <c r="T997" s="213"/>
      <c r="U997" s="213"/>
      <c r="V997" s="213"/>
      <c r="W997" s="213"/>
      <c r="X997" s="591"/>
      <c r="Y997" s="591"/>
    </row>
    <row r="998" spans="1:25" ht="14.85" customHeight="1">
      <c r="A998" s="619"/>
      <c r="B998" s="586"/>
      <c r="C998" s="259"/>
      <c r="D998" s="621"/>
      <c r="E998" s="375"/>
      <c r="F998" s="273"/>
      <c r="G998" s="215"/>
      <c r="H998" s="215"/>
      <c r="I998" s="155"/>
      <c r="J998" s="276"/>
      <c r="K998" s="311">
        <f t="shared" si="278"/>
        <v>0</v>
      </c>
      <c r="L998" s="312">
        <f t="shared" si="279"/>
        <v>0</v>
      </c>
      <c r="M998" s="313">
        <f t="shared" si="280"/>
        <v>0</v>
      </c>
      <c r="N998" s="320"/>
      <c r="O998" s="315">
        <f t="shared" si="281"/>
        <v>0</v>
      </c>
      <c r="P998" s="315">
        <f t="shared" si="282"/>
        <v>0</v>
      </c>
      <c r="Q998" s="320"/>
      <c r="R998" s="315">
        <f t="shared" si="276"/>
        <v>0</v>
      </c>
      <c r="S998" s="315">
        <f t="shared" si="277"/>
        <v>0</v>
      </c>
      <c r="T998" s="213"/>
      <c r="U998" s="213"/>
      <c r="V998" s="213"/>
      <c r="W998" s="213"/>
      <c r="X998" s="591"/>
      <c r="Y998" s="591"/>
    </row>
    <row r="999" spans="1:25" ht="14.85" customHeight="1">
      <c r="A999" s="619"/>
      <c r="B999" s="586"/>
      <c r="C999" s="259"/>
      <c r="D999" s="621"/>
      <c r="E999" s="376"/>
      <c r="F999" s="273"/>
      <c r="G999" s="215"/>
      <c r="H999" s="215"/>
      <c r="I999" s="155"/>
      <c r="J999" s="276"/>
      <c r="K999" s="311">
        <f t="shared" si="278"/>
        <v>0</v>
      </c>
      <c r="L999" s="312">
        <f t="shared" si="279"/>
        <v>0</v>
      </c>
      <c r="M999" s="313">
        <f t="shared" si="280"/>
        <v>0</v>
      </c>
      <c r="N999" s="320"/>
      <c r="O999" s="315">
        <f t="shared" si="281"/>
        <v>0</v>
      </c>
      <c r="P999" s="315">
        <f t="shared" si="282"/>
        <v>0</v>
      </c>
      <c r="Q999" s="320"/>
      <c r="R999" s="315">
        <f t="shared" si="276"/>
        <v>0</v>
      </c>
      <c r="S999" s="315">
        <f t="shared" si="277"/>
        <v>0</v>
      </c>
      <c r="T999" s="213"/>
      <c r="U999" s="213"/>
      <c r="V999" s="213"/>
      <c r="W999" s="213"/>
      <c r="X999" s="591"/>
      <c r="Y999" s="591"/>
    </row>
    <row r="1000" spans="1:25" ht="14.85" customHeight="1">
      <c r="A1000" s="619"/>
      <c r="B1000" s="586"/>
      <c r="C1000" s="259"/>
      <c r="D1000" s="621"/>
      <c r="E1000" s="376"/>
      <c r="F1000" s="273"/>
      <c r="G1000" s="215"/>
      <c r="H1000" s="215"/>
      <c r="I1000" s="155"/>
      <c r="J1000" s="276"/>
      <c r="K1000" s="311">
        <f t="shared" si="278"/>
        <v>0</v>
      </c>
      <c r="L1000" s="312">
        <f t="shared" si="279"/>
        <v>0</v>
      </c>
      <c r="M1000" s="313">
        <f t="shared" si="280"/>
        <v>0</v>
      </c>
      <c r="N1000" s="320"/>
      <c r="O1000" s="315">
        <f t="shared" si="281"/>
        <v>0</v>
      </c>
      <c r="P1000" s="315">
        <f t="shared" si="282"/>
        <v>0</v>
      </c>
      <c r="Q1000" s="320"/>
      <c r="R1000" s="315">
        <f t="shared" si="276"/>
        <v>0</v>
      </c>
      <c r="S1000" s="315">
        <f t="shared" si="277"/>
        <v>0</v>
      </c>
      <c r="T1000" s="213"/>
      <c r="U1000" s="213"/>
      <c r="V1000" s="213"/>
      <c r="W1000" s="213"/>
      <c r="X1000" s="591"/>
      <c r="Y1000" s="591"/>
    </row>
    <row r="1001" spans="1:25" ht="14.85" customHeight="1">
      <c r="A1001" s="619"/>
      <c r="B1001" s="586"/>
      <c r="C1001" s="259"/>
      <c r="D1001" s="621"/>
      <c r="E1001" s="376"/>
      <c r="F1001" s="273"/>
      <c r="G1001" s="215"/>
      <c r="H1001" s="215"/>
      <c r="I1001" s="264"/>
      <c r="J1001" s="276"/>
      <c r="K1001" s="311">
        <f t="shared" si="278"/>
        <v>0</v>
      </c>
      <c r="L1001" s="312">
        <f t="shared" si="279"/>
        <v>0</v>
      </c>
      <c r="M1001" s="313">
        <f t="shared" si="280"/>
        <v>0</v>
      </c>
      <c r="N1001" s="320">
        <f>SUM(L998:L1001)</f>
        <v>0</v>
      </c>
      <c r="O1001" s="315">
        <f t="shared" si="281"/>
        <v>0</v>
      </c>
      <c r="P1001" s="315">
        <f t="shared" si="282"/>
        <v>0</v>
      </c>
      <c r="Q1001" s="320"/>
      <c r="R1001" s="315">
        <f t="shared" si="276"/>
        <v>0</v>
      </c>
      <c r="S1001" s="315">
        <f t="shared" si="277"/>
        <v>0</v>
      </c>
      <c r="T1001" s="213"/>
      <c r="U1001" s="213"/>
      <c r="V1001" s="213"/>
      <c r="W1001" s="213"/>
      <c r="X1001" s="591"/>
      <c r="Y1001" s="591"/>
    </row>
    <row r="1002" spans="1:25" ht="14.85" customHeight="1">
      <c r="A1002" s="619"/>
      <c r="B1002" s="586"/>
      <c r="C1002" s="259"/>
      <c r="D1002" s="621"/>
      <c r="E1002" s="371"/>
      <c r="F1002" s="273"/>
      <c r="G1002" s="254"/>
      <c r="H1002" s="154"/>
      <c r="I1002" s="155"/>
      <c r="J1002" s="279"/>
      <c r="K1002" s="311">
        <f t="shared" si="278"/>
        <v>0</v>
      </c>
      <c r="L1002" s="312">
        <f t="shared" si="279"/>
        <v>0</v>
      </c>
      <c r="M1002" s="313">
        <f t="shared" si="280"/>
        <v>0</v>
      </c>
      <c r="N1002" s="320"/>
      <c r="O1002" s="315">
        <f t="shared" si="281"/>
        <v>0</v>
      </c>
      <c r="P1002" s="315">
        <f t="shared" si="282"/>
        <v>0</v>
      </c>
      <c r="Q1002" s="320"/>
      <c r="R1002" s="315">
        <f t="shared" si="276"/>
        <v>0</v>
      </c>
      <c r="S1002" s="315">
        <f t="shared" si="277"/>
        <v>0</v>
      </c>
      <c r="T1002" s="213"/>
      <c r="U1002" s="213"/>
      <c r="V1002" s="213"/>
      <c r="W1002" s="213"/>
      <c r="X1002" s="591"/>
      <c r="Y1002" s="591"/>
    </row>
    <row r="1003" spans="1:25" ht="14.85" customHeight="1">
      <c r="A1003" s="619"/>
      <c r="B1003" s="586"/>
      <c r="C1003" s="259"/>
      <c r="D1003" s="621"/>
      <c r="E1003" s="371"/>
      <c r="F1003" s="273"/>
      <c r="G1003" s="254"/>
      <c r="H1003" s="154"/>
      <c r="I1003" s="155"/>
      <c r="J1003" s="279"/>
      <c r="K1003" s="311">
        <f t="shared" si="278"/>
        <v>0</v>
      </c>
      <c r="L1003" s="312">
        <f t="shared" si="279"/>
        <v>0</v>
      </c>
      <c r="M1003" s="313">
        <f t="shared" si="280"/>
        <v>0</v>
      </c>
      <c r="N1003" s="320"/>
      <c r="O1003" s="315">
        <f t="shared" si="281"/>
        <v>0</v>
      </c>
      <c r="P1003" s="315">
        <f t="shared" si="282"/>
        <v>0</v>
      </c>
      <c r="Q1003" s="320"/>
      <c r="R1003" s="315">
        <f t="shared" si="276"/>
        <v>0</v>
      </c>
      <c r="S1003" s="315">
        <f t="shared" si="277"/>
        <v>0</v>
      </c>
      <c r="T1003" s="213"/>
      <c r="U1003" s="213"/>
      <c r="V1003" s="213"/>
      <c r="W1003" s="213"/>
      <c r="X1003" s="591"/>
      <c r="Y1003" s="591"/>
    </row>
    <row r="1004" spans="1:25" ht="14.85" customHeight="1">
      <c r="A1004" s="619"/>
      <c r="B1004" s="586"/>
      <c r="C1004" s="259"/>
      <c r="D1004" s="621"/>
      <c r="E1004" s="371"/>
      <c r="F1004" s="273"/>
      <c r="G1004" s="254"/>
      <c r="H1004" s="154"/>
      <c r="I1004" s="155"/>
      <c r="J1004" s="279"/>
      <c r="K1004" s="311">
        <f t="shared" si="278"/>
        <v>0</v>
      </c>
      <c r="L1004" s="312">
        <f t="shared" si="279"/>
        <v>0</v>
      </c>
      <c r="M1004" s="313">
        <f t="shared" si="280"/>
        <v>0</v>
      </c>
      <c r="N1004" s="320">
        <f>SUM(L1002:L1004)</f>
        <v>0</v>
      </c>
      <c r="O1004" s="315">
        <f t="shared" si="281"/>
        <v>0</v>
      </c>
      <c r="P1004" s="315">
        <f t="shared" si="282"/>
        <v>0</v>
      </c>
      <c r="Q1004" s="320">
        <f>N1001+N1004</f>
        <v>0</v>
      </c>
      <c r="R1004" s="315">
        <f t="shared" si="276"/>
        <v>0</v>
      </c>
      <c r="S1004" s="315">
        <f t="shared" si="277"/>
        <v>0</v>
      </c>
      <c r="T1004" s="213"/>
      <c r="U1004" s="213"/>
      <c r="V1004" s="213"/>
      <c r="W1004" s="213"/>
      <c r="X1004" s="591"/>
      <c r="Y1004" s="591"/>
    </row>
    <row r="1005" spans="1:25" ht="14.85" customHeight="1">
      <c r="A1005" s="619"/>
      <c r="B1005" s="586"/>
      <c r="C1005" s="259"/>
      <c r="D1005" s="621"/>
      <c r="E1005" s="371"/>
      <c r="F1005" s="273"/>
      <c r="G1005" s="254"/>
      <c r="H1005" s="154"/>
      <c r="I1005" s="155"/>
      <c r="J1005" s="279"/>
      <c r="K1005" s="311"/>
      <c r="L1005" s="312"/>
      <c r="M1005" s="313"/>
      <c r="N1005" s="320"/>
      <c r="O1005" s="315"/>
      <c r="P1005" s="315"/>
      <c r="Q1005" s="320"/>
      <c r="R1005" s="315">
        <f t="shared" si="276"/>
        <v>0</v>
      </c>
      <c r="S1005" s="315">
        <f t="shared" si="277"/>
        <v>0</v>
      </c>
      <c r="T1005" s="213"/>
      <c r="U1005" s="213"/>
      <c r="V1005" s="213"/>
      <c r="W1005" s="213"/>
      <c r="X1005" s="591"/>
      <c r="Y1005" s="591"/>
    </row>
    <row r="1006" spans="1:25" ht="14.85" customHeight="1">
      <c r="A1006" s="619"/>
      <c r="B1006" s="586"/>
      <c r="C1006" s="259"/>
      <c r="D1006" s="621"/>
      <c r="E1006" s="375"/>
      <c r="F1006" s="273"/>
      <c r="G1006" s="223"/>
      <c r="H1006" s="223"/>
      <c r="I1006" s="155"/>
      <c r="J1006" s="276"/>
      <c r="K1006" s="311">
        <f t="shared" si="278"/>
        <v>0</v>
      </c>
      <c r="L1006" s="312">
        <f t="shared" si="279"/>
        <v>0</v>
      </c>
      <c r="M1006" s="313">
        <f t="shared" si="280"/>
        <v>0</v>
      </c>
      <c r="N1006" s="320"/>
      <c r="O1006" s="315">
        <f t="shared" si="281"/>
        <v>0</v>
      </c>
      <c r="P1006" s="315">
        <f t="shared" si="282"/>
        <v>0</v>
      </c>
      <c r="Q1006" s="320"/>
      <c r="R1006" s="315">
        <f t="shared" si="276"/>
        <v>0</v>
      </c>
      <c r="S1006" s="315">
        <f t="shared" si="277"/>
        <v>0</v>
      </c>
      <c r="T1006" s="213"/>
      <c r="U1006" s="213"/>
      <c r="V1006" s="213"/>
      <c r="W1006" s="213"/>
      <c r="X1006" s="591"/>
      <c r="Y1006" s="591"/>
    </row>
    <row r="1007" spans="1:25" ht="14.85" customHeight="1">
      <c r="A1007" s="619"/>
      <c r="B1007" s="586"/>
      <c r="C1007" s="259"/>
      <c r="D1007" s="621"/>
      <c r="E1007" s="376"/>
      <c r="F1007" s="273"/>
      <c r="G1007" s="223"/>
      <c r="H1007" s="223"/>
      <c r="I1007" s="155"/>
      <c r="J1007" s="276"/>
      <c r="K1007" s="311">
        <f t="shared" si="278"/>
        <v>0</v>
      </c>
      <c r="L1007" s="312">
        <f t="shared" si="279"/>
        <v>0</v>
      </c>
      <c r="M1007" s="313">
        <f t="shared" si="280"/>
        <v>0</v>
      </c>
      <c r="N1007" s="320"/>
      <c r="O1007" s="315">
        <f t="shared" si="281"/>
        <v>0</v>
      </c>
      <c r="P1007" s="315">
        <f t="shared" si="282"/>
        <v>0</v>
      </c>
      <c r="Q1007" s="320"/>
      <c r="R1007" s="315">
        <f t="shared" si="276"/>
        <v>0</v>
      </c>
      <c r="S1007" s="315">
        <f t="shared" si="277"/>
        <v>0</v>
      </c>
      <c r="T1007" s="213"/>
      <c r="U1007" s="213"/>
      <c r="V1007" s="213"/>
      <c r="W1007" s="213"/>
      <c r="X1007" s="591"/>
      <c r="Y1007" s="591"/>
    </row>
    <row r="1008" spans="1:25" ht="14.85" customHeight="1">
      <c r="A1008" s="619"/>
      <c r="B1008" s="586"/>
      <c r="C1008" s="259"/>
      <c r="D1008" s="621"/>
      <c r="E1008" s="376"/>
      <c r="F1008" s="273"/>
      <c r="G1008" s="223"/>
      <c r="H1008" s="223"/>
      <c r="I1008" s="155"/>
      <c r="J1008" s="276"/>
      <c r="K1008" s="311">
        <f t="shared" si="278"/>
        <v>0</v>
      </c>
      <c r="L1008" s="312">
        <f t="shared" si="279"/>
        <v>0</v>
      </c>
      <c r="M1008" s="313">
        <f t="shared" si="280"/>
        <v>0</v>
      </c>
      <c r="N1008" s="320"/>
      <c r="O1008" s="315">
        <f t="shared" si="281"/>
        <v>0</v>
      </c>
      <c r="P1008" s="315">
        <f t="shared" si="282"/>
        <v>0</v>
      </c>
      <c r="Q1008" s="320"/>
      <c r="R1008" s="315">
        <f t="shared" si="276"/>
        <v>0</v>
      </c>
      <c r="S1008" s="315">
        <f t="shared" si="277"/>
        <v>0</v>
      </c>
      <c r="T1008" s="213"/>
      <c r="U1008" s="213"/>
      <c r="V1008" s="213"/>
      <c r="W1008" s="213"/>
      <c r="X1008" s="591"/>
      <c r="Y1008" s="591"/>
    </row>
    <row r="1009" spans="1:25" ht="14.85" customHeight="1">
      <c r="A1009" s="619"/>
      <c r="B1009" s="586"/>
      <c r="C1009" s="259"/>
      <c r="D1009" s="621"/>
      <c r="E1009" s="376"/>
      <c r="F1009" s="273"/>
      <c r="G1009" s="223"/>
      <c r="H1009" s="223"/>
      <c r="I1009" s="155"/>
      <c r="J1009" s="276"/>
      <c r="K1009" s="311">
        <f t="shared" si="278"/>
        <v>0</v>
      </c>
      <c r="L1009" s="312">
        <f t="shared" si="279"/>
        <v>0</v>
      </c>
      <c r="M1009" s="313">
        <f t="shared" si="280"/>
        <v>0</v>
      </c>
      <c r="N1009" s="320"/>
      <c r="O1009" s="315">
        <f t="shared" si="281"/>
        <v>0</v>
      </c>
      <c r="P1009" s="315">
        <f t="shared" si="282"/>
        <v>0</v>
      </c>
      <c r="Q1009" s="320"/>
      <c r="R1009" s="315">
        <f t="shared" si="276"/>
        <v>0</v>
      </c>
      <c r="S1009" s="315">
        <f t="shared" si="277"/>
        <v>0</v>
      </c>
      <c r="T1009" s="213"/>
      <c r="U1009" s="213"/>
      <c r="V1009" s="213"/>
      <c r="W1009" s="213"/>
      <c r="X1009" s="591"/>
      <c r="Y1009" s="591"/>
    </row>
    <row r="1010" spans="1:25" ht="14.85" customHeight="1">
      <c r="A1010" s="619"/>
      <c r="B1010" s="586"/>
      <c r="C1010" s="259"/>
      <c r="D1010" s="621"/>
      <c r="E1010" s="376"/>
      <c r="F1010" s="273"/>
      <c r="G1010" s="223"/>
      <c r="H1010" s="223"/>
      <c r="I1010" s="155"/>
      <c r="J1010" s="276"/>
      <c r="K1010" s="311">
        <f t="shared" si="278"/>
        <v>0</v>
      </c>
      <c r="L1010" s="312">
        <f t="shared" si="279"/>
        <v>0</v>
      </c>
      <c r="M1010" s="313">
        <f t="shared" si="280"/>
        <v>0</v>
      </c>
      <c r="N1010" s="320"/>
      <c r="O1010" s="315">
        <f t="shared" si="281"/>
        <v>0</v>
      </c>
      <c r="P1010" s="315">
        <f t="shared" si="282"/>
        <v>0</v>
      </c>
      <c r="Q1010" s="320"/>
      <c r="R1010" s="315">
        <f t="shared" si="276"/>
        <v>0</v>
      </c>
      <c r="S1010" s="315">
        <f t="shared" si="277"/>
        <v>0</v>
      </c>
      <c r="T1010" s="213"/>
      <c r="U1010" s="213"/>
      <c r="V1010" s="213"/>
      <c r="W1010" s="213"/>
      <c r="X1010" s="591"/>
      <c r="Y1010" s="591"/>
    </row>
    <row r="1011" spans="1:25" ht="14.85" customHeight="1">
      <c r="A1011" s="619"/>
      <c r="B1011" s="586"/>
      <c r="C1011" s="259"/>
      <c r="D1011" s="621"/>
      <c r="E1011" s="376"/>
      <c r="F1011" s="273"/>
      <c r="G1011" s="223"/>
      <c r="H1011" s="223"/>
      <c r="I1011" s="155"/>
      <c r="J1011" s="276"/>
      <c r="K1011" s="311">
        <f t="shared" si="278"/>
        <v>0</v>
      </c>
      <c r="L1011" s="312">
        <f t="shared" si="279"/>
        <v>0</v>
      </c>
      <c r="M1011" s="313">
        <f t="shared" si="280"/>
        <v>0</v>
      </c>
      <c r="N1011" s="320">
        <f>SUM(L1006:L1011)</f>
        <v>0</v>
      </c>
      <c r="O1011" s="315">
        <f t="shared" si="281"/>
        <v>0</v>
      </c>
      <c r="P1011" s="315">
        <f t="shared" si="282"/>
        <v>0</v>
      </c>
      <c r="Q1011" s="320"/>
      <c r="R1011" s="315">
        <f t="shared" si="276"/>
        <v>0</v>
      </c>
      <c r="S1011" s="315">
        <f t="shared" si="277"/>
        <v>0</v>
      </c>
      <c r="T1011" s="213"/>
      <c r="U1011" s="213"/>
      <c r="V1011" s="213"/>
      <c r="W1011" s="213"/>
      <c r="X1011" s="591"/>
      <c r="Y1011" s="591"/>
    </row>
    <row r="1012" spans="1:25" ht="14.85" customHeight="1">
      <c r="A1012" s="619"/>
      <c r="B1012" s="586"/>
      <c r="C1012" s="259"/>
      <c r="D1012" s="621"/>
      <c r="E1012" s="371"/>
      <c r="F1012" s="273"/>
      <c r="G1012" s="254"/>
      <c r="H1012" s="154"/>
      <c r="I1012" s="155"/>
      <c r="J1012" s="276"/>
      <c r="K1012" s="311">
        <f t="shared" si="278"/>
        <v>0</v>
      </c>
      <c r="L1012" s="312">
        <f t="shared" si="279"/>
        <v>0</v>
      </c>
      <c r="M1012" s="313">
        <f t="shared" si="280"/>
        <v>0</v>
      </c>
      <c r="N1012" s="320"/>
      <c r="O1012" s="315">
        <f t="shared" si="281"/>
        <v>0</v>
      </c>
      <c r="P1012" s="315">
        <f t="shared" si="282"/>
        <v>0</v>
      </c>
      <c r="Q1012" s="320"/>
      <c r="R1012" s="315">
        <f t="shared" si="276"/>
        <v>0</v>
      </c>
      <c r="S1012" s="315">
        <f t="shared" si="277"/>
        <v>0</v>
      </c>
      <c r="T1012" s="213"/>
      <c r="U1012" s="213"/>
      <c r="V1012" s="213"/>
      <c r="W1012" s="213"/>
      <c r="X1012" s="591"/>
      <c r="Y1012" s="591"/>
    </row>
    <row r="1013" spans="1:25" ht="14.85" customHeight="1">
      <c r="A1013" s="619"/>
      <c r="B1013" s="586"/>
      <c r="C1013" s="259"/>
      <c r="D1013" s="621"/>
      <c r="E1013" s="371"/>
      <c r="F1013" s="273"/>
      <c r="G1013" s="254"/>
      <c r="H1013" s="154"/>
      <c r="I1013" s="155"/>
      <c r="J1013" s="276"/>
      <c r="K1013" s="311">
        <f t="shared" si="278"/>
        <v>0</v>
      </c>
      <c r="L1013" s="312">
        <f t="shared" si="279"/>
        <v>0</v>
      </c>
      <c r="M1013" s="313">
        <f t="shared" si="280"/>
        <v>0</v>
      </c>
      <c r="N1013" s="320">
        <f>L1012+L1013</f>
        <v>0</v>
      </c>
      <c r="O1013" s="315">
        <f t="shared" si="281"/>
        <v>0</v>
      </c>
      <c r="P1013" s="315">
        <f t="shared" si="282"/>
        <v>0</v>
      </c>
      <c r="Q1013" s="320"/>
      <c r="R1013" s="315">
        <f t="shared" si="276"/>
        <v>0</v>
      </c>
      <c r="S1013" s="315">
        <f t="shared" si="277"/>
        <v>0</v>
      </c>
      <c r="T1013" s="213"/>
      <c r="U1013" s="213"/>
      <c r="V1013" s="213"/>
      <c r="W1013" s="213"/>
      <c r="X1013" s="591"/>
      <c r="Y1013" s="591"/>
    </row>
    <row r="1014" spans="1:25" ht="14.85" customHeight="1">
      <c r="A1014" s="619"/>
      <c r="B1014" s="586"/>
      <c r="C1014" s="259"/>
      <c r="D1014" s="621"/>
      <c r="E1014" s="156"/>
      <c r="F1014" s="254"/>
      <c r="G1014" s="254"/>
      <c r="H1014" s="154"/>
      <c r="I1014" s="155"/>
      <c r="J1014" s="276"/>
      <c r="K1014" s="311">
        <f t="shared" si="278"/>
        <v>0</v>
      </c>
      <c r="L1014" s="312">
        <f t="shared" si="279"/>
        <v>0</v>
      </c>
      <c r="M1014" s="313">
        <f t="shared" si="280"/>
        <v>0</v>
      </c>
      <c r="N1014" s="320"/>
      <c r="O1014" s="315">
        <f t="shared" si="281"/>
        <v>0</v>
      </c>
      <c r="P1014" s="315">
        <f t="shared" si="282"/>
        <v>0</v>
      </c>
      <c r="Q1014" s="320"/>
      <c r="R1014" s="315">
        <f t="shared" si="276"/>
        <v>0</v>
      </c>
      <c r="S1014" s="315">
        <f t="shared" si="277"/>
        <v>0</v>
      </c>
      <c r="T1014" s="213"/>
      <c r="U1014" s="213"/>
      <c r="V1014" s="213"/>
      <c r="W1014" s="213"/>
      <c r="X1014" s="591"/>
      <c r="Y1014" s="591"/>
    </row>
    <row r="1015" spans="1:25" ht="14.85" customHeight="1">
      <c r="A1015" s="619"/>
      <c r="B1015" s="586"/>
      <c r="C1015" s="259"/>
      <c r="D1015" s="621"/>
      <c r="E1015" s="156"/>
      <c r="F1015" s="254"/>
      <c r="G1015" s="254"/>
      <c r="H1015" s="154"/>
      <c r="I1015" s="155"/>
      <c r="J1015" s="276"/>
      <c r="K1015" s="311">
        <f t="shared" si="278"/>
        <v>0</v>
      </c>
      <c r="L1015" s="312">
        <f t="shared" si="279"/>
        <v>0</v>
      </c>
      <c r="M1015" s="313">
        <f t="shared" si="280"/>
        <v>0</v>
      </c>
      <c r="N1015" s="320">
        <f>L1014+L1015</f>
        <v>0</v>
      </c>
      <c r="O1015" s="315">
        <f t="shared" si="281"/>
        <v>0</v>
      </c>
      <c r="P1015" s="315">
        <f t="shared" si="282"/>
        <v>0</v>
      </c>
      <c r="Q1015" s="320">
        <f>N1011+N1013+N1015</f>
        <v>0</v>
      </c>
      <c r="R1015" s="315">
        <f t="shared" si="276"/>
        <v>0</v>
      </c>
      <c r="S1015" s="315">
        <f t="shared" si="277"/>
        <v>0</v>
      </c>
      <c r="T1015" s="213"/>
      <c r="U1015" s="213"/>
      <c r="V1015" s="213"/>
      <c r="W1015" s="213"/>
      <c r="X1015" s="591"/>
      <c r="Y1015" s="591"/>
    </row>
    <row r="1016" spans="1:25" ht="14.85" customHeight="1">
      <c r="A1016" s="619"/>
      <c r="B1016" s="586"/>
      <c r="C1016" s="259"/>
      <c r="D1016" s="621"/>
      <c r="E1016" s="156"/>
      <c r="F1016" s="254"/>
      <c r="G1016" s="254"/>
      <c r="H1016" s="154"/>
      <c r="I1016" s="155"/>
      <c r="J1016" s="276"/>
      <c r="K1016" s="311"/>
      <c r="L1016" s="312"/>
      <c r="M1016" s="313"/>
      <c r="N1016" s="320"/>
      <c r="O1016" s="315"/>
      <c r="P1016" s="315"/>
      <c r="Q1016" s="320"/>
      <c r="R1016" s="315">
        <f t="shared" si="276"/>
        <v>0</v>
      </c>
      <c r="S1016" s="315">
        <f t="shared" si="277"/>
        <v>0</v>
      </c>
      <c r="T1016" s="213"/>
      <c r="U1016" s="213"/>
      <c r="V1016" s="213"/>
      <c r="W1016" s="213"/>
      <c r="X1016" s="591"/>
      <c r="Y1016" s="591"/>
    </row>
    <row r="1017" spans="1:25" ht="14.85" customHeight="1">
      <c r="A1017" s="619"/>
      <c r="B1017" s="586"/>
      <c r="C1017" s="259"/>
      <c r="D1017" s="621"/>
      <c r="E1017" s="375"/>
      <c r="F1017" s="254"/>
      <c r="G1017" s="219"/>
      <c r="H1017" s="219"/>
      <c r="I1017" s="155"/>
      <c r="J1017" s="276"/>
      <c r="K1017" s="311">
        <f t="shared" si="278"/>
        <v>0</v>
      </c>
      <c r="L1017" s="312">
        <f t="shared" si="279"/>
        <v>0</v>
      </c>
      <c r="M1017" s="313">
        <f t="shared" si="280"/>
        <v>0</v>
      </c>
      <c r="N1017" s="320"/>
      <c r="O1017" s="315">
        <f t="shared" si="281"/>
        <v>0</v>
      </c>
      <c r="P1017" s="315">
        <f t="shared" si="282"/>
        <v>0</v>
      </c>
      <c r="Q1017" s="320"/>
      <c r="R1017" s="315">
        <f t="shared" si="276"/>
        <v>0</v>
      </c>
      <c r="S1017" s="315">
        <f t="shared" si="277"/>
        <v>0</v>
      </c>
      <c r="T1017" s="213"/>
      <c r="U1017" s="213"/>
      <c r="V1017" s="213"/>
      <c r="W1017" s="213"/>
      <c r="X1017" s="591"/>
      <c r="Y1017" s="591"/>
    </row>
    <row r="1018" spans="1:25" ht="14.85" customHeight="1">
      <c r="A1018" s="619"/>
      <c r="B1018" s="586"/>
      <c r="C1018" s="259"/>
      <c r="D1018" s="621"/>
      <c r="E1018" s="376"/>
      <c r="F1018" s="254"/>
      <c r="G1018" s="219"/>
      <c r="H1018" s="219"/>
      <c r="I1018" s="155"/>
      <c r="J1018" s="276"/>
      <c r="K1018" s="311">
        <f t="shared" si="278"/>
        <v>0</v>
      </c>
      <c r="L1018" s="312">
        <f t="shared" si="279"/>
        <v>0</v>
      </c>
      <c r="M1018" s="313">
        <f t="shared" si="280"/>
        <v>0</v>
      </c>
      <c r="N1018" s="320"/>
      <c r="O1018" s="315">
        <f t="shared" si="281"/>
        <v>0</v>
      </c>
      <c r="P1018" s="315">
        <f t="shared" si="282"/>
        <v>0</v>
      </c>
      <c r="Q1018" s="320"/>
      <c r="R1018" s="315">
        <f t="shared" si="276"/>
        <v>0</v>
      </c>
      <c r="S1018" s="315">
        <f t="shared" si="277"/>
        <v>0</v>
      </c>
      <c r="T1018" s="213"/>
      <c r="U1018" s="213"/>
      <c r="V1018" s="213"/>
      <c r="W1018" s="213"/>
      <c r="X1018" s="591"/>
      <c r="Y1018" s="591"/>
    </row>
    <row r="1019" spans="1:25" ht="14.85" customHeight="1">
      <c r="A1019" s="619"/>
      <c r="B1019" s="586"/>
      <c r="C1019" s="259"/>
      <c r="D1019" s="621"/>
      <c r="E1019" s="376"/>
      <c r="F1019" s="254"/>
      <c r="G1019" s="219"/>
      <c r="H1019" s="219"/>
      <c r="I1019" s="155"/>
      <c r="J1019" s="276"/>
      <c r="K1019" s="311">
        <f t="shared" si="278"/>
        <v>0</v>
      </c>
      <c r="L1019" s="312">
        <f t="shared" si="279"/>
        <v>0</v>
      </c>
      <c r="M1019" s="313">
        <f t="shared" si="280"/>
        <v>0</v>
      </c>
      <c r="N1019" s="320">
        <f>L1017+L1019</f>
        <v>0</v>
      </c>
      <c r="O1019" s="315">
        <f t="shared" si="281"/>
        <v>0</v>
      </c>
      <c r="P1019" s="315">
        <f t="shared" si="282"/>
        <v>0</v>
      </c>
      <c r="Q1019" s="320"/>
      <c r="R1019" s="315">
        <f t="shared" si="276"/>
        <v>0</v>
      </c>
      <c r="S1019" s="315">
        <f t="shared" si="277"/>
        <v>0</v>
      </c>
      <c r="T1019" s="213"/>
      <c r="U1019" s="213"/>
      <c r="V1019" s="213"/>
      <c r="W1019" s="213"/>
      <c r="X1019" s="591"/>
      <c r="Y1019" s="591"/>
    </row>
    <row r="1020" spans="1:25" ht="14.85" customHeight="1">
      <c r="A1020" s="619"/>
      <c r="B1020" s="586"/>
      <c r="C1020" s="259"/>
      <c r="D1020" s="621"/>
      <c r="E1020" s="156"/>
      <c r="F1020" s="254"/>
      <c r="G1020" s="254"/>
      <c r="H1020" s="154"/>
      <c r="I1020" s="155"/>
      <c r="J1020" s="276"/>
      <c r="K1020" s="311">
        <f t="shared" si="278"/>
        <v>0</v>
      </c>
      <c r="L1020" s="312">
        <f t="shared" si="279"/>
        <v>0</v>
      </c>
      <c r="M1020" s="313">
        <f t="shared" si="280"/>
        <v>0</v>
      </c>
      <c r="N1020" s="320"/>
      <c r="O1020" s="315">
        <f t="shared" si="281"/>
        <v>0</v>
      </c>
      <c r="P1020" s="315">
        <f t="shared" si="282"/>
        <v>0</v>
      </c>
      <c r="Q1020" s="320"/>
      <c r="R1020" s="315">
        <f t="shared" si="276"/>
        <v>0</v>
      </c>
      <c r="S1020" s="315">
        <f t="shared" si="277"/>
        <v>0</v>
      </c>
      <c r="T1020" s="213"/>
      <c r="U1020" s="213"/>
      <c r="V1020" s="213"/>
      <c r="W1020" s="213"/>
      <c r="X1020" s="591"/>
      <c r="Y1020" s="591"/>
    </row>
    <row r="1021" spans="1:25" ht="14.85" customHeight="1">
      <c r="A1021" s="619"/>
      <c r="B1021" s="586"/>
      <c r="C1021" s="259"/>
      <c r="D1021" s="621"/>
      <c r="E1021" s="156"/>
      <c r="F1021" s="254"/>
      <c r="G1021" s="254"/>
      <c r="H1021" s="154"/>
      <c r="I1021" s="155"/>
      <c r="J1021" s="276"/>
      <c r="K1021" s="311">
        <f t="shared" ref="K1021:K1037" si="283">J1021/$K$11</f>
        <v>0</v>
      </c>
      <c r="L1021" s="312">
        <f t="shared" ref="L1021:L1037" si="284">J1021/$L$11</f>
        <v>0</v>
      </c>
      <c r="M1021" s="313">
        <f t="shared" ref="M1021:M1037" si="285">ROUND((L1021/$M$11),0)</f>
        <v>0</v>
      </c>
      <c r="N1021" s="320"/>
      <c r="O1021" s="315">
        <f t="shared" si="281"/>
        <v>0</v>
      </c>
      <c r="P1021" s="315">
        <f t="shared" si="282"/>
        <v>0</v>
      </c>
      <c r="Q1021" s="320"/>
      <c r="R1021" s="315">
        <f t="shared" si="274"/>
        <v>0</v>
      </c>
      <c r="S1021" s="315">
        <f t="shared" si="275"/>
        <v>0</v>
      </c>
      <c r="T1021" s="213"/>
      <c r="U1021" s="213"/>
      <c r="V1021" s="213"/>
      <c r="W1021" s="213"/>
      <c r="X1021" s="591"/>
      <c r="Y1021" s="591"/>
    </row>
    <row r="1022" spans="1:25" ht="14.85" customHeight="1">
      <c r="A1022" s="619"/>
      <c r="B1022" s="586"/>
      <c r="C1022" s="259"/>
      <c r="D1022" s="621"/>
      <c r="E1022" s="156"/>
      <c r="F1022" s="254"/>
      <c r="G1022" s="254"/>
      <c r="H1022" s="154"/>
      <c r="I1022" s="155"/>
      <c r="J1022" s="276"/>
      <c r="K1022" s="311">
        <f t="shared" si="283"/>
        <v>0</v>
      </c>
      <c r="L1022" s="312">
        <f t="shared" si="284"/>
        <v>0</v>
      </c>
      <c r="M1022" s="313">
        <f t="shared" si="285"/>
        <v>0</v>
      </c>
      <c r="N1022" s="320">
        <f>L1020+L1022</f>
        <v>0</v>
      </c>
      <c r="O1022" s="315">
        <f t="shared" si="281"/>
        <v>0</v>
      </c>
      <c r="P1022" s="315">
        <f t="shared" si="282"/>
        <v>0</v>
      </c>
      <c r="Q1022" s="320">
        <f>N1019+N1022</f>
        <v>0</v>
      </c>
      <c r="R1022" s="315">
        <f t="shared" si="274"/>
        <v>0</v>
      </c>
      <c r="S1022" s="315">
        <f t="shared" si="275"/>
        <v>0</v>
      </c>
      <c r="T1022" s="213"/>
      <c r="U1022" s="213"/>
      <c r="V1022" s="213"/>
      <c r="W1022" s="213"/>
      <c r="X1022" s="591"/>
      <c r="Y1022" s="591"/>
    </row>
    <row r="1023" spans="1:25" ht="14.85" customHeight="1">
      <c r="A1023" s="619"/>
      <c r="B1023" s="586"/>
      <c r="C1023" s="259"/>
      <c r="D1023" s="621"/>
      <c r="E1023" s="156"/>
      <c r="F1023" s="254"/>
      <c r="G1023" s="254"/>
      <c r="H1023" s="154"/>
      <c r="I1023" s="155"/>
      <c r="J1023" s="276"/>
      <c r="K1023" s="311"/>
      <c r="L1023" s="312"/>
      <c r="M1023" s="313"/>
      <c r="N1023" s="320"/>
      <c r="O1023" s="315"/>
      <c r="P1023" s="315"/>
      <c r="Q1023" s="320"/>
      <c r="R1023" s="315"/>
      <c r="S1023" s="315"/>
      <c r="T1023" s="213"/>
      <c r="U1023" s="213"/>
      <c r="V1023" s="213"/>
      <c r="W1023" s="213"/>
      <c r="X1023" s="591"/>
      <c r="Y1023" s="591"/>
    </row>
    <row r="1024" spans="1:25" ht="14.85" customHeight="1">
      <c r="A1024" s="619"/>
      <c r="B1024" s="586"/>
      <c r="C1024" s="259"/>
      <c r="D1024" s="621"/>
      <c r="E1024" s="375"/>
      <c r="F1024" s="254"/>
      <c r="G1024" s="215"/>
      <c r="H1024" s="215"/>
      <c r="I1024" s="155"/>
      <c r="J1024" s="276"/>
      <c r="K1024" s="311">
        <f t="shared" si="283"/>
        <v>0</v>
      </c>
      <c r="L1024" s="312">
        <f t="shared" si="284"/>
        <v>0</v>
      </c>
      <c r="M1024" s="313">
        <f t="shared" si="285"/>
        <v>0</v>
      </c>
      <c r="N1024" s="320"/>
      <c r="O1024" s="315">
        <f t="shared" si="281"/>
        <v>0</v>
      </c>
      <c r="P1024" s="315">
        <f t="shared" si="282"/>
        <v>0</v>
      </c>
      <c r="Q1024" s="320"/>
      <c r="R1024" s="315">
        <f t="shared" si="274"/>
        <v>0</v>
      </c>
      <c r="S1024" s="315">
        <f t="shared" si="275"/>
        <v>0</v>
      </c>
      <c r="T1024" s="213"/>
      <c r="U1024" s="213"/>
      <c r="V1024" s="213"/>
      <c r="W1024" s="213"/>
      <c r="X1024" s="591"/>
      <c r="Y1024" s="591"/>
    </row>
    <row r="1025" spans="1:25" ht="14.85" customHeight="1">
      <c r="A1025" s="619"/>
      <c r="B1025" s="586"/>
      <c r="C1025" s="259"/>
      <c r="D1025" s="621"/>
      <c r="E1025" s="376"/>
      <c r="F1025" s="254"/>
      <c r="G1025" s="215"/>
      <c r="H1025" s="215"/>
      <c r="I1025" s="155"/>
      <c r="J1025" s="276"/>
      <c r="K1025" s="311">
        <f t="shared" si="283"/>
        <v>0</v>
      </c>
      <c r="L1025" s="312">
        <f t="shared" si="284"/>
        <v>0</v>
      </c>
      <c r="M1025" s="313">
        <f t="shared" si="285"/>
        <v>0</v>
      </c>
      <c r="N1025" s="320"/>
      <c r="O1025" s="315">
        <f t="shared" si="281"/>
        <v>0</v>
      </c>
      <c r="P1025" s="315">
        <f t="shared" si="282"/>
        <v>0</v>
      </c>
      <c r="Q1025" s="320"/>
      <c r="R1025" s="315">
        <f t="shared" si="274"/>
        <v>0</v>
      </c>
      <c r="S1025" s="315">
        <f t="shared" si="275"/>
        <v>0</v>
      </c>
      <c r="T1025" s="213"/>
      <c r="U1025" s="213"/>
      <c r="V1025" s="213"/>
      <c r="W1025" s="213"/>
      <c r="X1025" s="591"/>
      <c r="Y1025" s="591"/>
    </row>
    <row r="1026" spans="1:25" ht="14.85" customHeight="1">
      <c r="A1026" s="619"/>
      <c r="B1026" s="586"/>
      <c r="C1026" s="259"/>
      <c r="D1026" s="621"/>
      <c r="E1026" s="376"/>
      <c r="F1026" s="254"/>
      <c r="G1026" s="215"/>
      <c r="H1026" s="215"/>
      <c r="I1026" s="155"/>
      <c r="J1026" s="276"/>
      <c r="K1026" s="311">
        <f t="shared" si="283"/>
        <v>0</v>
      </c>
      <c r="L1026" s="312">
        <f t="shared" si="284"/>
        <v>0</v>
      </c>
      <c r="M1026" s="313">
        <f t="shared" si="285"/>
        <v>0</v>
      </c>
      <c r="N1026" s="320">
        <f>L1024+L1026</f>
        <v>0</v>
      </c>
      <c r="O1026" s="315">
        <f t="shared" si="281"/>
        <v>0</v>
      </c>
      <c r="P1026" s="315">
        <f t="shared" si="282"/>
        <v>0</v>
      </c>
      <c r="Q1026" s="320"/>
      <c r="R1026" s="315">
        <f t="shared" si="274"/>
        <v>0</v>
      </c>
      <c r="S1026" s="315">
        <f t="shared" si="275"/>
        <v>0</v>
      </c>
      <c r="T1026" s="213"/>
      <c r="U1026" s="213"/>
      <c r="V1026" s="213"/>
      <c r="W1026" s="213"/>
      <c r="X1026" s="591"/>
      <c r="Y1026" s="591"/>
    </row>
    <row r="1027" spans="1:25" ht="14.85" customHeight="1">
      <c r="A1027" s="619"/>
      <c r="B1027" s="586"/>
      <c r="C1027" s="259"/>
      <c r="D1027" s="621"/>
      <c r="E1027" s="156"/>
      <c r="F1027" s="254"/>
      <c r="G1027" s="254"/>
      <c r="H1027" s="154"/>
      <c r="I1027" s="155"/>
      <c r="J1027" s="276"/>
      <c r="K1027" s="311">
        <f t="shared" si="283"/>
        <v>0</v>
      </c>
      <c r="L1027" s="312">
        <f t="shared" si="284"/>
        <v>0</v>
      </c>
      <c r="M1027" s="313">
        <f t="shared" si="285"/>
        <v>0</v>
      </c>
      <c r="N1027" s="320">
        <f>L1027</f>
        <v>0</v>
      </c>
      <c r="O1027" s="315">
        <f t="shared" si="281"/>
        <v>0</v>
      </c>
      <c r="P1027" s="315">
        <f t="shared" si="282"/>
        <v>0</v>
      </c>
      <c r="Q1027" s="320"/>
      <c r="R1027" s="315">
        <f t="shared" si="274"/>
        <v>0</v>
      </c>
      <c r="S1027" s="315">
        <f t="shared" si="275"/>
        <v>0</v>
      </c>
      <c r="T1027" s="213"/>
      <c r="U1027" s="213"/>
      <c r="V1027" s="213"/>
      <c r="W1027" s="213"/>
      <c r="X1027" s="591"/>
      <c r="Y1027" s="591"/>
    </row>
    <row r="1028" spans="1:25" ht="14.85" customHeight="1">
      <c r="A1028" s="619"/>
      <c r="B1028" s="586"/>
      <c r="C1028" s="259"/>
      <c r="D1028" s="621"/>
      <c r="E1028" s="156"/>
      <c r="F1028" s="254"/>
      <c r="G1028" s="254"/>
      <c r="H1028" s="154"/>
      <c r="I1028" s="155"/>
      <c r="J1028" s="276"/>
      <c r="K1028" s="311">
        <f t="shared" si="283"/>
        <v>0</v>
      </c>
      <c r="L1028" s="312">
        <f t="shared" si="284"/>
        <v>0</v>
      </c>
      <c r="M1028" s="313">
        <f t="shared" si="285"/>
        <v>0</v>
      </c>
      <c r="N1028" s="320"/>
      <c r="O1028" s="315">
        <f t="shared" si="281"/>
        <v>0</v>
      </c>
      <c r="P1028" s="315">
        <f t="shared" si="282"/>
        <v>0</v>
      </c>
      <c r="Q1028" s="320"/>
      <c r="R1028" s="315">
        <f t="shared" si="274"/>
        <v>0</v>
      </c>
      <c r="S1028" s="315">
        <f t="shared" si="275"/>
        <v>0</v>
      </c>
      <c r="T1028" s="213"/>
      <c r="U1028" s="213"/>
      <c r="V1028" s="213"/>
      <c r="W1028" s="213"/>
      <c r="X1028" s="591"/>
      <c r="Y1028" s="591"/>
    </row>
    <row r="1029" spans="1:25" ht="14.85" customHeight="1">
      <c r="A1029" s="619"/>
      <c r="B1029" s="586"/>
      <c r="C1029" s="259"/>
      <c r="D1029" s="621"/>
      <c r="E1029" s="156"/>
      <c r="F1029" s="254"/>
      <c r="G1029" s="254"/>
      <c r="H1029" s="154"/>
      <c r="I1029" s="155"/>
      <c r="J1029" s="276"/>
      <c r="K1029" s="311">
        <f t="shared" si="283"/>
        <v>0</v>
      </c>
      <c r="L1029" s="312">
        <f t="shared" si="284"/>
        <v>0</v>
      </c>
      <c r="M1029" s="313">
        <f t="shared" si="285"/>
        <v>0</v>
      </c>
      <c r="N1029" s="320"/>
      <c r="O1029" s="315">
        <f t="shared" si="281"/>
        <v>0</v>
      </c>
      <c r="P1029" s="315">
        <f t="shared" si="282"/>
        <v>0</v>
      </c>
      <c r="Q1029" s="320"/>
      <c r="R1029" s="315">
        <f t="shared" si="274"/>
        <v>0</v>
      </c>
      <c r="S1029" s="315">
        <f t="shared" si="275"/>
        <v>0</v>
      </c>
      <c r="T1029" s="213"/>
      <c r="U1029" s="213"/>
      <c r="V1029" s="213"/>
      <c r="W1029" s="213"/>
      <c r="X1029" s="591"/>
      <c r="Y1029" s="591"/>
    </row>
    <row r="1030" spans="1:25" ht="14.85" customHeight="1">
      <c r="A1030" s="619"/>
      <c r="B1030" s="586"/>
      <c r="C1030" s="259"/>
      <c r="D1030" s="621"/>
      <c r="E1030" s="156"/>
      <c r="F1030" s="254"/>
      <c r="G1030" s="254"/>
      <c r="H1030" s="154"/>
      <c r="I1030" s="155"/>
      <c r="J1030" s="276"/>
      <c r="K1030" s="311">
        <f t="shared" si="283"/>
        <v>0</v>
      </c>
      <c r="L1030" s="312">
        <f t="shared" si="284"/>
        <v>0</v>
      </c>
      <c r="M1030" s="313">
        <f t="shared" si="285"/>
        <v>0</v>
      </c>
      <c r="N1030" s="320">
        <f>L1028+L1030</f>
        <v>0</v>
      </c>
      <c r="O1030" s="315">
        <f t="shared" si="281"/>
        <v>0</v>
      </c>
      <c r="P1030" s="315">
        <f t="shared" si="282"/>
        <v>0</v>
      </c>
      <c r="Q1030" s="320">
        <f>N1026+N1027+N1030</f>
        <v>0</v>
      </c>
      <c r="R1030" s="315">
        <f t="shared" si="274"/>
        <v>0</v>
      </c>
      <c r="S1030" s="315">
        <f t="shared" si="275"/>
        <v>0</v>
      </c>
      <c r="T1030" s="213"/>
      <c r="U1030" s="213"/>
      <c r="V1030" s="213"/>
      <c r="W1030" s="213"/>
      <c r="X1030" s="591"/>
      <c r="Y1030" s="591"/>
    </row>
    <row r="1031" spans="1:25" ht="14.85" customHeight="1">
      <c r="A1031" s="619"/>
      <c r="B1031" s="586"/>
      <c r="C1031" s="259"/>
      <c r="D1031" s="621"/>
      <c r="E1031" s="156"/>
      <c r="F1031" s="254"/>
      <c r="G1031" s="254"/>
      <c r="H1031" s="154"/>
      <c r="I1031" s="155"/>
      <c r="J1031" s="276"/>
      <c r="K1031" s="311"/>
      <c r="L1031" s="312"/>
      <c r="M1031" s="313"/>
      <c r="N1031" s="320"/>
      <c r="O1031" s="315"/>
      <c r="P1031" s="315"/>
      <c r="Q1031" s="320"/>
      <c r="R1031" s="315"/>
      <c r="S1031" s="315"/>
      <c r="T1031" s="213"/>
      <c r="U1031" s="213"/>
      <c r="V1031" s="213"/>
      <c r="W1031" s="213"/>
      <c r="X1031" s="591"/>
      <c r="Y1031" s="591"/>
    </row>
    <row r="1032" spans="1:25" ht="14.85" customHeight="1">
      <c r="A1032" s="619"/>
      <c r="B1032" s="586"/>
      <c r="C1032" s="259"/>
      <c r="D1032" s="621"/>
      <c r="E1032" s="375"/>
      <c r="F1032" s="254"/>
      <c r="G1032" s="223"/>
      <c r="H1032" s="223"/>
      <c r="I1032" s="155"/>
      <c r="J1032" s="276"/>
      <c r="K1032" s="311">
        <f t="shared" si="283"/>
        <v>0</v>
      </c>
      <c r="L1032" s="312">
        <f t="shared" si="284"/>
        <v>0</v>
      </c>
      <c r="M1032" s="313">
        <f t="shared" si="285"/>
        <v>0</v>
      </c>
      <c r="N1032" s="320"/>
      <c r="O1032" s="315">
        <f t="shared" si="281"/>
        <v>0</v>
      </c>
      <c r="P1032" s="315">
        <f t="shared" si="282"/>
        <v>0</v>
      </c>
      <c r="Q1032" s="320"/>
      <c r="R1032" s="315">
        <f t="shared" si="274"/>
        <v>0</v>
      </c>
      <c r="S1032" s="315">
        <f t="shared" si="275"/>
        <v>0</v>
      </c>
      <c r="T1032" s="213"/>
      <c r="U1032" s="213"/>
      <c r="V1032" s="213"/>
      <c r="W1032" s="213"/>
      <c r="X1032" s="591"/>
      <c r="Y1032" s="591"/>
    </row>
    <row r="1033" spans="1:25" ht="14.85" customHeight="1">
      <c r="A1033" s="619"/>
      <c r="B1033" s="586"/>
      <c r="C1033" s="259"/>
      <c r="D1033" s="621"/>
      <c r="E1033" s="376"/>
      <c r="F1033" s="254"/>
      <c r="G1033" s="223"/>
      <c r="H1033" s="223"/>
      <c r="I1033" s="264"/>
      <c r="J1033" s="276"/>
      <c r="K1033" s="311">
        <f t="shared" si="283"/>
        <v>0</v>
      </c>
      <c r="L1033" s="312">
        <f t="shared" si="284"/>
        <v>0</v>
      </c>
      <c r="M1033" s="313">
        <f t="shared" si="285"/>
        <v>0</v>
      </c>
      <c r="N1033" s="320"/>
      <c r="O1033" s="315">
        <f t="shared" si="281"/>
        <v>0</v>
      </c>
      <c r="P1033" s="315">
        <f t="shared" si="282"/>
        <v>0</v>
      </c>
      <c r="Q1033" s="320"/>
      <c r="R1033" s="315">
        <f t="shared" si="274"/>
        <v>0</v>
      </c>
      <c r="S1033" s="315">
        <f t="shared" si="275"/>
        <v>0</v>
      </c>
      <c r="T1033" s="213"/>
      <c r="U1033" s="213"/>
      <c r="V1033" s="213"/>
      <c r="W1033" s="213"/>
      <c r="X1033" s="591"/>
      <c r="Y1033" s="591"/>
    </row>
    <row r="1034" spans="1:25" ht="14.85" customHeight="1">
      <c r="A1034" s="619"/>
      <c r="B1034" s="586"/>
      <c r="C1034" s="259"/>
      <c r="D1034" s="621"/>
      <c r="E1034" s="376"/>
      <c r="F1034" s="254"/>
      <c r="G1034" s="223"/>
      <c r="H1034" s="223"/>
      <c r="I1034" s="264"/>
      <c r="J1034" s="276"/>
      <c r="K1034" s="311">
        <f t="shared" si="283"/>
        <v>0</v>
      </c>
      <c r="L1034" s="312">
        <f t="shared" si="284"/>
        <v>0</v>
      </c>
      <c r="M1034" s="313">
        <f t="shared" si="285"/>
        <v>0</v>
      </c>
      <c r="N1034" s="320"/>
      <c r="O1034" s="315">
        <f t="shared" si="281"/>
        <v>0</v>
      </c>
      <c r="P1034" s="315">
        <f t="shared" si="282"/>
        <v>0</v>
      </c>
      <c r="Q1034" s="320"/>
      <c r="R1034" s="315">
        <f t="shared" si="274"/>
        <v>0</v>
      </c>
      <c r="S1034" s="315">
        <f t="shared" si="275"/>
        <v>0</v>
      </c>
      <c r="T1034" s="213"/>
      <c r="U1034" s="213"/>
      <c r="V1034" s="213"/>
      <c r="W1034" s="213"/>
      <c r="X1034" s="591"/>
      <c r="Y1034" s="591"/>
    </row>
    <row r="1035" spans="1:25" ht="14.85" customHeight="1">
      <c r="A1035" s="619"/>
      <c r="B1035" s="586"/>
      <c r="C1035" s="259"/>
      <c r="D1035" s="621"/>
      <c r="E1035" s="376"/>
      <c r="F1035" s="254"/>
      <c r="G1035" s="223"/>
      <c r="H1035" s="223"/>
      <c r="I1035" s="155"/>
      <c r="J1035" s="276"/>
      <c r="K1035" s="311">
        <f t="shared" si="283"/>
        <v>0</v>
      </c>
      <c r="L1035" s="312">
        <f t="shared" si="284"/>
        <v>0</v>
      </c>
      <c r="M1035" s="313">
        <f t="shared" si="285"/>
        <v>0</v>
      </c>
      <c r="N1035" s="320"/>
      <c r="O1035" s="315">
        <f t="shared" si="281"/>
        <v>0</v>
      </c>
      <c r="P1035" s="315">
        <f t="shared" si="282"/>
        <v>0</v>
      </c>
      <c r="Q1035" s="320"/>
      <c r="R1035" s="315">
        <f t="shared" si="274"/>
        <v>0</v>
      </c>
      <c r="S1035" s="315">
        <f t="shared" si="275"/>
        <v>0</v>
      </c>
      <c r="T1035" s="213"/>
      <c r="U1035" s="213"/>
      <c r="V1035" s="213"/>
      <c r="W1035" s="213"/>
      <c r="X1035" s="591"/>
      <c r="Y1035" s="591"/>
    </row>
    <row r="1036" spans="1:25" ht="14.85" customHeight="1">
      <c r="A1036" s="619"/>
      <c r="B1036" s="586"/>
      <c r="C1036" s="259"/>
      <c r="D1036" s="621"/>
      <c r="E1036" s="376"/>
      <c r="F1036" s="254"/>
      <c r="G1036" s="223"/>
      <c r="H1036" s="223"/>
      <c r="I1036" s="155"/>
      <c r="J1036" s="276"/>
      <c r="K1036" s="311">
        <f t="shared" si="283"/>
        <v>0</v>
      </c>
      <c r="L1036" s="312">
        <f t="shared" si="284"/>
        <v>0</v>
      </c>
      <c r="M1036" s="313">
        <f t="shared" si="285"/>
        <v>0</v>
      </c>
      <c r="N1036" s="320"/>
      <c r="O1036" s="315">
        <f t="shared" si="281"/>
        <v>0</v>
      </c>
      <c r="P1036" s="315">
        <f t="shared" si="282"/>
        <v>0</v>
      </c>
      <c r="Q1036" s="320"/>
      <c r="R1036" s="315">
        <f t="shared" si="274"/>
        <v>0</v>
      </c>
      <c r="S1036" s="315">
        <f t="shared" si="275"/>
        <v>0</v>
      </c>
      <c r="T1036" s="213"/>
      <c r="U1036" s="213"/>
      <c r="V1036" s="213"/>
      <c r="W1036" s="213"/>
      <c r="X1036" s="591"/>
      <c r="Y1036" s="591"/>
    </row>
    <row r="1037" spans="1:25" ht="14.85" customHeight="1">
      <c r="A1037" s="619"/>
      <c r="B1037" s="586"/>
      <c r="C1037" s="259"/>
      <c r="D1037" s="621"/>
      <c r="E1037" s="376"/>
      <c r="F1037" s="254"/>
      <c r="G1037" s="223"/>
      <c r="H1037" s="223"/>
      <c r="I1037" s="155"/>
      <c r="J1037" s="276"/>
      <c r="K1037" s="311">
        <f t="shared" si="283"/>
        <v>0</v>
      </c>
      <c r="L1037" s="312">
        <f t="shared" si="284"/>
        <v>0</v>
      </c>
      <c r="M1037" s="313">
        <f t="shared" si="285"/>
        <v>0</v>
      </c>
      <c r="N1037" s="320">
        <f>SUM(L1032:L1037)</f>
        <v>0</v>
      </c>
      <c r="O1037" s="315">
        <f t="shared" si="281"/>
        <v>0</v>
      </c>
      <c r="P1037" s="315">
        <f t="shared" si="282"/>
        <v>0</v>
      </c>
      <c r="Q1037" s="320">
        <f>N1037</f>
        <v>0</v>
      </c>
      <c r="R1037" s="315">
        <f t="shared" si="274"/>
        <v>0</v>
      </c>
      <c r="S1037" s="315">
        <f t="shared" si="275"/>
        <v>0</v>
      </c>
      <c r="T1037" s="213"/>
      <c r="U1037" s="213"/>
      <c r="V1037" s="213"/>
      <c r="W1037" s="213"/>
      <c r="X1037" s="591"/>
      <c r="Y1037" s="591"/>
    </row>
    <row r="1038" spans="1:25" s="287" customFormat="1">
      <c r="A1038" s="211" t="s">
        <v>129</v>
      </c>
      <c r="B1038" s="211">
        <f>COUNTA(B953:B1037)</f>
        <v>0</v>
      </c>
      <c r="C1038" s="211"/>
      <c r="D1038" s="211">
        <f>COUNTA(D953:D1037)</f>
        <v>0</v>
      </c>
      <c r="E1038" s="212">
        <f>COUNTA(E953:E1037)</f>
        <v>0</v>
      </c>
      <c r="F1038" s="211">
        <f>COUNTA(F953:F1037)</f>
        <v>0</v>
      </c>
      <c r="G1038" s="211">
        <f>COUNTA(G953:G1037)</f>
        <v>0</v>
      </c>
      <c r="H1038" s="211"/>
      <c r="I1038" s="211">
        <f>COUNTA(I953:I1037)</f>
        <v>0</v>
      </c>
      <c r="J1038" s="280">
        <f>SUM(J953:J1037)</f>
        <v>0</v>
      </c>
      <c r="K1038" s="161">
        <f>SUM(K953:K1037)</f>
        <v>0</v>
      </c>
      <c r="L1038" s="161">
        <f>SUM(L953:L1037)</f>
        <v>0</v>
      </c>
      <c r="M1038" s="161">
        <f>SUM(M953:M1037)</f>
        <v>0</v>
      </c>
      <c r="N1038" s="161">
        <f>SUM(N953:N1037)</f>
        <v>0</v>
      </c>
      <c r="O1038" s="161">
        <f t="shared" ref="O1038:O1039" si="286">ROUNDDOWN((N1038/$O$11),0)</f>
        <v>0</v>
      </c>
      <c r="P1038" s="161">
        <f t="shared" ref="P1038:P1039" si="287">ROUND((N1038-(O1038*$P$11)),0)</f>
        <v>0</v>
      </c>
      <c r="Q1038" s="161">
        <f>SUM(Q953:Q1037)</f>
        <v>0</v>
      </c>
      <c r="R1038" s="161">
        <f>ROUNDDOWN((Q1038/$O$11),0)</f>
        <v>0</v>
      </c>
      <c r="S1038" s="161">
        <f>ROUND((Q1038-(R1038*$P$11)),0)</f>
        <v>0</v>
      </c>
      <c r="T1038" s="211"/>
      <c r="U1038" s="211"/>
      <c r="V1038" s="211"/>
      <c r="W1038" s="211"/>
      <c r="X1038" s="161" t="str">
        <f>IF(X953&lt;1.4,"1",IF(X953&lt;=2.3,"2",IF(X953&gt;2.3, ROUND(X953,0))))</f>
        <v>1</v>
      </c>
      <c r="Y1038" s="161">
        <f>$Y$11*F1038</f>
        <v>0</v>
      </c>
    </row>
    <row r="1039" spans="1:25" ht="17.45" customHeight="1">
      <c r="A1039" s="619"/>
      <c r="B1039" s="586"/>
      <c r="C1039" s="259"/>
      <c r="D1039" s="621"/>
      <c r="E1039" s="272"/>
      <c r="F1039" s="254"/>
      <c r="G1039" s="222"/>
      <c r="H1039" s="222"/>
      <c r="I1039" s="155"/>
      <c r="J1039" s="329"/>
      <c r="K1039" s="311">
        <f t="shared" ref="K1039:K1040" si="288">J1039/$K$11</f>
        <v>0</v>
      </c>
      <c r="L1039" s="312">
        <f t="shared" ref="L1039:L1040" si="289">J1039/$L$11</f>
        <v>0</v>
      </c>
      <c r="M1039" s="313">
        <f t="shared" ref="M1039:M1040" si="290">ROUND((L1039/$M$11),0)</f>
        <v>0</v>
      </c>
      <c r="N1039" s="320"/>
      <c r="O1039" s="315">
        <f t="shared" si="286"/>
        <v>0</v>
      </c>
      <c r="P1039" s="315">
        <f t="shared" si="287"/>
        <v>0</v>
      </c>
      <c r="Q1039" s="320"/>
      <c r="R1039" s="315">
        <f>ROUNDDOWN((Q1039/$O$11),0)</f>
        <v>0</v>
      </c>
      <c r="S1039" s="315">
        <f>ROUND((Q1039-(R1039*$P$11)),0)</f>
        <v>0</v>
      </c>
      <c r="T1039" s="213"/>
      <c r="U1039" s="213"/>
      <c r="V1039" s="213"/>
      <c r="W1039" s="213"/>
      <c r="X1039" s="591">
        <f>F1073/$X$11</f>
        <v>0</v>
      </c>
      <c r="Y1039" s="591"/>
    </row>
    <row r="1040" spans="1:25" ht="17.45" customHeight="1">
      <c r="A1040" s="619"/>
      <c r="B1040" s="586"/>
      <c r="C1040" s="259"/>
      <c r="D1040" s="621"/>
      <c r="E1040" s="275"/>
      <c r="F1040" s="254"/>
      <c r="G1040" s="222"/>
      <c r="H1040" s="222"/>
      <c r="I1040" s="155"/>
      <c r="J1040" s="329"/>
      <c r="K1040" s="311">
        <f t="shared" si="288"/>
        <v>0</v>
      </c>
      <c r="L1040" s="312">
        <f t="shared" si="289"/>
        <v>0</v>
      </c>
      <c r="M1040" s="313">
        <f t="shared" si="290"/>
        <v>0</v>
      </c>
      <c r="N1040" s="320"/>
      <c r="O1040" s="315">
        <f t="shared" ref="O1040:O1071" si="291">ROUNDDOWN((N1040/$O$11),0)</f>
        <v>0</v>
      </c>
      <c r="P1040" s="315">
        <f t="shared" ref="P1040:P1071" si="292">ROUND((N1040-(O1040*$P$11)),0)</f>
        <v>0</v>
      </c>
      <c r="Q1040" s="320"/>
      <c r="R1040" s="315"/>
      <c r="S1040" s="315"/>
      <c r="T1040" s="213"/>
      <c r="U1040" s="213"/>
      <c r="V1040" s="213"/>
      <c r="W1040" s="213"/>
      <c r="X1040" s="591"/>
      <c r="Y1040" s="591"/>
    </row>
    <row r="1041" spans="1:25" ht="14.85" customHeight="1">
      <c r="A1041" s="619"/>
      <c r="B1041" s="586"/>
      <c r="C1041" s="259"/>
      <c r="D1041" s="621"/>
      <c r="E1041" s="156"/>
      <c r="F1041" s="254"/>
      <c r="G1041" s="254"/>
      <c r="H1041" s="154"/>
      <c r="I1041" s="155"/>
      <c r="J1041" s="329"/>
      <c r="K1041" s="311">
        <f t="shared" ref="K1041:K1072" si="293">J1041/$K$11</f>
        <v>0</v>
      </c>
      <c r="L1041" s="312">
        <f t="shared" ref="L1041:L1072" si="294">J1041/$L$11</f>
        <v>0</v>
      </c>
      <c r="M1041" s="313">
        <f t="shared" ref="M1041:M1072" si="295">ROUND((L1041/$M$11),0)</f>
        <v>0</v>
      </c>
      <c r="N1041" s="320">
        <f>SUM(L1039:L1041)</f>
        <v>0</v>
      </c>
      <c r="O1041" s="315">
        <f t="shared" si="291"/>
        <v>0</v>
      </c>
      <c r="P1041" s="315">
        <f t="shared" si="292"/>
        <v>0</v>
      </c>
      <c r="Q1041" s="320"/>
      <c r="R1041" s="315">
        <f>ROUNDDOWN((Q1041/$O$11),0)</f>
        <v>0</v>
      </c>
      <c r="S1041" s="315">
        <f>ROUND((Q1041-(R1041*$P$11)),0)</f>
        <v>0</v>
      </c>
      <c r="T1041" s="213"/>
      <c r="U1041" s="213"/>
      <c r="V1041" s="213"/>
      <c r="W1041" s="213"/>
      <c r="X1041" s="591"/>
      <c r="Y1041" s="591"/>
    </row>
    <row r="1042" spans="1:25" ht="14.85" customHeight="1">
      <c r="A1042" s="619"/>
      <c r="B1042" s="586"/>
      <c r="C1042" s="259"/>
      <c r="D1042" s="621"/>
      <c r="E1042" s="156"/>
      <c r="F1042" s="254"/>
      <c r="G1042" s="254"/>
      <c r="H1042" s="154"/>
      <c r="I1042" s="155"/>
      <c r="J1042" s="279"/>
      <c r="K1042" s="311">
        <f t="shared" si="293"/>
        <v>0</v>
      </c>
      <c r="L1042" s="312">
        <f t="shared" si="294"/>
        <v>0</v>
      </c>
      <c r="M1042" s="313">
        <f t="shared" si="295"/>
        <v>0</v>
      </c>
      <c r="N1042" s="320"/>
      <c r="O1042" s="315">
        <f t="shared" si="291"/>
        <v>0</v>
      </c>
      <c r="P1042" s="315">
        <f t="shared" si="292"/>
        <v>0</v>
      </c>
      <c r="Q1042" s="320"/>
      <c r="R1042" s="315"/>
      <c r="S1042" s="315"/>
      <c r="T1042" s="213"/>
      <c r="U1042" s="213"/>
      <c r="V1042" s="213"/>
      <c r="W1042" s="213"/>
      <c r="X1042" s="591"/>
      <c r="Y1042" s="591"/>
    </row>
    <row r="1043" spans="1:25" ht="14.85" customHeight="1">
      <c r="A1043" s="619"/>
      <c r="B1043" s="586"/>
      <c r="C1043" s="259"/>
      <c r="D1043" s="621"/>
      <c r="E1043" s="157"/>
      <c r="F1043" s="154"/>
      <c r="G1043" s="254"/>
      <c r="H1043" s="154"/>
      <c r="I1043" s="154"/>
      <c r="J1043" s="254"/>
      <c r="K1043" s="311">
        <f t="shared" si="293"/>
        <v>0</v>
      </c>
      <c r="L1043" s="312">
        <f t="shared" si="294"/>
        <v>0</v>
      </c>
      <c r="M1043" s="313">
        <f t="shared" si="295"/>
        <v>0</v>
      </c>
      <c r="N1043" s="320">
        <f>L1042+L1043</f>
        <v>0</v>
      </c>
      <c r="O1043" s="315">
        <f t="shared" si="291"/>
        <v>0</v>
      </c>
      <c r="P1043" s="315">
        <f t="shared" si="292"/>
        <v>0</v>
      </c>
      <c r="Q1043" s="320">
        <f>SUM(N1041:N1043)</f>
        <v>0</v>
      </c>
      <c r="R1043" s="315">
        <f>ROUNDDOWN((Q1043/$O$11),0)</f>
        <v>0</v>
      </c>
      <c r="S1043" s="315">
        <f>ROUND((Q1043-(R1043*$P$11)),0)</f>
        <v>0</v>
      </c>
      <c r="T1043" s="213"/>
      <c r="U1043" s="213"/>
      <c r="V1043" s="213"/>
      <c r="W1043" s="213"/>
      <c r="X1043" s="591"/>
      <c r="Y1043" s="591"/>
    </row>
    <row r="1044" spans="1:25" ht="14.85" customHeight="1">
      <c r="A1044" s="619"/>
      <c r="B1044" s="586"/>
      <c r="C1044" s="259"/>
      <c r="D1044" s="621"/>
      <c r="E1044" s="157"/>
      <c r="F1044" s="154"/>
      <c r="G1044" s="254"/>
      <c r="H1044" s="154"/>
      <c r="I1044" s="154"/>
      <c r="J1044" s="254"/>
      <c r="K1044" s="311">
        <f t="shared" si="293"/>
        <v>0</v>
      </c>
      <c r="L1044" s="312">
        <f t="shared" si="294"/>
        <v>0</v>
      </c>
      <c r="M1044" s="313">
        <f t="shared" si="295"/>
        <v>0</v>
      </c>
      <c r="N1044" s="320"/>
      <c r="O1044" s="315">
        <f t="shared" si="291"/>
        <v>0</v>
      </c>
      <c r="P1044" s="315">
        <f t="shared" si="292"/>
        <v>0</v>
      </c>
      <c r="Q1044" s="320"/>
      <c r="R1044" s="315">
        <f t="shared" ref="R1044:R1052" si="296">ROUNDDOWN((Q1044/$O$11),0)</f>
        <v>0</v>
      </c>
      <c r="S1044" s="315">
        <f t="shared" ref="S1044:S1052" si="297">ROUND((Q1044-(R1044*$P$11)),0)</f>
        <v>0</v>
      </c>
      <c r="T1044" s="213"/>
      <c r="U1044" s="213"/>
      <c r="V1044" s="213"/>
      <c r="W1044" s="213"/>
      <c r="X1044" s="591"/>
      <c r="Y1044" s="591"/>
    </row>
    <row r="1045" spans="1:25" ht="14.85" customHeight="1">
      <c r="A1045" s="619"/>
      <c r="B1045" s="586"/>
      <c r="C1045" s="259"/>
      <c r="D1045" s="621"/>
      <c r="E1045" s="157"/>
      <c r="F1045" s="154"/>
      <c r="G1045" s="254"/>
      <c r="H1045" s="154"/>
      <c r="I1045" s="154"/>
      <c r="J1045" s="254"/>
      <c r="K1045" s="311">
        <f t="shared" si="293"/>
        <v>0</v>
      </c>
      <c r="L1045" s="312">
        <f t="shared" si="294"/>
        <v>0</v>
      </c>
      <c r="M1045" s="313">
        <f t="shared" si="295"/>
        <v>0</v>
      </c>
      <c r="N1045" s="320">
        <f>SUM(L1044:L1045)</f>
        <v>0</v>
      </c>
      <c r="O1045" s="315">
        <f t="shared" si="291"/>
        <v>0</v>
      </c>
      <c r="P1045" s="315">
        <f t="shared" si="292"/>
        <v>0</v>
      </c>
      <c r="Q1045" s="320"/>
      <c r="R1045" s="315">
        <f t="shared" si="296"/>
        <v>0</v>
      </c>
      <c r="S1045" s="315">
        <f t="shared" si="297"/>
        <v>0</v>
      </c>
      <c r="T1045" s="213"/>
      <c r="U1045" s="213"/>
      <c r="V1045" s="213"/>
      <c r="W1045" s="213"/>
      <c r="X1045" s="591"/>
      <c r="Y1045" s="591"/>
    </row>
    <row r="1046" spans="1:25" ht="14.85" customHeight="1">
      <c r="A1046" s="619"/>
      <c r="B1046" s="586"/>
      <c r="C1046" s="259"/>
      <c r="D1046" s="621"/>
      <c r="E1046" s="157"/>
      <c r="G1046" s="254"/>
      <c r="H1046" s="154"/>
      <c r="I1046" s="154"/>
      <c r="J1046" s="254"/>
      <c r="K1046" s="311">
        <f t="shared" si="293"/>
        <v>0</v>
      </c>
      <c r="L1046" s="312">
        <f t="shared" si="294"/>
        <v>0</v>
      </c>
      <c r="M1046" s="313">
        <f t="shared" si="295"/>
        <v>0</v>
      </c>
      <c r="N1046" s="320"/>
      <c r="O1046" s="315">
        <f t="shared" si="291"/>
        <v>0</v>
      </c>
      <c r="P1046" s="315">
        <f t="shared" si="292"/>
        <v>0</v>
      </c>
      <c r="Q1046" s="320"/>
      <c r="R1046" s="315">
        <f t="shared" si="296"/>
        <v>0</v>
      </c>
      <c r="S1046" s="315">
        <f t="shared" si="297"/>
        <v>0</v>
      </c>
      <c r="T1046" s="213"/>
      <c r="U1046" s="213"/>
      <c r="V1046" s="213"/>
      <c r="W1046" s="213"/>
      <c r="X1046" s="591"/>
      <c r="Y1046" s="591"/>
    </row>
    <row r="1047" spans="1:25" ht="14.85" customHeight="1">
      <c r="A1047" s="619"/>
      <c r="B1047" s="586"/>
      <c r="C1047" s="259"/>
      <c r="D1047" s="621"/>
      <c r="E1047" s="375"/>
      <c r="F1047" s="154"/>
      <c r="G1047" s="222"/>
      <c r="H1047" s="222"/>
      <c r="I1047" s="154"/>
      <c r="J1047" s="329"/>
      <c r="K1047" s="311">
        <f t="shared" si="293"/>
        <v>0</v>
      </c>
      <c r="L1047" s="312">
        <f t="shared" si="294"/>
        <v>0</v>
      </c>
      <c r="M1047" s="313">
        <f t="shared" si="295"/>
        <v>0</v>
      </c>
      <c r="N1047" s="320"/>
      <c r="O1047" s="315">
        <f t="shared" si="291"/>
        <v>0</v>
      </c>
      <c r="P1047" s="315">
        <f t="shared" si="292"/>
        <v>0</v>
      </c>
      <c r="Q1047" s="320"/>
      <c r="R1047" s="315">
        <f t="shared" si="296"/>
        <v>0</v>
      </c>
      <c r="S1047" s="315">
        <f t="shared" si="297"/>
        <v>0</v>
      </c>
      <c r="T1047" s="213"/>
      <c r="U1047" s="213"/>
      <c r="V1047" s="213"/>
      <c r="W1047" s="213"/>
      <c r="X1047" s="591"/>
      <c r="Y1047" s="591"/>
    </row>
    <row r="1048" spans="1:25" ht="14.85" customHeight="1">
      <c r="A1048" s="619"/>
      <c r="B1048" s="586"/>
      <c r="C1048" s="259"/>
      <c r="D1048" s="621"/>
      <c r="E1048" s="157"/>
      <c r="F1048" s="154"/>
      <c r="G1048" s="254"/>
      <c r="H1048" s="154"/>
      <c r="I1048" s="154"/>
      <c r="J1048" s="254"/>
      <c r="K1048" s="311">
        <f t="shared" si="293"/>
        <v>0</v>
      </c>
      <c r="L1048" s="312">
        <f t="shared" si="294"/>
        <v>0</v>
      </c>
      <c r="M1048" s="313">
        <f t="shared" si="295"/>
        <v>0</v>
      </c>
      <c r="N1048" s="320">
        <f>L1046+L1048</f>
        <v>0</v>
      </c>
      <c r="O1048" s="315">
        <f t="shared" si="291"/>
        <v>0</v>
      </c>
      <c r="P1048" s="315">
        <f t="shared" si="292"/>
        <v>0</v>
      </c>
      <c r="Q1048" s="320">
        <f>N1041+N1043+N1045+N1048</f>
        <v>0</v>
      </c>
      <c r="R1048" s="315">
        <f t="shared" si="296"/>
        <v>0</v>
      </c>
      <c r="S1048" s="315">
        <f t="shared" si="297"/>
        <v>0</v>
      </c>
      <c r="T1048" s="213"/>
      <c r="U1048" s="213"/>
      <c r="V1048" s="213"/>
      <c r="W1048" s="213"/>
      <c r="X1048" s="591"/>
      <c r="Y1048" s="591"/>
    </row>
    <row r="1049" spans="1:25" ht="14.85" customHeight="1">
      <c r="A1049" s="619"/>
      <c r="B1049" s="586"/>
      <c r="C1049" s="259"/>
      <c r="D1049" s="621"/>
      <c r="E1049" s="157"/>
      <c r="F1049" s="154"/>
      <c r="G1049" s="254"/>
      <c r="H1049" s="154"/>
      <c r="I1049" s="154"/>
      <c r="J1049" s="254"/>
      <c r="K1049" s="311"/>
      <c r="L1049" s="312"/>
      <c r="M1049" s="313"/>
      <c r="N1049" s="320"/>
      <c r="O1049" s="315">
        <f t="shared" si="291"/>
        <v>0</v>
      </c>
      <c r="P1049" s="315">
        <f t="shared" si="292"/>
        <v>0</v>
      </c>
      <c r="Q1049" s="320"/>
      <c r="R1049" s="315">
        <f t="shared" si="296"/>
        <v>0</v>
      </c>
      <c r="S1049" s="315">
        <f t="shared" si="297"/>
        <v>0</v>
      </c>
      <c r="T1049" s="213"/>
      <c r="U1049" s="213"/>
      <c r="V1049" s="213"/>
      <c r="W1049" s="213"/>
      <c r="X1049" s="591"/>
      <c r="Y1049" s="591"/>
    </row>
    <row r="1050" spans="1:25" ht="14.85" customHeight="1">
      <c r="A1050" s="619"/>
      <c r="B1050" s="586"/>
      <c r="C1050" s="259"/>
      <c r="D1050" s="621"/>
      <c r="E1050" s="157"/>
      <c r="F1050" s="154"/>
      <c r="G1050" s="254"/>
      <c r="H1050" s="154"/>
      <c r="I1050" s="154"/>
      <c r="J1050" s="254"/>
      <c r="K1050" s="311">
        <f t="shared" si="293"/>
        <v>0</v>
      </c>
      <c r="L1050" s="312">
        <f t="shared" si="294"/>
        <v>0</v>
      </c>
      <c r="M1050" s="313">
        <f t="shared" si="295"/>
        <v>0</v>
      </c>
      <c r="N1050" s="320">
        <f>L1050</f>
        <v>0</v>
      </c>
      <c r="O1050" s="315">
        <f t="shared" si="291"/>
        <v>0</v>
      </c>
      <c r="P1050" s="315">
        <f t="shared" si="292"/>
        <v>0</v>
      </c>
      <c r="Q1050" s="320"/>
      <c r="R1050" s="315">
        <f t="shared" si="296"/>
        <v>0</v>
      </c>
      <c r="S1050" s="315">
        <f t="shared" si="297"/>
        <v>0</v>
      </c>
      <c r="T1050" s="213"/>
      <c r="U1050" s="213"/>
      <c r="V1050" s="213"/>
      <c r="W1050" s="213"/>
      <c r="X1050" s="591"/>
      <c r="Y1050" s="591"/>
    </row>
    <row r="1051" spans="1:25" ht="14.85" customHeight="1">
      <c r="A1051" s="619"/>
      <c r="B1051" s="586"/>
      <c r="C1051" s="259"/>
      <c r="D1051" s="621"/>
      <c r="E1051" s="272"/>
      <c r="F1051" s="154"/>
      <c r="G1051" s="222"/>
      <c r="H1051" s="222"/>
      <c r="I1051" s="154"/>
      <c r="J1051" s="329"/>
      <c r="K1051" s="311">
        <f t="shared" si="293"/>
        <v>0</v>
      </c>
      <c r="L1051" s="312">
        <f t="shared" si="294"/>
        <v>0</v>
      </c>
      <c r="M1051" s="313">
        <f t="shared" si="295"/>
        <v>0</v>
      </c>
      <c r="N1051" s="320">
        <f t="shared" ref="N1051" si="298">L1051</f>
        <v>0</v>
      </c>
      <c r="O1051" s="315">
        <f t="shared" si="291"/>
        <v>0</v>
      </c>
      <c r="P1051" s="315">
        <f t="shared" si="292"/>
        <v>0</v>
      </c>
      <c r="Q1051" s="320"/>
      <c r="R1051" s="315">
        <f t="shared" si="296"/>
        <v>0</v>
      </c>
      <c r="S1051" s="315">
        <f t="shared" si="297"/>
        <v>0</v>
      </c>
      <c r="T1051" s="213"/>
      <c r="U1051" s="213"/>
      <c r="V1051" s="213"/>
      <c r="W1051" s="213"/>
      <c r="X1051" s="591"/>
      <c r="Y1051" s="591"/>
    </row>
    <row r="1052" spans="1:25" ht="14.85" customHeight="1">
      <c r="A1052" s="619"/>
      <c r="B1052" s="586"/>
      <c r="C1052" s="259"/>
      <c r="D1052" s="621"/>
      <c r="E1052" s="275"/>
      <c r="F1052" s="154"/>
      <c r="G1052" s="222"/>
      <c r="H1052" s="222"/>
      <c r="I1052" s="154"/>
      <c r="J1052" s="329"/>
      <c r="K1052" s="311">
        <f t="shared" si="293"/>
        <v>0</v>
      </c>
      <c r="L1052" s="312">
        <f t="shared" si="294"/>
        <v>0</v>
      </c>
      <c r="M1052" s="313">
        <f t="shared" si="295"/>
        <v>0</v>
      </c>
      <c r="N1052" s="320"/>
      <c r="O1052" s="315">
        <f t="shared" si="291"/>
        <v>0</v>
      </c>
      <c r="P1052" s="315">
        <f t="shared" si="292"/>
        <v>0</v>
      </c>
      <c r="Q1052" s="320">
        <f>N1052</f>
        <v>0</v>
      </c>
      <c r="R1052" s="315">
        <f t="shared" si="296"/>
        <v>0</v>
      </c>
      <c r="S1052" s="315">
        <f t="shared" si="297"/>
        <v>0</v>
      </c>
      <c r="T1052" s="213"/>
      <c r="U1052" s="213"/>
      <c r="V1052" s="213"/>
      <c r="W1052" s="213"/>
      <c r="X1052" s="591"/>
      <c r="Y1052" s="591"/>
    </row>
    <row r="1053" spans="1:25" ht="14.85" customHeight="1">
      <c r="A1053" s="619"/>
      <c r="B1053" s="586"/>
      <c r="C1053" s="259"/>
      <c r="D1053" s="621"/>
      <c r="E1053" s="275"/>
      <c r="F1053" s="154"/>
      <c r="G1053" s="222"/>
      <c r="H1053" s="222"/>
      <c r="I1053" s="154"/>
      <c r="J1053" s="329"/>
      <c r="K1053" s="311">
        <f t="shared" si="293"/>
        <v>0</v>
      </c>
      <c r="L1053" s="312">
        <f t="shared" si="294"/>
        <v>0</v>
      </c>
      <c r="M1053" s="313">
        <f t="shared" si="295"/>
        <v>0</v>
      </c>
      <c r="N1053" s="320">
        <f>L1052+L1053</f>
        <v>0</v>
      </c>
      <c r="O1053" s="315">
        <f t="shared" si="291"/>
        <v>0</v>
      </c>
      <c r="P1053" s="315">
        <f t="shared" si="292"/>
        <v>0</v>
      </c>
      <c r="Q1053" s="320">
        <f>N1050+N1051+N1053</f>
        <v>0</v>
      </c>
      <c r="R1053" s="315">
        <f t="shared" ref="R1053:R1056" si="299">ROUNDDOWN((Q1053/$O$11),0)</f>
        <v>0</v>
      </c>
      <c r="S1053" s="315">
        <f t="shared" ref="S1053:S1056" si="300">ROUND((Q1053-(R1053*$P$11)),0)</f>
        <v>0</v>
      </c>
      <c r="T1053" s="213"/>
      <c r="U1053" s="213"/>
      <c r="V1053" s="213"/>
      <c r="W1053" s="213"/>
      <c r="X1053" s="591"/>
      <c r="Y1053" s="591"/>
    </row>
    <row r="1054" spans="1:25" ht="14.85" customHeight="1">
      <c r="A1054" s="619"/>
      <c r="B1054" s="586"/>
      <c r="C1054" s="259"/>
      <c r="D1054" s="621"/>
      <c r="E1054" s="275"/>
      <c r="F1054" s="154"/>
      <c r="G1054" s="222"/>
      <c r="H1054" s="222"/>
      <c r="I1054" s="154"/>
      <c r="J1054" s="329"/>
      <c r="K1054" s="311"/>
      <c r="L1054" s="312"/>
      <c r="M1054" s="313"/>
      <c r="N1054" s="320"/>
      <c r="O1054" s="315">
        <f t="shared" si="291"/>
        <v>0</v>
      </c>
      <c r="P1054" s="315">
        <f t="shared" si="292"/>
        <v>0</v>
      </c>
      <c r="Q1054" s="320"/>
      <c r="R1054" s="315"/>
      <c r="S1054" s="315"/>
      <c r="T1054" s="213"/>
      <c r="U1054" s="213"/>
      <c r="V1054" s="213"/>
      <c r="W1054" s="213"/>
      <c r="X1054" s="591"/>
      <c r="Y1054" s="591"/>
    </row>
    <row r="1055" spans="1:25" ht="14.85" customHeight="1">
      <c r="A1055" s="619"/>
      <c r="B1055" s="586"/>
      <c r="C1055" s="259"/>
      <c r="D1055" s="621"/>
      <c r="E1055" s="157"/>
      <c r="F1055" s="154"/>
      <c r="G1055" s="254"/>
      <c r="H1055" s="154"/>
      <c r="I1055" s="154"/>
      <c r="J1055" s="254"/>
      <c r="K1055" s="311">
        <f t="shared" si="293"/>
        <v>0</v>
      </c>
      <c r="L1055" s="312">
        <f t="shared" si="294"/>
        <v>0</v>
      </c>
      <c r="M1055" s="313">
        <f t="shared" si="295"/>
        <v>0</v>
      </c>
      <c r="N1055" s="320"/>
      <c r="O1055" s="315">
        <f t="shared" si="291"/>
        <v>0</v>
      </c>
      <c r="P1055" s="315">
        <f t="shared" si="292"/>
        <v>0</v>
      </c>
      <c r="Q1055" s="320"/>
      <c r="R1055" s="315">
        <f t="shared" si="299"/>
        <v>0</v>
      </c>
      <c r="S1055" s="315">
        <f t="shared" si="300"/>
        <v>0</v>
      </c>
      <c r="T1055" s="213"/>
      <c r="U1055" s="213"/>
      <c r="V1055" s="213"/>
      <c r="W1055" s="213"/>
      <c r="X1055" s="591"/>
      <c r="Y1055" s="591"/>
    </row>
    <row r="1056" spans="1:25" ht="14.85" customHeight="1">
      <c r="A1056" s="619"/>
      <c r="B1056" s="586"/>
      <c r="C1056" s="259"/>
      <c r="D1056" s="621"/>
      <c r="E1056" s="157"/>
      <c r="F1056" s="154"/>
      <c r="G1056" s="254"/>
      <c r="H1056" s="154"/>
      <c r="I1056" s="154"/>
      <c r="J1056" s="254"/>
      <c r="K1056" s="311">
        <f t="shared" si="293"/>
        <v>0</v>
      </c>
      <c r="L1056" s="312">
        <f t="shared" si="294"/>
        <v>0</v>
      </c>
      <c r="M1056" s="313">
        <f t="shared" si="295"/>
        <v>0</v>
      </c>
      <c r="N1056" s="320"/>
      <c r="O1056" s="315">
        <f t="shared" si="291"/>
        <v>0</v>
      </c>
      <c r="P1056" s="315">
        <f t="shared" si="292"/>
        <v>0</v>
      </c>
      <c r="Q1056" s="320"/>
      <c r="R1056" s="315">
        <f t="shared" si="299"/>
        <v>0</v>
      </c>
      <c r="S1056" s="315">
        <f t="shared" si="300"/>
        <v>0</v>
      </c>
      <c r="T1056" s="213"/>
      <c r="U1056" s="213"/>
      <c r="V1056" s="213"/>
      <c r="W1056" s="213"/>
      <c r="X1056" s="591"/>
      <c r="Y1056" s="591"/>
    </row>
    <row r="1057" spans="1:25" ht="14.85" customHeight="1">
      <c r="A1057" s="619"/>
      <c r="B1057" s="586"/>
      <c r="C1057" s="259"/>
      <c r="D1057" s="621"/>
      <c r="E1057" s="157"/>
      <c r="F1057" s="154"/>
      <c r="G1057" s="254"/>
      <c r="H1057" s="154"/>
      <c r="I1057" s="154"/>
      <c r="J1057" s="254"/>
      <c r="K1057" s="311">
        <f t="shared" si="293"/>
        <v>0</v>
      </c>
      <c r="L1057" s="312">
        <f t="shared" si="294"/>
        <v>0</v>
      </c>
      <c r="M1057" s="313">
        <f t="shared" si="295"/>
        <v>0</v>
      </c>
      <c r="N1057" s="320">
        <f>L1055+L1056+L1057</f>
        <v>0</v>
      </c>
      <c r="O1057" s="315">
        <f t="shared" si="291"/>
        <v>0</v>
      </c>
      <c r="P1057" s="315">
        <f t="shared" si="292"/>
        <v>0</v>
      </c>
      <c r="Q1057" s="320"/>
      <c r="R1057" s="315"/>
      <c r="S1057" s="315"/>
      <c r="T1057" s="213"/>
      <c r="U1057" s="213"/>
      <c r="V1057" s="213"/>
      <c r="W1057" s="213"/>
      <c r="X1057" s="591"/>
      <c r="Y1057" s="591"/>
    </row>
    <row r="1058" spans="1:25" ht="14.85" customHeight="1">
      <c r="A1058" s="619"/>
      <c r="B1058" s="586"/>
      <c r="C1058" s="259"/>
      <c r="D1058" s="621"/>
      <c r="E1058" s="371"/>
      <c r="F1058" s="273"/>
      <c r="G1058" s="254"/>
      <c r="H1058" s="154"/>
      <c r="I1058" s="155"/>
      <c r="J1058" s="279"/>
      <c r="K1058" s="311">
        <f t="shared" si="293"/>
        <v>0</v>
      </c>
      <c r="L1058" s="312">
        <f t="shared" si="294"/>
        <v>0</v>
      </c>
      <c r="M1058" s="313">
        <f t="shared" si="295"/>
        <v>0</v>
      </c>
      <c r="N1058" s="320"/>
      <c r="O1058" s="315">
        <f t="shared" si="291"/>
        <v>0</v>
      </c>
      <c r="P1058" s="315">
        <f t="shared" si="292"/>
        <v>0</v>
      </c>
      <c r="Q1058" s="320"/>
      <c r="R1058" s="315">
        <f>ROUNDDOWN((Q1058/$O$11),0)</f>
        <v>0</v>
      </c>
      <c r="S1058" s="315">
        <f>ROUND((Q1058-(R1058*$P$11)),0)</f>
        <v>0</v>
      </c>
      <c r="T1058" s="213"/>
      <c r="U1058" s="213"/>
      <c r="V1058" s="213"/>
      <c r="W1058" s="213"/>
      <c r="X1058" s="591"/>
      <c r="Y1058" s="591"/>
    </row>
    <row r="1059" spans="1:25" ht="14.85" customHeight="1">
      <c r="A1059" s="619"/>
      <c r="B1059" s="586"/>
      <c r="C1059" s="259"/>
      <c r="D1059" s="621"/>
      <c r="E1059" s="371"/>
      <c r="F1059" s="273"/>
      <c r="G1059" s="254"/>
      <c r="H1059" s="154"/>
      <c r="I1059" s="155"/>
      <c r="J1059" s="279"/>
      <c r="K1059" s="311">
        <f t="shared" si="293"/>
        <v>0</v>
      </c>
      <c r="L1059" s="312">
        <f t="shared" si="294"/>
        <v>0</v>
      </c>
      <c r="M1059" s="313">
        <f t="shared" si="295"/>
        <v>0</v>
      </c>
      <c r="N1059" s="320"/>
      <c r="O1059" s="315">
        <f t="shared" si="291"/>
        <v>0</v>
      </c>
      <c r="P1059" s="315">
        <f t="shared" si="292"/>
        <v>0</v>
      </c>
      <c r="Q1059" s="320"/>
      <c r="R1059" s="315">
        <f>ROUNDDOWN((Q1059/$O$11),0)</f>
        <v>0</v>
      </c>
      <c r="S1059" s="315">
        <f>ROUND((Q1059-(R1059*$P$11)),0)</f>
        <v>0</v>
      </c>
      <c r="T1059" s="213"/>
      <c r="U1059" s="213"/>
      <c r="V1059" s="213"/>
      <c r="W1059" s="213"/>
      <c r="X1059" s="591"/>
      <c r="Y1059" s="591"/>
    </row>
    <row r="1060" spans="1:25" ht="14.85" customHeight="1">
      <c r="A1060" s="619"/>
      <c r="B1060" s="586"/>
      <c r="C1060" s="259"/>
      <c r="D1060" s="621"/>
      <c r="E1060" s="371"/>
      <c r="F1060" s="273"/>
      <c r="G1060" s="254"/>
      <c r="H1060" s="154"/>
      <c r="I1060" s="155"/>
      <c r="J1060" s="279"/>
      <c r="K1060" s="311">
        <f t="shared" si="293"/>
        <v>0</v>
      </c>
      <c r="L1060" s="312">
        <f t="shared" si="294"/>
        <v>0</v>
      </c>
      <c r="M1060" s="313">
        <f t="shared" si="295"/>
        <v>0</v>
      </c>
      <c r="N1060" s="320">
        <f>SUM(L1058:L1060)</f>
        <v>0</v>
      </c>
      <c r="O1060" s="315">
        <f t="shared" si="291"/>
        <v>0</v>
      </c>
      <c r="P1060" s="315">
        <f t="shared" si="292"/>
        <v>0</v>
      </c>
      <c r="Q1060" s="320"/>
      <c r="R1060" s="315"/>
      <c r="S1060" s="315"/>
      <c r="T1060" s="213"/>
      <c r="U1060" s="213"/>
      <c r="V1060" s="213"/>
      <c r="W1060" s="213"/>
      <c r="X1060" s="591"/>
      <c r="Y1060" s="591"/>
    </row>
    <row r="1061" spans="1:25" ht="14.85" customHeight="1">
      <c r="A1061" s="619"/>
      <c r="B1061" s="586"/>
      <c r="C1061" s="259"/>
      <c r="D1061" s="621"/>
      <c r="E1061" s="371"/>
      <c r="F1061" s="273"/>
      <c r="G1061" s="254"/>
      <c r="H1061" s="154"/>
      <c r="I1061" s="155"/>
      <c r="J1061" s="279"/>
      <c r="K1061" s="311">
        <f t="shared" si="293"/>
        <v>0</v>
      </c>
      <c r="L1061" s="312">
        <f t="shared" si="294"/>
        <v>0</v>
      </c>
      <c r="M1061" s="313">
        <f t="shared" si="295"/>
        <v>0</v>
      </c>
      <c r="N1061" s="320"/>
      <c r="O1061" s="315">
        <f t="shared" si="291"/>
        <v>0</v>
      </c>
      <c r="P1061" s="315">
        <f t="shared" si="292"/>
        <v>0</v>
      </c>
      <c r="Q1061" s="320"/>
      <c r="R1061" s="315">
        <f>ROUNDDOWN((Q1061/$O$11),0)</f>
        <v>0</v>
      </c>
      <c r="S1061" s="315">
        <f>ROUND((Q1061-(R1061*$P$11)),0)</f>
        <v>0</v>
      </c>
      <c r="T1061" s="213"/>
      <c r="U1061" s="213"/>
      <c r="V1061" s="213"/>
      <c r="W1061" s="213"/>
      <c r="X1061" s="591"/>
      <c r="Y1061" s="591"/>
    </row>
    <row r="1062" spans="1:25" ht="14.85" customHeight="1">
      <c r="A1062" s="619"/>
      <c r="B1062" s="586"/>
      <c r="C1062" s="259"/>
      <c r="D1062" s="621"/>
      <c r="E1062" s="371"/>
      <c r="F1062" s="273"/>
      <c r="G1062" s="254"/>
      <c r="H1062" s="154"/>
      <c r="I1062" s="155"/>
      <c r="J1062" s="279"/>
      <c r="K1062" s="311">
        <f t="shared" si="293"/>
        <v>0</v>
      </c>
      <c r="L1062" s="312">
        <f t="shared" si="294"/>
        <v>0</v>
      </c>
      <c r="M1062" s="313">
        <f t="shared" si="295"/>
        <v>0</v>
      </c>
      <c r="N1062" s="320"/>
      <c r="O1062" s="315">
        <f t="shared" si="291"/>
        <v>0</v>
      </c>
      <c r="P1062" s="315">
        <f t="shared" si="292"/>
        <v>0</v>
      </c>
      <c r="Q1062" s="320"/>
      <c r="R1062" s="315">
        <f>ROUNDDOWN((Q1062/$O$11),0)</f>
        <v>0</v>
      </c>
      <c r="S1062" s="315">
        <f>ROUND((Q1062-(R1062*$P$11)),0)</f>
        <v>0</v>
      </c>
      <c r="T1062" s="213"/>
      <c r="U1062" s="213"/>
      <c r="V1062" s="213"/>
      <c r="W1062" s="213"/>
      <c r="X1062" s="591"/>
      <c r="Y1062" s="591"/>
    </row>
    <row r="1063" spans="1:25" ht="14.85" customHeight="1">
      <c r="A1063" s="619"/>
      <c r="B1063" s="586"/>
      <c r="C1063" s="259"/>
      <c r="D1063" s="621"/>
      <c r="E1063" s="371"/>
      <c r="F1063" s="273"/>
      <c r="G1063" s="254"/>
      <c r="H1063" s="154"/>
      <c r="I1063" s="155"/>
      <c r="J1063" s="279"/>
      <c r="K1063" s="311">
        <f t="shared" si="293"/>
        <v>0</v>
      </c>
      <c r="L1063" s="312">
        <f t="shared" si="294"/>
        <v>0</v>
      </c>
      <c r="M1063" s="313">
        <f t="shared" si="295"/>
        <v>0</v>
      </c>
      <c r="N1063" s="320">
        <f>SUM(L1061:L1063)</f>
        <v>0</v>
      </c>
      <c r="O1063" s="315">
        <f t="shared" si="291"/>
        <v>0</v>
      </c>
      <c r="P1063" s="315">
        <f t="shared" si="292"/>
        <v>0</v>
      </c>
      <c r="Q1063" s="320">
        <f>N1057+N1060+N1063</f>
        <v>0</v>
      </c>
      <c r="R1063" s="315">
        <f>ROUNDDOWN((Q1063/$O$11),0)</f>
        <v>0</v>
      </c>
      <c r="S1063" s="315">
        <f>ROUND((Q1063-(R1063*$P$11)),0)</f>
        <v>0</v>
      </c>
      <c r="T1063" s="213"/>
      <c r="U1063" s="213"/>
      <c r="V1063" s="213"/>
      <c r="W1063" s="213"/>
      <c r="X1063" s="591"/>
      <c r="Y1063" s="591"/>
    </row>
    <row r="1064" spans="1:25" ht="14.85" customHeight="1">
      <c r="A1064" s="619"/>
      <c r="B1064" s="586"/>
      <c r="C1064" s="259"/>
      <c r="D1064" s="621"/>
      <c r="E1064" s="371"/>
      <c r="F1064" s="273"/>
      <c r="G1064" s="254"/>
      <c r="H1064" s="154"/>
      <c r="I1064" s="155"/>
      <c r="J1064" s="279"/>
      <c r="K1064" s="311"/>
      <c r="L1064" s="312"/>
      <c r="M1064" s="313"/>
      <c r="N1064" s="320"/>
      <c r="O1064" s="315">
        <f t="shared" si="291"/>
        <v>0</v>
      </c>
      <c r="P1064" s="315">
        <f t="shared" si="292"/>
        <v>0</v>
      </c>
      <c r="Q1064" s="320"/>
      <c r="R1064" s="315"/>
      <c r="S1064" s="315"/>
      <c r="T1064" s="213"/>
      <c r="U1064" s="213"/>
      <c r="V1064" s="213"/>
      <c r="W1064" s="213"/>
      <c r="X1064" s="591"/>
      <c r="Y1064" s="591"/>
    </row>
    <row r="1065" spans="1:25" ht="14.85" customHeight="1">
      <c r="A1065" s="619"/>
      <c r="B1065" s="586"/>
      <c r="C1065" s="259"/>
      <c r="D1065" s="621"/>
      <c r="E1065" s="371"/>
      <c r="F1065" s="285"/>
      <c r="G1065" s="254"/>
      <c r="H1065" s="154"/>
      <c r="I1065" s="155"/>
      <c r="J1065" s="329"/>
      <c r="K1065" s="311">
        <f t="shared" si="293"/>
        <v>0</v>
      </c>
      <c r="L1065" s="312">
        <f t="shared" si="294"/>
        <v>0</v>
      </c>
      <c r="M1065" s="313">
        <f t="shared" si="295"/>
        <v>0</v>
      </c>
      <c r="N1065" s="320"/>
      <c r="O1065" s="315">
        <f t="shared" si="291"/>
        <v>0</v>
      </c>
      <c r="P1065" s="315">
        <f t="shared" si="292"/>
        <v>0</v>
      </c>
      <c r="Q1065" s="320"/>
      <c r="R1065" s="315">
        <f>ROUNDDOWN((Q1065/$O$11),0)</f>
        <v>0</v>
      </c>
      <c r="S1065" s="315">
        <f>ROUND((Q1065-(R1065*$P$11)),0)</f>
        <v>0</v>
      </c>
      <c r="T1065" s="213"/>
      <c r="U1065" s="213"/>
      <c r="V1065" s="213"/>
      <c r="W1065" s="213"/>
      <c r="X1065" s="591"/>
      <c r="Y1065" s="591"/>
    </row>
    <row r="1066" spans="1:25" ht="14.85" customHeight="1">
      <c r="A1066" s="619"/>
      <c r="B1066" s="586"/>
      <c r="C1066" s="259"/>
      <c r="D1066" s="621"/>
      <c r="E1066" s="375"/>
      <c r="F1066" s="273"/>
      <c r="G1066" s="222"/>
      <c r="H1066" s="222"/>
      <c r="I1066" s="155"/>
      <c r="J1066" s="329"/>
      <c r="K1066" s="311">
        <f t="shared" si="293"/>
        <v>0</v>
      </c>
      <c r="L1066" s="312">
        <f t="shared" si="294"/>
        <v>0</v>
      </c>
      <c r="M1066" s="313">
        <f t="shared" si="295"/>
        <v>0</v>
      </c>
      <c r="N1066" s="320">
        <f>L1065+L1066</f>
        <v>0</v>
      </c>
      <c r="O1066" s="315">
        <f t="shared" si="291"/>
        <v>0</v>
      </c>
      <c r="P1066" s="315">
        <f t="shared" si="292"/>
        <v>0</v>
      </c>
      <c r="Q1066" s="320"/>
      <c r="R1066" s="315"/>
      <c r="S1066" s="315"/>
      <c r="T1066" s="213"/>
      <c r="U1066" s="213"/>
      <c r="V1066" s="213"/>
      <c r="W1066" s="213"/>
      <c r="X1066" s="591"/>
      <c r="Y1066" s="591"/>
    </row>
    <row r="1067" spans="1:25" ht="14.85" customHeight="1">
      <c r="A1067" s="619"/>
      <c r="B1067" s="586"/>
      <c r="C1067" s="259"/>
      <c r="D1067" s="621"/>
      <c r="E1067" s="375"/>
      <c r="F1067" s="273"/>
      <c r="G1067" s="222"/>
      <c r="H1067" s="222"/>
      <c r="I1067" s="155"/>
      <c r="J1067" s="329"/>
      <c r="K1067" s="311">
        <f t="shared" si="293"/>
        <v>0</v>
      </c>
      <c r="L1067" s="312">
        <f t="shared" si="294"/>
        <v>0</v>
      </c>
      <c r="M1067" s="313">
        <f t="shared" si="295"/>
        <v>0</v>
      </c>
      <c r="N1067" s="320"/>
      <c r="O1067" s="315">
        <f t="shared" si="291"/>
        <v>0</v>
      </c>
      <c r="P1067" s="315">
        <f t="shared" si="292"/>
        <v>0</v>
      </c>
      <c r="Q1067" s="320"/>
      <c r="R1067" s="315">
        <f>ROUNDDOWN((Q1067/$O$11),0)</f>
        <v>0</v>
      </c>
      <c r="S1067" s="315">
        <f>ROUND((Q1067-(R1067*$P$11)),0)</f>
        <v>0</v>
      </c>
      <c r="T1067" s="213"/>
      <c r="U1067" s="213"/>
      <c r="V1067" s="213"/>
      <c r="W1067" s="213"/>
      <c r="X1067" s="591"/>
      <c r="Y1067" s="591"/>
    </row>
    <row r="1068" spans="1:25" ht="14.85" customHeight="1">
      <c r="A1068" s="619"/>
      <c r="B1068" s="586"/>
      <c r="C1068" s="259"/>
      <c r="D1068" s="621"/>
      <c r="E1068" s="371"/>
      <c r="F1068" s="273"/>
      <c r="G1068" s="254"/>
      <c r="H1068" s="154"/>
      <c r="I1068" s="155"/>
      <c r="J1068" s="279"/>
      <c r="K1068" s="311">
        <f t="shared" si="293"/>
        <v>0</v>
      </c>
      <c r="L1068" s="312">
        <f t="shared" si="294"/>
        <v>0</v>
      </c>
      <c r="M1068" s="313">
        <f t="shared" si="295"/>
        <v>0</v>
      </c>
      <c r="N1068" s="320">
        <f>L1067+L1068</f>
        <v>0</v>
      </c>
      <c r="O1068" s="315">
        <f t="shared" si="291"/>
        <v>0</v>
      </c>
      <c r="P1068" s="315">
        <f t="shared" si="292"/>
        <v>0</v>
      </c>
      <c r="Q1068" s="320">
        <f>N1066+N1068</f>
        <v>0</v>
      </c>
      <c r="R1068" s="315">
        <f>ROUNDDOWN((Q1068/$O$11),0)</f>
        <v>0</v>
      </c>
      <c r="S1068" s="315">
        <f>ROUND((Q1068-(R1068*$P$11)),0)</f>
        <v>0</v>
      </c>
      <c r="T1068" s="213"/>
      <c r="U1068" s="213"/>
      <c r="V1068" s="213"/>
      <c r="W1068" s="213"/>
      <c r="X1068" s="591"/>
      <c r="Y1068" s="591"/>
    </row>
    <row r="1069" spans="1:25" ht="14.85" customHeight="1">
      <c r="A1069" s="619"/>
      <c r="B1069" s="586"/>
      <c r="C1069" s="259"/>
      <c r="D1069" s="621"/>
      <c r="E1069" s="371"/>
      <c r="F1069" s="273"/>
      <c r="G1069" s="254"/>
      <c r="H1069" s="154"/>
      <c r="I1069" s="155"/>
      <c r="J1069" s="279"/>
      <c r="K1069" s="311"/>
      <c r="L1069" s="312"/>
      <c r="M1069" s="313"/>
      <c r="N1069" s="320"/>
      <c r="O1069" s="315">
        <f t="shared" si="291"/>
        <v>0</v>
      </c>
      <c r="P1069" s="315">
        <f t="shared" si="292"/>
        <v>0</v>
      </c>
      <c r="Q1069" s="320"/>
      <c r="R1069" s="315"/>
      <c r="S1069" s="315"/>
      <c r="T1069" s="213"/>
      <c r="U1069" s="213"/>
      <c r="V1069" s="213"/>
      <c r="W1069" s="213"/>
      <c r="X1069" s="591"/>
      <c r="Y1069" s="591"/>
    </row>
    <row r="1070" spans="1:25" ht="14.85" customHeight="1">
      <c r="A1070" s="619"/>
      <c r="B1070" s="586"/>
      <c r="C1070" s="259"/>
      <c r="D1070" s="621"/>
      <c r="E1070" s="371"/>
      <c r="F1070" s="285"/>
      <c r="G1070" s="254"/>
      <c r="H1070" s="154"/>
      <c r="I1070" s="264"/>
      <c r="J1070" s="227"/>
      <c r="K1070" s="311">
        <f t="shared" si="293"/>
        <v>0</v>
      </c>
      <c r="L1070" s="312">
        <f t="shared" si="294"/>
        <v>0</v>
      </c>
      <c r="M1070" s="313">
        <f t="shared" si="295"/>
        <v>0</v>
      </c>
      <c r="N1070" s="320"/>
      <c r="O1070" s="315">
        <f t="shared" si="291"/>
        <v>0</v>
      </c>
      <c r="P1070" s="315">
        <f t="shared" si="292"/>
        <v>0</v>
      </c>
      <c r="Q1070" s="320"/>
      <c r="R1070" s="315">
        <f>ROUNDDOWN((Q1070/$O$11),0)</f>
        <v>0</v>
      </c>
      <c r="S1070" s="315">
        <f>ROUND((Q1070-(R1070*$P$11)),0)</f>
        <v>0</v>
      </c>
      <c r="T1070" s="213"/>
      <c r="U1070" s="213"/>
      <c r="V1070" s="213"/>
      <c r="W1070" s="213"/>
      <c r="X1070" s="591"/>
      <c r="Y1070" s="591"/>
    </row>
    <row r="1071" spans="1:25" ht="14.85" customHeight="1">
      <c r="A1071" s="619"/>
      <c r="B1071" s="586"/>
      <c r="C1071" s="259"/>
      <c r="D1071" s="621"/>
      <c r="E1071" s="376"/>
      <c r="F1071" s="273"/>
      <c r="G1071" s="222"/>
      <c r="H1071" s="222"/>
      <c r="I1071" s="155"/>
      <c r="J1071" s="329"/>
      <c r="K1071" s="311">
        <f t="shared" si="293"/>
        <v>0</v>
      </c>
      <c r="L1071" s="312">
        <f t="shared" si="294"/>
        <v>0</v>
      </c>
      <c r="M1071" s="313">
        <f t="shared" si="295"/>
        <v>0</v>
      </c>
      <c r="N1071" s="320"/>
      <c r="O1071" s="315">
        <f t="shared" si="291"/>
        <v>0</v>
      </c>
      <c r="P1071" s="315">
        <f t="shared" si="292"/>
        <v>0</v>
      </c>
      <c r="Q1071" s="320"/>
      <c r="R1071" s="315">
        <f>ROUNDDOWN((Q1071/$O$11),0)</f>
        <v>0</v>
      </c>
      <c r="S1071" s="315">
        <f>ROUND((Q1071-(R1071*$P$11)),0)</f>
        <v>0</v>
      </c>
      <c r="T1071" s="213"/>
      <c r="U1071" s="213"/>
      <c r="V1071" s="213"/>
      <c r="W1071" s="213"/>
      <c r="X1071" s="591"/>
      <c r="Y1071" s="591"/>
    </row>
    <row r="1072" spans="1:25" ht="14.85" customHeight="1">
      <c r="A1072" s="619"/>
      <c r="B1072" s="586"/>
      <c r="C1072" s="259"/>
      <c r="D1072" s="621"/>
      <c r="E1072" s="371"/>
      <c r="F1072" s="273"/>
      <c r="G1072" s="254"/>
      <c r="H1072" s="154"/>
      <c r="I1072" s="155"/>
      <c r="J1072" s="279"/>
      <c r="K1072" s="311">
        <f t="shared" si="293"/>
        <v>0</v>
      </c>
      <c r="L1072" s="312">
        <f t="shared" si="294"/>
        <v>0</v>
      </c>
      <c r="M1072" s="313">
        <f t="shared" si="295"/>
        <v>0</v>
      </c>
      <c r="N1072" s="320">
        <f>L1070+L1072</f>
        <v>0</v>
      </c>
      <c r="O1072" s="315">
        <f t="shared" ref="O1072" si="301">ROUNDDOWN((N1072/$O$11),0)</f>
        <v>0</v>
      </c>
      <c r="P1072" s="315">
        <f t="shared" ref="P1072" si="302">ROUND((N1072-(O1072*$P$11)),0)</f>
        <v>0</v>
      </c>
      <c r="Q1072" s="320">
        <f>N1072</f>
        <v>0</v>
      </c>
      <c r="R1072" s="315">
        <f>ROUNDDOWN((Q1072/$O$11),0)</f>
        <v>0</v>
      </c>
      <c r="S1072" s="315">
        <f>ROUND((Q1072-(R1072*$P$11)),0)</f>
        <v>0</v>
      </c>
      <c r="T1072" s="213"/>
      <c r="U1072" s="213"/>
      <c r="V1072" s="213"/>
      <c r="W1072" s="213"/>
      <c r="X1072" s="591"/>
      <c r="Y1072" s="591"/>
    </row>
    <row r="1073" spans="1:25" s="287" customFormat="1">
      <c r="A1073" s="211" t="s">
        <v>129</v>
      </c>
      <c r="B1073" s="211">
        <f>COUNTA(B1039:B1072)</f>
        <v>0</v>
      </c>
      <c r="C1073" s="211"/>
      <c r="D1073" s="211">
        <f>COUNTA(D1039:D1072)</f>
        <v>0</v>
      </c>
      <c r="E1073" s="212">
        <f>COUNTA(E1039:E1072)</f>
        <v>0</v>
      </c>
      <c r="F1073" s="211">
        <f>COUNTA(F1039:F1072)</f>
        <v>0</v>
      </c>
      <c r="G1073" s="211">
        <f>COUNTA(G1039:G1072)</f>
        <v>0</v>
      </c>
      <c r="H1073" s="211"/>
      <c r="I1073" s="211">
        <f>COUNTA(I1039:I1072)</f>
        <v>0</v>
      </c>
      <c r="J1073" s="280">
        <f>SUM(J1039:J1072)</f>
        <v>0</v>
      </c>
      <c r="K1073" s="161">
        <f>SUM(K1039:K1072)</f>
        <v>0</v>
      </c>
      <c r="L1073" s="161">
        <f>SUM(L1039:L1072)</f>
        <v>0</v>
      </c>
      <c r="M1073" s="161">
        <f>SUM(M1039:M1072)</f>
        <v>0</v>
      </c>
      <c r="N1073" s="161">
        <f>SUM(N1039:N1072)</f>
        <v>0</v>
      </c>
      <c r="O1073" s="161">
        <f t="shared" ref="O1073:O1108" si="303">ROUNDDOWN((N1073/$O$11),0)</f>
        <v>0</v>
      </c>
      <c r="P1073" s="161">
        <f t="shared" ref="P1073:P1117" si="304">ROUND((N1073-(O1073*$P$11)),0)</f>
        <v>0</v>
      </c>
      <c r="Q1073" s="161">
        <f>SUM(Q1039:Q1072)</f>
        <v>0</v>
      </c>
      <c r="R1073" s="161">
        <f t="shared" ref="R1073:R1102" si="305">ROUNDDOWN((Q1073/$O$11),0)</f>
        <v>0</v>
      </c>
      <c r="S1073" s="161">
        <f t="shared" ref="S1073:S1102" si="306">ROUND((Q1073-(R1073*$P$11)),0)</f>
        <v>0</v>
      </c>
      <c r="T1073" s="211"/>
      <c r="U1073" s="211"/>
      <c r="V1073" s="211"/>
      <c r="W1073" s="211"/>
      <c r="X1073" s="161" t="str">
        <f>IF(X1039&lt;1.4,"1",IF(X1039&lt;=2.3,"2",IF(X1039&gt;2.3, ROUND(X1039,0))))</f>
        <v>1</v>
      </c>
      <c r="Y1073" s="161">
        <f>$Y$11*F1073</f>
        <v>0</v>
      </c>
    </row>
    <row r="1074" spans="1:25">
      <c r="A1074" s="618"/>
      <c r="B1074" s="585"/>
      <c r="C1074" s="258"/>
      <c r="D1074" s="620"/>
      <c r="E1074" s="375"/>
      <c r="F1074" s="154"/>
      <c r="G1074" s="222"/>
      <c r="H1074" s="222"/>
      <c r="I1074" s="154"/>
      <c r="J1074" s="329"/>
      <c r="K1074" s="311">
        <f t="shared" ref="K1074" si="307">J1074/$K$11</f>
        <v>0</v>
      </c>
      <c r="L1074" s="312">
        <f t="shared" ref="L1074" si="308">J1074/$L$11</f>
        <v>0</v>
      </c>
      <c r="M1074" s="313">
        <f t="shared" ref="M1074" si="309">ROUND((L1074/$M$11),0)</f>
        <v>0</v>
      </c>
      <c r="N1074" s="320">
        <f>L1074</f>
        <v>0</v>
      </c>
      <c r="O1074" s="315">
        <f t="shared" si="303"/>
        <v>0</v>
      </c>
      <c r="P1074" s="315">
        <f t="shared" si="304"/>
        <v>0</v>
      </c>
      <c r="Q1074" s="320">
        <f>N1074</f>
        <v>0</v>
      </c>
      <c r="R1074" s="315">
        <f t="shared" si="305"/>
        <v>0</v>
      </c>
      <c r="S1074" s="315">
        <f t="shared" si="306"/>
        <v>0</v>
      </c>
      <c r="T1074" s="213"/>
      <c r="U1074" s="213"/>
      <c r="V1074" s="213"/>
      <c r="W1074" s="213"/>
      <c r="X1074" s="590">
        <f>F1118/$X$11</f>
        <v>0</v>
      </c>
      <c r="Y1074" s="590"/>
    </row>
    <row r="1075" spans="1:25">
      <c r="A1075" s="619"/>
      <c r="B1075" s="586"/>
      <c r="C1075" s="259"/>
      <c r="D1075" s="621"/>
      <c r="E1075" s="376"/>
      <c r="F1075" s="154"/>
      <c r="G1075" s="222"/>
      <c r="H1075" s="222"/>
      <c r="I1075" s="154"/>
      <c r="J1075" s="329"/>
      <c r="K1075" s="311"/>
      <c r="L1075" s="312"/>
      <c r="M1075" s="313"/>
      <c r="N1075" s="320"/>
      <c r="O1075" s="315"/>
      <c r="P1075" s="315"/>
      <c r="Q1075" s="320"/>
      <c r="R1075" s="315"/>
      <c r="S1075" s="315"/>
      <c r="T1075" s="213"/>
      <c r="U1075" s="213"/>
      <c r="V1075" s="213"/>
      <c r="W1075" s="213"/>
      <c r="X1075" s="591"/>
      <c r="Y1075" s="591"/>
    </row>
    <row r="1076" spans="1:25" ht="14.85" customHeight="1">
      <c r="A1076" s="619"/>
      <c r="B1076" s="586"/>
      <c r="C1076" s="259"/>
      <c r="D1076" s="621"/>
      <c r="E1076" s="157"/>
      <c r="F1076" s="154"/>
      <c r="G1076" s="254"/>
      <c r="H1076" s="154"/>
      <c r="I1076" s="154"/>
      <c r="J1076" s="254"/>
      <c r="K1076" s="311">
        <f t="shared" ref="K1076:K1101" si="310">J1076/$K$11</f>
        <v>0</v>
      </c>
      <c r="L1076" s="312">
        <f t="shared" ref="L1076:L1101" si="311">J1076/$L$11</f>
        <v>0</v>
      </c>
      <c r="M1076" s="313">
        <f t="shared" ref="M1076:M1101" si="312">ROUND((L1076/$M$11),0)</f>
        <v>0</v>
      </c>
      <c r="N1076" s="320"/>
      <c r="O1076" s="315">
        <f t="shared" si="303"/>
        <v>0</v>
      </c>
      <c r="P1076" s="315">
        <f t="shared" si="304"/>
        <v>0</v>
      </c>
      <c r="Q1076" s="320"/>
      <c r="R1076" s="315">
        <f t="shared" si="305"/>
        <v>0</v>
      </c>
      <c r="S1076" s="315">
        <f t="shared" si="306"/>
        <v>0</v>
      </c>
      <c r="T1076" s="213"/>
      <c r="U1076" s="213"/>
      <c r="V1076" s="213"/>
      <c r="W1076" s="213"/>
      <c r="X1076" s="591"/>
      <c r="Y1076" s="591"/>
    </row>
    <row r="1077" spans="1:25" ht="14.85" customHeight="1">
      <c r="A1077" s="619"/>
      <c r="B1077" s="586"/>
      <c r="C1077" s="259"/>
      <c r="D1077" s="621"/>
      <c r="E1077" s="157"/>
      <c r="F1077" s="154"/>
      <c r="G1077" s="254"/>
      <c r="H1077" s="154"/>
      <c r="I1077" s="154"/>
      <c r="J1077" s="254"/>
      <c r="K1077" s="311">
        <f t="shared" si="310"/>
        <v>0</v>
      </c>
      <c r="L1077" s="312">
        <f t="shared" si="311"/>
        <v>0</v>
      </c>
      <c r="M1077" s="313">
        <f t="shared" si="312"/>
        <v>0</v>
      </c>
      <c r="N1077" s="320">
        <f>L1076+L1077</f>
        <v>0</v>
      </c>
      <c r="O1077" s="315">
        <f t="shared" si="303"/>
        <v>0</v>
      </c>
      <c r="P1077" s="315">
        <f t="shared" si="304"/>
        <v>0</v>
      </c>
      <c r="Q1077" s="320"/>
      <c r="R1077" s="315">
        <f t="shared" si="305"/>
        <v>0</v>
      </c>
      <c r="S1077" s="315">
        <f t="shared" si="306"/>
        <v>0</v>
      </c>
      <c r="T1077" s="213"/>
      <c r="U1077" s="213"/>
      <c r="V1077" s="213"/>
      <c r="W1077" s="213"/>
      <c r="X1077" s="591"/>
      <c r="Y1077" s="591"/>
    </row>
    <row r="1078" spans="1:25" ht="14.85" customHeight="1">
      <c r="A1078" s="619"/>
      <c r="B1078" s="586"/>
      <c r="C1078" s="259"/>
      <c r="D1078" s="621"/>
      <c r="E1078" s="157"/>
      <c r="F1078" s="154"/>
      <c r="G1078" s="254"/>
      <c r="H1078" s="154"/>
      <c r="I1078" s="154"/>
      <c r="J1078" s="329"/>
      <c r="K1078" s="311">
        <f t="shared" si="310"/>
        <v>0</v>
      </c>
      <c r="L1078" s="312">
        <f t="shared" si="311"/>
        <v>0</v>
      </c>
      <c r="M1078" s="313">
        <f t="shared" si="312"/>
        <v>0</v>
      </c>
      <c r="N1078" s="320"/>
      <c r="O1078" s="315">
        <f t="shared" si="303"/>
        <v>0</v>
      </c>
      <c r="P1078" s="315">
        <f t="shared" si="304"/>
        <v>0</v>
      </c>
      <c r="Q1078" s="320"/>
      <c r="R1078" s="315">
        <f t="shared" si="305"/>
        <v>0</v>
      </c>
      <c r="S1078" s="315">
        <f t="shared" si="306"/>
        <v>0</v>
      </c>
      <c r="T1078" s="213"/>
      <c r="U1078" s="213"/>
      <c r="V1078" s="213"/>
      <c r="W1078" s="213"/>
      <c r="X1078" s="591"/>
      <c r="Y1078" s="591"/>
    </row>
    <row r="1079" spans="1:25" ht="14.85" customHeight="1">
      <c r="A1079" s="619"/>
      <c r="B1079" s="586"/>
      <c r="C1079" s="259"/>
      <c r="D1079" s="621"/>
      <c r="E1079" s="157"/>
      <c r="F1079" s="154"/>
      <c r="G1079" s="254"/>
      <c r="H1079" s="154"/>
      <c r="I1079" s="154"/>
      <c r="J1079" s="254"/>
      <c r="K1079" s="311">
        <f t="shared" si="310"/>
        <v>0</v>
      </c>
      <c r="L1079" s="312">
        <f t="shared" si="311"/>
        <v>0</v>
      </c>
      <c r="M1079" s="313">
        <f t="shared" si="312"/>
        <v>0</v>
      </c>
      <c r="N1079" s="320"/>
      <c r="O1079" s="315">
        <f t="shared" si="303"/>
        <v>0</v>
      </c>
      <c r="P1079" s="315">
        <f t="shared" si="304"/>
        <v>0</v>
      </c>
      <c r="Q1079" s="320"/>
      <c r="R1079" s="315">
        <f t="shared" si="305"/>
        <v>0</v>
      </c>
      <c r="S1079" s="315">
        <f t="shared" si="306"/>
        <v>0</v>
      </c>
      <c r="T1079" s="213"/>
      <c r="U1079" s="213"/>
      <c r="V1079" s="213"/>
      <c r="W1079" s="213"/>
      <c r="X1079" s="591"/>
      <c r="Y1079" s="591"/>
    </row>
    <row r="1080" spans="1:25" ht="14.85" customHeight="1">
      <c r="A1080" s="619"/>
      <c r="B1080" s="586"/>
      <c r="C1080" s="259"/>
      <c r="D1080" s="621"/>
      <c r="E1080" s="157"/>
      <c r="F1080" s="154"/>
      <c r="G1080" s="254"/>
      <c r="H1080" s="154"/>
      <c r="I1080" s="154"/>
      <c r="J1080" s="254"/>
      <c r="K1080" s="311">
        <f t="shared" si="310"/>
        <v>0</v>
      </c>
      <c r="L1080" s="312">
        <f t="shared" si="311"/>
        <v>0</v>
      </c>
      <c r="M1080" s="313">
        <f t="shared" si="312"/>
        <v>0</v>
      </c>
      <c r="N1080" s="320">
        <f>L1078+L1080</f>
        <v>0</v>
      </c>
      <c r="O1080" s="315">
        <f t="shared" si="303"/>
        <v>0</v>
      </c>
      <c r="P1080" s="315">
        <f t="shared" si="304"/>
        <v>0</v>
      </c>
      <c r="Q1080" s="320"/>
      <c r="R1080" s="315">
        <f t="shared" si="305"/>
        <v>0</v>
      </c>
      <c r="S1080" s="315">
        <f t="shared" si="306"/>
        <v>0</v>
      </c>
      <c r="T1080" s="213"/>
      <c r="U1080" s="213"/>
      <c r="V1080" s="213"/>
      <c r="W1080" s="213"/>
      <c r="X1080" s="591"/>
      <c r="Y1080" s="591"/>
    </row>
    <row r="1081" spans="1:25" ht="14.85" customHeight="1">
      <c r="A1081" s="619"/>
      <c r="B1081" s="586"/>
      <c r="C1081" s="259"/>
      <c r="D1081" s="621"/>
      <c r="E1081" s="157"/>
      <c r="F1081" s="154"/>
      <c r="G1081" s="254"/>
      <c r="H1081" s="154"/>
      <c r="I1081" s="154"/>
      <c r="J1081" s="254"/>
      <c r="K1081" s="311">
        <f t="shared" si="310"/>
        <v>0</v>
      </c>
      <c r="L1081" s="312">
        <f t="shared" si="311"/>
        <v>0</v>
      </c>
      <c r="M1081" s="313">
        <f t="shared" si="312"/>
        <v>0</v>
      </c>
      <c r="N1081" s="320"/>
      <c r="O1081" s="315">
        <f t="shared" si="303"/>
        <v>0</v>
      </c>
      <c r="P1081" s="315">
        <f t="shared" si="304"/>
        <v>0</v>
      </c>
      <c r="Q1081" s="320"/>
      <c r="R1081" s="315">
        <f t="shared" si="305"/>
        <v>0</v>
      </c>
      <c r="S1081" s="315">
        <f t="shared" si="306"/>
        <v>0</v>
      </c>
      <c r="T1081" s="213"/>
      <c r="U1081" s="213"/>
      <c r="V1081" s="213"/>
      <c r="W1081" s="213"/>
      <c r="X1081" s="591"/>
      <c r="Y1081" s="591"/>
    </row>
    <row r="1082" spans="1:25" ht="14.85" customHeight="1">
      <c r="A1082" s="619"/>
      <c r="B1082" s="586"/>
      <c r="C1082" s="259"/>
      <c r="D1082" s="621"/>
      <c r="E1082" s="157"/>
      <c r="F1082" s="154"/>
      <c r="G1082" s="254"/>
      <c r="H1082" s="154"/>
      <c r="I1082" s="154"/>
      <c r="J1082" s="254"/>
      <c r="K1082" s="311">
        <f t="shared" si="310"/>
        <v>0</v>
      </c>
      <c r="L1082" s="312">
        <f t="shared" si="311"/>
        <v>0</v>
      </c>
      <c r="M1082" s="313">
        <f t="shared" si="312"/>
        <v>0</v>
      </c>
      <c r="N1082" s="320">
        <f>L1081+L1082</f>
        <v>0</v>
      </c>
      <c r="O1082" s="315">
        <f t="shared" si="303"/>
        <v>0</v>
      </c>
      <c r="P1082" s="315">
        <f t="shared" si="304"/>
        <v>0</v>
      </c>
      <c r="Q1082" s="320"/>
      <c r="R1082" s="315">
        <f t="shared" si="305"/>
        <v>0</v>
      </c>
      <c r="S1082" s="315">
        <f t="shared" si="306"/>
        <v>0</v>
      </c>
      <c r="T1082" s="213"/>
      <c r="U1082" s="213"/>
      <c r="V1082" s="213"/>
      <c r="W1082" s="213"/>
      <c r="X1082" s="591"/>
      <c r="Y1082" s="591"/>
    </row>
    <row r="1083" spans="1:25" ht="14.85" customHeight="1">
      <c r="A1083" s="619"/>
      <c r="B1083" s="586"/>
      <c r="C1083" s="259"/>
      <c r="D1083" s="621"/>
      <c r="E1083" s="375"/>
      <c r="F1083" s="154"/>
      <c r="G1083" s="218"/>
      <c r="H1083" s="218"/>
      <c r="I1083" s="154"/>
      <c r="J1083" s="254"/>
      <c r="K1083" s="311">
        <f t="shared" si="310"/>
        <v>0</v>
      </c>
      <c r="L1083" s="312">
        <f t="shared" si="311"/>
        <v>0</v>
      </c>
      <c r="M1083" s="313">
        <f t="shared" si="312"/>
        <v>0</v>
      </c>
      <c r="N1083" s="320"/>
      <c r="O1083" s="315">
        <f t="shared" si="303"/>
        <v>0</v>
      </c>
      <c r="P1083" s="315">
        <f t="shared" si="304"/>
        <v>0</v>
      </c>
      <c r="Q1083" s="320"/>
      <c r="R1083" s="315">
        <f t="shared" si="305"/>
        <v>0</v>
      </c>
      <c r="S1083" s="315">
        <f t="shared" si="306"/>
        <v>0</v>
      </c>
      <c r="T1083" s="213"/>
      <c r="U1083" s="213"/>
      <c r="V1083" s="213"/>
      <c r="W1083" s="213"/>
      <c r="X1083" s="591"/>
      <c r="Y1083" s="591"/>
    </row>
    <row r="1084" spans="1:25" ht="14.85" customHeight="1">
      <c r="A1084" s="619"/>
      <c r="B1084" s="586"/>
      <c r="C1084" s="259"/>
      <c r="D1084" s="621"/>
      <c r="E1084" s="157"/>
      <c r="F1084" s="154"/>
      <c r="G1084" s="254"/>
      <c r="H1084" s="154"/>
      <c r="I1084" s="154"/>
      <c r="J1084" s="254"/>
      <c r="K1084" s="311">
        <f t="shared" si="310"/>
        <v>0</v>
      </c>
      <c r="L1084" s="312">
        <f t="shared" si="311"/>
        <v>0</v>
      </c>
      <c r="M1084" s="313">
        <f t="shared" si="312"/>
        <v>0</v>
      </c>
      <c r="N1084" s="320"/>
      <c r="O1084" s="315">
        <f t="shared" si="303"/>
        <v>0</v>
      </c>
      <c r="P1084" s="315">
        <f t="shared" si="304"/>
        <v>0</v>
      </c>
      <c r="Q1084" s="320"/>
      <c r="R1084" s="315">
        <f t="shared" si="305"/>
        <v>0</v>
      </c>
      <c r="S1084" s="315">
        <f t="shared" si="306"/>
        <v>0</v>
      </c>
      <c r="T1084" s="213"/>
      <c r="U1084" s="213"/>
      <c r="V1084" s="213"/>
      <c r="W1084" s="213"/>
      <c r="X1084" s="591"/>
      <c r="Y1084" s="591"/>
    </row>
    <row r="1085" spans="1:25" ht="14.85" customHeight="1">
      <c r="A1085" s="619"/>
      <c r="B1085" s="586"/>
      <c r="C1085" s="259"/>
      <c r="D1085" s="621"/>
      <c r="E1085" s="157"/>
      <c r="F1085" s="154"/>
      <c r="G1085" s="254"/>
      <c r="H1085" s="154"/>
      <c r="I1085" s="154"/>
      <c r="J1085" s="329"/>
      <c r="K1085" s="311">
        <f t="shared" si="310"/>
        <v>0</v>
      </c>
      <c r="L1085" s="312">
        <f t="shared" si="311"/>
        <v>0</v>
      </c>
      <c r="M1085" s="313">
        <f t="shared" si="312"/>
        <v>0</v>
      </c>
      <c r="N1085" s="320"/>
      <c r="O1085" s="315">
        <f t="shared" si="303"/>
        <v>0</v>
      </c>
      <c r="P1085" s="315">
        <f t="shared" si="304"/>
        <v>0</v>
      </c>
      <c r="Q1085" s="320"/>
      <c r="R1085" s="315">
        <f t="shared" si="305"/>
        <v>0</v>
      </c>
      <c r="S1085" s="315">
        <f t="shared" si="306"/>
        <v>0</v>
      </c>
      <c r="T1085" s="213"/>
      <c r="U1085" s="213"/>
      <c r="V1085" s="213"/>
      <c r="W1085" s="213"/>
      <c r="X1085" s="591"/>
      <c r="Y1085" s="591"/>
    </row>
    <row r="1086" spans="1:25" ht="14.85" customHeight="1">
      <c r="A1086" s="619"/>
      <c r="B1086" s="586"/>
      <c r="C1086" s="259"/>
      <c r="D1086" s="621"/>
      <c r="E1086" s="157"/>
      <c r="F1086" s="154"/>
      <c r="G1086" s="254"/>
      <c r="H1086" s="154"/>
      <c r="I1086" s="154"/>
      <c r="J1086" s="254"/>
      <c r="K1086" s="311">
        <f t="shared" si="310"/>
        <v>0</v>
      </c>
      <c r="L1086" s="312">
        <f t="shared" si="311"/>
        <v>0</v>
      </c>
      <c r="M1086" s="313">
        <f t="shared" si="312"/>
        <v>0</v>
      </c>
      <c r="N1086" s="320">
        <f>L1083+L1086</f>
        <v>0</v>
      </c>
      <c r="O1086" s="315">
        <f t="shared" si="303"/>
        <v>0</v>
      </c>
      <c r="P1086" s="315">
        <f t="shared" si="304"/>
        <v>0</v>
      </c>
      <c r="Q1086" s="320">
        <f>N1077+N1080+N1082+N1086</f>
        <v>0</v>
      </c>
      <c r="R1086" s="315">
        <f t="shared" si="305"/>
        <v>0</v>
      </c>
      <c r="S1086" s="315">
        <f t="shared" si="306"/>
        <v>0</v>
      </c>
      <c r="T1086" s="213"/>
      <c r="U1086" s="213"/>
      <c r="V1086" s="213"/>
      <c r="W1086" s="213"/>
      <c r="X1086" s="591"/>
      <c r="Y1086" s="591"/>
    </row>
    <row r="1087" spans="1:25" ht="14.85" customHeight="1">
      <c r="A1087" s="619"/>
      <c r="B1087" s="586"/>
      <c r="C1087" s="259"/>
      <c r="D1087" s="621"/>
      <c r="E1087" s="157"/>
      <c r="F1087" s="154"/>
      <c r="G1087" s="254"/>
      <c r="H1087" s="154"/>
      <c r="I1087" s="154"/>
      <c r="J1087" s="254"/>
      <c r="K1087" s="311"/>
      <c r="L1087" s="312"/>
      <c r="M1087" s="313"/>
      <c r="N1087" s="320"/>
      <c r="O1087" s="315"/>
      <c r="P1087" s="315"/>
      <c r="Q1087" s="320"/>
      <c r="R1087" s="315"/>
      <c r="S1087" s="315"/>
      <c r="T1087" s="213"/>
      <c r="U1087" s="213"/>
      <c r="V1087" s="213"/>
      <c r="W1087" s="213"/>
      <c r="X1087" s="591"/>
      <c r="Y1087" s="591"/>
    </row>
    <row r="1088" spans="1:25" ht="14.85" customHeight="1">
      <c r="A1088" s="619"/>
      <c r="B1088" s="586"/>
      <c r="C1088" s="259"/>
      <c r="D1088" s="621"/>
      <c r="E1088" s="157"/>
      <c r="F1088" s="154"/>
      <c r="G1088" s="254"/>
      <c r="H1088" s="154"/>
      <c r="I1088" s="154"/>
      <c r="J1088" s="254"/>
      <c r="K1088" s="311">
        <f t="shared" si="310"/>
        <v>0</v>
      </c>
      <c r="L1088" s="312">
        <f t="shared" si="311"/>
        <v>0</v>
      </c>
      <c r="M1088" s="313">
        <f t="shared" si="312"/>
        <v>0</v>
      </c>
      <c r="N1088" s="320"/>
      <c r="O1088" s="315">
        <f t="shared" si="303"/>
        <v>0</v>
      </c>
      <c r="P1088" s="315">
        <f t="shared" si="304"/>
        <v>0</v>
      </c>
      <c r="Q1088" s="320"/>
      <c r="R1088" s="315">
        <f t="shared" si="305"/>
        <v>0</v>
      </c>
      <c r="S1088" s="315">
        <f t="shared" si="306"/>
        <v>0</v>
      </c>
      <c r="T1088" s="213"/>
      <c r="U1088" s="213"/>
      <c r="V1088" s="213"/>
      <c r="W1088" s="213"/>
      <c r="X1088" s="591"/>
      <c r="Y1088" s="591"/>
    </row>
    <row r="1089" spans="1:25" ht="14.85" customHeight="1">
      <c r="A1089" s="619"/>
      <c r="B1089" s="586"/>
      <c r="C1089" s="259"/>
      <c r="D1089" s="621"/>
      <c r="E1089" s="157"/>
      <c r="F1089" s="154"/>
      <c r="G1089" s="254"/>
      <c r="H1089" s="154"/>
      <c r="I1089" s="154"/>
      <c r="J1089" s="254"/>
      <c r="K1089" s="311">
        <f t="shared" si="310"/>
        <v>0</v>
      </c>
      <c r="L1089" s="312">
        <f t="shared" si="311"/>
        <v>0</v>
      </c>
      <c r="M1089" s="313">
        <f t="shared" si="312"/>
        <v>0</v>
      </c>
      <c r="N1089" s="320"/>
      <c r="O1089" s="315">
        <f t="shared" si="303"/>
        <v>0</v>
      </c>
      <c r="P1089" s="315">
        <f t="shared" si="304"/>
        <v>0</v>
      </c>
      <c r="Q1089" s="320"/>
      <c r="R1089" s="315">
        <f t="shared" si="305"/>
        <v>0</v>
      </c>
      <c r="S1089" s="315">
        <f t="shared" si="306"/>
        <v>0</v>
      </c>
      <c r="T1089" s="213"/>
      <c r="U1089" s="213"/>
      <c r="V1089" s="213"/>
      <c r="W1089" s="213"/>
      <c r="X1089" s="591"/>
      <c r="Y1089" s="591"/>
    </row>
    <row r="1090" spans="1:25" ht="14.85" customHeight="1">
      <c r="A1090" s="619"/>
      <c r="B1090" s="586"/>
      <c r="C1090" s="259"/>
      <c r="D1090" s="621"/>
      <c r="E1090" s="157"/>
      <c r="F1090" s="154"/>
      <c r="G1090" s="218"/>
      <c r="H1090" s="218"/>
      <c r="I1090" s="154"/>
      <c r="J1090" s="254"/>
      <c r="K1090" s="311">
        <f t="shared" si="310"/>
        <v>0</v>
      </c>
      <c r="L1090" s="312">
        <f t="shared" si="311"/>
        <v>0</v>
      </c>
      <c r="M1090" s="313">
        <f t="shared" si="312"/>
        <v>0</v>
      </c>
      <c r="N1090" s="320">
        <f>L1088+L1090</f>
        <v>0</v>
      </c>
      <c r="O1090" s="315">
        <f t="shared" si="303"/>
        <v>0</v>
      </c>
      <c r="P1090" s="315">
        <f t="shared" si="304"/>
        <v>0</v>
      </c>
      <c r="Q1090" s="320"/>
      <c r="R1090" s="315">
        <f t="shared" si="305"/>
        <v>0</v>
      </c>
      <c r="S1090" s="315">
        <f t="shared" si="306"/>
        <v>0</v>
      </c>
      <c r="T1090" s="213"/>
      <c r="U1090" s="213"/>
      <c r="V1090" s="213"/>
      <c r="W1090" s="213"/>
      <c r="X1090" s="591"/>
      <c r="Y1090" s="591"/>
    </row>
    <row r="1091" spans="1:25" ht="14.85" customHeight="1">
      <c r="A1091" s="619"/>
      <c r="B1091" s="586"/>
      <c r="C1091" s="259"/>
      <c r="D1091" s="621"/>
      <c r="E1091" s="157"/>
      <c r="F1091" s="154"/>
      <c r="G1091" s="254"/>
      <c r="H1091" s="154"/>
      <c r="I1091" s="154"/>
      <c r="J1091" s="254"/>
      <c r="K1091" s="311">
        <f t="shared" si="310"/>
        <v>0</v>
      </c>
      <c r="L1091" s="312">
        <f t="shared" si="311"/>
        <v>0</v>
      </c>
      <c r="M1091" s="313">
        <f t="shared" si="312"/>
        <v>0</v>
      </c>
      <c r="N1091" s="320"/>
      <c r="O1091" s="315">
        <f t="shared" si="303"/>
        <v>0</v>
      </c>
      <c r="P1091" s="315">
        <f t="shared" si="304"/>
        <v>0</v>
      </c>
      <c r="Q1091" s="320"/>
      <c r="R1091" s="315">
        <f t="shared" si="305"/>
        <v>0</v>
      </c>
      <c r="S1091" s="315">
        <f t="shared" si="306"/>
        <v>0</v>
      </c>
      <c r="T1091" s="213"/>
      <c r="U1091" s="213"/>
      <c r="V1091" s="213"/>
      <c r="W1091" s="213"/>
      <c r="X1091" s="591"/>
      <c r="Y1091" s="591"/>
    </row>
    <row r="1092" spans="1:25" ht="14.85" customHeight="1">
      <c r="A1092" s="619"/>
      <c r="B1092" s="586"/>
      <c r="C1092" s="259"/>
      <c r="D1092" s="621"/>
      <c r="E1092" s="157"/>
      <c r="G1092" s="254"/>
      <c r="H1092" s="154"/>
      <c r="I1092" s="154"/>
      <c r="J1092" s="254"/>
      <c r="K1092" s="311">
        <f t="shared" si="310"/>
        <v>0</v>
      </c>
      <c r="L1092" s="312">
        <f t="shared" si="311"/>
        <v>0</v>
      </c>
      <c r="M1092" s="313">
        <f t="shared" si="312"/>
        <v>0</v>
      </c>
      <c r="N1092" s="320"/>
      <c r="O1092" s="315">
        <f t="shared" si="303"/>
        <v>0</v>
      </c>
      <c r="P1092" s="315">
        <f t="shared" si="304"/>
        <v>0</v>
      </c>
      <c r="Q1092" s="320"/>
      <c r="R1092" s="315">
        <f t="shared" si="305"/>
        <v>0</v>
      </c>
      <c r="S1092" s="315">
        <f t="shared" si="306"/>
        <v>0</v>
      </c>
      <c r="T1092" s="213"/>
      <c r="U1092" s="213"/>
      <c r="V1092" s="213"/>
      <c r="W1092" s="213"/>
      <c r="X1092" s="591"/>
      <c r="Y1092" s="591"/>
    </row>
    <row r="1093" spans="1:25" ht="14.85" customHeight="1">
      <c r="A1093" s="619"/>
      <c r="B1093" s="586"/>
      <c r="C1093" s="259"/>
      <c r="D1093" s="621"/>
      <c r="E1093" s="375"/>
      <c r="F1093" s="154"/>
      <c r="G1093" s="222"/>
      <c r="H1093" s="222"/>
      <c r="I1093" s="154"/>
      <c r="J1093" s="329"/>
      <c r="K1093" s="311">
        <f t="shared" si="310"/>
        <v>0</v>
      </c>
      <c r="L1093" s="312">
        <f t="shared" si="311"/>
        <v>0</v>
      </c>
      <c r="M1093" s="313">
        <f t="shared" si="312"/>
        <v>0</v>
      </c>
      <c r="N1093" s="320">
        <f>L1091+L1093</f>
        <v>0</v>
      </c>
      <c r="O1093" s="315">
        <f t="shared" si="303"/>
        <v>0</v>
      </c>
      <c r="P1093" s="315">
        <f t="shared" si="304"/>
        <v>0</v>
      </c>
      <c r="Q1093" s="320">
        <f>N1090+N1093</f>
        <v>0</v>
      </c>
      <c r="R1093" s="315">
        <f t="shared" si="305"/>
        <v>0</v>
      </c>
      <c r="S1093" s="315">
        <f t="shared" si="306"/>
        <v>0</v>
      </c>
      <c r="T1093" s="213"/>
      <c r="U1093" s="213"/>
      <c r="V1093" s="213"/>
      <c r="W1093" s="213"/>
      <c r="X1093" s="591"/>
      <c r="Y1093" s="591"/>
    </row>
    <row r="1094" spans="1:25" ht="14.85" customHeight="1">
      <c r="A1094" s="619"/>
      <c r="B1094" s="586"/>
      <c r="C1094" s="259"/>
      <c r="D1094" s="621"/>
      <c r="E1094" s="376"/>
      <c r="F1094" s="154"/>
      <c r="G1094" s="222"/>
      <c r="H1094" s="222"/>
      <c r="I1094" s="154"/>
      <c r="J1094" s="329"/>
      <c r="K1094" s="311"/>
      <c r="L1094" s="312"/>
      <c r="M1094" s="313"/>
      <c r="N1094" s="320"/>
      <c r="O1094" s="315"/>
      <c r="P1094" s="315"/>
      <c r="Q1094" s="320"/>
      <c r="R1094" s="315"/>
      <c r="S1094" s="315"/>
      <c r="T1094" s="213"/>
      <c r="U1094" s="213"/>
      <c r="V1094" s="213"/>
      <c r="W1094" s="213"/>
      <c r="X1094" s="591"/>
      <c r="Y1094" s="591"/>
    </row>
    <row r="1095" spans="1:25" ht="14.85" customHeight="1">
      <c r="A1095" s="619"/>
      <c r="B1095" s="586"/>
      <c r="C1095" s="259"/>
      <c r="D1095" s="621"/>
      <c r="E1095" s="157"/>
      <c r="F1095" s="154"/>
      <c r="G1095" s="254"/>
      <c r="H1095" s="154"/>
      <c r="I1095" s="154"/>
      <c r="J1095" s="329"/>
      <c r="K1095" s="311">
        <f t="shared" si="310"/>
        <v>0</v>
      </c>
      <c r="L1095" s="312">
        <f t="shared" si="311"/>
        <v>0</v>
      </c>
      <c r="M1095" s="313">
        <f t="shared" si="312"/>
        <v>0</v>
      </c>
      <c r="N1095" s="320"/>
      <c r="O1095" s="315">
        <f t="shared" si="303"/>
        <v>0</v>
      </c>
      <c r="P1095" s="315">
        <f t="shared" si="304"/>
        <v>0</v>
      </c>
      <c r="Q1095" s="320"/>
      <c r="R1095" s="315">
        <f t="shared" si="305"/>
        <v>0</v>
      </c>
      <c r="S1095" s="315">
        <f t="shared" si="306"/>
        <v>0</v>
      </c>
      <c r="T1095" s="213"/>
      <c r="U1095" s="213"/>
      <c r="V1095" s="213"/>
      <c r="W1095" s="213"/>
      <c r="X1095" s="591"/>
      <c r="Y1095" s="591"/>
    </row>
    <row r="1096" spans="1:25" ht="14.85" customHeight="1">
      <c r="A1096" s="619"/>
      <c r="B1096" s="586"/>
      <c r="C1096" s="259"/>
      <c r="D1096" s="621"/>
      <c r="E1096" s="371"/>
      <c r="F1096" s="273"/>
      <c r="G1096" s="254"/>
      <c r="H1096" s="154"/>
      <c r="I1096" s="155"/>
      <c r="J1096" s="279"/>
      <c r="K1096" s="311">
        <f t="shared" si="310"/>
        <v>0</v>
      </c>
      <c r="L1096" s="312">
        <f t="shared" si="311"/>
        <v>0</v>
      </c>
      <c r="M1096" s="313">
        <f t="shared" si="312"/>
        <v>0</v>
      </c>
      <c r="N1096" s="320"/>
      <c r="O1096" s="315">
        <f t="shared" si="303"/>
        <v>0</v>
      </c>
      <c r="P1096" s="315">
        <f t="shared" si="304"/>
        <v>0</v>
      </c>
      <c r="Q1096" s="320"/>
      <c r="R1096" s="315">
        <f t="shared" si="305"/>
        <v>0</v>
      </c>
      <c r="S1096" s="315">
        <f t="shared" si="306"/>
        <v>0</v>
      </c>
      <c r="T1096" s="213"/>
      <c r="U1096" s="213"/>
      <c r="V1096" s="213"/>
      <c r="W1096" s="213"/>
      <c r="X1096" s="591"/>
      <c r="Y1096" s="591"/>
    </row>
    <row r="1097" spans="1:25" ht="14.85" customHeight="1">
      <c r="A1097" s="619"/>
      <c r="B1097" s="586"/>
      <c r="C1097" s="259"/>
      <c r="D1097" s="621"/>
      <c r="E1097" s="371"/>
      <c r="F1097" s="273"/>
      <c r="G1097" s="254"/>
      <c r="H1097" s="154"/>
      <c r="I1097" s="155"/>
      <c r="J1097" s="279"/>
      <c r="K1097" s="311">
        <f t="shared" si="310"/>
        <v>0</v>
      </c>
      <c r="L1097" s="312">
        <f t="shared" si="311"/>
        <v>0</v>
      </c>
      <c r="M1097" s="313">
        <f t="shared" si="312"/>
        <v>0</v>
      </c>
      <c r="N1097" s="320">
        <f>L1095+L1097</f>
        <v>0</v>
      </c>
      <c r="O1097" s="315">
        <f t="shared" si="303"/>
        <v>0</v>
      </c>
      <c r="P1097" s="315">
        <f t="shared" si="304"/>
        <v>0</v>
      </c>
      <c r="Q1097" s="320"/>
      <c r="R1097" s="315">
        <f t="shared" si="305"/>
        <v>0</v>
      </c>
      <c r="S1097" s="315">
        <f t="shared" si="306"/>
        <v>0</v>
      </c>
      <c r="T1097" s="213"/>
      <c r="U1097" s="213"/>
      <c r="V1097" s="213"/>
      <c r="W1097" s="213"/>
      <c r="X1097" s="591"/>
      <c r="Y1097" s="591"/>
    </row>
    <row r="1098" spans="1:25" ht="14.85" customHeight="1">
      <c r="A1098" s="619"/>
      <c r="B1098" s="586"/>
      <c r="C1098" s="259"/>
      <c r="D1098" s="621"/>
      <c r="E1098" s="371"/>
      <c r="F1098" s="273"/>
      <c r="G1098" s="254"/>
      <c r="H1098" s="154"/>
      <c r="I1098" s="155"/>
      <c r="J1098" s="279"/>
      <c r="K1098" s="311">
        <f t="shared" si="310"/>
        <v>0</v>
      </c>
      <c r="L1098" s="312">
        <f t="shared" si="311"/>
        <v>0</v>
      </c>
      <c r="M1098" s="313">
        <f t="shared" si="312"/>
        <v>0</v>
      </c>
      <c r="N1098" s="320"/>
      <c r="O1098" s="315">
        <f t="shared" si="303"/>
        <v>0</v>
      </c>
      <c r="P1098" s="315">
        <f t="shared" si="304"/>
        <v>0</v>
      </c>
      <c r="Q1098" s="320"/>
      <c r="R1098" s="315">
        <f t="shared" si="305"/>
        <v>0</v>
      </c>
      <c r="S1098" s="315">
        <f t="shared" si="306"/>
        <v>0</v>
      </c>
      <c r="T1098" s="213"/>
      <c r="U1098" s="213"/>
      <c r="V1098" s="213"/>
      <c r="W1098" s="213"/>
      <c r="X1098" s="591"/>
      <c r="Y1098" s="591"/>
    </row>
    <row r="1099" spans="1:25" ht="14.85" customHeight="1">
      <c r="A1099" s="619"/>
      <c r="B1099" s="586"/>
      <c r="C1099" s="259"/>
      <c r="D1099" s="621"/>
      <c r="E1099" s="371"/>
      <c r="F1099" s="273"/>
      <c r="G1099" s="254"/>
      <c r="H1099" s="154"/>
      <c r="I1099" s="155"/>
      <c r="J1099" s="279"/>
      <c r="K1099" s="311">
        <f t="shared" si="310"/>
        <v>0</v>
      </c>
      <c r="L1099" s="312">
        <f t="shared" si="311"/>
        <v>0</v>
      </c>
      <c r="M1099" s="313">
        <f t="shared" si="312"/>
        <v>0</v>
      </c>
      <c r="N1099" s="320">
        <f>L1098+L1099</f>
        <v>0</v>
      </c>
      <c r="O1099" s="315">
        <f t="shared" si="303"/>
        <v>0</v>
      </c>
      <c r="P1099" s="315">
        <f t="shared" si="304"/>
        <v>0</v>
      </c>
      <c r="Q1099" s="320">
        <f>N1097+N1099</f>
        <v>0</v>
      </c>
      <c r="R1099" s="315">
        <f t="shared" si="305"/>
        <v>0</v>
      </c>
      <c r="S1099" s="315">
        <f t="shared" si="306"/>
        <v>0</v>
      </c>
      <c r="T1099" s="213"/>
      <c r="U1099" s="213"/>
      <c r="V1099" s="213"/>
      <c r="W1099" s="213"/>
      <c r="X1099" s="591"/>
      <c r="Y1099" s="591"/>
    </row>
    <row r="1100" spans="1:25" ht="14.85" customHeight="1">
      <c r="A1100" s="619"/>
      <c r="B1100" s="586"/>
      <c r="C1100" s="259"/>
      <c r="D1100" s="621"/>
      <c r="E1100" s="371"/>
      <c r="F1100" s="273"/>
      <c r="G1100" s="254"/>
      <c r="H1100" s="154"/>
      <c r="I1100" s="155"/>
      <c r="J1100" s="279"/>
      <c r="K1100" s="311"/>
      <c r="L1100" s="312"/>
      <c r="M1100" s="313"/>
      <c r="N1100" s="320"/>
      <c r="O1100" s="315"/>
      <c r="P1100" s="315"/>
      <c r="Q1100" s="320"/>
      <c r="R1100" s="315"/>
      <c r="S1100" s="315"/>
      <c r="T1100" s="213"/>
      <c r="U1100" s="213"/>
      <c r="V1100" s="213"/>
      <c r="W1100" s="213"/>
      <c r="X1100" s="591"/>
      <c r="Y1100" s="591"/>
    </row>
    <row r="1101" spans="1:25" ht="14.85" customHeight="1">
      <c r="A1101" s="619"/>
      <c r="B1101" s="586"/>
      <c r="C1101" s="259"/>
      <c r="D1101" s="621"/>
      <c r="E1101" s="375"/>
      <c r="F1101" s="273"/>
      <c r="G1101" s="222"/>
      <c r="H1101" s="222"/>
      <c r="I1101" s="155"/>
      <c r="J1101" s="329"/>
      <c r="K1101" s="311">
        <f t="shared" si="310"/>
        <v>0</v>
      </c>
      <c r="L1101" s="312">
        <f t="shared" si="311"/>
        <v>0</v>
      </c>
      <c r="M1101" s="313">
        <f t="shared" si="312"/>
        <v>0</v>
      </c>
      <c r="N1101" s="320"/>
      <c r="O1101" s="315">
        <f t="shared" si="303"/>
        <v>0</v>
      </c>
      <c r="P1101" s="315">
        <f t="shared" si="304"/>
        <v>0</v>
      </c>
      <c r="Q1101" s="320"/>
      <c r="R1101" s="315">
        <f t="shared" si="305"/>
        <v>0</v>
      </c>
      <c r="S1101" s="315">
        <f t="shared" si="306"/>
        <v>0</v>
      </c>
      <c r="T1101" s="213"/>
      <c r="U1101" s="213"/>
      <c r="V1101" s="213"/>
      <c r="W1101" s="213"/>
      <c r="X1101" s="591"/>
      <c r="Y1101" s="591"/>
    </row>
    <row r="1102" spans="1:25" ht="14.85" customHeight="1">
      <c r="A1102" s="619"/>
      <c r="B1102" s="586"/>
      <c r="C1102" s="259"/>
      <c r="D1102" s="621"/>
      <c r="E1102" s="371"/>
      <c r="F1102" s="273"/>
      <c r="G1102" s="254"/>
      <c r="H1102" s="154"/>
      <c r="I1102" s="155"/>
      <c r="J1102" s="329"/>
      <c r="K1102" s="311">
        <f t="shared" ref="K1102:K1117" si="313">J1102/$K$11</f>
        <v>0</v>
      </c>
      <c r="L1102" s="312">
        <f t="shared" ref="L1102:L1117" si="314">J1102/$L$11</f>
        <v>0</v>
      </c>
      <c r="M1102" s="313">
        <f t="shared" ref="M1102:M1117" si="315">ROUND((L1102/$M$11),0)</f>
        <v>0</v>
      </c>
      <c r="N1102" s="320">
        <f>L1101+L1102</f>
        <v>0</v>
      </c>
      <c r="O1102" s="315">
        <f t="shared" si="303"/>
        <v>0</v>
      </c>
      <c r="P1102" s="315">
        <f t="shared" si="304"/>
        <v>0</v>
      </c>
      <c r="Q1102" s="320"/>
      <c r="R1102" s="315">
        <f t="shared" si="305"/>
        <v>0</v>
      </c>
      <c r="S1102" s="315">
        <f t="shared" si="306"/>
        <v>0</v>
      </c>
      <c r="T1102" s="213"/>
      <c r="U1102" s="213"/>
      <c r="V1102" s="213"/>
      <c r="W1102" s="213"/>
      <c r="X1102" s="591"/>
      <c r="Y1102" s="591"/>
    </row>
    <row r="1103" spans="1:25" ht="14.85" customHeight="1">
      <c r="A1103" s="619"/>
      <c r="B1103" s="586"/>
      <c r="C1103" s="259"/>
      <c r="D1103" s="621"/>
      <c r="E1103" s="371"/>
      <c r="F1103" s="273"/>
      <c r="G1103" s="254"/>
      <c r="H1103" s="154"/>
      <c r="I1103" s="155"/>
      <c r="J1103" s="279"/>
      <c r="K1103" s="311">
        <f t="shared" si="313"/>
        <v>0</v>
      </c>
      <c r="L1103" s="312">
        <f t="shared" si="314"/>
        <v>0</v>
      </c>
      <c r="M1103" s="313">
        <f t="shared" si="315"/>
        <v>0</v>
      </c>
      <c r="N1103" s="320"/>
      <c r="O1103" s="315">
        <f t="shared" si="303"/>
        <v>0</v>
      </c>
      <c r="P1103" s="315">
        <f t="shared" si="304"/>
        <v>0</v>
      </c>
      <c r="Q1103" s="320"/>
      <c r="R1103" s="315">
        <f t="shared" ref="R1103:R1148" si="316">ROUNDDOWN((Q1103/$O$11),0)</f>
        <v>0</v>
      </c>
      <c r="S1103" s="315">
        <f t="shared" ref="S1103:S1148" si="317">ROUND((Q1103-(R1103*$P$11)),0)</f>
        <v>0</v>
      </c>
      <c r="T1103" s="213"/>
      <c r="U1103" s="213"/>
      <c r="V1103" s="213"/>
      <c r="W1103" s="213"/>
      <c r="X1103" s="591"/>
      <c r="Y1103" s="591"/>
    </row>
    <row r="1104" spans="1:25" ht="14.85" customHeight="1">
      <c r="A1104" s="619"/>
      <c r="B1104" s="586"/>
      <c r="C1104" s="259"/>
      <c r="D1104" s="621"/>
      <c r="E1104" s="156"/>
      <c r="F1104" s="254"/>
      <c r="G1104" s="254"/>
      <c r="H1104" s="154"/>
      <c r="I1104" s="155"/>
      <c r="J1104" s="329"/>
      <c r="K1104" s="311">
        <f t="shared" si="313"/>
        <v>0</v>
      </c>
      <c r="L1104" s="312">
        <f t="shared" si="314"/>
        <v>0</v>
      </c>
      <c r="M1104" s="313">
        <f t="shared" si="315"/>
        <v>0</v>
      </c>
      <c r="N1104" s="320"/>
      <c r="O1104" s="315">
        <f t="shared" si="303"/>
        <v>0</v>
      </c>
      <c r="P1104" s="315">
        <f t="shared" si="304"/>
        <v>0</v>
      </c>
      <c r="Q1104" s="320"/>
      <c r="R1104" s="315">
        <f t="shared" si="316"/>
        <v>0</v>
      </c>
      <c r="S1104" s="315">
        <f t="shared" si="317"/>
        <v>0</v>
      </c>
      <c r="T1104" s="213"/>
      <c r="U1104" s="213"/>
      <c r="V1104" s="213"/>
      <c r="W1104" s="213"/>
      <c r="X1104" s="591"/>
      <c r="Y1104" s="591"/>
    </row>
    <row r="1105" spans="1:25" ht="14.85" customHeight="1">
      <c r="A1105" s="619"/>
      <c r="B1105" s="586"/>
      <c r="C1105" s="259"/>
      <c r="D1105" s="621"/>
      <c r="E1105" s="157"/>
      <c r="F1105" s="154"/>
      <c r="G1105" s="254"/>
      <c r="H1105" s="154"/>
      <c r="I1105" s="154"/>
      <c r="J1105" s="254"/>
      <c r="K1105" s="311">
        <f t="shared" si="313"/>
        <v>0</v>
      </c>
      <c r="L1105" s="312">
        <f t="shared" si="314"/>
        <v>0</v>
      </c>
      <c r="M1105" s="313">
        <f t="shared" si="315"/>
        <v>0</v>
      </c>
      <c r="N1105" s="320">
        <f>L1103+L1105</f>
        <v>0</v>
      </c>
      <c r="O1105" s="315">
        <f t="shared" si="303"/>
        <v>0</v>
      </c>
      <c r="P1105" s="315">
        <f t="shared" si="304"/>
        <v>0</v>
      </c>
      <c r="Q1105" s="320">
        <f>N1102+N1105</f>
        <v>0</v>
      </c>
      <c r="R1105" s="315">
        <f t="shared" si="316"/>
        <v>0</v>
      </c>
      <c r="S1105" s="315">
        <f t="shared" si="317"/>
        <v>0</v>
      </c>
      <c r="T1105" s="213"/>
      <c r="U1105" s="213"/>
      <c r="V1105" s="213"/>
      <c r="W1105" s="213"/>
      <c r="X1105" s="591"/>
      <c r="Y1105" s="591"/>
    </row>
    <row r="1106" spans="1:25" ht="14.85" customHeight="1">
      <c r="A1106" s="619"/>
      <c r="B1106" s="586"/>
      <c r="C1106" s="259"/>
      <c r="D1106" s="621"/>
      <c r="E1106" s="157"/>
      <c r="F1106" s="154"/>
      <c r="G1106" s="254"/>
      <c r="H1106" s="154"/>
      <c r="I1106" s="154"/>
      <c r="J1106" s="254"/>
      <c r="K1106" s="311">
        <f t="shared" si="313"/>
        <v>0</v>
      </c>
      <c r="L1106" s="312">
        <f t="shared" si="314"/>
        <v>0</v>
      </c>
      <c r="M1106" s="313">
        <f t="shared" si="315"/>
        <v>0</v>
      </c>
      <c r="N1106" s="320"/>
      <c r="O1106" s="315"/>
      <c r="P1106" s="315"/>
      <c r="Q1106" s="320"/>
      <c r="R1106" s="315"/>
      <c r="S1106" s="315"/>
      <c r="T1106" s="213"/>
      <c r="U1106" s="213"/>
      <c r="V1106" s="213"/>
      <c r="W1106" s="213"/>
      <c r="X1106" s="591"/>
      <c r="Y1106" s="591"/>
    </row>
    <row r="1107" spans="1:25" ht="14.85" customHeight="1">
      <c r="A1107" s="619"/>
      <c r="B1107" s="586"/>
      <c r="C1107" s="259"/>
      <c r="D1107" s="621"/>
      <c r="E1107" s="375"/>
      <c r="F1107" s="154"/>
      <c r="G1107" s="222"/>
      <c r="H1107" s="222"/>
      <c r="I1107" s="154"/>
      <c r="J1107" s="329"/>
      <c r="K1107" s="311">
        <f t="shared" si="313"/>
        <v>0</v>
      </c>
      <c r="L1107" s="312">
        <f t="shared" si="314"/>
        <v>0</v>
      </c>
      <c r="M1107" s="313">
        <f t="shared" si="315"/>
        <v>0</v>
      </c>
      <c r="N1107" s="320"/>
      <c r="O1107" s="315">
        <f t="shared" si="303"/>
        <v>0</v>
      </c>
      <c r="P1107" s="315">
        <f t="shared" si="304"/>
        <v>0</v>
      </c>
      <c r="Q1107" s="320"/>
      <c r="R1107" s="315">
        <f t="shared" si="316"/>
        <v>0</v>
      </c>
      <c r="S1107" s="315">
        <f t="shared" si="317"/>
        <v>0</v>
      </c>
      <c r="T1107" s="213"/>
      <c r="U1107" s="213"/>
      <c r="V1107" s="213"/>
      <c r="W1107" s="213"/>
      <c r="X1107" s="591"/>
      <c r="Y1107" s="591"/>
    </row>
    <row r="1108" spans="1:25" ht="14.85" customHeight="1">
      <c r="A1108" s="619"/>
      <c r="B1108" s="586"/>
      <c r="C1108" s="259"/>
      <c r="D1108" s="621"/>
      <c r="E1108" s="157"/>
      <c r="F1108" s="154"/>
      <c r="G1108" s="254"/>
      <c r="H1108" s="154"/>
      <c r="I1108" s="154"/>
      <c r="J1108" s="254"/>
      <c r="K1108" s="311">
        <f t="shared" si="313"/>
        <v>0</v>
      </c>
      <c r="L1108" s="312">
        <f t="shared" si="314"/>
        <v>0</v>
      </c>
      <c r="M1108" s="313">
        <f t="shared" si="315"/>
        <v>0</v>
      </c>
      <c r="N1108" s="320">
        <f>L1107+L1108</f>
        <v>0</v>
      </c>
      <c r="O1108" s="315">
        <f t="shared" si="303"/>
        <v>0</v>
      </c>
      <c r="P1108" s="315">
        <f t="shared" si="304"/>
        <v>0</v>
      </c>
      <c r="Q1108" s="320"/>
      <c r="R1108" s="315">
        <f t="shared" si="316"/>
        <v>0</v>
      </c>
      <c r="S1108" s="315">
        <f t="shared" si="317"/>
        <v>0</v>
      </c>
      <c r="T1108" s="213"/>
      <c r="U1108" s="213"/>
      <c r="V1108" s="213"/>
      <c r="W1108" s="213"/>
      <c r="X1108" s="591"/>
      <c r="Y1108" s="591"/>
    </row>
    <row r="1109" spans="1:25" ht="14.85" customHeight="1">
      <c r="A1109" s="619"/>
      <c r="B1109" s="586"/>
      <c r="C1109" s="259"/>
      <c r="D1109" s="621"/>
      <c r="E1109" s="157"/>
      <c r="F1109" s="377"/>
      <c r="G1109" s="378"/>
      <c r="H1109" s="378"/>
      <c r="I1109" s="379"/>
      <c r="J1109" s="254"/>
      <c r="K1109" s="311">
        <f t="shared" si="313"/>
        <v>0</v>
      </c>
      <c r="L1109" s="312">
        <f t="shared" si="314"/>
        <v>0</v>
      </c>
      <c r="M1109" s="313">
        <f t="shared" si="315"/>
        <v>0</v>
      </c>
      <c r="N1109" s="320">
        <f>L1109</f>
        <v>0</v>
      </c>
      <c r="O1109" s="315">
        <f t="shared" ref="O1109:O1153" si="318">ROUNDDOWN((N1109/$O$11),0)</f>
        <v>0</v>
      </c>
      <c r="P1109" s="315">
        <f t="shared" si="304"/>
        <v>0</v>
      </c>
      <c r="Q1109" s="320"/>
      <c r="R1109" s="315">
        <f t="shared" si="316"/>
        <v>0</v>
      </c>
      <c r="S1109" s="315">
        <f t="shared" si="317"/>
        <v>0</v>
      </c>
      <c r="T1109" s="213"/>
      <c r="U1109" s="213"/>
      <c r="V1109" s="213"/>
      <c r="W1109" s="213"/>
      <c r="X1109" s="591"/>
      <c r="Y1109" s="591"/>
    </row>
    <row r="1110" spans="1:25" ht="14.85" customHeight="1">
      <c r="A1110" s="619"/>
      <c r="B1110" s="586"/>
      <c r="C1110" s="259"/>
      <c r="D1110" s="621"/>
      <c r="E1110" s="157"/>
      <c r="F1110" s="377"/>
      <c r="G1110" s="378"/>
      <c r="H1110" s="378"/>
      <c r="I1110" s="379"/>
      <c r="J1110" s="254"/>
      <c r="K1110" s="311">
        <f t="shared" si="313"/>
        <v>0</v>
      </c>
      <c r="L1110" s="312">
        <f t="shared" si="314"/>
        <v>0</v>
      </c>
      <c r="M1110" s="313">
        <f t="shared" si="315"/>
        <v>0</v>
      </c>
      <c r="N1110" s="320"/>
      <c r="O1110" s="315">
        <f t="shared" si="318"/>
        <v>0</v>
      </c>
      <c r="P1110" s="315">
        <f t="shared" si="304"/>
        <v>0</v>
      </c>
      <c r="Q1110" s="320"/>
      <c r="R1110" s="315">
        <f t="shared" si="316"/>
        <v>0</v>
      </c>
      <c r="S1110" s="315">
        <f t="shared" si="317"/>
        <v>0</v>
      </c>
      <c r="T1110" s="213"/>
      <c r="U1110" s="213"/>
      <c r="V1110" s="213"/>
      <c r="W1110" s="213"/>
      <c r="X1110" s="591"/>
      <c r="Y1110" s="591"/>
    </row>
    <row r="1111" spans="1:25" ht="14.85" customHeight="1">
      <c r="A1111" s="619"/>
      <c r="B1111" s="586"/>
      <c r="C1111" s="259"/>
      <c r="D1111" s="621"/>
      <c r="E1111" s="157"/>
      <c r="F1111" s="154"/>
      <c r="G1111" s="254"/>
      <c r="H1111" s="154"/>
      <c r="I1111" s="154"/>
      <c r="J1111" s="254"/>
      <c r="K1111" s="311">
        <f t="shared" si="313"/>
        <v>0</v>
      </c>
      <c r="L1111" s="312">
        <f t="shared" si="314"/>
        <v>0</v>
      </c>
      <c r="M1111" s="313">
        <f t="shared" si="315"/>
        <v>0</v>
      </c>
      <c r="N1111" s="320">
        <f>L1110+L1111</f>
        <v>0</v>
      </c>
      <c r="O1111" s="315">
        <f t="shared" si="318"/>
        <v>0</v>
      </c>
      <c r="P1111" s="315">
        <f t="shared" si="304"/>
        <v>0</v>
      </c>
      <c r="Q1111" s="320">
        <f>N1108+N1109+N1111</f>
        <v>0</v>
      </c>
      <c r="R1111" s="315">
        <f t="shared" si="316"/>
        <v>0</v>
      </c>
      <c r="S1111" s="315">
        <f t="shared" si="317"/>
        <v>0</v>
      </c>
      <c r="T1111" s="213"/>
      <c r="U1111" s="213"/>
      <c r="V1111" s="213"/>
      <c r="W1111" s="213"/>
      <c r="X1111" s="591"/>
      <c r="Y1111" s="591"/>
    </row>
    <row r="1112" spans="1:25" ht="14.85" customHeight="1">
      <c r="A1112" s="619"/>
      <c r="B1112" s="586"/>
      <c r="C1112" s="259"/>
      <c r="D1112" s="621"/>
      <c r="E1112" s="157"/>
      <c r="F1112" s="154"/>
      <c r="G1112" s="254"/>
      <c r="H1112" s="154"/>
      <c r="I1112" s="154"/>
      <c r="J1112" s="254"/>
      <c r="K1112" s="311">
        <f t="shared" si="313"/>
        <v>0</v>
      </c>
      <c r="L1112" s="312">
        <f t="shared" si="314"/>
        <v>0</v>
      </c>
      <c r="M1112" s="313">
        <f t="shared" si="315"/>
        <v>0</v>
      </c>
      <c r="N1112" s="320"/>
      <c r="O1112" s="315"/>
      <c r="P1112" s="315"/>
      <c r="Q1112" s="320"/>
      <c r="R1112" s="315"/>
      <c r="S1112" s="315"/>
      <c r="T1112" s="213"/>
      <c r="U1112" s="213"/>
      <c r="V1112" s="213"/>
      <c r="W1112" s="213"/>
      <c r="X1112" s="591"/>
      <c r="Y1112" s="591"/>
    </row>
    <row r="1113" spans="1:25" ht="14.85" customHeight="1">
      <c r="A1113" s="619"/>
      <c r="B1113" s="586"/>
      <c r="C1113" s="259"/>
      <c r="D1113" s="621"/>
      <c r="E1113" s="157"/>
      <c r="F1113" s="154"/>
      <c r="G1113" s="254"/>
      <c r="H1113" s="154"/>
      <c r="I1113" s="154"/>
      <c r="J1113" s="254"/>
      <c r="K1113" s="311">
        <f t="shared" si="313"/>
        <v>0</v>
      </c>
      <c r="L1113" s="312">
        <f t="shared" si="314"/>
        <v>0</v>
      </c>
      <c r="M1113" s="313">
        <f t="shared" si="315"/>
        <v>0</v>
      </c>
      <c r="N1113" s="320"/>
      <c r="O1113" s="315">
        <f t="shared" si="318"/>
        <v>0</v>
      </c>
      <c r="P1113" s="315">
        <f t="shared" si="304"/>
        <v>0</v>
      </c>
      <c r="Q1113" s="320"/>
      <c r="R1113" s="315">
        <f t="shared" si="316"/>
        <v>0</v>
      </c>
      <c r="S1113" s="315">
        <f t="shared" si="317"/>
        <v>0</v>
      </c>
      <c r="T1113" s="213"/>
      <c r="U1113" s="213"/>
      <c r="V1113" s="213"/>
      <c r="W1113" s="213"/>
      <c r="X1113" s="591"/>
      <c r="Y1113" s="591"/>
    </row>
    <row r="1114" spans="1:25" ht="14.85" customHeight="1">
      <c r="A1114" s="619"/>
      <c r="B1114" s="586"/>
      <c r="C1114" s="259"/>
      <c r="D1114" s="621"/>
      <c r="E1114" s="375"/>
      <c r="F1114" s="154"/>
      <c r="G1114" s="218"/>
      <c r="H1114" s="218"/>
      <c r="I1114" s="154"/>
      <c r="J1114" s="329"/>
      <c r="K1114" s="311">
        <f t="shared" si="313"/>
        <v>0</v>
      </c>
      <c r="L1114" s="312">
        <f t="shared" si="314"/>
        <v>0</v>
      </c>
      <c r="M1114" s="313">
        <f t="shared" si="315"/>
        <v>0</v>
      </c>
      <c r="N1114" s="320"/>
      <c r="O1114" s="315">
        <f t="shared" si="318"/>
        <v>0</v>
      </c>
      <c r="P1114" s="315">
        <f t="shared" si="304"/>
        <v>0</v>
      </c>
      <c r="Q1114" s="320"/>
      <c r="R1114" s="315">
        <f t="shared" si="316"/>
        <v>0</v>
      </c>
      <c r="S1114" s="315">
        <f t="shared" si="317"/>
        <v>0</v>
      </c>
      <c r="T1114" s="213"/>
      <c r="U1114" s="213"/>
      <c r="V1114" s="213"/>
      <c r="W1114" s="213"/>
      <c r="X1114" s="591"/>
      <c r="Y1114" s="591"/>
    </row>
    <row r="1115" spans="1:25" ht="14.85" customHeight="1">
      <c r="A1115" s="619"/>
      <c r="B1115" s="586"/>
      <c r="C1115" s="259"/>
      <c r="D1115" s="621"/>
      <c r="E1115" s="157"/>
      <c r="F1115" s="154"/>
      <c r="G1115" s="254"/>
      <c r="H1115" s="154"/>
      <c r="I1115" s="154"/>
      <c r="J1115" s="254"/>
      <c r="K1115" s="311">
        <f t="shared" si="313"/>
        <v>0</v>
      </c>
      <c r="L1115" s="312">
        <f t="shared" si="314"/>
        <v>0</v>
      </c>
      <c r="M1115" s="313">
        <f t="shared" si="315"/>
        <v>0</v>
      </c>
      <c r="N1115" s="320">
        <f>SUM(L1113:L1115)</f>
        <v>0</v>
      </c>
      <c r="O1115" s="315">
        <f t="shared" si="318"/>
        <v>0</v>
      </c>
      <c r="P1115" s="315">
        <f t="shared" si="304"/>
        <v>0</v>
      </c>
      <c r="Q1115" s="320"/>
      <c r="R1115" s="315">
        <f t="shared" si="316"/>
        <v>0</v>
      </c>
      <c r="S1115" s="315">
        <f t="shared" si="317"/>
        <v>0</v>
      </c>
      <c r="T1115" s="213"/>
      <c r="U1115" s="213"/>
      <c r="V1115" s="213"/>
      <c r="W1115" s="213"/>
      <c r="X1115" s="591"/>
      <c r="Y1115" s="591"/>
    </row>
    <row r="1116" spans="1:25" ht="14.85" customHeight="1">
      <c r="A1116" s="619"/>
      <c r="B1116" s="586"/>
      <c r="C1116" s="259"/>
      <c r="D1116" s="621"/>
      <c r="E1116" s="157"/>
      <c r="F1116" s="154"/>
      <c r="G1116" s="254"/>
      <c r="H1116" s="154"/>
      <c r="I1116" s="154"/>
      <c r="J1116" s="254"/>
      <c r="K1116" s="311">
        <f t="shared" si="313"/>
        <v>0</v>
      </c>
      <c r="L1116" s="312">
        <f t="shared" si="314"/>
        <v>0</v>
      </c>
      <c r="M1116" s="313">
        <f t="shared" si="315"/>
        <v>0</v>
      </c>
      <c r="N1116" s="320"/>
      <c r="O1116" s="315">
        <f t="shared" si="318"/>
        <v>0</v>
      </c>
      <c r="P1116" s="315">
        <f t="shared" si="304"/>
        <v>0</v>
      </c>
      <c r="Q1116" s="320"/>
      <c r="R1116" s="315">
        <f t="shared" si="316"/>
        <v>0</v>
      </c>
      <c r="S1116" s="315">
        <f t="shared" si="317"/>
        <v>0</v>
      </c>
      <c r="T1116" s="213"/>
      <c r="U1116" s="213"/>
      <c r="V1116" s="213"/>
      <c r="W1116" s="213"/>
      <c r="X1116" s="591"/>
      <c r="Y1116" s="591"/>
    </row>
    <row r="1117" spans="1:25" ht="14.85" customHeight="1">
      <c r="A1117" s="619"/>
      <c r="B1117" s="586"/>
      <c r="C1117" s="259"/>
      <c r="D1117" s="621"/>
      <c r="E1117" s="157"/>
      <c r="F1117" s="154"/>
      <c r="G1117" s="254"/>
      <c r="H1117" s="154"/>
      <c r="I1117" s="154"/>
      <c r="J1117" s="254"/>
      <c r="K1117" s="311">
        <f t="shared" si="313"/>
        <v>0</v>
      </c>
      <c r="L1117" s="312">
        <f t="shared" si="314"/>
        <v>0</v>
      </c>
      <c r="M1117" s="313">
        <f t="shared" si="315"/>
        <v>0</v>
      </c>
      <c r="N1117" s="320">
        <f>L1116+L1117</f>
        <v>0</v>
      </c>
      <c r="O1117" s="315">
        <f t="shared" si="318"/>
        <v>0</v>
      </c>
      <c r="P1117" s="315">
        <f t="shared" si="304"/>
        <v>0</v>
      </c>
      <c r="Q1117" s="320">
        <f>N1115+N1117</f>
        <v>0</v>
      </c>
      <c r="R1117" s="315">
        <f t="shared" si="316"/>
        <v>0</v>
      </c>
      <c r="S1117" s="315">
        <f t="shared" si="317"/>
        <v>0</v>
      </c>
      <c r="T1117" s="213"/>
      <c r="U1117" s="213"/>
      <c r="V1117" s="213"/>
      <c r="W1117" s="213"/>
      <c r="X1117" s="591"/>
      <c r="Y1117" s="591"/>
    </row>
    <row r="1118" spans="1:25" s="287" customFormat="1">
      <c r="A1118" s="211" t="s">
        <v>129</v>
      </c>
      <c r="B1118" s="211">
        <f>COUNTA(B1074:B1117)</f>
        <v>0</v>
      </c>
      <c r="C1118" s="211"/>
      <c r="D1118" s="211">
        <f>COUNTA(D1074:D1117)</f>
        <v>0</v>
      </c>
      <c r="E1118" s="212">
        <f>COUNTA(E1074:E1117)</f>
        <v>0</v>
      </c>
      <c r="F1118" s="211">
        <f>COUNTA(F1074:F1117)</f>
        <v>0</v>
      </c>
      <c r="G1118" s="211">
        <f>COUNTA(G1074:G1117)</f>
        <v>0</v>
      </c>
      <c r="H1118" s="211"/>
      <c r="I1118" s="211">
        <f>COUNTA(I1074:I1117)</f>
        <v>0</v>
      </c>
      <c r="J1118" s="280">
        <f>SUM(J1074:J1117)</f>
        <v>0</v>
      </c>
      <c r="K1118" s="161">
        <f>SUM(K1074:K1117)</f>
        <v>0</v>
      </c>
      <c r="L1118" s="161">
        <f>SUM(L1074:L1117)</f>
        <v>0</v>
      </c>
      <c r="M1118" s="161">
        <f>SUM(M1074:M1117)</f>
        <v>0</v>
      </c>
      <c r="N1118" s="161">
        <f>SUM(N1074:N1117)</f>
        <v>0</v>
      </c>
      <c r="O1118" s="161">
        <f t="shared" si="318"/>
        <v>0</v>
      </c>
      <c r="P1118" s="161">
        <f t="shared" ref="P1118:P1159" si="319">ROUND((N1118-(O1118*$P$11)),0)</f>
        <v>0</v>
      </c>
      <c r="Q1118" s="161">
        <f>SUM(Q1074:Q1117)</f>
        <v>0</v>
      </c>
      <c r="R1118" s="161">
        <f t="shared" si="316"/>
        <v>0</v>
      </c>
      <c r="S1118" s="161">
        <f t="shared" si="317"/>
        <v>0</v>
      </c>
      <c r="T1118" s="211"/>
      <c r="U1118" s="211"/>
      <c r="V1118" s="211"/>
      <c r="W1118" s="211"/>
      <c r="X1118" s="161" t="str">
        <f>IF(X1074&lt;1.4,"1",IF(X1074&lt;=2.3,"2",IF(X1074&gt;2.3, ROUND(X1074,0))))</f>
        <v>1</v>
      </c>
      <c r="Y1118" s="161">
        <f>$Y$11*F1118</f>
        <v>0</v>
      </c>
    </row>
    <row r="1119" spans="1:25">
      <c r="A1119" s="618"/>
      <c r="B1119" s="585"/>
      <c r="C1119" s="258"/>
      <c r="D1119" s="620"/>
      <c r="E1119" s="240"/>
      <c r="F1119" s="154"/>
      <c r="G1119" s="231"/>
      <c r="H1119" s="231"/>
      <c r="I1119" s="154"/>
      <c r="J1119" s="270"/>
      <c r="K1119" s="311">
        <f t="shared" ref="K1119" si="320">J1119/$K$11</f>
        <v>0</v>
      </c>
      <c r="L1119" s="312">
        <f t="shared" ref="L1119" si="321">J1119/$L$11</f>
        <v>0</v>
      </c>
      <c r="M1119" s="313">
        <f t="shared" ref="M1119" si="322">ROUND((L1119/$M$11),0)</f>
        <v>0</v>
      </c>
      <c r="N1119" s="320"/>
      <c r="O1119" s="315">
        <f t="shared" si="318"/>
        <v>0</v>
      </c>
      <c r="P1119" s="315">
        <f t="shared" si="319"/>
        <v>0</v>
      </c>
      <c r="Q1119" s="320"/>
      <c r="R1119" s="315">
        <f t="shared" si="316"/>
        <v>0</v>
      </c>
      <c r="S1119" s="315">
        <f t="shared" si="317"/>
        <v>0</v>
      </c>
      <c r="T1119" s="213"/>
      <c r="U1119" s="213"/>
      <c r="V1119" s="213"/>
      <c r="W1119" s="213"/>
      <c r="X1119" s="590">
        <f>F1293/$X$11</f>
        <v>0</v>
      </c>
      <c r="Y1119" s="590"/>
    </row>
    <row r="1120" spans="1:25" ht="14.85" customHeight="1">
      <c r="A1120" s="619"/>
      <c r="B1120" s="586"/>
      <c r="C1120" s="259"/>
      <c r="D1120" s="621"/>
      <c r="E1120" s="241"/>
      <c r="F1120" s="154"/>
      <c r="G1120" s="231"/>
      <c r="H1120" s="231"/>
      <c r="I1120" s="154"/>
      <c r="J1120" s="270"/>
      <c r="K1120" s="311">
        <f t="shared" ref="K1120:K1183" si="323">J1120/$K$11</f>
        <v>0</v>
      </c>
      <c r="L1120" s="312">
        <f t="shared" ref="L1120:L1183" si="324">J1120/$L$11</f>
        <v>0</v>
      </c>
      <c r="M1120" s="313">
        <f t="shared" ref="M1120:M1183" si="325">ROUND((L1120/$M$11),0)</f>
        <v>0</v>
      </c>
      <c r="N1120" s="320"/>
      <c r="O1120" s="315">
        <f t="shared" si="318"/>
        <v>0</v>
      </c>
      <c r="P1120" s="315">
        <f t="shared" si="319"/>
        <v>0</v>
      </c>
      <c r="Q1120" s="320"/>
      <c r="R1120" s="315">
        <f t="shared" si="316"/>
        <v>0</v>
      </c>
      <c r="S1120" s="315">
        <f t="shared" si="317"/>
        <v>0</v>
      </c>
      <c r="T1120" s="213"/>
      <c r="U1120" s="213"/>
      <c r="V1120" s="213"/>
      <c r="W1120" s="213"/>
      <c r="X1120" s="591"/>
      <c r="Y1120" s="591"/>
    </row>
    <row r="1121" spans="1:25" ht="14.85" customHeight="1">
      <c r="A1121" s="619"/>
      <c r="B1121" s="586"/>
      <c r="C1121" s="259"/>
      <c r="D1121" s="621"/>
      <c r="E1121" s="241"/>
      <c r="F1121" s="154"/>
      <c r="G1121" s="231"/>
      <c r="H1121" s="231"/>
      <c r="I1121" s="154"/>
      <c r="J1121" s="270"/>
      <c r="K1121" s="311">
        <f t="shared" si="323"/>
        <v>0</v>
      </c>
      <c r="L1121" s="312">
        <f t="shared" si="324"/>
        <v>0</v>
      </c>
      <c r="M1121" s="313">
        <f t="shared" si="325"/>
        <v>0</v>
      </c>
      <c r="N1121" s="320">
        <f>SUM(L1119:L1121)</f>
        <v>0</v>
      </c>
      <c r="O1121" s="315">
        <f t="shared" si="318"/>
        <v>0</v>
      </c>
      <c r="P1121" s="315">
        <f t="shared" si="319"/>
        <v>0</v>
      </c>
      <c r="Q1121" s="320"/>
      <c r="R1121" s="315">
        <f t="shared" si="316"/>
        <v>0</v>
      </c>
      <c r="S1121" s="315">
        <f t="shared" si="317"/>
        <v>0</v>
      </c>
      <c r="T1121" s="213"/>
      <c r="U1121" s="213"/>
      <c r="V1121" s="213"/>
      <c r="W1121" s="213"/>
      <c r="X1121" s="591"/>
      <c r="Y1121" s="591"/>
    </row>
    <row r="1122" spans="1:25" ht="14.85" customHeight="1">
      <c r="A1122" s="619"/>
      <c r="B1122" s="586"/>
      <c r="C1122" s="259"/>
      <c r="D1122" s="621"/>
      <c r="E1122" s="157"/>
      <c r="F1122" s="154"/>
      <c r="G1122" s="231"/>
      <c r="H1122" s="231"/>
      <c r="I1122" s="154"/>
      <c r="J1122" s="270"/>
      <c r="K1122" s="311">
        <f t="shared" si="323"/>
        <v>0</v>
      </c>
      <c r="L1122" s="312">
        <f t="shared" si="324"/>
        <v>0</v>
      </c>
      <c r="M1122" s="313">
        <f t="shared" si="325"/>
        <v>0</v>
      </c>
      <c r="N1122" s="320"/>
      <c r="O1122" s="315">
        <f t="shared" si="318"/>
        <v>0</v>
      </c>
      <c r="P1122" s="315">
        <f t="shared" si="319"/>
        <v>0</v>
      </c>
      <c r="Q1122" s="320"/>
      <c r="R1122" s="315">
        <f t="shared" si="316"/>
        <v>0</v>
      </c>
      <c r="S1122" s="315">
        <f t="shared" si="317"/>
        <v>0</v>
      </c>
      <c r="T1122" s="213"/>
      <c r="U1122" s="213"/>
      <c r="V1122" s="213"/>
      <c r="W1122" s="213"/>
      <c r="X1122" s="591"/>
      <c r="Y1122" s="591"/>
    </row>
    <row r="1123" spans="1:25" ht="14.85" customHeight="1">
      <c r="A1123" s="619"/>
      <c r="B1123" s="586"/>
      <c r="C1123" s="259"/>
      <c r="D1123" s="621"/>
      <c r="E1123" s="157"/>
      <c r="F1123" s="154"/>
      <c r="G1123" s="231"/>
      <c r="H1123" s="231"/>
      <c r="I1123" s="154"/>
      <c r="J1123" s="270"/>
      <c r="K1123" s="311">
        <f t="shared" si="323"/>
        <v>0</v>
      </c>
      <c r="L1123" s="312">
        <f t="shared" si="324"/>
        <v>0</v>
      </c>
      <c r="M1123" s="313">
        <f t="shared" si="325"/>
        <v>0</v>
      </c>
      <c r="N1123" s="320"/>
      <c r="O1123" s="315">
        <f t="shared" si="318"/>
        <v>0</v>
      </c>
      <c r="P1123" s="315">
        <f t="shared" si="319"/>
        <v>0</v>
      </c>
      <c r="Q1123" s="320"/>
      <c r="R1123" s="315">
        <f t="shared" si="316"/>
        <v>0</v>
      </c>
      <c r="S1123" s="315">
        <f t="shared" si="317"/>
        <v>0</v>
      </c>
      <c r="T1123" s="213"/>
      <c r="U1123" s="213"/>
      <c r="V1123" s="213"/>
      <c r="W1123" s="213"/>
      <c r="X1123" s="591"/>
      <c r="Y1123" s="591"/>
    </row>
    <row r="1124" spans="1:25" ht="14.85" customHeight="1">
      <c r="A1124" s="619"/>
      <c r="B1124" s="586"/>
      <c r="C1124" s="259"/>
      <c r="D1124" s="621"/>
      <c r="E1124" s="157"/>
      <c r="F1124" s="154"/>
      <c r="G1124" s="231"/>
      <c r="H1124" s="231"/>
      <c r="I1124" s="154"/>
      <c r="J1124" s="270"/>
      <c r="K1124" s="311">
        <f t="shared" si="323"/>
        <v>0</v>
      </c>
      <c r="L1124" s="312">
        <f t="shared" si="324"/>
        <v>0</v>
      </c>
      <c r="M1124" s="313">
        <f t="shared" si="325"/>
        <v>0</v>
      </c>
      <c r="N1124" s="320"/>
      <c r="O1124" s="315">
        <f t="shared" si="318"/>
        <v>0</v>
      </c>
      <c r="P1124" s="315">
        <f t="shared" si="319"/>
        <v>0</v>
      </c>
      <c r="Q1124" s="320"/>
      <c r="R1124" s="315">
        <f t="shared" si="316"/>
        <v>0</v>
      </c>
      <c r="S1124" s="315">
        <f t="shared" si="317"/>
        <v>0</v>
      </c>
      <c r="T1124" s="213"/>
      <c r="U1124" s="213"/>
      <c r="V1124" s="213"/>
      <c r="W1124" s="213"/>
      <c r="X1124" s="591"/>
      <c r="Y1124" s="591"/>
    </row>
    <row r="1125" spans="1:25" ht="14.85" customHeight="1">
      <c r="A1125" s="619"/>
      <c r="B1125" s="586"/>
      <c r="C1125" s="259"/>
      <c r="D1125" s="621"/>
      <c r="E1125" s="157"/>
      <c r="F1125" s="154"/>
      <c r="G1125" s="231"/>
      <c r="H1125" s="231"/>
      <c r="I1125" s="154"/>
      <c r="J1125" s="270"/>
      <c r="K1125" s="311">
        <f t="shared" si="323"/>
        <v>0</v>
      </c>
      <c r="L1125" s="312">
        <f t="shared" si="324"/>
        <v>0</v>
      </c>
      <c r="M1125" s="313">
        <f t="shared" si="325"/>
        <v>0</v>
      </c>
      <c r="N1125" s="320">
        <f>SUM(L1122:L1125)</f>
        <v>0</v>
      </c>
      <c r="O1125" s="315">
        <f t="shared" si="318"/>
        <v>0</v>
      </c>
      <c r="P1125" s="315">
        <f t="shared" si="319"/>
        <v>0</v>
      </c>
      <c r="Q1125" s="320"/>
      <c r="R1125" s="315">
        <f t="shared" si="316"/>
        <v>0</v>
      </c>
      <c r="S1125" s="315">
        <f t="shared" si="317"/>
        <v>0</v>
      </c>
      <c r="T1125" s="213"/>
      <c r="U1125" s="213"/>
      <c r="V1125" s="213"/>
      <c r="W1125" s="213"/>
      <c r="X1125" s="591"/>
      <c r="Y1125" s="591"/>
    </row>
    <row r="1126" spans="1:25" ht="14.85" customHeight="1">
      <c r="A1126" s="619"/>
      <c r="B1126" s="586"/>
      <c r="C1126" s="259"/>
      <c r="D1126" s="621"/>
      <c r="E1126" s="157"/>
      <c r="F1126" s="154"/>
      <c r="G1126" s="254"/>
      <c r="H1126" s="154"/>
      <c r="I1126" s="154"/>
      <c r="J1126" s="270"/>
      <c r="K1126" s="311">
        <f t="shared" si="323"/>
        <v>0</v>
      </c>
      <c r="L1126" s="312">
        <f t="shared" si="324"/>
        <v>0</v>
      </c>
      <c r="M1126" s="313">
        <f t="shared" si="325"/>
        <v>0</v>
      </c>
      <c r="N1126" s="320"/>
      <c r="O1126" s="315">
        <f t="shared" si="318"/>
        <v>0</v>
      </c>
      <c r="P1126" s="315">
        <f t="shared" si="319"/>
        <v>0</v>
      </c>
      <c r="Q1126" s="320"/>
      <c r="R1126" s="315">
        <f t="shared" si="316"/>
        <v>0</v>
      </c>
      <c r="S1126" s="315">
        <f t="shared" si="317"/>
        <v>0</v>
      </c>
      <c r="T1126" s="213"/>
      <c r="U1126" s="213"/>
      <c r="V1126" s="213"/>
      <c r="W1126" s="213"/>
      <c r="X1126" s="591"/>
      <c r="Y1126" s="591"/>
    </row>
    <row r="1127" spans="1:25" ht="14.85" customHeight="1">
      <c r="A1127" s="619"/>
      <c r="B1127" s="586"/>
      <c r="C1127" s="259"/>
      <c r="D1127" s="621"/>
      <c r="E1127" s="157"/>
      <c r="F1127" s="154"/>
      <c r="G1127" s="254"/>
      <c r="H1127" s="154"/>
      <c r="I1127" s="154"/>
      <c r="J1127" s="270"/>
      <c r="K1127" s="311">
        <f t="shared" si="323"/>
        <v>0</v>
      </c>
      <c r="L1127" s="312">
        <f t="shared" si="324"/>
        <v>0</v>
      </c>
      <c r="M1127" s="313">
        <f t="shared" si="325"/>
        <v>0</v>
      </c>
      <c r="N1127" s="320"/>
      <c r="O1127" s="315">
        <f t="shared" si="318"/>
        <v>0</v>
      </c>
      <c r="P1127" s="315">
        <f t="shared" si="319"/>
        <v>0</v>
      </c>
      <c r="Q1127" s="320"/>
      <c r="R1127" s="315">
        <f t="shared" si="316"/>
        <v>0</v>
      </c>
      <c r="S1127" s="315">
        <f t="shared" si="317"/>
        <v>0</v>
      </c>
      <c r="T1127" s="213"/>
      <c r="U1127" s="213"/>
      <c r="V1127" s="213"/>
      <c r="W1127" s="213"/>
      <c r="X1127" s="591"/>
      <c r="Y1127" s="591"/>
    </row>
    <row r="1128" spans="1:25" ht="14.85" customHeight="1">
      <c r="A1128" s="619"/>
      <c r="B1128" s="586"/>
      <c r="C1128" s="259"/>
      <c r="D1128" s="621"/>
      <c r="E1128" s="157"/>
      <c r="F1128" s="154"/>
      <c r="G1128" s="254"/>
      <c r="H1128" s="154"/>
      <c r="I1128" s="154"/>
      <c r="J1128" s="270"/>
      <c r="K1128" s="311">
        <f t="shared" si="323"/>
        <v>0</v>
      </c>
      <c r="L1128" s="312">
        <f t="shared" si="324"/>
        <v>0</v>
      </c>
      <c r="M1128" s="313">
        <f t="shared" si="325"/>
        <v>0</v>
      </c>
      <c r="N1128" s="320"/>
      <c r="O1128" s="315">
        <f t="shared" si="318"/>
        <v>0</v>
      </c>
      <c r="P1128" s="315">
        <f t="shared" si="319"/>
        <v>0</v>
      </c>
      <c r="Q1128" s="320"/>
      <c r="R1128" s="315">
        <f t="shared" si="316"/>
        <v>0</v>
      </c>
      <c r="S1128" s="315">
        <f t="shared" si="317"/>
        <v>0</v>
      </c>
      <c r="T1128" s="213"/>
      <c r="U1128" s="213"/>
      <c r="V1128" s="213"/>
      <c r="W1128" s="213"/>
      <c r="X1128" s="591"/>
      <c r="Y1128" s="591"/>
    </row>
    <row r="1129" spans="1:25" ht="14.85" customHeight="1">
      <c r="A1129" s="619"/>
      <c r="B1129" s="586"/>
      <c r="C1129" s="259"/>
      <c r="D1129" s="621"/>
      <c r="E1129" s="157"/>
      <c r="F1129" s="154"/>
      <c r="G1129" s="254"/>
      <c r="H1129" s="154"/>
      <c r="I1129" s="154"/>
      <c r="J1129" s="270"/>
      <c r="K1129" s="311">
        <f t="shared" si="323"/>
        <v>0</v>
      </c>
      <c r="L1129" s="312">
        <f t="shared" si="324"/>
        <v>0</v>
      </c>
      <c r="M1129" s="313">
        <f t="shared" si="325"/>
        <v>0</v>
      </c>
      <c r="N1129" s="320"/>
      <c r="O1129" s="315">
        <f t="shared" si="318"/>
        <v>0</v>
      </c>
      <c r="P1129" s="315">
        <f t="shared" si="319"/>
        <v>0</v>
      </c>
      <c r="Q1129" s="320"/>
      <c r="R1129" s="315">
        <f t="shared" si="316"/>
        <v>0</v>
      </c>
      <c r="S1129" s="315">
        <f t="shared" si="317"/>
        <v>0</v>
      </c>
      <c r="T1129" s="213"/>
      <c r="U1129" s="213"/>
      <c r="V1129" s="213"/>
      <c r="W1129" s="213"/>
      <c r="X1129" s="591"/>
      <c r="Y1129" s="591"/>
    </row>
    <row r="1130" spans="1:25" ht="14.85" customHeight="1">
      <c r="A1130" s="619"/>
      <c r="B1130" s="586"/>
      <c r="C1130" s="259"/>
      <c r="D1130" s="621"/>
      <c r="E1130" s="157"/>
      <c r="F1130" s="154"/>
      <c r="G1130" s="254"/>
      <c r="H1130" s="154"/>
      <c r="I1130" s="154"/>
      <c r="J1130" s="270"/>
      <c r="K1130" s="311">
        <f t="shared" si="323"/>
        <v>0</v>
      </c>
      <c r="L1130" s="312">
        <f t="shared" si="324"/>
        <v>0</v>
      </c>
      <c r="M1130" s="313">
        <f t="shared" si="325"/>
        <v>0</v>
      </c>
      <c r="N1130" s="320">
        <f>SUM(L1126:L1130)</f>
        <v>0</v>
      </c>
      <c r="O1130" s="315">
        <f t="shared" si="318"/>
        <v>0</v>
      </c>
      <c r="P1130" s="315">
        <f t="shared" si="319"/>
        <v>0</v>
      </c>
      <c r="Q1130" s="320"/>
      <c r="R1130" s="315">
        <f t="shared" si="316"/>
        <v>0</v>
      </c>
      <c r="S1130" s="315">
        <f t="shared" si="317"/>
        <v>0</v>
      </c>
      <c r="T1130" s="213"/>
      <c r="U1130" s="213"/>
      <c r="V1130" s="213"/>
      <c r="W1130" s="213"/>
      <c r="X1130" s="591"/>
      <c r="Y1130" s="591"/>
    </row>
    <row r="1131" spans="1:25" ht="14.85" customHeight="1">
      <c r="A1131" s="619"/>
      <c r="B1131" s="586"/>
      <c r="C1131" s="259"/>
      <c r="D1131" s="621"/>
      <c r="E1131" s="157"/>
      <c r="F1131" s="154"/>
      <c r="G1131" s="254"/>
      <c r="H1131" s="154"/>
      <c r="I1131" s="154"/>
      <c r="J1131" s="270"/>
      <c r="K1131" s="311">
        <f t="shared" si="323"/>
        <v>0</v>
      </c>
      <c r="L1131" s="312">
        <f t="shared" si="324"/>
        <v>0</v>
      </c>
      <c r="M1131" s="313">
        <f t="shared" si="325"/>
        <v>0</v>
      </c>
      <c r="N1131" s="320"/>
      <c r="O1131" s="315">
        <f t="shared" si="318"/>
        <v>0</v>
      </c>
      <c r="P1131" s="315">
        <f t="shared" si="319"/>
        <v>0</v>
      </c>
      <c r="Q1131" s="320"/>
      <c r="R1131" s="315">
        <f t="shared" si="316"/>
        <v>0</v>
      </c>
      <c r="S1131" s="315">
        <f t="shared" si="317"/>
        <v>0</v>
      </c>
      <c r="T1131" s="213"/>
      <c r="U1131" s="213"/>
      <c r="V1131" s="213"/>
      <c r="W1131" s="213"/>
      <c r="X1131" s="591"/>
      <c r="Y1131" s="591"/>
    </row>
    <row r="1132" spans="1:25" ht="14.85" customHeight="1">
      <c r="A1132" s="619"/>
      <c r="B1132" s="586"/>
      <c r="C1132" s="259"/>
      <c r="D1132" s="621"/>
      <c r="E1132" s="157"/>
      <c r="F1132" s="154"/>
      <c r="G1132" s="254"/>
      <c r="H1132" s="154"/>
      <c r="I1132" s="154"/>
      <c r="J1132" s="270"/>
      <c r="K1132" s="311">
        <f t="shared" si="323"/>
        <v>0</v>
      </c>
      <c r="L1132" s="312">
        <f t="shared" si="324"/>
        <v>0</v>
      </c>
      <c r="M1132" s="313">
        <f t="shared" si="325"/>
        <v>0</v>
      </c>
      <c r="N1132" s="320"/>
      <c r="O1132" s="315">
        <f t="shared" si="318"/>
        <v>0</v>
      </c>
      <c r="P1132" s="315">
        <f t="shared" si="319"/>
        <v>0</v>
      </c>
      <c r="Q1132" s="320"/>
      <c r="R1132" s="315">
        <f t="shared" si="316"/>
        <v>0</v>
      </c>
      <c r="S1132" s="315">
        <f t="shared" si="317"/>
        <v>0</v>
      </c>
      <c r="T1132" s="213"/>
      <c r="U1132" s="213"/>
      <c r="V1132" s="213"/>
      <c r="W1132" s="213"/>
      <c r="X1132" s="591"/>
      <c r="Y1132" s="591"/>
    </row>
    <row r="1133" spans="1:25" ht="14.85" customHeight="1">
      <c r="A1133" s="619"/>
      <c r="B1133" s="586"/>
      <c r="C1133" s="259"/>
      <c r="D1133" s="621"/>
      <c r="E1133" s="157"/>
      <c r="F1133" s="154"/>
      <c r="G1133" s="254"/>
      <c r="H1133" s="154"/>
      <c r="I1133" s="154"/>
      <c r="J1133" s="270"/>
      <c r="K1133" s="311">
        <f t="shared" si="323"/>
        <v>0</v>
      </c>
      <c r="L1133" s="312">
        <f t="shared" si="324"/>
        <v>0</v>
      </c>
      <c r="M1133" s="313">
        <f t="shared" si="325"/>
        <v>0</v>
      </c>
      <c r="N1133" s="320">
        <f>SUM(L1131:L1133)</f>
        <v>0</v>
      </c>
      <c r="O1133" s="315">
        <f t="shared" si="318"/>
        <v>0</v>
      </c>
      <c r="P1133" s="315">
        <f t="shared" si="319"/>
        <v>0</v>
      </c>
      <c r="Q1133" s="320">
        <f>N1121+N1125+N1130+N1133</f>
        <v>0</v>
      </c>
      <c r="R1133" s="315">
        <f t="shared" si="316"/>
        <v>0</v>
      </c>
      <c r="S1133" s="315">
        <f t="shared" si="317"/>
        <v>0</v>
      </c>
      <c r="T1133" s="213"/>
      <c r="U1133" s="213"/>
      <c r="V1133" s="213"/>
      <c r="W1133" s="213"/>
      <c r="X1133" s="591"/>
      <c r="Y1133" s="591"/>
    </row>
    <row r="1134" spans="1:25" ht="14.85" customHeight="1">
      <c r="A1134" s="619"/>
      <c r="B1134" s="586"/>
      <c r="C1134" s="259"/>
      <c r="D1134" s="621"/>
      <c r="E1134" s="157"/>
      <c r="F1134" s="154"/>
      <c r="G1134" s="254"/>
      <c r="H1134" s="154"/>
      <c r="I1134" s="154"/>
      <c r="J1134" s="270"/>
      <c r="K1134" s="311">
        <f t="shared" si="323"/>
        <v>0</v>
      </c>
      <c r="L1134" s="312">
        <f t="shared" si="324"/>
        <v>0</v>
      </c>
      <c r="M1134" s="313">
        <f t="shared" si="325"/>
        <v>0</v>
      </c>
      <c r="N1134" s="320"/>
      <c r="O1134" s="315"/>
      <c r="P1134" s="315"/>
      <c r="Q1134" s="320"/>
      <c r="R1134" s="315"/>
      <c r="S1134" s="315"/>
      <c r="T1134" s="213"/>
      <c r="U1134" s="213"/>
      <c r="V1134" s="213"/>
      <c r="W1134" s="213"/>
      <c r="X1134" s="591"/>
      <c r="Y1134" s="591"/>
    </row>
    <row r="1135" spans="1:25" ht="14.85" customHeight="1">
      <c r="A1135" s="619"/>
      <c r="B1135" s="586"/>
      <c r="C1135" s="259"/>
      <c r="D1135" s="621"/>
      <c r="E1135" s="240"/>
      <c r="F1135" s="154"/>
      <c r="G1135" s="231"/>
      <c r="H1135" s="231"/>
      <c r="I1135" s="154"/>
      <c r="J1135" s="270"/>
      <c r="K1135" s="311">
        <f t="shared" si="323"/>
        <v>0</v>
      </c>
      <c r="L1135" s="312">
        <f t="shared" si="324"/>
        <v>0</v>
      </c>
      <c r="M1135" s="313">
        <f t="shared" si="325"/>
        <v>0</v>
      </c>
      <c r="N1135" s="320"/>
      <c r="O1135" s="315">
        <f t="shared" si="318"/>
        <v>0</v>
      </c>
      <c r="P1135" s="315">
        <f t="shared" si="319"/>
        <v>0</v>
      </c>
      <c r="Q1135" s="320"/>
      <c r="R1135" s="315">
        <f t="shared" si="316"/>
        <v>0</v>
      </c>
      <c r="S1135" s="315">
        <f t="shared" si="317"/>
        <v>0</v>
      </c>
      <c r="T1135" s="213"/>
      <c r="U1135" s="213"/>
      <c r="V1135" s="213"/>
      <c r="W1135" s="213"/>
      <c r="X1135" s="591"/>
      <c r="Y1135" s="591"/>
    </row>
    <row r="1136" spans="1:25" ht="14.85" customHeight="1">
      <c r="A1136" s="619"/>
      <c r="B1136" s="586"/>
      <c r="C1136" s="259"/>
      <c r="D1136" s="621"/>
      <c r="E1136" s="241"/>
      <c r="F1136" s="154"/>
      <c r="G1136" s="231"/>
      <c r="H1136" s="231"/>
      <c r="I1136" s="154"/>
      <c r="J1136" s="270"/>
      <c r="K1136" s="311">
        <f t="shared" si="323"/>
        <v>0</v>
      </c>
      <c r="L1136" s="312">
        <f t="shared" si="324"/>
        <v>0</v>
      </c>
      <c r="M1136" s="313">
        <f t="shared" si="325"/>
        <v>0</v>
      </c>
      <c r="N1136" s="320"/>
      <c r="O1136" s="315">
        <f t="shared" si="318"/>
        <v>0</v>
      </c>
      <c r="P1136" s="315">
        <f t="shared" si="319"/>
        <v>0</v>
      </c>
      <c r="Q1136" s="320"/>
      <c r="R1136" s="315">
        <f t="shared" si="316"/>
        <v>0</v>
      </c>
      <c r="S1136" s="315">
        <f t="shared" si="317"/>
        <v>0</v>
      </c>
      <c r="T1136" s="213"/>
      <c r="U1136" s="213"/>
      <c r="V1136" s="213"/>
      <c r="W1136" s="213"/>
      <c r="X1136" s="591"/>
      <c r="Y1136" s="591"/>
    </row>
    <row r="1137" spans="1:25" ht="14.85" customHeight="1">
      <c r="A1137" s="619"/>
      <c r="B1137" s="586"/>
      <c r="C1137" s="259"/>
      <c r="D1137" s="621"/>
      <c r="E1137" s="241"/>
      <c r="F1137" s="154"/>
      <c r="G1137" s="231"/>
      <c r="H1137" s="231"/>
      <c r="I1137" s="154"/>
      <c r="J1137" s="270"/>
      <c r="K1137" s="311">
        <f t="shared" si="323"/>
        <v>0</v>
      </c>
      <c r="L1137" s="312">
        <f t="shared" si="324"/>
        <v>0</v>
      </c>
      <c r="M1137" s="313">
        <f t="shared" si="325"/>
        <v>0</v>
      </c>
      <c r="N1137" s="320"/>
      <c r="O1137" s="315">
        <f t="shared" si="318"/>
        <v>0</v>
      </c>
      <c r="P1137" s="315">
        <f t="shared" si="319"/>
        <v>0</v>
      </c>
      <c r="Q1137" s="320"/>
      <c r="R1137" s="315">
        <f t="shared" si="316"/>
        <v>0</v>
      </c>
      <c r="S1137" s="315">
        <f t="shared" si="317"/>
        <v>0</v>
      </c>
      <c r="T1137" s="213"/>
      <c r="U1137" s="213"/>
      <c r="V1137" s="213"/>
      <c r="W1137" s="213"/>
      <c r="X1137" s="591"/>
      <c r="Y1137" s="591"/>
    </row>
    <row r="1138" spans="1:25" ht="14.85" customHeight="1">
      <c r="A1138" s="619"/>
      <c r="B1138" s="586"/>
      <c r="C1138" s="259"/>
      <c r="D1138" s="621"/>
      <c r="E1138" s="241"/>
      <c r="F1138" s="154"/>
      <c r="G1138" s="231"/>
      <c r="H1138" s="231"/>
      <c r="I1138" s="154"/>
      <c r="J1138" s="270"/>
      <c r="K1138" s="311">
        <f t="shared" si="323"/>
        <v>0</v>
      </c>
      <c r="L1138" s="312">
        <f t="shared" si="324"/>
        <v>0</v>
      </c>
      <c r="M1138" s="313">
        <f t="shared" si="325"/>
        <v>0</v>
      </c>
      <c r="N1138" s="320"/>
      <c r="O1138" s="315">
        <f t="shared" si="318"/>
        <v>0</v>
      </c>
      <c r="P1138" s="315">
        <f t="shared" si="319"/>
        <v>0</v>
      </c>
      <c r="Q1138" s="320"/>
      <c r="R1138" s="315">
        <f t="shared" si="316"/>
        <v>0</v>
      </c>
      <c r="S1138" s="315">
        <f t="shared" si="317"/>
        <v>0</v>
      </c>
      <c r="T1138" s="213"/>
      <c r="U1138" s="213"/>
      <c r="V1138" s="213"/>
      <c r="W1138" s="213"/>
      <c r="X1138" s="591"/>
      <c r="Y1138" s="591"/>
    </row>
    <row r="1139" spans="1:25" ht="14.85" customHeight="1">
      <c r="A1139" s="619"/>
      <c r="B1139" s="586"/>
      <c r="C1139" s="259"/>
      <c r="D1139" s="621"/>
      <c r="E1139" s="241"/>
      <c r="F1139" s="154"/>
      <c r="G1139" s="231"/>
      <c r="H1139" s="231"/>
      <c r="I1139" s="154"/>
      <c r="J1139" s="270"/>
      <c r="K1139" s="311">
        <f t="shared" si="323"/>
        <v>0</v>
      </c>
      <c r="L1139" s="312">
        <f t="shared" si="324"/>
        <v>0</v>
      </c>
      <c r="M1139" s="313">
        <f t="shared" si="325"/>
        <v>0</v>
      </c>
      <c r="N1139" s="320">
        <f>SUM(L1135:L1139)</f>
        <v>0</v>
      </c>
      <c r="O1139" s="315">
        <f t="shared" si="318"/>
        <v>0</v>
      </c>
      <c r="P1139" s="315">
        <f t="shared" si="319"/>
        <v>0</v>
      </c>
      <c r="Q1139" s="320"/>
      <c r="R1139" s="315">
        <f t="shared" si="316"/>
        <v>0</v>
      </c>
      <c r="S1139" s="315">
        <f t="shared" si="317"/>
        <v>0</v>
      </c>
      <c r="T1139" s="213"/>
      <c r="U1139" s="213"/>
      <c r="V1139" s="213"/>
      <c r="W1139" s="213"/>
      <c r="X1139" s="591"/>
      <c r="Y1139" s="591"/>
    </row>
    <row r="1140" spans="1:25" ht="14.85" customHeight="1">
      <c r="A1140" s="619"/>
      <c r="B1140" s="586"/>
      <c r="C1140" s="259"/>
      <c r="D1140" s="621"/>
      <c r="E1140" s="157"/>
      <c r="F1140" s="154"/>
      <c r="G1140" s="254"/>
      <c r="H1140" s="154"/>
      <c r="I1140" s="154"/>
      <c r="J1140" s="270"/>
      <c r="K1140" s="311">
        <f t="shared" si="323"/>
        <v>0</v>
      </c>
      <c r="L1140" s="312">
        <f t="shared" si="324"/>
        <v>0</v>
      </c>
      <c r="M1140" s="313">
        <f t="shared" si="325"/>
        <v>0</v>
      </c>
      <c r="N1140" s="320"/>
      <c r="O1140" s="315">
        <f t="shared" si="318"/>
        <v>0</v>
      </c>
      <c r="P1140" s="315">
        <f t="shared" si="319"/>
        <v>0</v>
      </c>
      <c r="Q1140" s="320"/>
      <c r="R1140" s="315">
        <f t="shared" si="316"/>
        <v>0</v>
      </c>
      <c r="S1140" s="315">
        <f t="shared" si="317"/>
        <v>0</v>
      </c>
      <c r="T1140" s="213"/>
      <c r="U1140" s="213"/>
      <c r="V1140" s="213"/>
      <c r="W1140" s="213"/>
      <c r="X1140" s="591"/>
      <c r="Y1140" s="591"/>
    </row>
    <row r="1141" spans="1:25" ht="14.85" customHeight="1">
      <c r="A1141" s="619"/>
      <c r="B1141" s="586"/>
      <c r="C1141" s="259"/>
      <c r="D1141" s="621"/>
      <c r="E1141" s="157"/>
      <c r="F1141" s="154"/>
      <c r="G1141" s="254"/>
      <c r="H1141" s="154"/>
      <c r="I1141" s="154"/>
      <c r="J1141" s="270"/>
      <c r="K1141" s="311">
        <f t="shared" si="323"/>
        <v>0</v>
      </c>
      <c r="L1141" s="312">
        <f t="shared" si="324"/>
        <v>0</v>
      </c>
      <c r="M1141" s="313">
        <f t="shared" si="325"/>
        <v>0</v>
      </c>
      <c r="N1141" s="320"/>
      <c r="O1141" s="315">
        <f t="shared" si="318"/>
        <v>0</v>
      </c>
      <c r="P1141" s="315">
        <f t="shared" si="319"/>
        <v>0</v>
      </c>
      <c r="Q1141" s="320"/>
      <c r="R1141" s="315">
        <f t="shared" si="316"/>
        <v>0</v>
      </c>
      <c r="S1141" s="315">
        <f t="shared" si="317"/>
        <v>0</v>
      </c>
      <c r="T1141" s="213"/>
      <c r="U1141" s="213"/>
      <c r="V1141" s="213"/>
      <c r="W1141" s="213"/>
      <c r="X1141" s="591"/>
      <c r="Y1141" s="591"/>
    </row>
    <row r="1142" spans="1:25" ht="14.85" customHeight="1">
      <c r="A1142" s="619"/>
      <c r="B1142" s="586"/>
      <c r="C1142" s="259"/>
      <c r="D1142" s="621"/>
      <c r="E1142" s="157"/>
      <c r="F1142" s="154"/>
      <c r="G1142" s="254"/>
      <c r="H1142" s="154"/>
      <c r="I1142" s="154"/>
      <c r="J1142" s="270"/>
      <c r="K1142" s="311">
        <f t="shared" si="323"/>
        <v>0</v>
      </c>
      <c r="L1142" s="312">
        <f t="shared" si="324"/>
        <v>0</v>
      </c>
      <c r="M1142" s="313">
        <f t="shared" si="325"/>
        <v>0</v>
      </c>
      <c r="N1142" s="320"/>
      <c r="O1142" s="315">
        <f t="shared" si="318"/>
        <v>0</v>
      </c>
      <c r="P1142" s="315">
        <f t="shared" si="319"/>
        <v>0</v>
      </c>
      <c r="Q1142" s="320"/>
      <c r="R1142" s="315">
        <f t="shared" si="316"/>
        <v>0</v>
      </c>
      <c r="S1142" s="315">
        <f t="shared" si="317"/>
        <v>0</v>
      </c>
      <c r="T1142" s="213"/>
      <c r="U1142" s="213"/>
      <c r="V1142" s="213"/>
      <c r="W1142" s="213"/>
      <c r="X1142" s="591"/>
      <c r="Y1142" s="591"/>
    </row>
    <row r="1143" spans="1:25" ht="14.85" customHeight="1">
      <c r="A1143" s="619"/>
      <c r="B1143" s="586"/>
      <c r="C1143" s="259"/>
      <c r="D1143" s="621"/>
      <c r="E1143" s="157"/>
      <c r="F1143" s="154"/>
      <c r="G1143" s="254"/>
      <c r="H1143" s="154"/>
      <c r="I1143" s="154"/>
      <c r="J1143" s="270"/>
      <c r="K1143" s="311">
        <f t="shared" si="323"/>
        <v>0</v>
      </c>
      <c r="L1143" s="312">
        <f t="shared" si="324"/>
        <v>0</v>
      </c>
      <c r="M1143" s="313">
        <f t="shared" si="325"/>
        <v>0</v>
      </c>
      <c r="N1143" s="320"/>
      <c r="O1143" s="315">
        <f t="shared" si="318"/>
        <v>0</v>
      </c>
      <c r="P1143" s="315">
        <f t="shared" si="319"/>
        <v>0</v>
      </c>
      <c r="Q1143" s="320"/>
      <c r="R1143" s="315">
        <f t="shared" si="316"/>
        <v>0</v>
      </c>
      <c r="S1143" s="315">
        <f t="shared" si="317"/>
        <v>0</v>
      </c>
      <c r="T1143" s="213"/>
      <c r="U1143" s="213"/>
      <c r="V1143" s="213"/>
      <c r="W1143" s="213"/>
      <c r="X1143" s="591"/>
      <c r="Y1143" s="591"/>
    </row>
    <row r="1144" spans="1:25" ht="14.85" customHeight="1">
      <c r="A1144" s="619"/>
      <c r="B1144" s="586"/>
      <c r="C1144" s="259"/>
      <c r="D1144" s="621"/>
      <c r="E1144" s="157"/>
      <c r="F1144" s="154"/>
      <c r="G1144" s="254"/>
      <c r="H1144" s="154"/>
      <c r="I1144" s="154"/>
      <c r="J1144" s="270"/>
      <c r="K1144" s="311">
        <f t="shared" si="323"/>
        <v>0</v>
      </c>
      <c r="L1144" s="312">
        <f t="shared" si="324"/>
        <v>0</v>
      </c>
      <c r="M1144" s="313">
        <f t="shared" si="325"/>
        <v>0</v>
      </c>
      <c r="N1144" s="320">
        <f>SUM(L1140:L1144)</f>
        <v>0</v>
      </c>
      <c r="O1144" s="315">
        <f t="shared" si="318"/>
        <v>0</v>
      </c>
      <c r="P1144" s="315">
        <f t="shared" si="319"/>
        <v>0</v>
      </c>
      <c r="Q1144" s="320">
        <f>N1139+N1144</f>
        <v>0</v>
      </c>
      <c r="R1144" s="315">
        <f t="shared" si="316"/>
        <v>0</v>
      </c>
      <c r="S1144" s="315">
        <f t="shared" si="317"/>
        <v>0</v>
      </c>
      <c r="T1144" s="213"/>
      <c r="U1144" s="213"/>
      <c r="V1144" s="213"/>
      <c r="W1144" s="213"/>
      <c r="X1144" s="591"/>
      <c r="Y1144" s="591"/>
    </row>
    <row r="1145" spans="1:25" ht="14.85" customHeight="1">
      <c r="A1145" s="619"/>
      <c r="B1145" s="586"/>
      <c r="C1145" s="259"/>
      <c r="D1145" s="621"/>
      <c r="E1145" s="157"/>
      <c r="F1145" s="154"/>
      <c r="G1145" s="254"/>
      <c r="H1145" s="154"/>
      <c r="I1145" s="154"/>
      <c r="J1145" s="270"/>
      <c r="K1145" s="311">
        <f t="shared" si="323"/>
        <v>0</v>
      </c>
      <c r="L1145" s="312">
        <f t="shared" si="324"/>
        <v>0</v>
      </c>
      <c r="M1145" s="313">
        <f t="shared" si="325"/>
        <v>0</v>
      </c>
      <c r="N1145" s="320"/>
      <c r="O1145" s="315"/>
      <c r="P1145" s="315"/>
      <c r="Q1145" s="320"/>
      <c r="R1145" s="315"/>
      <c r="S1145" s="315"/>
      <c r="T1145" s="213"/>
      <c r="U1145" s="213"/>
      <c r="V1145" s="213"/>
      <c r="W1145" s="213"/>
      <c r="X1145" s="591"/>
      <c r="Y1145" s="591"/>
    </row>
    <row r="1146" spans="1:25" ht="14.85" customHeight="1">
      <c r="A1146" s="619"/>
      <c r="B1146" s="586"/>
      <c r="C1146" s="259"/>
      <c r="D1146" s="621"/>
      <c r="E1146" s="240"/>
      <c r="F1146" s="154"/>
      <c r="G1146" s="230"/>
      <c r="H1146" s="231"/>
      <c r="I1146" s="154"/>
      <c r="J1146" s="270"/>
      <c r="K1146" s="311">
        <f t="shared" si="323"/>
        <v>0</v>
      </c>
      <c r="L1146" s="312">
        <f t="shared" si="324"/>
        <v>0</v>
      </c>
      <c r="M1146" s="313">
        <f t="shared" si="325"/>
        <v>0</v>
      </c>
      <c r="N1146" s="320"/>
      <c r="O1146" s="315">
        <f t="shared" si="318"/>
        <v>0</v>
      </c>
      <c r="P1146" s="315">
        <f t="shared" si="319"/>
        <v>0</v>
      </c>
      <c r="Q1146" s="320"/>
      <c r="R1146" s="315">
        <f t="shared" si="316"/>
        <v>0</v>
      </c>
      <c r="S1146" s="315">
        <f t="shared" si="317"/>
        <v>0</v>
      </c>
      <c r="T1146" s="213"/>
      <c r="U1146" s="213"/>
      <c r="V1146" s="213"/>
      <c r="W1146" s="213"/>
      <c r="X1146" s="591"/>
      <c r="Y1146" s="591"/>
    </row>
    <row r="1147" spans="1:25" ht="14.85" customHeight="1">
      <c r="A1147" s="619"/>
      <c r="B1147" s="586"/>
      <c r="C1147" s="259"/>
      <c r="D1147" s="621"/>
      <c r="E1147" s="241"/>
      <c r="F1147" s="154"/>
      <c r="G1147" s="231"/>
      <c r="H1147" s="231"/>
      <c r="I1147" s="154"/>
      <c r="J1147" s="270"/>
      <c r="K1147" s="311">
        <f t="shared" si="323"/>
        <v>0</v>
      </c>
      <c r="L1147" s="312">
        <f t="shared" si="324"/>
        <v>0</v>
      </c>
      <c r="M1147" s="313">
        <f t="shared" si="325"/>
        <v>0</v>
      </c>
      <c r="N1147" s="320"/>
      <c r="O1147" s="315">
        <f t="shared" si="318"/>
        <v>0</v>
      </c>
      <c r="P1147" s="315">
        <f t="shared" si="319"/>
        <v>0</v>
      </c>
      <c r="Q1147" s="320"/>
      <c r="R1147" s="315">
        <f t="shared" si="316"/>
        <v>0</v>
      </c>
      <c r="S1147" s="315">
        <f t="shared" si="317"/>
        <v>0</v>
      </c>
      <c r="T1147" s="213"/>
      <c r="U1147" s="213"/>
      <c r="V1147" s="213"/>
      <c r="W1147" s="213"/>
      <c r="X1147" s="591"/>
      <c r="Y1147" s="591"/>
    </row>
    <row r="1148" spans="1:25" ht="14.85" customHeight="1">
      <c r="A1148" s="619"/>
      <c r="B1148" s="586"/>
      <c r="C1148" s="259"/>
      <c r="D1148" s="621"/>
      <c r="E1148" s="241"/>
      <c r="F1148" s="154"/>
      <c r="G1148" s="231"/>
      <c r="H1148" s="231"/>
      <c r="I1148" s="154"/>
      <c r="J1148" s="270"/>
      <c r="K1148" s="311">
        <f t="shared" si="323"/>
        <v>0</v>
      </c>
      <c r="L1148" s="312">
        <f t="shared" si="324"/>
        <v>0</v>
      </c>
      <c r="M1148" s="313">
        <f t="shared" si="325"/>
        <v>0</v>
      </c>
      <c r="N1148" s="320"/>
      <c r="O1148" s="315">
        <f t="shared" si="318"/>
        <v>0</v>
      </c>
      <c r="P1148" s="315">
        <f t="shared" si="319"/>
        <v>0</v>
      </c>
      <c r="Q1148" s="320"/>
      <c r="R1148" s="315">
        <f t="shared" si="316"/>
        <v>0</v>
      </c>
      <c r="S1148" s="315">
        <f t="shared" si="317"/>
        <v>0</v>
      </c>
      <c r="T1148" s="213"/>
      <c r="U1148" s="213"/>
      <c r="V1148" s="213"/>
      <c r="W1148" s="213"/>
      <c r="X1148" s="591"/>
      <c r="Y1148" s="591"/>
    </row>
    <row r="1149" spans="1:25" ht="14.85" customHeight="1">
      <c r="A1149" s="619"/>
      <c r="B1149" s="586"/>
      <c r="C1149" s="259"/>
      <c r="D1149" s="621"/>
      <c r="E1149" s="241"/>
      <c r="F1149" s="154"/>
      <c r="G1149" s="231"/>
      <c r="H1149" s="231"/>
      <c r="I1149" s="154"/>
      <c r="J1149" s="270"/>
      <c r="K1149" s="311">
        <f t="shared" si="323"/>
        <v>0</v>
      </c>
      <c r="L1149" s="312">
        <f t="shared" si="324"/>
        <v>0</v>
      </c>
      <c r="M1149" s="313">
        <f t="shared" si="325"/>
        <v>0</v>
      </c>
      <c r="N1149" s="320">
        <f>SUM(L1146:L1149)</f>
        <v>0</v>
      </c>
      <c r="O1149" s="315">
        <f t="shared" si="318"/>
        <v>0</v>
      </c>
      <c r="P1149" s="315">
        <f t="shared" si="319"/>
        <v>0</v>
      </c>
      <c r="Q1149" s="320"/>
      <c r="R1149" s="315">
        <f t="shared" ref="R1149:R1369" si="326">ROUNDDOWN((Q1149/$O$11),0)</f>
        <v>0</v>
      </c>
      <c r="S1149" s="315">
        <f t="shared" ref="S1149:S1369" si="327">ROUND((Q1149-(R1149*$P$11)),0)</f>
        <v>0</v>
      </c>
      <c r="T1149" s="213"/>
      <c r="U1149" s="213"/>
      <c r="V1149" s="213"/>
      <c r="W1149" s="213"/>
      <c r="X1149" s="591"/>
      <c r="Y1149" s="591"/>
    </row>
    <row r="1150" spans="1:25" ht="14.85" customHeight="1">
      <c r="A1150" s="619"/>
      <c r="B1150" s="586"/>
      <c r="C1150" s="259"/>
      <c r="D1150" s="621"/>
      <c r="E1150" s="157"/>
      <c r="F1150" s="154"/>
      <c r="G1150" s="254"/>
      <c r="H1150" s="154"/>
      <c r="I1150" s="154"/>
      <c r="J1150" s="270"/>
      <c r="K1150" s="311">
        <f t="shared" si="323"/>
        <v>0</v>
      </c>
      <c r="L1150" s="312">
        <f t="shared" si="324"/>
        <v>0</v>
      </c>
      <c r="M1150" s="313">
        <f t="shared" si="325"/>
        <v>0</v>
      </c>
      <c r="N1150" s="320"/>
      <c r="O1150" s="315">
        <f t="shared" si="318"/>
        <v>0</v>
      </c>
      <c r="P1150" s="315">
        <f t="shared" si="319"/>
        <v>0</v>
      </c>
      <c r="Q1150" s="320"/>
      <c r="R1150" s="315">
        <f t="shared" si="326"/>
        <v>0</v>
      </c>
      <c r="S1150" s="315">
        <f t="shared" si="327"/>
        <v>0</v>
      </c>
      <c r="T1150" s="213"/>
      <c r="U1150" s="213"/>
      <c r="V1150" s="213"/>
      <c r="W1150" s="213"/>
      <c r="X1150" s="591"/>
      <c r="Y1150" s="591"/>
    </row>
    <row r="1151" spans="1:25" ht="14.85" customHeight="1">
      <c r="A1151" s="619"/>
      <c r="B1151" s="586"/>
      <c r="C1151" s="259"/>
      <c r="D1151" s="621"/>
      <c r="E1151" s="157"/>
      <c r="F1151" s="154"/>
      <c r="G1151" s="254"/>
      <c r="H1151" s="154"/>
      <c r="I1151" s="154"/>
      <c r="J1151" s="270"/>
      <c r="K1151" s="311">
        <f t="shared" si="323"/>
        <v>0</v>
      </c>
      <c r="L1151" s="312">
        <f t="shared" si="324"/>
        <v>0</v>
      </c>
      <c r="M1151" s="313">
        <f t="shared" si="325"/>
        <v>0</v>
      </c>
      <c r="N1151" s="320"/>
      <c r="O1151" s="315">
        <f t="shared" si="318"/>
        <v>0</v>
      </c>
      <c r="P1151" s="315">
        <f t="shared" si="319"/>
        <v>0</v>
      </c>
      <c r="Q1151" s="320"/>
      <c r="R1151" s="315">
        <f t="shared" si="326"/>
        <v>0</v>
      </c>
      <c r="S1151" s="315">
        <f t="shared" si="327"/>
        <v>0</v>
      </c>
      <c r="T1151" s="213"/>
      <c r="U1151" s="213"/>
      <c r="V1151" s="213"/>
      <c r="W1151" s="213"/>
      <c r="X1151" s="591"/>
      <c r="Y1151" s="591"/>
    </row>
    <row r="1152" spans="1:25" ht="14.85" customHeight="1">
      <c r="A1152" s="619"/>
      <c r="B1152" s="586"/>
      <c r="C1152" s="259"/>
      <c r="D1152" s="621"/>
      <c r="E1152" s="157"/>
      <c r="F1152" s="154"/>
      <c r="G1152" s="254"/>
      <c r="H1152" s="154"/>
      <c r="I1152" s="154"/>
      <c r="J1152" s="270"/>
      <c r="K1152" s="311">
        <f t="shared" si="323"/>
        <v>0</v>
      </c>
      <c r="L1152" s="312">
        <f t="shared" si="324"/>
        <v>0</v>
      </c>
      <c r="M1152" s="313">
        <f t="shared" si="325"/>
        <v>0</v>
      </c>
      <c r="N1152" s="320"/>
      <c r="O1152" s="315">
        <f t="shared" si="318"/>
        <v>0</v>
      </c>
      <c r="P1152" s="315">
        <f t="shared" si="319"/>
        <v>0</v>
      </c>
      <c r="Q1152" s="320"/>
      <c r="R1152" s="315">
        <f t="shared" si="326"/>
        <v>0</v>
      </c>
      <c r="S1152" s="315">
        <f t="shared" si="327"/>
        <v>0</v>
      </c>
      <c r="T1152" s="213"/>
      <c r="U1152" s="213"/>
      <c r="V1152" s="213"/>
      <c r="W1152" s="213"/>
      <c r="X1152" s="591"/>
      <c r="Y1152" s="591"/>
    </row>
    <row r="1153" spans="1:25" ht="14.85" customHeight="1">
      <c r="A1153" s="619"/>
      <c r="B1153" s="586"/>
      <c r="C1153" s="259"/>
      <c r="D1153" s="621"/>
      <c r="E1153" s="157"/>
      <c r="F1153" s="154"/>
      <c r="G1153" s="254"/>
      <c r="H1153" s="154"/>
      <c r="I1153" s="154"/>
      <c r="J1153" s="270"/>
      <c r="K1153" s="311">
        <f t="shared" si="323"/>
        <v>0</v>
      </c>
      <c r="L1153" s="312">
        <f t="shared" si="324"/>
        <v>0</v>
      </c>
      <c r="M1153" s="313">
        <f t="shared" si="325"/>
        <v>0</v>
      </c>
      <c r="N1153" s="320">
        <f>SUM(L1150:L1153)</f>
        <v>0</v>
      </c>
      <c r="O1153" s="315">
        <f t="shared" si="318"/>
        <v>0</v>
      </c>
      <c r="P1153" s="315">
        <f t="shared" si="319"/>
        <v>0</v>
      </c>
      <c r="Q1153" s="320"/>
      <c r="R1153" s="315">
        <f t="shared" si="326"/>
        <v>0</v>
      </c>
      <c r="S1153" s="315">
        <f t="shared" si="327"/>
        <v>0</v>
      </c>
      <c r="T1153" s="213"/>
      <c r="U1153" s="213"/>
      <c r="V1153" s="213"/>
      <c r="W1153" s="213"/>
      <c r="X1153" s="591"/>
      <c r="Y1153" s="591"/>
    </row>
    <row r="1154" spans="1:25" ht="14.85" customHeight="1">
      <c r="A1154" s="619"/>
      <c r="B1154" s="586"/>
      <c r="C1154" s="259"/>
      <c r="D1154" s="621"/>
      <c r="E1154" s="157"/>
      <c r="F1154" s="154"/>
      <c r="G1154" s="254"/>
      <c r="H1154" s="154"/>
      <c r="I1154" s="154"/>
      <c r="J1154" s="270"/>
      <c r="K1154" s="311">
        <f t="shared" si="323"/>
        <v>0</v>
      </c>
      <c r="L1154" s="312">
        <f t="shared" si="324"/>
        <v>0</v>
      </c>
      <c r="M1154" s="313">
        <f t="shared" si="325"/>
        <v>0</v>
      </c>
      <c r="N1154" s="320"/>
      <c r="O1154" s="315">
        <f t="shared" ref="O1154:O1296" si="328">ROUNDDOWN((N1154/$O$11),0)</f>
        <v>0</v>
      </c>
      <c r="P1154" s="315">
        <f t="shared" si="319"/>
        <v>0</v>
      </c>
      <c r="Q1154" s="320"/>
      <c r="R1154" s="315">
        <f t="shared" si="326"/>
        <v>0</v>
      </c>
      <c r="S1154" s="315">
        <f t="shared" si="327"/>
        <v>0</v>
      </c>
      <c r="T1154" s="213"/>
      <c r="U1154" s="213"/>
      <c r="V1154" s="213"/>
      <c r="W1154" s="213"/>
      <c r="X1154" s="591"/>
      <c r="Y1154" s="591"/>
    </row>
    <row r="1155" spans="1:25" ht="14.85" customHeight="1">
      <c r="A1155" s="619"/>
      <c r="B1155" s="586"/>
      <c r="C1155" s="259"/>
      <c r="D1155" s="621"/>
      <c r="E1155" s="157"/>
      <c r="F1155" s="154"/>
      <c r="G1155" s="254"/>
      <c r="H1155" s="154"/>
      <c r="I1155" s="154"/>
      <c r="J1155" s="270"/>
      <c r="K1155" s="311">
        <f t="shared" si="323"/>
        <v>0</v>
      </c>
      <c r="L1155" s="312">
        <f t="shared" si="324"/>
        <v>0</v>
      </c>
      <c r="M1155" s="313">
        <f t="shared" si="325"/>
        <v>0</v>
      </c>
      <c r="N1155" s="320"/>
      <c r="O1155" s="315">
        <f t="shared" si="328"/>
        <v>0</v>
      </c>
      <c r="P1155" s="315">
        <f t="shared" si="319"/>
        <v>0</v>
      </c>
      <c r="Q1155" s="320"/>
      <c r="R1155" s="315">
        <f t="shared" si="326"/>
        <v>0</v>
      </c>
      <c r="S1155" s="315">
        <f t="shared" si="327"/>
        <v>0</v>
      </c>
      <c r="T1155" s="213"/>
      <c r="U1155" s="213"/>
      <c r="V1155" s="213"/>
      <c r="W1155" s="213"/>
      <c r="X1155" s="591"/>
      <c r="Y1155" s="591"/>
    </row>
    <row r="1156" spans="1:25" ht="14.85" customHeight="1">
      <c r="A1156" s="619"/>
      <c r="B1156" s="586"/>
      <c r="C1156" s="259"/>
      <c r="D1156" s="621"/>
      <c r="E1156" s="157"/>
      <c r="F1156" s="154"/>
      <c r="G1156" s="254"/>
      <c r="H1156" s="154"/>
      <c r="I1156" s="154"/>
      <c r="J1156" s="270"/>
      <c r="K1156" s="311">
        <f t="shared" si="323"/>
        <v>0</v>
      </c>
      <c r="L1156" s="312">
        <f t="shared" si="324"/>
        <v>0</v>
      </c>
      <c r="M1156" s="313">
        <f t="shared" si="325"/>
        <v>0</v>
      </c>
      <c r="N1156" s="320"/>
      <c r="O1156" s="315">
        <f t="shared" si="328"/>
        <v>0</v>
      </c>
      <c r="P1156" s="315">
        <f t="shared" si="319"/>
        <v>0</v>
      </c>
      <c r="Q1156" s="320"/>
      <c r="R1156" s="315">
        <f t="shared" si="326"/>
        <v>0</v>
      </c>
      <c r="S1156" s="315">
        <f t="shared" si="327"/>
        <v>0</v>
      </c>
      <c r="T1156" s="213"/>
      <c r="U1156" s="213"/>
      <c r="V1156" s="213"/>
      <c r="W1156" s="213"/>
      <c r="X1156" s="591"/>
      <c r="Y1156" s="591"/>
    </row>
    <row r="1157" spans="1:25" ht="14.85" customHeight="1">
      <c r="A1157" s="619"/>
      <c r="B1157" s="586"/>
      <c r="C1157" s="259"/>
      <c r="D1157" s="621"/>
      <c r="E1157" s="157"/>
      <c r="F1157" s="154"/>
      <c r="G1157" s="254"/>
      <c r="H1157" s="154"/>
      <c r="I1157" s="154"/>
      <c r="J1157" s="270"/>
      <c r="K1157" s="311">
        <f t="shared" si="323"/>
        <v>0</v>
      </c>
      <c r="L1157" s="312">
        <f t="shared" si="324"/>
        <v>0</v>
      </c>
      <c r="M1157" s="313">
        <f t="shared" si="325"/>
        <v>0</v>
      </c>
      <c r="N1157" s="320"/>
      <c r="O1157" s="315">
        <f t="shared" si="328"/>
        <v>0</v>
      </c>
      <c r="P1157" s="315">
        <f t="shared" si="319"/>
        <v>0</v>
      </c>
      <c r="Q1157" s="320"/>
      <c r="R1157" s="315">
        <f t="shared" si="326"/>
        <v>0</v>
      </c>
      <c r="S1157" s="315">
        <f t="shared" si="327"/>
        <v>0</v>
      </c>
      <c r="T1157" s="213"/>
      <c r="U1157" s="213"/>
      <c r="V1157" s="213"/>
      <c r="W1157" s="213"/>
      <c r="X1157" s="591"/>
      <c r="Y1157" s="591"/>
    </row>
    <row r="1158" spans="1:25" ht="14.85" customHeight="1">
      <c r="A1158" s="619"/>
      <c r="B1158" s="586"/>
      <c r="C1158" s="259"/>
      <c r="D1158" s="621"/>
      <c r="E1158" s="157"/>
      <c r="F1158" s="154"/>
      <c r="G1158" s="254"/>
      <c r="H1158" s="154"/>
      <c r="I1158" s="154"/>
      <c r="J1158" s="270"/>
      <c r="K1158" s="311">
        <f t="shared" si="323"/>
        <v>0</v>
      </c>
      <c r="L1158" s="312">
        <f t="shared" si="324"/>
        <v>0</v>
      </c>
      <c r="M1158" s="313">
        <f t="shared" si="325"/>
        <v>0</v>
      </c>
      <c r="N1158" s="320"/>
      <c r="O1158" s="315">
        <f t="shared" si="328"/>
        <v>0</v>
      </c>
      <c r="P1158" s="315">
        <f t="shared" si="319"/>
        <v>0</v>
      </c>
      <c r="Q1158" s="320"/>
      <c r="R1158" s="315">
        <f t="shared" si="326"/>
        <v>0</v>
      </c>
      <c r="S1158" s="315">
        <f t="shared" si="327"/>
        <v>0</v>
      </c>
      <c r="T1158" s="213"/>
      <c r="U1158" s="213"/>
      <c r="V1158" s="213"/>
      <c r="W1158" s="213"/>
      <c r="X1158" s="591"/>
      <c r="Y1158" s="591"/>
    </row>
    <row r="1159" spans="1:25" ht="14.85" customHeight="1">
      <c r="A1159" s="619"/>
      <c r="B1159" s="586"/>
      <c r="C1159" s="259"/>
      <c r="D1159" s="621"/>
      <c r="E1159" s="157"/>
      <c r="F1159" s="154"/>
      <c r="G1159" s="254"/>
      <c r="H1159" s="154"/>
      <c r="I1159" s="154"/>
      <c r="J1159" s="270"/>
      <c r="K1159" s="311">
        <f t="shared" si="323"/>
        <v>0</v>
      </c>
      <c r="L1159" s="312">
        <f t="shared" si="324"/>
        <v>0</v>
      </c>
      <c r="M1159" s="313">
        <f t="shared" si="325"/>
        <v>0</v>
      </c>
      <c r="N1159" s="320">
        <f>SUM(L1154:L1159)</f>
        <v>0</v>
      </c>
      <c r="O1159" s="315">
        <f t="shared" si="328"/>
        <v>0</v>
      </c>
      <c r="P1159" s="315">
        <f t="shared" si="319"/>
        <v>0</v>
      </c>
      <c r="Q1159" s="320">
        <f>N1149+N1153+N1159</f>
        <v>0</v>
      </c>
      <c r="R1159" s="315">
        <f t="shared" si="326"/>
        <v>0</v>
      </c>
      <c r="S1159" s="315">
        <f t="shared" si="327"/>
        <v>0</v>
      </c>
      <c r="T1159" s="213"/>
      <c r="U1159" s="213"/>
      <c r="V1159" s="213"/>
      <c r="W1159" s="213"/>
      <c r="X1159" s="591"/>
      <c r="Y1159" s="591"/>
    </row>
    <row r="1160" spans="1:25" ht="14.85" customHeight="1">
      <c r="A1160" s="619"/>
      <c r="B1160" s="586"/>
      <c r="C1160" s="259"/>
      <c r="D1160" s="621"/>
      <c r="E1160" s="157"/>
      <c r="F1160" s="154"/>
      <c r="G1160" s="254"/>
      <c r="H1160" s="154"/>
      <c r="I1160" s="154"/>
      <c r="J1160" s="270"/>
      <c r="K1160" s="311">
        <f t="shared" si="323"/>
        <v>0</v>
      </c>
      <c r="L1160" s="312">
        <f t="shared" si="324"/>
        <v>0</v>
      </c>
      <c r="M1160" s="313">
        <f t="shared" si="325"/>
        <v>0</v>
      </c>
      <c r="N1160" s="320"/>
      <c r="O1160" s="315">
        <f t="shared" ref="O1160:O1223" si="329">ROUNDDOWN((N1160/$O$11),0)</f>
        <v>0</v>
      </c>
      <c r="P1160" s="315">
        <f t="shared" ref="P1160:P1223" si="330">ROUND((N1160-(O1160*$P$11)),0)</f>
        <v>0</v>
      </c>
      <c r="Q1160" s="320"/>
      <c r="R1160" s="315"/>
      <c r="S1160" s="315"/>
      <c r="T1160" s="213"/>
      <c r="U1160" s="213"/>
      <c r="V1160" s="213"/>
      <c r="W1160" s="213"/>
      <c r="X1160" s="591"/>
      <c r="Y1160" s="591"/>
    </row>
    <row r="1161" spans="1:25" ht="14.85" customHeight="1">
      <c r="A1161" s="619"/>
      <c r="B1161" s="586"/>
      <c r="C1161" s="259"/>
      <c r="D1161" s="621"/>
      <c r="E1161" s="157"/>
      <c r="F1161" s="154"/>
      <c r="G1161" s="230"/>
      <c r="H1161" s="231"/>
      <c r="I1161" s="154"/>
      <c r="J1161" s="270"/>
      <c r="K1161" s="311">
        <f t="shared" si="323"/>
        <v>0</v>
      </c>
      <c r="L1161" s="312">
        <f t="shared" si="324"/>
        <v>0</v>
      </c>
      <c r="M1161" s="313">
        <f t="shared" si="325"/>
        <v>0</v>
      </c>
      <c r="N1161" s="320"/>
      <c r="O1161" s="315">
        <f t="shared" si="329"/>
        <v>0</v>
      </c>
      <c r="P1161" s="315">
        <f t="shared" si="330"/>
        <v>0</v>
      </c>
      <c r="Q1161" s="320"/>
      <c r="R1161" s="315">
        <f t="shared" si="326"/>
        <v>0</v>
      </c>
      <c r="S1161" s="315">
        <f t="shared" si="327"/>
        <v>0</v>
      </c>
      <c r="T1161" s="213"/>
      <c r="U1161" s="213"/>
      <c r="V1161" s="213"/>
      <c r="W1161" s="213"/>
      <c r="X1161" s="591"/>
      <c r="Y1161" s="591"/>
    </row>
    <row r="1162" spans="1:25" ht="14.85" customHeight="1">
      <c r="A1162" s="619"/>
      <c r="B1162" s="586"/>
      <c r="C1162" s="259"/>
      <c r="D1162" s="621"/>
      <c r="E1162" s="157"/>
      <c r="F1162" s="154"/>
      <c r="G1162" s="231"/>
      <c r="H1162" s="231"/>
      <c r="I1162" s="154"/>
      <c r="J1162" s="270"/>
      <c r="K1162" s="311">
        <f t="shared" si="323"/>
        <v>0</v>
      </c>
      <c r="L1162" s="312">
        <f t="shared" si="324"/>
        <v>0</v>
      </c>
      <c r="M1162" s="313">
        <f t="shared" si="325"/>
        <v>0</v>
      </c>
      <c r="N1162" s="320"/>
      <c r="O1162" s="315">
        <f t="shared" si="329"/>
        <v>0</v>
      </c>
      <c r="P1162" s="315">
        <f t="shared" si="330"/>
        <v>0</v>
      </c>
      <c r="Q1162" s="320"/>
      <c r="R1162" s="315">
        <f t="shared" si="326"/>
        <v>0</v>
      </c>
      <c r="S1162" s="315">
        <f t="shared" si="327"/>
        <v>0</v>
      </c>
      <c r="T1162" s="213"/>
      <c r="U1162" s="213"/>
      <c r="V1162" s="213"/>
      <c r="W1162" s="213"/>
      <c r="X1162" s="591"/>
      <c r="Y1162" s="591"/>
    </row>
    <row r="1163" spans="1:25" ht="14.85" customHeight="1">
      <c r="A1163" s="619"/>
      <c r="B1163" s="586"/>
      <c r="C1163" s="259"/>
      <c r="D1163" s="621"/>
      <c r="E1163" s="157"/>
      <c r="F1163" s="154"/>
      <c r="G1163" s="231"/>
      <c r="H1163" s="231"/>
      <c r="I1163" s="154"/>
      <c r="J1163" s="270"/>
      <c r="K1163" s="311">
        <f t="shared" si="323"/>
        <v>0</v>
      </c>
      <c r="L1163" s="312">
        <f t="shared" si="324"/>
        <v>0</v>
      </c>
      <c r="M1163" s="313">
        <f t="shared" si="325"/>
        <v>0</v>
      </c>
      <c r="N1163" s="320"/>
      <c r="O1163" s="315">
        <f t="shared" si="329"/>
        <v>0</v>
      </c>
      <c r="P1163" s="315">
        <f t="shared" si="330"/>
        <v>0</v>
      </c>
      <c r="Q1163" s="320"/>
      <c r="R1163" s="315">
        <f t="shared" ref="R1163:R1227" si="331">ROUNDDOWN((Q1163/$O$11),0)</f>
        <v>0</v>
      </c>
      <c r="S1163" s="315">
        <f t="shared" ref="S1163:S1227" si="332">ROUND((Q1163-(R1163*$P$11)),0)</f>
        <v>0</v>
      </c>
      <c r="T1163" s="213"/>
      <c r="U1163" s="213"/>
      <c r="V1163" s="213"/>
      <c r="W1163" s="213"/>
      <c r="X1163" s="591"/>
      <c r="Y1163" s="591"/>
    </row>
    <row r="1164" spans="1:25" ht="14.85" customHeight="1">
      <c r="A1164" s="619"/>
      <c r="B1164" s="586"/>
      <c r="C1164" s="259"/>
      <c r="D1164" s="621"/>
      <c r="E1164" s="157"/>
      <c r="F1164" s="154"/>
      <c r="G1164" s="231"/>
      <c r="H1164" s="231"/>
      <c r="I1164" s="154"/>
      <c r="J1164" s="270"/>
      <c r="K1164" s="311">
        <f t="shared" si="323"/>
        <v>0</v>
      </c>
      <c r="L1164" s="312">
        <f t="shared" si="324"/>
        <v>0</v>
      </c>
      <c r="M1164" s="313">
        <f t="shared" si="325"/>
        <v>0</v>
      </c>
      <c r="N1164" s="320"/>
      <c r="O1164" s="315">
        <f t="shared" si="329"/>
        <v>0</v>
      </c>
      <c r="P1164" s="315">
        <f t="shared" si="330"/>
        <v>0</v>
      </c>
      <c r="Q1164" s="320"/>
      <c r="R1164" s="315">
        <f t="shared" si="331"/>
        <v>0</v>
      </c>
      <c r="S1164" s="315">
        <f t="shared" si="332"/>
        <v>0</v>
      </c>
      <c r="T1164" s="213"/>
      <c r="U1164" s="213"/>
      <c r="V1164" s="213"/>
      <c r="W1164" s="213"/>
      <c r="X1164" s="591"/>
      <c r="Y1164" s="591"/>
    </row>
    <row r="1165" spans="1:25" ht="14.85" customHeight="1">
      <c r="A1165" s="619"/>
      <c r="B1165" s="586"/>
      <c r="C1165" s="259"/>
      <c r="D1165" s="621"/>
      <c r="E1165" s="157"/>
      <c r="F1165" s="154"/>
      <c r="G1165" s="231"/>
      <c r="H1165" s="231"/>
      <c r="I1165" s="154"/>
      <c r="J1165" s="270"/>
      <c r="K1165" s="311">
        <f t="shared" si="323"/>
        <v>0</v>
      </c>
      <c r="L1165" s="312">
        <f t="shared" si="324"/>
        <v>0</v>
      </c>
      <c r="M1165" s="313">
        <f t="shared" si="325"/>
        <v>0</v>
      </c>
      <c r="N1165" s="320"/>
      <c r="O1165" s="315">
        <f t="shared" si="329"/>
        <v>0</v>
      </c>
      <c r="P1165" s="315">
        <f t="shared" si="330"/>
        <v>0</v>
      </c>
      <c r="Q1165" s="320"/>
      <c r="R1165" s="315">
        <f t="shared" si="331"/>
        <v>0</v>
      </c>
      <c r="S1165" s="315">
        <f t="shared" si="332"/>
        <v>0</v>
      </c>
      <c r="T1165" s="213"/>
      <c r="U1165" s="213"/>
      <c r="V1165" s="213"/>
      <c r="W1165" s="213"/>
      <c r="X1165" s="591"/>
      <c r="Y1165" s="591"/>
    </row>
    <row r="1166" spans="1:25" ht="14.85" customHeight="1">
      <c r="A1166" s="619"/>
      <c r="B1166" s="586"/>
      <c r="C1166" s="259"/>
      <c r="D1166" s="621"/>
      <c r="E1166" s="157"/>
      <c r="F1166" s="154"/>
      <c r="G1166" s="231"/>
      <c r="H1166" s="231"/>
      <c r="I1166" s="154"/>
      <c r="J1166" s="270"/>
      <c r="K1166" s="311">
        <f t="shared" si="323"/>
        <v>0</v>
      </c>
      <c r="L1166" s="312">
        <f t="shared" si="324"/>
        <v>0</v>
      </c>
      <c r="M1166" s="313">
        <f t="shared" si="325"/>
        <v>0</v>
      </c>
      <c r="N1166" s="320">
        <f>SUM(L1161:L1166)</f>
        <v>0</v>
      </c>
      <c r="O1166" s="315">
        <f t="shared" si="329"/>
        <v>0</v>
      </c>
      <c r="P1166" s="315">
        <f t="shared" si="330"/>
        <v>0</v>
      </c>
      <c r="Q1166" s="320"/>
      <c r="R1166" s="315">
        <f t="shared" si="331"/>
        <v>0</v>
      </c>
      <c r="S1166" s="315">
        <f t="shared" si="332"/>
        <v>0</v>
      </c>
      <c r="T1166" s="213"/>
      <c r="U1166" s="213"/>
      <c r="V1166" s="213"/>
      <c r="W1166" s="213"/>
      <c r="X1166" s="591"/>
      <c r="Y1166" s="591"/>
    </row>
    <row r="1167" spans="1:25" ht="14.85" customHeight="1">
      <c r="A1167" s="619"/>
      <c r="B1167" s="586"/>
      <c r="C1167" s="259"/>
      <c r="D1167" s="621"/>
      <c r="E1167" s="157"/>
      <c r="F1167" s="154"/>
      <c r="G1167" s="254"/>
      <c r="H1167" s="154"/>
      <c r="I1167" s="154"/>
      <c r="J1167" s="270"/>
      <c r="K1167" s="311">
        <f t="shared" si="323"/>
        <v>0</v>
      </c>
      <c r="L1167" s="312">
        <f t="shared" si="324"/>
        <v>0</v>
      </c>
      <c r="M1167" s="313">
        <f t="shared" si="325"/>
        <v>0</v>
      </c>
      <c r="N1167" s="320"/>
      <c r="O1167" s="315">
        <f t="shared" si="329"/>
        <v>0</v>
      </c>
      <c r="P1167" s="315">
        <f t="shared" si="330"/>
        <v>0</v>
      </c>
      <c r="Q1167" s="320"/>
      <c r="R1167" s="315">
        <f t="shared" si="331"/>
        <v>0</v>
      </c>
      <c r="S1167" s="315">
        <f t="shared" si="332"/>
        <v>0</v>
      </c>
      <c r="T1167" s="213"/>
      <c r="U1167" s="213"/>
      <c r="V1167" s="213"/>
      <c r="W1167" s="213"/>
      <c r="X1167" s="591"/>
      <c r="Y1167" s="591"/>
    </row>
    <row r="1168" spans="1:25" ht="14.85" customHeight="1">
      <c r="A1168" s="619"/>
      <c r="B1168" s="586"/>
      <c r="C1168" s="259"/>
      <c r="D1168" s="621"/>
      <c r="E1168" s="157"/>
      <c r="F1168" s="154"/>
      <c r="G1168" s="254"/>
      <c r="H1168" s="154"/>
      <c r="I1168" s="154"/>
      <c r="J1168" s="270"/>
      <c r="K1168" s="311">
        <f t="shared" si="323"/>
        <v>0</v>
      </c>
      <c r="L1168" s="312">
        <f t="shared" si="324"/>
        <v>0</v>
      </c>
      <c r="M1168" s="313">
        <f t="shared" si="325"/>
        <v>0</v>
      </c>
      <c r="N1168" s="320"/>
      <c r="O1168" s="315">
        <f t="shared" si="329"/>
        <v>0</v>
      </c>
      <c r="P1168" s="315">
        <f t="shared" si="330"/>
        <v>0</v>
      </c>
      <c r="Q1168" s="320"/>
      <c r="R1168" s="315">
        <f t="shared" si="331"/>
        <v>0</v>
      </c>
      <c r="S1168" s="315">
        <f t="shared" si="332"/>
        <v>0</v>
      </c>
      <c r="T1168" s="213"/>
      <c r="U1168" s="213"/>
      <c r="V1168" s="213"/>
      <c r="W1168" s="213"/>
      <c r="X1168" s="591"/>
      <c r="Y1168" s="591"/>
    </row>
    <row r="1169" spans="1:25" ht="14.85" customHeight="1">
      <c r="A1169" s="619"/>
      <c r="B1169" s="586"/>
      <c r="C1169" s="259"/>
      <c r="D1169" s="621"/>
      <c r="E1169" s="157"/>
      <c r="F1169" s="154"/>
      <c r="G1169" s="254"/>
      <c r="H1169" s="154"/>
      <c r="I1169" s="154"/>
      <c r="J1169" s="270"/>
      <c r="K1169" s="311">
        <f t="shared" si="323"/>
        <v>0</v>
      </c>
      <c r="L1169" s="312">
        <f t="shared" si="324"/>
        <v>0</v>
      </c>
      <c r="M1169" s="313">
        <f t="shared" si="325"/>
        <v>0</v>
      </c>
      <c r="N1169" s="320"/>
      <c r="O1169" s="315">
        <f t="shared" si="329"/>
        <v>0</v>
      </c>
      <c r="P1169" s="315">
        <f t="shared" si="330"/>
        <v>0</v>
      </c>
      <c r="Q1169" s="320"/>
      <c r="R1169" s="315">
        <f t="shared" si="331"/>
        <v>0</v>
      </c>
      <c r="S1169" s="315">
        <f t="shared" si="332"/>
        <v>0</v>
      </c>
      <c r="T1169" s="213"/>
      <c r="U1169" s="213"/>
      <c r="V1169" s="213"/>
      <c r="W1169" s="213"/>
      <c r="X1169" s="591"/>
      <c r="Y1169" s="591"/>
    </row>
    <row r="1170" spans="1:25" ht="14.85" customHeight="1">
      <c r="A1170" s="619"/>
      <c r="B1170" s="586"/>
      <c r="C1170" s="259"/>
      <c r="D1170" s="621"/>
      <c r="E1170" s="157"/>
      <c r="F1170" s="154"/>
      <c r="G1170" s="254"/>
      <c r="H1170" s="154"/>
      <c r="I1170" s="154"/>
      <c r="J1170" s="270"/>
      <c r="K1170" s="311">
        <f t="shared" si="323"/>
        <v>0</v>
      </c>
      <c r="L1170" s="312">
        <f t="shared" si="324"/>
        <v>0</v>
      </c>
      <c r="M1170" s="313">
        <f t="shared" si="325"/>
        <v>0</v>
      </c>
      <c r="N1170" s="320"/>
      <c r="O1170" s="315">
        <f t="shared" si="329"/>
        <v>0</v>
      </c>
      <c r="P1170" s="315">
        <f t="shared" si="330"/>
        <v>0</v>
      </c>
      <c r="Q1170" s="320"/>
      <c r="R1170" s="315">
        <f t="shared" si="331"/>
        <v>0</v>
      </c>
      <c r="S1170" s="315">
        <f t="shared" si="332"/>
        <v>0</v>
      </c>
      <c r="T1170" s="213"/>
      <c r="U1170" s="213"/>
      <c r="V1170" s="213"/>
      <c r="W1170" s="213"/>
      <c r="X1170" s="591"/>
      <c r="Y1170" s="591"/>
    </row>
    <row r="1171" spans="1:25" ht="14.85" customHeight="1">
      <c r="A1171" s="619"/>
      <c r="B1171" s="586"/>
      <c r="C1171" s="259"/>
      <c r="D1171" s="621"/>
      <c r="E1171" s="157"/>
      <c r="F1171" s="154"/>
      <c r="G1171" s="254"/>
      <c r="H1171" s="154"/>
      <c r="I1171" s="154"/>
      <c r="J1171" s="270"/>
      <c r="K1171" s="311">
        <f t="shared" si="323"/>
        <v>0</v>
      </c>
      <c r="L1171" s="312">
        <f t="shared" si="324"/>
        <v>0</v>
      </c>
      <c r="M1171" s="313">
        <f t="shared" si="325"/>
        <v>0</v>
      </c>
      <c r="N1171" s="320"/>
      <c r="O1171" s="315">
        <f t="shared" si="329"/>
        <v>0</v>
      </c>
      <c r="P1171" s="315">
        <f t="shared" si="330"/>
        <v>0</v>
      </c>
      <c r="Q1171" s="320"/>
      <c r="R1171" s="315">
        <f t="shared" si="331"/>
        <v>0</v>
      </c>
      <c r="S1171" s="315">
        <f t="shared" si="332"/>
        <v>0</v>
      </c>
      <c r="T1171" s="213"/>
      <c r="U1171" s="213"/>
      <c r="V1171" s="213"/>
      <c r="W1171" s="213"/>
      <c r="X1171" s="591"/>
      <c r="Y1171" s="591"/>
    </row>
    <row r="1172" spans="1:25" ht="14.85" customHeight="1">
      <c r="A1172" s="619"/>
      <c r="B1172" s="586"/>
      <c r="C1172" s="259"/>
      <c r="D1172" s="621"/>
      <c r="E1172" s="157"/>
      <c r="F1172" s="154"/>
      <c r="G1172" s="254"/>
      <c r="H1172" s="154"/>
      <c r="I1172" s="154"/>
      <c r="J1172" s="270"/>
      <c r="K1172" s="311">
        <f t="shared" si="323"/>
        <v>0</v>
      </c>
      <c r="L1172" s="312">
        <f t="shared" si="324"/>
        <v>0</v>
      </c>
      <c r="M1172" s="313">
        <f t="shared" si="325"/>
        <v>0</v>
      </c>
      <c r="N1172" s="320"/>
      <c r="O1172" s="315">
        <f t="shared" si="329"/>
        <v>0</v>
      </c>
      <c r="P1172" s="315">
        <f t="shared" si="330"/>
        <v>0</v>
      </c>
      <c r="Q1172" s="320"/>
      <c r="R1172" s="315">
        <f t="shared" si="331"/>
        <v>0</v>
      </c>
      <c r="S1172" s="315">
        <f t="shared" si="332"/>
        <v>0</v>
      </c>
      <c r="T1172" s="213"/>
      <c r="U1172" s="213"/>
      <c r="V1172" s="213"/>
      <c r="W1172" s="213"/>
      <c r="X1172" s="591"/>
      <c r="Y1172" s="591"/>
    </row>
    <row r="1173" spans="1:25" ht="14.85" customHeight="1">
      <c r="A1173" s="619"/>
      <c r="B1173" s="586"/>
      <c r="C1173" s="259"/>
      <c r="D1173" s="621"/>
      <c r="E1173" s="157"/>
      <c r="F1173" s="154"/>
      <c r="G1173" s="254"/>
      <c r="H1173" s="154"/>
      <c r="I1173" s="154"/>
      <c r="J1173" s="270"/>
      <c r="K1173" s="311">
        <f t="shared" si="323"/>
        <v>0</v>
      </c>
      <c r="L1173" s="312">
        <f t="shared" si="324"/>
        <v>0</v>
      </c>
      <c r="M1173" s="313">
        <f t="shared" si="325"/>
        <v>0</v>
      </c>
      <c r="N1173" s="320"/>
      <c r="O1173" s="315">
        <f t="shared" si="329"/>
        <v>0</v>
      </c>
      <c r="P1173" s="315">
        <f t="shared" si="330"/>
        <v>0</v>
      </c>
      <c r="Q1173" s="320"/>
      <c r="R1173" s="315">
        <f t="shared" si="331"/>
        <v>0</v>
      </c>
      <c r="S1173" s="315">
        <f t="shared" si="332"/>
        <v>0</v>
      </c>
      <c r="T1173" s="213"/>
      <c r="U1173" s="213"/>
      <c r="V1173" s="213"/>
      <c r="W1173" s="213"/>
      <c r="X1173" s="591"/>
      <c r="Y1173" s="591"/>
    </row>
    <row r="1174" spans="1:25" ht="14.85" customHeight="1">
      <c r="A1174" s="619"/>
      <c r="B1174" s="586"/>
      <c r="C1174" s="259"/>
      <c r="D1174" s="621"/>
      <c r="E1174" s="157"/>
      <c r="F1174" s="154"/>
      <c r="G1174" s="254"/>
      <c r="H1174" s="154"/>
      <c r="I1174" s="154"/>
      <c r="J1174" s="270"/>
      <c r="K1174" s="311">
        <f t="shared" si="323"/>
        <v>0</v>
      </c>
      <c r="L1174" s="312">
        <f t="shared" si="324"/>
        <v>0</v>
      </c>
      <c r="M1174" s="313">
        <f t="shared" si="325"/>
        <v>0</v>
      </c>
      <c r="N1174" s="320">
        <f>SUM(L1167:L1174)</f>
        <v>0</v>
      </c>
      <c r="O1174" s="315">
        <f t="shared" si="329"/>
        <v>0</v>
      </c>
      <c r="P1174" s="315">
        <f t="shared" si="330"/>
        <v>0</v>
      </c>
      <c r="Q1174" s="320">
        <f>N1166+N1174</f>
        <v>0</v>
      </c>
      <c r="R1174" s="315">
        <f t="shared" si="331"/>
        <v>0</v>
      </c>
      <c r="S1174" s="315">
        <f t="shared" si="332"/>
        <v>0</v>
      </c>
      <c r="T1174" s="213"/>
      <c r="U1174" s="213"/>
      <c r="V1174" s="213"/>
      <c r="W1174" s="213"/>
      <c r="X1174" s="591"/>
      <c r="Y1174" s="591"/>
    </row>
    <row r="1175" spans="1:25" ht="14.85" customHeight="1">
      <c r="A1175" s="619"/>
      <c r="B1175" s="586"/>
      <c r="C1175" s="259"/>
      <c r="D1175" s="621"/>
      <c r="E1175" s="157"/>
      <c r="F1175" s="154"/>
      <c r="G1175" s="254"/>
      <c r="H1175" s="154"/>
      <c r="I1175" s="154"/>
      <c r="J1175" s="270"/>
      <c r="K1175" s="311">
        <f t="shared" si="323"/>
        <v>0</v>
      </c>
      <c r="L1175" s="312">
        <f t="shared" si="324"/>
        <v>0</v>
      </c>
      <c r="M1175" s="313">
        <f t="shared" si="325"/>
        <v>0</v>
      </c>
      <c r="N1175" s="320"/>
      <c r="O1175" s="315">
        <f t="shared" si="329"/>
        <v>0</v>
      </c>
      <c r="P1175" s="315">
        <f t="shared" si="330"/>
        <v>0</v>
      </c>
      <c r="Q1175" s="320"/>
      <c r="R1175" s="315">
        <f t="shared" si="331"/>
        <v>0</v>
      </c>
      <c r="S1175" s="315">
        <f t="shared" si="332"/>
        <v>0</v>
      </c>
      <c r="T1175" s="213"/>
      <c r="U1175" s="213"/>
      <c r="V1175" s="213"/>
      <c r="W1175" s="213"/>
      <c r="X1175" s="591"/>
      <c r="Y1175" s="591"/>
    </row>
    <row r="1176" spans="1:25" ht="14.85" customHeight="1">
      <c r="A1176" s="619"/>
      <c r="B1176" s="586"/>
      <c r="C1176" s="259"/>
      <c r="D1176" s="621"/>
      <c r="E1176" s="157"/>
      <c r="F1176" s="154"/>
      <c r="G1176" s="254"/>
      <c r="H1176" s="154"/>
      <c r="I1176" s="154"/>
      <c r="J1176" s="270"/>
      <c r="K1176" s="311">
        <f t="shared" si="323"/>
        <v>0</v>
      </c>
      <c r="L1176" s="312">
        <f t="shared" si="324"/>
        <v>0</v>
      </c>
      <c r="M1176" s="313">
        <f t="shared" si="325"/>
        <v>0</v>
      </c>
      <c r="N1176" s="320"/>
      <c r="O1176" s="315">
        <f t="shared" si="329"/>
        <v>0</v>
      </c>
      <c r="P1176" s="315">
        <f t="shared" si="330"/>
        <v>0</v>
      </c>
      <c r="Q1176" s="320"/>
      <c r="R1176" s="315">
        <f t="shared" si="331"/>
        <v>0</v>
      </c>
      <c r="S1176" s="315">
        <f t="shared" si="332"/>
        <v>0</v>
      </c>
      <c r="T1176" s="213"/>
      <c r="U1176" s="213"/>
      <c r="V1176" s="213"/>
      <c r="W1176" s="213"/>
      <c r="X1176" s="591"/>
      <c r="Y1176" s="591"/>
    </row>
    <row r="1177" spans="1:25" ht="14.85" customHeight="1">
      <c r="A1177" s="619"/>
      <c r="B1177" s="586"/>
      <c r="C1177" s="259"/>
      <c r="D1177" s="621"/>
      <c r="E1177" s="157"/>
      <c r="F1177" s="154"/>
      <c r="G1177" s="254"/>
      <c r="H1177" s="154"/>
      <c r="I1177" s="154"/>
      <c r="J1177" s="270"/>
      <c r="K1177" s="311">
        <f t="shared" si="323"/>
        <v>0</v>
      </c>
      <c r="L1177" s="312">
        <f t="shared" si="324"/>
        <v>0</v>
      </c>
      <c r="M1177" s="313">
        <f t="shared" si="325"/>
        <v>0</v>
      </c>
      <c r="N1177" s="320"/>
      <c r="O1177" s="315">
        <f t="shared" si="329"/>
        <v>0</v>
      </c>
      <c r="P1177" s="315">
        <f t="shared" si="330"/>
        <v>0</v>
      </c>
      <c r="Q1177" s="320"/>
      <c r="R1177" s="315">
        <f t="shared" si="331"/>
        <v>0</v>
      </c>
      <c r="S1177" s="315">
        <f t="shared" si="332"/>
        <v>0</v>
      </c>
      <c r="T1177" s="213"/>
      <c r="U1177" s="213"/>
      <c r="V1177" s="213"/>
      <c r="W1177" s="213"/>
      <c r="X1177" s="591"/>
      <c r="Y1177" s="591"/>
    </row>
    <row r="1178" spans="1:25" ht="14.85" customHeight="1">
      <c r="A1178" s="619"/>
      <c r="B1178" s="586"/>
      <c r="C1178" s="259"/>
      <c r="D1178" s="621"/>
      <c r="E1178" s="157"/>
      <c r="F1178" s="154"/>
      <c r="G1178" s="254"/>
      <c r="H1178" s="154"/>
      <c r="I1178" s="154"/>
      <c r="J1178" s="270"/>
      <c r="K1178" s="311">
        <f t="shared" si="323"/>
        <v>0</v>
      </c>
      <c r="L1178" s="312">
        <f t="shared" si="324"/>
        <v>0</v>
      </c>
      <c r="M1178" s="313">
        <f t="shared" si="325"/>
        <v>0</v>
      </c>
      <c r="N1178" s="320">
        <f>SUM(L1176:L1178)</f>
        <v>0</v>
      </c>
      <c r="O1178" s="315">
        <f t="shared" si="329"/>
        <v>0</v>
      </c>
      <c r="P1178" s="315">
        <f t="shared" si="330"/>
        <v>0</v>
      </c>
      <c r="Q1178" s="320"/>
      <c r="R1178" s="315">
        <f t="shared" si="331"/>
        <v>0</v>
      </c>
      <c r="S1178" s="315">
        <f t="shared" si="332"/>
        <v>0</v>
      </c>
      <c r="T1178" s="213"/>
      <c r="U1178" s="213"/>
      <c r="V1178" s="213"/>
      <c r="W1178" s="213"/>
      <c r="X1178" s="591"/>
      <c r="Y1178" s="591"/>
    </row>
    <row r="1179" spans="1:25" ht="14.85" customHeight="1">
      <c r="A1179" s="619"/>
      <c r="B1179" s="586"/>
      <c r="C1179" s="259"/>
      <c r="D1179" s="621"/>
      <c r="E1179" s="157"/>
      <c r="F1179" s="154"/>
      <c r="G1179" s="254"/>
      <c r="H1179" s="154"/>
      <c r="I1179" s="154"/>
      <c r="J1179" s="270"/>
      <c r="K1179" s="311">
        <f t="shared" si="323"/>
        <v>0</v>
      </c>
      <c r="L1179" s="312">
        <f t="shared" si="324"/>
        <v>0</v>
      </c>
      <c r="M1179" s="313">
        <f t="shared" si="325"/>
        <v>0</v>
      </c>
      <c r="N1179" s="320"/>
      <c r="O1179" s="315">
        <f t="shared" si="329"/>
        <v>0</v>
      </c>
      <c r="P1179" s="315">
        <f t="shared" si="330"/>
        <v>0</v>
      </c>
      <c r="Q1179" s="320"/>
      <c r="R1179" s="315">
        <f t="shared" si="331"/>
        <v>0</v>
      </c>
      <c r="S1179" s="315">
        <f t="shared" si="332"/>
        <v>0</v>
      </c>
      <c r="T1179" s="213"/>
      <c r="U1179" s="213"/>
      <c r="V1179" s="213"/>
      <c r="W1179" s="213"/>
      <c r="X1179" s="591"/>
      <c r="Y1179" s="591"/>
    </row>
    <row r="1180" spans="1:25" ht="14.85" customHeight="1">
      <c r="A1180" s="619"/>
      <c r="B1180" s="586"/>
      <c r="C1180" s="259"/>
      <c r="D1180" s="621"/>
      <c r="E1180" s="157"/>
      <c r="F1180" s="154"/>
      <c r="G1180" s="254"/>
      <c r="H1180" s="154"/>
      <c r="I1180" s="154"/>
      <c r="J1180" s="270"/>
      <c r="K1180" s="311">
        <f t="shared" si="323"/>
        <v>0</v>
      </c>
      <c r="L1180" s="312">
        <f t="shared" si="324"/>
        <v>0</v>
      </c>
      <c r="M1180" s="313">
        <f t="shared" si="325"/>
        <v>0</v>
      </c>
      <c r="N1180" s="320"/>
      <c r="O1180" s="315">
        <f t="shared" si="329"/>
        <v>0</v>
      </c>
      <c r="P1180" s="315">
        <f t="shared" si="330"/>
        <v>0</v>
      </c>
      <c r="Q1180" s="320"/>
      <c r="R1180" s="315">
        <f t="shared" si="331"/>
        <v>0</v>
      </c>
      <c r="S1180" s="315">
        <f t="shared" si="332"/>
        <v>0</v>
      </c>
      <c r="T1180" s="213"/>
      <c r="U1180" s="213"/>
      <c r="V1180" s="213"/>
      <c r="W1180" s="213"/>
      <c r="X1180" s="591"/>
      <c r="Y1180" s="591"/>
    </row>
    <row r="1181" spans="1:25" ht="14.85" customHeight="1">
      <c r="A1181" s="619"/>
      <c r="B1181" s="586"/>
      <c r="C1181" s="259"/>
      <c r="D1181" s="621"/>
      <c r="E1181" s="157"/>
      <c r="F1181" s="154"/>
      <c r="G1181" s="254"/>
      <c r="H1181" s="154"/>
      <c r="I1181" s="154"/>
      <c r="J1181" s="270"/>
      <c r="K1181" s="311">
        <f t="shared" si="323"/>
        <v>0</v>
      </c>
      <c r="L1181" s="312">
        <f t="shared" si="324"/>
        <v>0</v>
      </c>
      <c r="M1181" s="313">
        <f t="shared" si="325"/>
        <v>0</v>
      </c>
      <c r="N1181" s="320"/>
      <c r="O1181" s="315">
        <f t="shared" si="329"/>
        <v>0</v>
      </c>
      <c r="P1181" s="315">
        <f t="shared" si="330"/>
        <v>0</v>
      </c>
      <c r="Q1181" s="320"/>
      <c r="R1181" s="315">
        <f t="shared" si="331"/>
        <v>0</v>
      </c>
      <c r="S1181" s="315">
        <f t="shared" si="332"/>
        <v>0</v>
      </c>
      <c r="T1181" s="213"/>
      <c r="U1181" s="213"/>
      <c r="V1181" s="213"/>
      <c r="W1181" s="213"/>
      <c r="X1181" s="591"/>
      <c r="Y1181" s="591"/>
    </row>
    <row r="1182" spans="1:25" ht="14.85" customHeight="1">
      <c r="A1182" s="619"/>
      <c r="B1182" s="586"/>
      <c r="C1182" s="259"/>
      <c r="D1182" s="621"/>
      <c r="E1182" s="157"/>
      <c r="F1182" s="154"/>
      <c r="G1182" s="254"/>
      <c r="H1182" s="154"/>
      <c r="I1182" s="154"/>
      <c r="J1182" s="270"/>
      <c r="K1182" s="311">
        <f t="shared" si="323"/>
        <v>0</v>
      </c>
      <c r="L1182" s="312">
        <f t="shared" si="324"/>
        <v>0</v>
      </c>
      <c r="M1182" s="313">
        <f t="shared" si="325"/>
        <v>0</v>
      </c>
      <c r="N1182" s="320">
        <f>SUM(L1180:L1182)</f>
        <v>0</v>
      </c>
      <c r="O1182" s="315">
        <f t="shared" si="329"/>
        <v>0</v>
      </c>
      <c r="P1182" s="315">
        <f t="shared" si="330"/>
        <v>0</v>
      </c>
      <c r="Q1182" s="320">
        <f>SUM(N1178+N1182)</f>
        <v>0</v>
      </c>
      <c r="R1182" s="315">
        <f t="shared" si="331"/>
        <v>0</v>
      </c>
      <c r="S1182" s="315">
        <f t="shared" si="332"/>
        <v>0</v>
      </c>
      <c r="T1182" s="213"/>
      <c r="U1182" s="213"/>
      <c r="V1182" s="213"/>
      <c r="W1182" s="213"/>
      <c r="X1182" s="591"/>
      <c r="Y1182" s="591"/>
    </row>
    <row r="1183" spans="1:25" ht="14.85" customHeight="1">
      <c r="A1183" s="619"/>
      <c r="B1183" s="586"/>
      <c r="C1183" s="259"/>
      <c r="D1183" s="621"/>
      <c r="E1183" s="240"/>
      <c r="F1183" s="273"/>
      <c r="G1183" s="230"/>
      <c r="H1183" s="231"/>
      <c r="I1183" s="155"/>
      <c r="J1183" s="270"/>
      <c r="K1183" s="311">
        <f t="shared" si="323"/>
        <v>0</v>
      </c>
      <c r="L1183" s="312">
        <f t="shared" si="324"/>
        <v>0</v>
      </c>
      <c r="M1183" s="313">
        <f t="shared" si="325"/>
        <v>0</v>
      </c>
      <c r="N1183" s="320">
        <f>L1183</f>
        <v>0</v>
      </c>
      <c r="O1183" s="315">
        <f t="shared" si="329"/>
        <v>0</v>
      </c>
      <c r="P1183" s="315">
        <f t="shared" si="330"/>
        <v>0</v>
      </c>
      <c r="Q1183" s="320"/>
      <c r="R1183" s="315">
        <f t="shared" si="331"/>
        <v>0</v>
      </c>
      <c r="S1183" s="315">
        <f t="shared" si="332"/>
        <v>0</v>
      </c>
      <c r="T1183" s="213"/>
      <c r="U1183" s="213"/>
      <c r="V1183" s="213"/>
      <c r="W1183" s="213"/>
      <c r="X1183" s="591"/>
      <c r="Y1183" s="591"/>
    </row>
    <row r="1184" spans="1:25" ht="14.85" customHeight="1">
      <c r="A1184" s="619"/>
      <c r="B1184" s="586"/>
      <c r="C1184" s="259"/>
      <c r="D1184" s="621"/>
      <c r="E1184" s="157"/>
      <c r="F1184" s="273"/>
      <c r="G1184" s="254"/>
      <c r="H1184" s="154"/>
      <c r="I1184" s="155"/>
      <c r="J1184" s="270"/>
      <c r="K1184" s="311">
        <f t="shared" ref="K1184:K1248" si="333">J1184/$K$11</f>
        <v>0</v>
      </c>
      <c r="L1184" s="312">
        <f t="shared" ref="L1184:L1248" si="334">J1184/$L$11</f>
        <v>0</v>
      </c>
      <c r="M1184" s="313">
        <f t="shared" ref="M1184:M1248" si="335">ROUND((L1184/$M$11),0)</f>
        <v>0</v>
      </c>
      <c r="N1184" s="320"/>
      <c r="O1184" s="315">
        <f t="shared" si="329"/>
        <v>0</v>
      </c>
      <c r="P1184" s="315">
        <f t="shared" si="330"/>
        <v>0</v>
      </c>
      <c r="Q1184" s="320"/>
      <c r="R1184" s="315">
        <f t="shared" si="331"/>
        <v>0</v>
      </c>
      <c r="S1184" s="315">
        <f t="shared" si="332"/>
        <v>0</v>
      </c>
      <c r="T1184" s="213"/>
      <c r="U1184" s="213"/>
      <c r="V1184" s="213"/>
      <c r="W1184" s="213"/>
      <c r="X1184" s="591"/>
      <c r="Y1184" s="591"/>
    </row>
    <row r="1185" spans="1:25" ht="14.85" customHeight="1">
      <c r="A1185" s="619"/>
      <c r="B1185" s="586"/>
      <c r="C1185" s="259"/>
      <c r="D1185" s="621"/>
      <c r="E1185" s="157"/>
      <c r="F1185" s="273"/>
      <c r="G1185" s="254"/>
      <c r="H1185" s="154"/>
      <c r="I1185" s="155"/>
      <c r="J1185" s="270"/>
      <c r="K1185" s="311">
        <f t="shared" si="333"/>
        <v>0</v>
      </c>
      <c r="L1185" s="312">
        <f t="shared" si="334"/>
        <v>0</v>
      </c>
      <c r="M1185" s="313">
        <f t="shared" si="335"/>
        <v>0</v>
      </c>
      <c r="N1185" s="320"/>
      <c r="O1185" s="315">
        <f t="shared" si="329"/>
        <v>0</v>
      </c>
      <c r="P1185" s="315">
        <f t="shared" si="330"/>
        <v>0</v>
      </c>
      <c r="Q1185" s="320"/>
      <c r="R1185" s="315">
        <f t="shared" si="331"/>
        <v>0</v>
      </c>
      <c r="S1185" s="315">
        <f t="shared" si="332"/>
        <v>0</v>
      </c>
      <c r="T1185" s="213"/>
      <c r="U1185" s="213"/>
      <c r="V1185" s="213"/>
      <c r="W1185" s="213"/>
      <c r="X1185" s="591"/>
      <c r="Y1185" s="591"/>
    </row>
    <row r="1186" spans="1:25" ht="14.85" customHeight="1">
      <c r="A1186" s="619"/>
      <c r="B1186" s="586"/>
      <c r="C1186" s="259"/>
      <c r="D1186" s="621"/>
      <c r="E1186" s="157"/>
      <c r="F1186" s="273"/>
      <c r="G1186" s="254"/>
      <c r="H1186" s="154"/>
      <c r="I1186" s="155"/>
      <c r="J1186" s="270"/>
      <c r="K1186" s="311">
        <f t="shared" si="333"/>
        <v>0</v>
      </c>
      <c r="L1186" s="312">
        <f t="shared" si="334"/>
        <v>0</v>
      </c>
      <c r="M1186" s="313">
        <f t="shared" si="335"/>
        <v>0</v>
      </c>
      <c r="N1186" s="320"/>
      <c r="O1186" s="315">
        <f t="shared" si="329"/>
        <v>0</v>
      </c>
      <c r="P1186" s="315">
        <f t="shared" si="330"/>
        <v>0</v>
      </c>
      <c r="Q1186" s="320"/>
      <c r="R1186" s="315">
        <f t="shared" si="331"/>
        <v>0</v>
      </c>
      <c r="S1186" s="315">
        <f t="shared" si="332"/>
        <v>0</v>
      </c>
      <c r="T1186" s="213"/>
      <c r="U1186" s="213"/>
      <c r="V1186" s="213"/>
      <c r="W1186" s="213"/>
      <c r="X1186" s="591"/>
      <c r="Y1186" s="591"/>
    </row>
    <row r="1187" spans="1:25" ht="14.85" customHeight="1">
      <c r="A1187" s="619"/>
      <c r="B1187" s="586"/>
      <c r="C1187" s="259"/>
      <c r="D1187" s="621"/>
      <c r="E1187" s="157"/>
      <c r="F1187" s="273"/>
      <c r="G1187" s="254"/>
      <c r="H1187" s="154"/>
      <c r="I1187" s="155"/>
      <c r="J1187" s="270"/>
      <c r="K1187" s="311">
        <f t="shared" si="333"/>
        <v>0</v>
      </c>
      <c r="L1187" s="312">
        <f t="shared" si="334"/>
        <v>0</v>
      </c>
      <c r="M1187" s="313">
        <f t="shared" si="335"/>
        <v>0</v>
      </c>
      <c r="N1187" s="320">
        <f>SUM(L1184:L1187)</f>
        <v>0</v>
      </c>
      <c r="O1187" s="315">
        <f t="shared" si="329"/>
        <v>0</v>
      </c>
      <c r="P1187" s="315">
        <f t="shared" si="330"/>
        <v>0</v>
      </c>
      <c r="Q1187" s="320"/>
      <c r="R1187" s="315">
        <f t="shared" si="331"/>
        <v>0</v>
      </c>
      <c r="S1187" s="315">
        <f t="shared" si="332"/>
        <v>0</v>
      </c>
      <c r="T1187" s="213"/>
      <c r="U1187" s="213"/>
      <c r="V1187" s="213"/>
      <c r="W1187" s="213"/>
      <c r="X1187" s="591"/>
      <c r="Y1187" s="591"/>
    </row>
    <row r="1188" spans="1:25" ht="14.85" customHeight="1">
      <c r="A1188" s="619"/>
      <c r="B1188" s="586"/>
      <c r="C1188" s="259"/>
      <c r="D1188" s="621"/>
      <c r="E1188" s="157"/>
      <c r="F1188" s="273"/>
      <c r="G1188" s="254"/>
      <c r="H1188" s="154"/>
      <c r="I1188" s="155"/>
      <c r="J1188" s="270"/>
      <c r="K1188" s="311">
        <f t="shared" si="333"/>
        <v>0</v>
      </c>
      <c r="L1188" s="312">
        <f t="shared" si="334"/>
        <v>0</v>
      </c>
      <c r="M1188" s="313">
        <f t="shared" si="335"/>
        <v>0</v>
      </c>
      <c r="N1188" s="320"/>
      <c r="O1188" s="315">
        <f t="shared" si="329"/>
        <v>0</v>
      </c>
      <c r="P1188" s="315">
        <f t="shared" si="330"/>
        <v>0</v>
      </c>
      <c r="Q1188" s="320"/>
      <c r="R1188" s="315">
        <f t="shared" si="331"/>
        <v>0</v>
      </c>
      <c r="S1188" s="315">
        <f t="shared" si="332"/>
        <v>0</v>
      </c>
      <c r="T1188" s="213"/>
      <c r="U1188" s="213"/>
      <c r="V1188" s="213"/>
      <c r="W1188" s="213"/>
      <c r="X1188" s="591"/>
      <c r="Y1188" s="591"/>
    </row>
    <row r="1189" spans="1:25" ht="14.85" customHeight="1">
      <c r="A1189" s="619"/>
      <c r="B1189" s="586"/>
      <c r="C1189" s="259"/>
      <c r="D1189" s="621"/>
      <c r="E1189" s="240"/>
      <c r="F1189" s="273"/>
      <c r="G1189" s="254"/>
      <c r="H1189" s="154"/>
      <c r="I1189" s="155"/>
      <c r="J1189" s="270"/>
      <c r="K1189" s="311">
        <f t="shared" si="333"/>
        <v>0</v>
      </c>
      <c r="L1189" s="312">
        <f t="shared" si="334"/>
        <v>0</v>
      </c>
      <c r="M1189" s="313">
        <f t="shared" si="335"/>
        <v>0</v>
      </c>
      <c r="N1189" s="320">
        <f>SUM(L1188:L1189)</f>
        <v>0</v>
      </c>
      <c r="O1189" s="315">
        <f t="shared" si="329"/>
        <v>0</v>
      </c>
      <c r="P1189" s="315">
        <f t="shared" si="330"/>
        <v>0</v>
      </c>
      <c r="Q1189" s="320">
        <f>SUM(N1183+N1187+N1189)</f>
        <v>0</v>
      </c>
      <c r="R1189" s="315">
        <f t="shared" si="331"/>
        <v>0</v>
      </c>
      <c r="S1189" s="315">
        <f t="shared" si="332"/>
        <v>0</v>
      </c>
      <c r="T1189" s="213"/>
      <c r="U1189" s="213"/>
      <c r="V1189" s="213"/>
      <c r="W1189" s="213"/>
      <c r="X1189" s="591"/>
      <c r="Y1189" s="591"/>
    </row>
    <row r="1190" spans="1:25" ht="14.85" customHeight="1">
      <c r="A1190" s="619"/>
      <c r="B1190" s="586"/>
      <c r="C1190" s="259"/>
      <c r="D1190" s="621"/>
      <c r="E1190" s="240"/>
      <c r="F1190" s="273"/>
      <c r="G1190" s="254"/>
      <c r="H1190" s="154"/>
      <c r="I1190" s="155"/>
      <c r="J1190" s="270"/>
      <c r="K1190" s="311">
        <f t="shared" si="333"/>
        <v>0</v>
      </c>
      <c r="L1190" s="312">
        <f t="shared" si="334"/>
        <v>0</v>
      </c>
      <c r="M1190" s="313">
        <f t="shared" si="335"/>
        <v>0</v>
      </c>
      <c r="N1190" s="320"/>
      <c r="O1190" s="315"/>
      <c r="P1190" s="315"/>
      <c r="Q1190" s="320"/>
      <c r="R1190" s="315">
        <f t="shared" si="331"/>
        <v>0</v>
      </c>
      <c r="S1190" s="315">
        <f t="shared" si="332"/>
        <v>0</v>
      </c>
      <c r="T1190" s="213"/>
      <c r="U1190" s="213"/>
      <c r="V1190" s="213"/>
      <c r="W1190" s="213"/>
      <c r="X1190" s="591"/>
      <c r="Y1190" s="591"/>
    </row>
    <row r="1191" spans="1:25" ht="14.85" customHeight="1">
      <c r="A1191" s="619"/>
      <c r="B1191" s="586"/>
      <c r="C1191" s="259"/>
      <c r="D1191" s="621"/>
      <c r="E1191" s="240"/>
      <c r="F1191" s="273"/>
      <c r="G1191" s="230"/>
      <c r="H1191" s="231"/>
      <c r="I1191" s="155"/>
      <c r="J1191" s="270"/>
      <c r="K1191" s="311">
        <f t="shared" si="333"/>
        <v>0</v>
      </c>
      <c r="L1191" s="312">
        <f t="shared" si="334"/>
        <v>0</v>
      </c>
      <c r="M1191" s="313">
        <f t="shared" si="335"/>
        <v>0</v>
      </c>
      <c r="N1191" s="320"/>
      <c r="O1191" s="315">
        <f t="shared" si="329"/>
        <v>0</v>
      </c>
      <c r="P1191" s="315">
        <f t="shared" si="330"/>
        <v>0</v>
      </c>
      <c r="Q1191" s="320"/>
      <c r="R1191" s="315">
        <f t="shared" si="331"/>
        <v>0</v>
      </c>
      <c r="S1191" s="315">
        <f t="shared" si="332"/>
        <v>0</v>
      </c>
      <c r="T1191" s="213"/>
      <c r="U1191" s="213"/>
      <c r="V1191" s="213"/>
      <c r="W1191" s="213"/>
      <c r="X1191" s="591"/>
      <c r="Y1191" s="591"/>
    </row>
    <row r="1192" spans="1:25" ht="14.85" customHeight="1">
      <c r="A1192" s="619"/>
      <c r="B1192" s="586"/>
      <c r="C1192" s="259"/>
      <c r="D1192" s="621"/>
      <c r="E1192" s="241"/>
      <c r="F1192" s="273"/>
      <c r="G1192" s="231"/>
      <c r="H1192" s="231"/>
      <c r="I1192" s="155"/>
      <c r="J1192" s="270"/>
      <c r="K1192" s="311">
        <f t="shared" si="333"/>
        <v>0</v>
      </c>
      <c r="L1192" s="312">
        <f t="shared" si="334"/>
        <v>0</v>
      </c>
      <c r="M1192" s="313">
        <f t="shared" si="335"/>
        <v>0</v>
      </c>
      <c r="N1192" s="320"/>
      <c r="O1192" s="315">
        <f t="shared" si="329"/>
        <v>0</v>
      </c>
      <c r="P1192" s="315">
        <f t="shared" si="330"/>
        <v>0</v>
      </c>
      <c r="Q1192" s="320"/>
      <c r="R1192" s="315">
        <f t="shared" si="331"/>
        <v>0</v>
      </c>
      <c r="S1192" s="315">
        <f t="shared" si="332"/>
        <v>0</v>
      </c>
      <c r="T1192" s="213"/>
      <c r="U1192" s="213"/>
      <c r="V1192" s="213"/>
      <c r="W1192" s="213"/>
      <c r="X1192" s="591"/>
      <c r="Y1192" s="591"/>
    </row>
    <row r="1193" spans="1:25" ht="14.85" customHeight="1">
      <c r="A1193" s="619"/>
      <c r="B1193" s="586"/>
      <c r="C1193" s="259"/>
      <c r="D1193" s="621"/>
      <c r="E1193" s="241"/>
      <c r="F1193" s="273"/>
      <c r="G1193" s="231"/>
      <c r="H1193" s="231"/>
      <c r="I1193" s="155"/>
      <c r="J1193" s="270"/>
      <c r="K1193" s="311">
        <f t="shared" si="333"/>
        <v>0</v>
      </c>
      <c r="L1193" s="312">
        <f t="shared" si="334"/>
        <v>0</v>
      </c>
      <c r="M1193" s="313">
        <f t="shared" si="335"/>
        <v>0</v>
      </c>
      <c r="N1193" s="320"/>
      <c r="O1193" s="315">
        <f t="shared" si="329"/>
        <v>0</v>
      </c>
      <c r="P1193" s="315">
        <f t="shared" si="330"/>
        <v>0</v>
      </c>
      <c r="Q1193" s="320"/>
      <c r="R1193" s="315">
        <f t="shared" si="331"/>
        <v>0</v>
      </c>
      <c r="S1193" s="315">
        <f t="shared" si="332"/>
        <v>0</v>
      </c>
      <c r="T1193" s="213"/>
      <c r="U1193" s="213"/>
      <c r="V1193" s="213"/>
      <c r="W1193" s="213"/>
      <c r="X1193" s="591"/>
      <c r="Y1193" s="591"/>
    </row>
    <row r="1194" spans="1:25" ht="14.85" customHeight="1">
      <c r="A1194" s="619"/>
      <c r="B1194" s="586"/>
      <c r="C1194" s="259"/>
      <c r="D1194" s="621"/>
      <c r="E1194" s="241"/>
      <c r="F1194" s="273"/>
      <c r="G1194" s="231"/>
      <c r="H1194" s="231"/>
      <c r="I1194" s="155"/>
      <c r="J1194" s="270"/>
      <c r="K1194" s="311">
        <f t="shared" si="333"/>
        <v>0</v>
      </c>
      <c r="L1194" s="312">
        <f t="shared" si="334"/>
        <v>0</v>
      </c>
      <c r="M1194" s="313">
        <f t="shared" si="335"/>
        <v>0</v>
      </c>
      <c r="N1194" s="320"/>
      <c r="O1194" s="315">
        <f t="shared" si="329"/>
        <v>0</v>
      </c>
      <c r="P1194" s="315">
        <f t="shared" si="330"/>
        <v>0</v>
      </c>
      <c r="Q1194" s="320"/>
      <c r="R1194" s="315">
        <f t="shared" si="331"/>
        <v>0</v>
      </c>
      <c r="S1194" s="315">
        <f t="shared" si="332"/>
        <v>0</v>
      </c>
      <c r="T1194" s="213"/>
      <c r="U1194" s="213"/>
      <c r="V1194" s="213"/>
      <c r="W1194" s="213"/>
      <c r="X1194" s="591"/>
      <c r="Y1194" s="591"/>
    </row>
    <row r="1195" spans="1:25" ht="14.85" customHeight="1">
      <c r="A1195" s="619"/>
      <c r="B1195" s="586"/>
      <c r="C1195" s="259"/>
      <c r="D1195" s="621"/>
      <c r="E1195" s="241"/>
      <c r="F1195" s="273"/>
      <c r="G1195" s="231"/>
      <c r="H1195" s="231"/>
      <c r="I1195" s="155"/>
      <c r="J1195" s="270"/>
      <c r="K1195" s="311">
        <f t="shared" si="333"/>
        <v>0</v>
      </c>
      <c r="L1195" s="312">
        <f t="shared" si="334"/>
        <v>0</v>
      </c>
      <c r="M1195" s="313">
        <f t="shared" si="335"/>
        <v>0</v>
      </c>
      <c r="N1195" s="320"/>
      <c r="O1195" s="315">
        <f t="shared" si="329"/>
        <v>0</v>
      </c>
      <c r="P1195" s="315">
        <f t="shared" si="330"/>
        <v>0</v>
      </c>
      <c r="Q1195" s="320"/>
      <c r="R1195" s="315">
        <f t="shared" si="331"/>
        <v>0</v>
      </c>
      <c r="S1195" s="315">
        <f t="shared" si="332"/>
        <v>0</v>
      </c>
      <c r="T1195" s="213"/>
      <c r="U1195" s="213"/>
      <c r="V1195" s="213"/>
      <c r="W1195" s="213"/>
      <c r="X1195" s="591"/>
      <c r="Y1195" s="591"/>
    </row>
    <row r="1196" spans="1:25" ht="14.85" customHeight="1">
      <c r="A1196" s="619"/>
      <c r="B1196" s="586"/>
      <c r="C1196" s="259"/>
      <c r="D1196" s="621"/>
      <c r="E1196" s="241"/>
      <c r="F1196" s="273"/>
      <c r="G1196" s="231"/>
      <c r="H1196" s="231"/>
      <c r="I1196" s="155"/>
      <c r="J1196" s="270"/>
      <c r="K1196" s="311">
        <f t="shared" si="333"/>
        <v>0</v>
      </c>
      <c r="L1196" s="312">
        <f t="shared" si="334"/>
        <v>0</v>
      </c>
      <c r="M1196" s="313">
        <f t="shared" si="335"/>
        <v>0</v>
      </c>
      <c r="N1196" s="320">
        <f>SUM(L1191:L1196)</f>
        <v>0</v>
      </c>
      <c r="O1196" s="315">
        <f t="shared" si="329"/>
        <v>0</v>
      </c>
      <c r="P1196" s="315">
        <f t="shared" si="330"/>
        <v>0</v>
      </c>
      <c r="Q1196" s="320"/>
      <c r="R1196" s="315">
        <f t="shared" si="331"/>
        <v>0</v>
      </c>
      <c r="S1196" s="315">
        <f t="shared" si="332"/>
        <v>0</v>
      </c>
      <c r="T1196" s="213"/>
      <c r="U1196" s="213"/>
      <c r="V1196" s="213"/>
      <c r="W1196" s="213"/>
      <c r="X1196" s="591"/>
      <c r="Y1196" s="591"/>
    </row>
    <row r="1197" spans="1:25" ht="14.85" customHeight="1">
      <c r="A1197" s="619"/>
      <c r="B1197" s="586"/>
      <c r="C1197" s="259"/>
      <c r="D1197" s="621"/>
      <c r="E1197" s="157"/>
      <c r="F1197" s="273"/>
      <c r="G1197" s="380"/>
      <c r="H1197" s="380"/>
      <c r="I1197" s="155"/>
      <c r="J1197" s="270"/>
      <c r="K1197" s="311">
        <f t="shared" si="333"/>
        <v>0</v>
      </c>
      <c r="L1197" s="312">
        <f t="shared" si="334"/>
        <v>0</v>
      </c>
      <c r="M1197" s="313">
        <f t="shared" si="335"/>
        <v>0</v>
      </c>
      <c r="N1197" s="320"/>
      <c r="O1197" s="315">
        <f t="shared" si="329"/>
        <v>0</v>
      </c>
      <c r="P1197" s="315">
        <f t="shared" si="330"/>
        <v>0</v>
      </c>
      <c r="Q1197" s="320"/>
      <c r="R1197" s="315">
        <f t="shared" si="331"/>
        <v>0</v>
      </c>
      <c r="S1197" s="315">
        <f t="shared" si="332"/>
        <v>0</v>
      </c>
      <c r="T1197" s="213"/>
      <c r="U1197" s="213"/>
      <c r="V1197" s="213"/>
      <c r="W1197" s="213"/>
      <c r="X1197" s="591"/>
      <c r="Y1197" s="591"/>
    </row>
    <row r="1198" spans="1:25" ht="14.85" customHeight="1">
      <c r="A1198" s="619"/>
      <c r="B1198" s="586"/>
      <c r="C1198" s="259"/>
      <c r="D1198" s="621"/>
      <c r="E1198" s="157"/>
      <c r="F1198" s="273"/>
      <c r="G1198" s="380"/>
      <c r="H1198" s="380"/>
      <c r="I1198" s="155"/>
      <c r="J1198" s="270"/>
      <c r="K1198" s="311">
        <f t="shared" si="333"/>
        <v>0</v>
      </c>
      <c r="L1198" s="312">
        <f t="shared" si="334"/>
        <v>0</v>
      </c>
      <c r="M1198" s="313">
        <f t="shared" si="335"/>
        <v>0</v>
      </c>
      <c r="N1198" s="320"/>
      <c r="O1198" s="315">
        <f t="shared" si="329"/>
        <v>0</v>
      </c>
      <c r="P1198" s="315">
        <f t="shared" si="330"/>
        <v>0</v>
      </c>
      <c r="Q1198" s="320"/>
      <c r="R1198" s="315">
        <f t="shared" si="331"/>
        <v>0</v>
      </c>
      <c r="S1198" s="315">
        <f t="shared" si="332"/>
        <v>0</v>
      </c>
      <c r="T1198" s="213"/>
      <c r="U1198" s="213"/>
      <c r="V1198" s="213"/>
      <c r="W1198" s="213"/>
      <c r="X1198" s="591"/>
      <c r="Y1198" s="591"/>
    </row>
    <row r="1199" spans="1:25" ht="14.85" customHeight="1">
      <c r="A1199" s="619"/>
      <c r="B1199" s="586"/>
      <c r="C1199" s="259"/>
      <c r="D1199" s="621"/>
      <c r="E1199" s="157"/>
      <c r="F1199" s="273"/>
      <c r="G1199" s="380"/>
      <c r="H1199" s="380"/>
      <c r="I1199" s="155"/>
      <c r="J1199" s="270"/>
      <c r="K1199" s="311">
        <f t="shared" si="333"/>
        <v>0</v>
      </c>
      <c r="L1199" s="312">
        <f t="shared" si="334"/>
        <v>0</v>
      </c>
      <c r="M1199" s="313">
        <f t="shared" si="335"/>
        <v>0</v>
      </c>
      <c r="N1199" s="320">
        <f>SUM(L1197:L1199)</f>
        <v>0</v>
      </c>
      <c r="O1199" s="315">
        <f t="shared" si="329"/>
        <v>0</v>
      </c>
      <c r="P1199" s="315">
        <f t="shared" si="330"/>
        <v>0</v>
      </c>
      <c r="Q1199" s="320"/>
      <c r="R1199" s="315">
        <f t="shared" si="331"/>
        <v>0</v>
      </c>
      <c r="S1199" s="315">
        <f t="shared" si="332"/>
        <v>0</v>
      </c>
      <c r="T1199" s="213"/>
      <c r="U1199" s="213"/>
      <c r="V1199" s="213"/>
      <c r="W1199" s="213"/>
      <c r="X1199" s="591"/>
      <c r="Y1199" s="591"/>
    </row>
    <row r="1200" spans="1:25" ht="14.85" customHeight="1">
      <c r="A1200" s="619"/>
      <c r="B1200" s="586"/>
      <c r="C1200" s="259"/>
      <c r="D1200" s="621"/>
      <c r="E1200" s="157"/>
      <c r="F1200" s="273"/>
      <c r="G1200" s="254"/>
      <c r="H1200" s="154"/>
      <c r="I1200" s="155"/>
      <c r="J1200" s="270"/>
      <c r="K1200" s="311">
        <f t="shared" si="333"/>
        <v>0</v>
      </c>
      <c r="L1200" s="312">
        <f t="shared" si="334"/>
        <v>0</v>
      </c>
      <c r="M1200" s="313">
        <f t="shared" si="335"/>
        <v>0</v>
      </c>
      <c r="N1200" s="320"/>
      <c r="O1200" s="315">
        <f t="shared" si="329"/>
        <v>0</v>
      </c>
      <c r="P1200" s="315">
        <f t="shared" si="330"/>
        <v>0</v>
      </c>
      <c r="Q1200" s="320"/>
      <c r="R1200" s="315">
        <f t="shared" si="331"/>
        <v>0</v>
      </c>
      <c r="S1200" s="315">
        <f t="shared" si="332"/>
        <v>0</v>
      </c>
      <c r="T1200" s="213"/>
      <c r="U1200" s="213"/>
      <c r="V1200" s="213"/>
      <c r="W1200" s="213"/>
      <c r="X1200" s="591"/>
      <c r="Y1200" s="591"/>
    </row>
    <row r="1201" spans="1:25" ht="14.85" customHeight="1">
      <c r="A1201" s="619"/>
      <c r="B1201" s="586"/>
      <c r="C1201" s="259"/>
      <c r="D1201" s="621"/>
      <c r="E1201" s="157"/>
      <c r="F1201" s="273"/>
      <c r="G1201" s="254"/>
      <c r="H1201" s="154"/>
      <c r="I1201" s="155"/>
      <c r="J1201" s="270"/>
      <c r="K1201" s="311">
        <f t="shared" si="333"/>
        <v>0</v>
      </c>
      <c r="L1201" s="312">
        <f t="shared" si="334"/>
        <v>0</v>
      </c>
      <c r="M1201" s="313">
        <f t="shared" si="335"/>
        <v>0</v>
      </c>
      <c r="N1201" s="320"/>
      <c r="O1201" s="315">
        <f t="shared" si="329"/>
        <v>0</v>
      </c>
      <c r="P1201" s="315">
        <f t="shared" si="330"/>
        <v>0</v>
      </c>
      <c r="Q1201" s="320"/>
      <c r="R1201" s="315">
        <f t="shared" si="331"/>
        <v>0</v>
      </c>
      <c r="S1201" s="315">
        <f t="shared" si="332"/>
        <v>0</v>
      </c>
      <c r="T1201" s="213"/>
      <c r="U1201" s="213"/>
      <c r="V1201" s="213"/>
      <c r="W1201" s="213"/>
      <c r="X1201" s="591"/>
      <c r="Y1201" s="591"/>
    </row>
    <row r="1202" spans="1:25" ht="14.85" customHeight="1">
      <c r="A1202" s="619"/>
      <c r="B1202" s="586"/>
      <c r="C1202" s="259"/>
      <c r="D1202" s="621"/>
      <c r="E1202" s="157"/>
      <c r="F1202" s="273"/>
      <c r="G1202" s="254"/>
      <c r="H1202" s="154"/>
      <c r="I1202" s="155"/>
      <c r="J1202" s="270"/>
      <c r="K1202" s="311">
        <f t="shared" si="333"/>
        <v>0</v>
      </c>
      <c r="L1202" s="312">
        <f t="shared" si="334"/>
        <v>0</v>
      </c>
      <c r="M1202" s="313">
        <f t="shared" si="335"/>
        <v>0</v>
      </c>
      <c r="N1202" s="320"/>
      <c r="O1202" s="315">
        <f t="shared" si="329"/>
        <v>0</v>
      </c>
      <c r="P1202" s="315">
        <f t="shared" si="330"/>
        <v>0</v>
      </c>
      <c r="Q1202" s="320"/>
      <c r="R1202" s="315">
        <f t="shared" si="331"/>
        <v>0</v>
      </c>
      <c r="S1202" s="315">
        <f t="shared" si="332"/>
        <v>0</v>
      </c>
      <c r="T1202" s="213"/>
      <c r="U1202" s="213"/>
      <c r="V1202" s="213"/>
      <c r="W1202" s="213"/>
      <c r="X1202" s="591"/>
      <c r="Y1202" s="591"/>
    </row>
    <row r="1203" spans="1:25" ht="14.85" customHeight="1">
      <c r="A1203" s="619"/>
      <c r="B1203" s="586"/>
      <c r="C1203" s="259"/>
      <c r="D1203" s="621"/>
      <c r="E1203" s="157"/>
      <c r="F1203" s="273"/>
      <c r="G1203" s="254"/>
      <c r="H1203" s="154"/>
      <c r="I1203" s="155"/>
      <c r="J1203" s="270"/>
      <c r="K1203" s="311">
        <f t="shared" si="333"/>
        <v>0</v>
      </c>
      <c r="L1203" s="312">
        <f t="shared" si="334"/>
        <v>0</v>
      </c>
      <c r="M1203" s="313">
        <f t="shared" si="335"/>
        <v>0</v>
      </c>
      <c r="N1203" s="320"/>
      <c r="O1203" s="315">
        <f t="shared" si="329"/>
        <v>0</v>
      </c>
      <c r="P1203" s="315">
        <f t="shared" si="330"/>
        <v>0</v>
      </c>
      <c r="Q1203" s="320"/>
      <c r="R1203" s="315">
        <f t="shared" si="331"/>
        <v>0</v>
      </c>
      <c r="S1203" s="315">
        <f t="shared" si="332"/>
        <v>0</v>
      </c>
      <c r="T1203" s="213"/>
      <c r="U1203" s="213"/>
      <c r="V1203" s="213"/>
      <c r="W1203" s="213"/>
      <c r="X1203" s="591"/>
      <c r="Y1203" s="591"/>
    </row>
    <row r="1204" spans="1:25" ht="14.85" customHeight="1">
      <c r="A1204" s="619"/>
      <c r="B1204" s="586"/>
      <c r="C1204" s="259"/>
      <c r="D1204" s="621"/>
      <c r="E1204" s="157"/>
      <c r="F1204" s="273"/>
      <c r="G1204" s="254"/>
      <c r="H1204" s="154"/>
      <c r="I1204" s="155"/>
      <c r="J1204" s="270"/>
      <c r="K1204" s="311">
        <f t="shared" si="333"/>
        <v>0</v>
      </c>
      <c r="L1204" s="312">
        <f t="shared" si="334"/>
        <v>0</v>
      </c>
      <c r="M1204" s="313">
        <f t="shared" si="335"/>
        <v>0</v>
      </c>
      <c r="N1204" s="320">
        <f>SUM(L1200:L1204)</f>
        <v>0</v>
      </c>
      <c r="O1204" s="315">
        <f t="shared" si="329"/>
        <v>0</v>
      </c>
      <c r="P1204" s="315">
        <f t="shared" si="330"/>
        <v>0</v>
      </c>
      <c r="Q1204" s="320"/>
      <c r="R1204" s="315">
        <f t="shared" si="331"/>
        <v>0</v>
      </c>
      <c r="S1204" s="315">
        <f t="shared" si="332"/>
        <v>0</v>
      </c>
      <c r="T1204" s="213"/>
      <c r="U1204" s="213"/>
      <c r="V1204" s="213"/>
      <c r="W1204" s="213"/>
      <c r="X1204" s="591"/>
      <c r="Y1204" s="591"/>
    </row>
    <row r="1205" spans="1:25" ht="14.85" customHeight="1">
      <c r="A1205" s="619"/>
      <c r="B1205" s="586"/>
      <c r="C1205" s="259"/>
      <c r="D1205" s="621"/>
      <c r="E1205" s="157"/>
      <c r="F1205" s="254"/>
      <c r="G1205" s="254"/>
      <c r="H1205" s="154"/>
      <c r="I1205" s="155"/>
      <c r="J1205" s="270"/>
      <c r="K1205" s="311">
        <f t="shared" si="333"/>
        <v>0</v>
      </c>
      <c r="L1205" s="312">
        <f t="shared" si="334"/>
        <v>0</v>
      </c>
      <c r="M1205" s="313">
        <f t="shared" si="335"/>
        <v>0</v>
      </c>
      <c r="N1205" s="320"/>
      <c r="O1205" s="315">
        <f t="shared" si="329"/>
        <v>0</v>
      </c>
      <c r="P1205" s="315">
        <f t="shared" si="330"/>
        <v>0</v>
      </c>
      <c r="Q1205" s="320"/>
      <c r="R1205" s="315">
        <f t="shared" si="331"/>
        <v>0</v>
      </c>
      <c r="S1205" s="315">
        <f t="shared" si="332"/>
        <v>0</v>
      </c>
      <c r="T1205" s="213"/>
      <c r="U1205" s="213"/>
      <c r="V1205" s="213"/>
      <c r="W1205" s="213"/>
      <c r="X1205" s="591"/>
      <c r="Y1205" s="591"/>
    </row>
    <row r="1206" spans="1:25" ht="14.85" customHeight="1">
      <c r="A1206" s="619"/>
      <c r="B1206" s="586"/>
      <c r="C1206" s="259"/>
      <c r="D1206" s="621"/>
      <c r="E1206" s="157"/>
      <c r="F1206" s="254"/>
      <c r="G1206" s="254"/>
      <c r="H1206" s="154"/>
      <c r="I1206" s="155"/>
      <c r="J1206" s="270"/>
      <c r="K1206" s="311">
        <f t="shared" si="333"/>
        <v>0</v>
      </c>
      <c r="L1206" s="312">
        <f t="shared" si="334"/>
        <v>0</v>
      </c>
      <c r="M1206" s="313">
        <f t="shared" si="335"/>
        <v>0</v>
      </c>
      <c r="N1206" s="320"/>
      <c r="O1206" s="315">
        <f t="shared" si="329"/>
        <v>0</v>
      </c>
      <c r="P1206" s="315">
        <f t="shared" si="330"/>
        <v>0</v>
      </c>
      <c r="Q1206" s="320"/>
      <c r="R1206" s="315">
        <f t="shared" si="331"/>
        <v>0</v>
      </c>
      <c r="S1206" s="315">
        <f t="shared" si="332"/>
        <v>0</v>
      </c>
      <c r="T1206" s="213"/>
      <c r="U1206" s="213"/>
      <c r="V1206" s="213"/>
      <c r="W1206" s="213"/>
      <c r="X1206" s="591"/>
      <c r="Y1206" s="591"/>
    </row>
    <row r="1207" spans="1:25" ht="14.85" customHeight="1">
      <c r="A1207" s="619"/>
      <c r="B1207" s="586"/>
      <c r="C1207" s="259"/>
      <c r="D1207" s="621"/>
      <c r="E1207" s="157"/>
      <c r="F1207" s="254"/>
      <c r="G1207" s="254"/>
      <c r="H1207" s="154"/>
      <c r="I1207" s="155"/>
      <c r="J1207" s="270"/>
      <c r="K1207" s="311">
        <f t="shared" si="333"/>
        <v>0</v>
      </c>
      <c r="L1207" s="312">
        <f t="shared" si="334"/>
        <v>0</v>
      </c>
      <c r="M1207" s="313">
        <f t="shared" si="335"/>
        <v>0</v>
      </c>
      <c r="N1207" s="320">
        <f>SUM(L1205:L1207)</f>
        <v>0</v>
      </c>
      <c r="O1207" s="315">
        <f t="shared" si="329"/>
        <v>0</v>
      </c>
      <c r="P1207" s="315">
        <f t="shared" si="330"/>
        <v>0</v>
      </c>
      <c r="Q1207" s="320">
        <f>N1196+N1199+N1204+N1207</f>
        <v>0</v>
      </c>
      <c r="R1207" s="315">
        <f t="shared" si="331"/>
        <v>0</v>
      </c>
      <c r="S1207" s="315">
        <f t="shared" si="332"/>
        <v>0</v>
      </c>
      <c r="T1207" s="213"/>
      <c r="U1207" s="213"/>
      <c r="V1207" s="213"/>
      <c r="W1207" s="213"/>
      <c r="X1207" s="591"/>
      <c r="Y1207" s="591"/>
    </row>
    <row r="1208" spans="1:25" ht="14.85" customHeight="1">
      <c r="A1208" s="619"/>
      <c r="B1208" s="586"/>
      <c r="C1208" s="259"/>
      <c r="D1208" s="621"/>
      <c r="E1208" s="157"/>
      <c r="F1208" s="254"/>
      <c r="G1208" s="254"/>
      <c r="H1208" s="154"/>
      <c r="I1208" s="155"/>
      <c r="J1208" s="270"/>
      <c r="K1208" s="311">
        <f t="shared" si="333"/>
        <v>0</v>
      </c>
      <c r="L1208" s="312">
        <f t="shared" si="334"/>
        <v>0</v>
      </c>
      <c r="M1208" s="313">
        <f t="shared" si="335"/>
        <v>0</v>
      </c>
      <c r="N1208" s="320"/>
      <c r="O1208" s="315">
        <f t="shared" si="329"/>
        <v>0</v>
      </c>
      <c r="P1208" s="315">
        <f t="shared" si="330"/>
        <v>0</v>
      </c>
      <c r="Q1208" s="320"/>
      <c r="R1208" s="315">
        <f t="shared" si="331"/>
        <v>0</v>
      </c>
      <c r="S1208" s="315">
        <f t="shared" si="332"/>
        <v>0</v>
      </c>
      <c r="T1208" s="213"/>
      <c r="U1208" s="213"/>
      <c r="V1208" s="213"/>
      <c r="W1208" s="213"/>
      <c r="X1208" s="591"/>
      <c r="Y1208" s="591"/>
    </row>
    <row r="1209" spans="1:25" ht="14.85" customHeight="1">
      <c r="A1209" s="619"/>
      <c r="B1209" s="586"/>
      <c r="C1209" s="259"/>
      <c r="D1209" s="621"/>
      <c r="E1209" s="240"/>
      <c r="F1209" s="262"/>
      <c r="G1209" s="380"/>
      <c r="H1209" s="380"/>
      <c r="I1209" s="155"/>
      <c r="J1209" s="270"/>
      <c r="K1209" s="311">
        <f t="shared" si="333"/>
        <v>0</v>
      </c>
      <c r="L1209" s="312">
        <f t="shared" si="334"/>
        <v>0</v>
      </c>
      <c r="M1209" s="313">
        <f t="shared" si="335"/>
        <v>0</v>
      </c>
      <c r="N1209" s="320"/>
      <c r="O1209" s="315">
        <f t="shared" si="329"/>
        <v>0</v>
      </c>
      <c r="P1209" s="315">
        <f t="shared" si="330"/>
        <v>0</v>
      </c>
      <c r="Q1209" s="320"/>
      <c r="R1209" s="315">
        <f t="shared" si="331"/>
        <v>0</v>
      </c>
      <c r="S1209" s="315">
        <f t="shared" si="332"/>
        <v>0</v>
      </c>
      <c r="T1209" s="213"/>
      <c r="U1209" s="213"/>
      <c r="V1209" s="213"/>
      <c r="W1209" s="213"/>
      <c r="X1209" s="591"/>
      <c r="Y1209" s="591"/>
    </row>
    <row r="1210" spans="1:25" ht="14.85" customHeight="1">
      <c r="A1210" s="619"/>
      <c r="B1210" s="586"/>
      <c r="C1210" s="259"/>
      <c r="D1210" s="621"/>
      <c r="E1210" s="241"/>
      <c r="F1210" s="262"/>
      <c r="G1210" s="380"/>
      <c r="H1210" s="380"/>
      <c r="I1210" s="155"/>
      <c r="J1210" s="270"/>
      <c r="K1210" s="311">
        <f t="shared" si="333"/>
        <v>0</v>
      </c>
      <c r="L1210" s="312">
        <f t="shared" si="334"/>
        <v>0</v>
      </c>
      <c r="M1210" s="313">
        <f t="shared" si="335"/>
        <v>0</v>
      </c>
      <c r="N1210" s="320"/>
      <c r="O1210" s="315">
        <f t="shared" si="329"/>
        <v>0</v>
      </c>
      <c r="P1210" s="315">
        <f t="shared" si="330"/>
        <v>0</v>
      </c>
      <c r="Q1210" s="320"/>
      <c r="R1210" s="315">
        <f t="shared" si="331"/>
        <v>0</v>
      </c>
      <c r="S1210" s="315">
        <f t="shared" si="332"/>
        <v>0</v>
      </c>
      <c r="T1210" s="213"/>
      <c r="U1210" s="213"/>
      <c r="V1210" s="213"/>
      <c r="W1210" s="213"/>
      <c r="X1210" s="591"/>
      <c r="Y1210" s="591"/>
    </row>
    <row r="1211" spans="1:25" ht="14.85" customHeight="1">
      <c r="A1211" s="619"/>
      <c r="B1211" s="586"/>
      <c r="C1211" s="259"/>
      <c r="D1211" s="621"/>
      <c r="E1211" s="241"/>
      <c r="F1211" s="262"/>
      <c r="G1211" s="380"/>
      <c r="H1211" s="380"/>
      <c r="I1211" s="155"/>
      <c r="J1211" s="270"/>
      <c r="K1211" s="311">
        <f t="shared" si="333"/>
        <v>0</v>
      </c>
      <c r="L1211" s="312">
        <f t="shared" si="334"/>
        <v>0</v>
      </c>
      <c r="M1211" s="313">
        <f t="shared" si="335"/>
        <v>0</v>
      </c>
      <c r="N1211" s="320">
        <f>SUM(L1209:L1211)</f>
        <v>0</v>
      </c>
      <c r="O1211" s="315">
        <f t="shared" si="329"/>
        <v>0</v>
      </c>
      <c r="P1211" s="315">
        <f t="shared" si="330"/>
        <v>0</v>
      </c>
      <c r="Q1211" s="320"/>
      <c r="R1211" s="315">
        <f t="shared" si="331"/>
        <v>0</v>
      </c>
      <c r="S1211" s="315">
        <f t="shared" si="332"/>
        <v>0</v>
      </c>
      <c r="T1211" s="213"/>
      <c r="U1211" s="213"/>
      <c r="V1211" s="213"/>
      <c r="W1211" s="213"/>
      <c r="X1211" s="591"/>
      <c r="Y1211" s="591"/>
    </row>
    <row r="1212" spans="1:25" ht="14.85" customHeight="1">
      <c r="A1212" s="619"/>
      <c r="B1212" s="586"/>
      <c r="C1212" s="259"/>
      <c r="D1212" s="621"/>
      <c r="E1212" s="157"/>
      <c r="F1212" s="262"/>
      <c r="G1212" s="254"/>
      <c r="H1212" s="154"/>
      <c r="I1212" s="155"/>
      <c r="J1212" s="279"/>
      <c r="K1212" s="311">
        <f t="shared" si="333"/>
        <v>0</v>
      </c>
      <c r="L1212" s="312">
        <f t="shared" si="334"/>
        <v>0</v>
      </c>
      <c r="M1212" s="313">
        <f t="shared" si="335"/>
        <v>0</v>
      </c>
      <c r="N1212" s="320"/>
      <c r="O1212" s="315">
        <f t="shared" si="329"/>
        <v>0</v>
      </c>
      <c r="P1212" s="315">
        <f t="shared" si="330"/>
        <v>0</v>
      </c>
      <c r="Q1212" s="320"/>
      <c r="R1212" s="315">
        <f t="shared" si="331"/>
        <v>0</v>
      </c>
      <c r="S1212" s="315">
        <f t="shared" si="332"/>
        <v>0</v>
      </c>
      <c r="T1212" s="213"/>
      <c r="U1212" s="213"/>
      <c r="V1212" s="213"/>
      <c r="W1212" s="213"/>
      <c r="X1212" s="591"/>
      <c r="Y1212" s="591"/>
    </row>
    <row r="1213" spans="1:25" ht="14.85" customHeight="1">
      <c r="A1213" s="619"/>
      <c r="B1213" s="586"/>
      <c r="C1213" s="259"/>
      <c r="D1213" s="621"/>
      <c r="E1213" s="157"/>
      <c r="F1213" s="262"/>
      <c r="G1213" s="254"/>
      <c r="H1213" s="154"/>
      <c r="I1213" s="155"/>
      <c r="J1213" s="279"/>
      <c r="K1213" s="311">
        <f t="shared" si="333"/>
        <v>0</v>
      </c>
      <c r="L1213" s="312">
        <f t="shared" si="334"/>
        <v>0</v>
      </c>
      <c r="M1213" s="313">
        <f t="shared" si="335"/>
        <v>0</v>
      </c>
      <c r="N1213" s="320"/>
      <c r="O1213" s="315">
        <f t="shared" si="329"/>
        <v>0</v>
      </c>
      <c r="P1213" s="315">
        <f t="shared" si="330"/>
        <v>0</v>
      </c>
      <c r="Q1213" s="320"/>
      <c r="R1213" s="315">
        <f t="shared" si="331"/>
        <v>0</v>
      </c>
      <c r="S1213" s="315">
        <f t="shared" si="332"/>
        <v>0</v>
      </c>
      <c r="T1213" s="213"/>
      <c r="U1213" s="213"/>
      <c r="V1213" s="213"/>
      <c r="W1213" s="213"/>
      <c r="X1213" s="591"/>
      <c r="Y1213" s="591"/>
    </row>
    <row r="1214" spans="1:25" ht="14.85" customHeight="1">
      <c r="A1214" s="619"/>
      <c r="B1214" s="586"/>
      <c r="C1214" s="259"/>
      <c r="D1214" s="621"/>
      <c r="E1214" s="157"/>
      <c r="F1214" s="262"/>
      <c r="G1214" s="254"/>
      <c r="H1214" s="154"/>
      <c r="I1214" s="155"/>
      <c r="J1214" s="279"/>
      <c r="K1214" s="311">
        <f t="shared" si="333"/>
        <v>0</v>
      </c>
      <c r="L1214" s="312">
        <f t="shared" si="334"/>
        <v>0</v>
      </c>
      <c r="M1214" s="313">
        <f t="shared" si="335"/>
        <v>0</v>
      </c>
      <c r="N1214" s="320">
        <f>SUM(L1212:L1214)</f>
        <v>0</v>
      </c>
      <c r="O1214" s="315">
        <f t="shared" si="329"/>
        <v>0</v>
      </c>
      <c r="P1214" s="315">
        <f t="shared" si="330"/>
        <v>0</v>
      </c>
      <c r="Q1214" s="320">
        <f>SUM(N1211:N1214)</f>
        <v>0</v>
      </c>
      <c r="R1214" s="315">
        <f t="shared" si="331"/>
        <v>0</v>
      </c>
      <c r="S1214" s="315">
        <f t="shared" si="332"/>
        <v>0</v>
      </c>
      <c r="T1214" s="213"/>
      <c r="U1214" s="213"/>
      <c r="V1214" s="213"/>
      <c r="W1214" s="213"/>
      <c r="X1214" s="591"/>
      <c r="Y1214" s="591"/>
    </row>
    <row r="1215" spans="1:25" ht="14.85" customHeight="1">
      <c r="A1215" s="619"/>
      <c r="B1215" s="586"/>
      <c r="C1215" s="259"/>
      <c r="D1215" s="621"/>
      <c r="E1215" s="157"/>
      <c r="F1215" s="262"/>
      <c r="G1215" s="254"/>
      <c r="H1215" s="154"/>
      <c r="I1215" s="155"/>
      <c r="J1215" s="279"/>
      <c r="K1215" s="311"/>
      <c r="L1215" s="312"/>
      <c r="M1215" s="313"/>
      <c r="N1215" s="320"/>
      <c r="O1215" s="315"/>
      <c r="P1215" s="315"/>
      <c r="Q1215" s="320"/>
      <c r="R1215" s="315"/>
      <c r="S1215" s="315"/>
      <c r="T1215" s="213"/>
      <c r="U1215" s="213"/>
      <c r="V1215" s="213"/>
      <c r="W1215" s="213"/>
      <c r="X1215" s="591"/>
      <c r="Y1215" s="591"/>
    </row>
    <row r="1216" spans="1:25" ht="14.85" customHeight="1">
      <c r="A1216" s="619"/>
      <c r="B1216" s="586"/>
      <c r="C1216" s="259"/>
      <c r="D1216" s="621"/>
      <c r="E1216" s="240"/>
      <c r="F1216" s="262"/>
      <c r="G1216" s="231"/>
      <c r="H1216" s="231"/>
      <c r="I1216" s="155"/>
      <c r="J1216" s="270"/>
      <c r="K1216" s="311">
        <f t="shared" si="333"/>
        <v>0</v>
      </c>
      <c r="L1216" s="312">
        <f t="shared" si="334"/>
        <v>0</v>
      </c>
      <c r="M1216" s="313">
        <f t="shared" si="335"/>
        <v>0</v>
      </c>
      <c r="N1216" s="320"/>
      <c r="O1216" s="315">
        <f t="shared" si="329"/>
        <v>0</v>
      </c>
      <c r="P1216" s="315">
        <f t="shared" si="330"/>
        <v>0</v>
      </c>
      <c r="Q1216" s="320"/>
      <c r="R1216" s="315">
        <f t="shared" si="331"/>
        <v>0</v>
      </c>
      <c r="S1216" s="315">
        <f t="shared" si="332"/>
        <v>0</v>
      </c>
      <c r="T1216" s="213"/>
      <c r="U1216" s="213"/>
      <c r="V1216" s="213"/>
      <c r="W1216" s="213"/>
      <c r="X1216" s="591"/>
      <c r="Y1216" s="591"/>
    </row>
    <row r="1217" spans="1:25" ht="14.85" customHeight="1">
      <c r="A1217" s="619"/>
      <c r="B1217" s="586"/>
      <c r="C1217" s="259"/>
      <c r="D1217" s="621"/>
      <c r="E1217" s="241"/>
      <c r="F1217" s="262"/>
      <c r="G1217" s="231"/>
      <c r="H1217" s="231"/>
      <c r="I1217" s="155"/>
      <c r="J1217" s="270"/>
      <c r="K1217" s="311">
        <f t="shared" si="333"/>
        <v>0</v>
      </c>
      <c r="L1217" s="312">
        <f t="shared" si="334"/>
        <v>0</v>
      </c>
      <c r="M1217" s="313">
        <f t="shared" si="335"/>
        <v>0</v>
      </c>
      <c r="N1217" s="320"/>
      <c r="O1217" s="315">
        <f t="shared" si="329"/>
        <v>0</v>
      </c>
      <c r="P1217" s="315">
        <f t="shared" si="330"/>
        <v>0</v>
      </c>
      <c r="Q1217" s="320"/>
      <c r="R1217" s="315">
        <f t="shared" si="331"/>
        <v>0</v>
      </c>
      <c r="S1217" s="315">
        <f t="shared" si="332"/>
        <v>0</v>
      </c>
      <c r="T1217" s="213"/>
      <c r="U1217" s="213"/>
      <c r="V1217" s="213"/>
      <c r="W1217" s="213"/>
      <c r="X1217" s="591"/>
      <c r="Y1217" s="591"/>
    </row>
    <row r="1218" spans="1:25" ht="14.85" customHeight="1">
      <c r="A1218" s="619"/>
      <c r="B1218" s="586"/>
      <c r="C1218" s="259"/>
      <c r="D1218" s="621"/>
      <c r="E1218" s="241"/>
      <c r="F1218" s="262"/>
      <c r="G1218" s="231"/>
      <c r="H1218" s="231"/>
      <c r="I1218" s="155"/>
      <c r="J1218" s="270"/>
      <c r="K1218" s="311">
        <f t="shared" si="333"/>
        <v>0</v>
      </c>
      <c r="L1218" s="312">
        <f t="shared" si="334"/>
        <v>0</v>
      </c>
      <c r="M1218" s="313">
        <f t="shared" si="335"/>
        <v>0</v>
      </c>
      <c r="N1218" s="320">
        <f>SUM(L1216:L1218)</f>
        <v>0</v>
      </c>
      <c r="O1218" s="315">
        <f t="shared" si="329"/>
        <v>0</v>
      </c>
      <c r="P1218" s="315">
        <f t="shared" si="330"/>
        <v>0</v>
      </c>
      <c r="Q1218" s="320"/>
      <c r="R1218" s="315">
        <f t="shared" si="331"/>
        <v>0</v>
      </c>
      <c r="S1218" s="315">
        <f t="shared" si="332"/>
        <v>0</v>
      </c>
      <c r="T1218" s="213"/>
      <c r="U1218" s="213"/>
      <c r="V1218" s="213"/>
      <c r="W1218" s="213"/>
      <c r="X1218" s="591"/>
      <c r="Y1218" s="591"/>
    </row>
    <row r="1219" spans="1:25" ht="14.85" customHeight="1">
      <c r="A1219" s="619"/>
      <c r="B1219" s="586"/>
      <c r="C1219" s="259"/>
      <c r="D1219" s="621"/>
      <c r="E1219" s="157"/>
      <c r="F1219" s="262"/>
      <c r="G1219" s="254"/>
      <c r="H1219" s="154"/>
      <c r="I1219" s="155"/>
      <c r="J1219" s="270"/>
      <c r="K1219" s="311">
        <f t="shared" si="333"/>
        <v>0</v>
      </c>
      <c r="L1219" s="312">
        <f t="shared" si="334"/>
        <v>0</v>
      </c>
      <c r="M1219" s="313">
        <f t="shared" si="335"/>
        <v>0</v>
      </c>
      <c r="N1219" s="320"/>
      <c r="O1219" s="315">
        <f t="shared" si="329"/>
        <v>0</v>
      </c>
      <c r="P1219" s="315">
        <f t="shared" si="330"/>
        <v>0</v>
      </c>
      <c r="Q1219" s="320"/>
      <c r="R1219" s="315">
        <f t="shared" si="331"/>
        <v>0</v>
      </c>
      <c r="S1219" s="315">
        <f t="shared" si="332"/>
        <v>0</v>
      </c>
      <c r="T1219" s="213"/>
      <c r="U1219" s="213"/>
      <c r="V1219" s="213"/>
      <c r="W1219" s="213"/>
      <c r="X1219" s="591"/>
      <c r="Y1219" s="591"/>
    </row>
    <row r="1220" spans="1:25" ht="14.85" customHeight="1">
      <c r="A1220" s="619"/>
      <c r="B1220" s="586"/>
      <c r="C1220" s="259"/>
      <c r="D1220" s="621"/>
      <c r="E1220" s="157"/>
      <c r="F1220" s="262"/>
      <c r="G1220" s="254"/>
      <c r="H1220" s="154"/>
      <c r="I1220" s="155"/>
      <c r="J1220" s="270"/>
      <c r="K1220" s="311">
        <f t="shared" si="333"/>
        <v>0</v>
      </c>
      <c r="L1220" s="312">
        <f t="shared" si="334"/>
        <v>0</v>
      </c>
      <c r="M1220" s="313">
        <f t="shared" si="335"/>
        <v>0</v>
      </c>
      <c r="N1220" s="320"/>
      <c r="O1220" s="315">
        <f t="shared" si="329"/>
        <v>0</v>
      </c>
      <c r="P1220" s="315">
        <f t="shared" si="330"/>
        <v>0</v>
      </c>
      <c r="Q1220" s="320"/>
      <c r="R1220" s="315">
        <f t="shared" si="331"/>
        <v>0</v>
      </c>
      <c r="S1220" s="315">
        <f t="shared" si="332"/>
        <v>0</v>
      </c>
      <c r="T1220" s="213"/>
      <c r="U1220" s="213"/>
      <c r="V1220" s="213"/>
      <c r="W1220" s="213"/>
      <c r="X1220" s="591"/>
      <c r="Y1220" s="591"/>
    </row>
    <row r="1221" spans="1:25" ht="14.85" customHeight="1">
      <c r="A1221" s="619"/>
      <c r="B1221" s="586"/>
      <c r="C1221" s="259"/>
      <c r="D1221" s="621"/>
      <c r="E1221" s="157"/>
      <c r="F1221" s="262"/>
      <c r="G1221" s="254"/>
      <c r="H1221" s="154"/>
      <c r="I1221" s="155"/>
      <c r="J1221" s="270"/>
      <c r="K1221" s="311">
        <f t="shared" si="333"/>
        <v>0</v>
      </c>
      <c r="L1221" s="312">
        <f t="shared" si="334"/>
        <v>0</v>
      </c>
      <c r="M1221" s="313">
        <f t="shared" si="335"/>
        <v>0</v>
      </c>
      <c r="N1221" s="320">
        <f>SUM(L1219:L1221)</f>
        <v>0</v>
      </c>
      <c r="O1221" s="315">
        <f t="shared" si="329"/>
        <v>0</v>
      </c>
      <c r="P1221" s="315">
        <f t="shared" si="330"/>
        <v>0</v>
      </c>
      <c r="Q1221" s="320"/>
      <c r="R1221" s="315">
        <f t="shared" si="331"/>
        <v>0</v>
      </c>
      <c r="S1221" s="315">
        <f t="shared" si="332"/>
        <v>0</v>
      </c>
      <c r="T1221" s="213"/>
      <c r="U1221" s="213"/>
      <c r="V1221" s="213"/>
      <c r="W1221" s="213"/>
      <c r="X1221" s="591"/>
      <c r="Y1221" s="591"/>
    </row>
    <row r="1222" spans="1:25" ht="14.85" customHeight="1">
      <c r="A1222" s="619"/>
      <c r="B1222" s="586"/>
      <c r="C1222" s="259"/>
      <c r="D1222" s="621"/>
      <c r="E1222" s="157"/>
      <c r="F1222" s="262"/>
      <c r="G1222" s="254"/>
      <c r="H1222" s="154"/>
      <c r="I1222" s="155"/>
      <c r="J1222" s="270"/>
      <c r="K1222" s="311">
        <f t="shared" si="333"/>
        <v>0</v>
      </c>
      <c r="L1222" s="312">
        <f t="shared" si="334"/>
        <v>0</v>
      </c>
      <c r="M1222" s="313">
        <f t="shared" si="335"/>
        <v>0</v>
      </c>
      <c r="N1222" s="320"/>
      <c r="O1222" s="315">
        <f t="shared" si="329"/>
        <v>0</v>
      </c>
      <c r="P1222" s="315">
        <f t="shared" si="330"/>
        <v>0</v>
      </c>
      <c r="Q1222" s="320"/>
      <c r="R1222" s="315">
        <f t="shared" si="331"/>
        <v>0</v>
      </c>
      <c r="S1222" s="315">
        <f t="shared" si="332"/>
        <v>0</v>
      </c>
      <c r="T1222" s="213"/>
      <c r="U1222" s="213"/>
      <c r="V1222" s="213"/>
      <c r="W1222" s="213"/>
      <c r="X1222" s="591"/>
      <c r="Y1222" s="591"/>
    </row>
    <row r="1223" spans="1:25" ht="14.85" customHeight="1">
      <c r="A1223" s="619"/>
      <c r="B1223" s="586"/>
      <c r="C1223" s="259"/>
      <c r="D1223" s="621"/>
      <c r="E1223" s="157"/>
      <c r="F1223" s="262"/>
      <c r="G1223" s="254"/>
      <c r="H1223" s="154"/>
      <c r="I1223" s="155"/>
      <c r="J1223" s="270"/>
      <c r="K1223" s="311">
        <f t="shared" si="333"/>
        <v>0</v>
      </c>
      <c r="L1223" s="312">
        <f t="shared" si="334"/>
        <v>0</v>
      </c>
      <c r="M1223" s="313">
        <f t="shared" si="335"/>
        <v>0</v>
      </c>
      <c r="N1223" s="320"/>
      <c r="O1223" s="315">
        <f t="shared" si="329"/>
        <v>0</v>
      </c>
      <c r="P1223" s="315">
        <f t="shared" si="330"/>
        <v>0</v>
      </c>
      <c r="Q1223" s="320"/>
      <c r="R1223" s="315">
        <f t="shared" si="331"/>
        <v>0</v>
      </c>
      <c r="S1223" s="315">
        <f t="shared" si="332"/>
        <v>0</v>
      </c>
      <c r="T1223" s="213"/>
      <c r="U1223" s="213"/>
      <c r="V1223" s="213"/>
      <c r="W1223" s="213"/>
      <c r="X1223" s="591"/>
      <c r="Y1223" s="591"/>
    </row>
    <row r="1224" spans="1:25" ht="14.85" customHeight="1">
      <c r="A1224" s="619"/>
      <c r="B1224" s="586"/>
      <c r="C1224" s="259"/>
      <c r="D1224" s="621"/>
      <c r="E1224" s="157"/>
      <c r="F1224" s="262"/>
      <c r="G1224" s="254"/>
      <c r="H1224" s="154"/>
      <c r="I1224" s="155"/>
      <c r="J1224" s="270"/>
      <c r="K1224" s="311">
        <f t="shared" si="333"/>
        <v>0</v>
      </c>
      <c r="L1224" s="312">
        <f t="shared" si="334"/>
        <v>0</v>
      </c>
      <c r="M1224" s="313">
        <f t="shared" si="335"/>
        <v>0</v>
      </c>
      <c r="N1224" s="320"/>
      <c r="O1224" s="315">
        <f t="shared" ref="O1224:O1291" si="336">ROUNDDOWN((N1224/$O$11),0)</f>
        <v>0</v>
      </c>
      <c r="P1224" s="315">
        <f t="shared" ref="P1224:P1291" si="337">ROUND((N1224-(O1224*$P$11)),0)</f>
        <v>0</v>
      </c>
      <c r="Q1224" s="320"/>
      <c r="R1224" s="315">
        <f t="shared" si="331"/>
        <v>0</v>
      </c>
      <c r="S1224" s="315">
        <f t="shared" si="332"/>
        <v>0</v>
      </c>
      <c r="T1224" s="213"/>
      <c r="U1224" s="213"/>
      <c r="V1224" s="213"/>
      <c r="W1224" s="213"/>
      <c r="X1224" s="591"/>
      <c r="Y1224" s="591"/>
    </row>
    <row r="1225" spans="1:25" ht="14.85" customHeight="1">
      <c r="A1225" s="619"/>
      <c r="B1225" s="586"/>
      <c r="C1225" s="259"/>
      <c r="D1225" s="621"/>
      <c r="E1225" s="157"/>
      <c r="F1225" s="262"/>
      <c r="G1225" s="254"/>
      <c r="H1225" s="154"/>
      <c r="I1225" s="155"/>
      <c r="J1225" s="270"/>
      <c r="K1225" s="311">
        <f t="shared" si="333"/>
        <v>0</v>
      </c>
      <c r="L1225" s="312">
        <f t="shared" si="334"/>
        <v>0</v>
      </c>
      <c r="M1225" s="313">
        <f t="shared" si="335"/>
        <v>0</v>
      </c>
      <c r="N1225" s="320">
        <f>SUM(L1222:L1225)</f>
        <v>0</v>
      </c>
      <c r="O1225" s="315">
        <f t="shared" si="336"/>
        <v>0</v>
      </c>
      <c r="P1225" s="315">
        <f t="shared" si="337"/>
        <v>0</v>
      </c>
      <c r="Q1225" s="320">
        <f>SUM(N1211:N1225)</f>
        <v>0</v>
      </c>
      <c r="R1225" s="315">
        <f t="shared" si="331"/>
        <v>0</v>
      </c>
      <c r="S1225" s="315">
        <f t="shared" si="332"/>
        <v>0</v>
      </c>
      <c r="T1225" s="213"/>
      <c r="U1225" s="213"/>
      <c r="V1225" s="213"/>
      <c r="W1225" s="213"/>
      <c r="X1225" s="591"/>
      <c r="Y1225" s="591"/>
    </row>
    <row r="1226" spans="1:25" ht="14.85" customHeight="1">
      <c r="A1226" s="619"/>
      <c r="B1226" s="586"/>
      <c r="C1226" s="259"/>
      <c r="D1226" s="621"/>
      <c r="E1226" s="157"/>
      <c r="F1226" s="262"/>
      <c r="G1226" s="254"/>
      <c r="H1226" s="154"/>
      <c r="I1226" s="155"/>
      <c r="J1226" s="270"/>
      <c r="K1226" s="311">
        <f t="shared" si="333"/>
        <v>0</v>
      </c>
      <c r="L1226" s="312">
        <f t="shared" si="334"/>
        <v>0</v>
      </c>
      <c r="M1226" s="313">
        <f t="shared" si="335"/>
        <v>0</v>
      </c>
      <c r="N1226" s="320"/>
      <c r="O1226" s="315"/>
      <c r="P1226" s="315"/>
      <c r="Q1226" s="320"/>
      <c r="R1226" s="315">
        <f t="shared" si="331"/>
        <v>0</v>
      </c>
      <c r="S1226" s="315">
        <f t="shared" si="332"/>
        <v>0</v>
      </c>
      <c r="T1226" s="213"/>
      <c r="U1226" s="213"/>
      <c r="V1226" s="213"/>
      <c r="W1226" s="213"/>
      <c r="X1226" s="591"/>
      <c r="Y1226" s="591"/>
    </row>
    <row r="1227" spans="1:25" ht="14.85" customHeight="1">
      <c r="A1227" s="619"/>
      <c r="B1227" s="586"/>
      <c r="C1227" s="259"/>
      <c r="D1227" s="621"/>
      <c r="E1227" s="240"/>
      <c r="F1227" s="262"/>
      <c r="G1227" s="230"/>
      <c r="H1227" s="230"/>
      <c r="I1227" s="155"/>
      <c r="J1227" s="279"/>
      <c r="K1227" s="311">
        <f t="shared" si="333"/>
        <v>0</v>
      </c>
      <c r="L1227" s="312">
        <f t="shared" si="334"/>
        <v>0</v>
      </c>
      <c r="M1227" s="313">
        <f t="shared" si="335"/>
        <v>0</v>
      </c>
      <c r="N1227" s="320"/>
      <c r="O1227" s="315">
        <f t="shared" si="336"/>
        <v>0</v>
      </c>
      <c r="P1227" s="315">
        <f t="shared" si="337"/>
        <v>0</v>
      </c>
      <c r="Q1227" s="320"/>
      <c r="R1227" s="315">
        <f t="shared" si="331"/>
        <v>0</v>
      </c>
      <c r="S1227" s="315">
        <f t="shared" si="332"/>
        <v>0</v>
      </c>
      <c r="T1227" s="213"/>
      <c r="U1227" s="213"/>
      <c r="V1227" s="213"/>
      <c r="W1227" s="213"/>
      <c r="X1227" s="591"/>
      <c r="Y1227" s="591"/>
    </row>
    <row r="1228" spans="1:25" ht="14.85" customHeight="1">
      <c r="A1228" s="619"/>
      <c r="B1228" s="586"/>
      <c r="C1228" s="259"/>
      <c r="D1228" s="621"/>
      <c r="E1228" s="241"/>
      <c r="F1228" s="262"/>
      <c r="G1228" s="230"/>
      <c r="H1228" s="230"/>
      <c r="I1228" s="155"/>
      <c r="J1228" s="279"/>
      <c r="K1228" s="311">
        <f t="shared" si="333"/>
        <v>0</v>
      </c>
      <c r="L1228" s="312">
        <f t="shared" si="334"/>
        <v>0</v>
      </c>
      <c r="M1228" s="313">
        <f t="shared" si="335"/>
        <v>0</v>
      </c>
      <c r="N1228" s="320">
        <f>L1227+L1228</f>
        <v>0</v>
      </c>
      <c r="O1228" s="315">
        <f t="shared" si="336"/>
        <v>0</v>
      </c>
      <c r="P1228" s="315">
        <f t="shared" si="337"/>
        <v>0</v>
      </c>
      <c r="Q1228" s="320"/>
      <c r="R1228" s="315">
        <f t="shared" ref="R1228:R1291" si="338">ROUNDDOWN((Q1228/$O$11),0)</f>
        <v>0</v>
      </c>
      <c r="S1228" s="315">
        <f t="shared" ref="S1228:S1291" si="339">ROUND((Q1228-(R1228*$P$11)),0)</f>
        <v>0</v>
      </c>
      <c r="T1228" s="213"/>
      <c r="U1228" s="213"/>
      <c r="V1228" s="213"/>
      <c r="W1228" s="213"/>
      <c r="X1228" s="591"/>
      <c r="Y1228" s="591"/>
    </row>
    <row r="1229" spans="1:25" ht="14.85" customHeight="1">
      <c r="A1229" s="619"/>
      <c r="B1229" s="586"/>
      <c r="C1229" s="259"/>
      <c r="D1229" s="621"/>
      <c r="E1229" s="157"/>
      <c r="F1229" s="262"/>
      <c r="G1229" s="254"/>
      <c r="H1229" s="154"/>
      <c r="I1229" s="155"/>
      <c r="J1229" s="279"/>
      <c r="K1229" s="311">
        <f t="shared" si="333"/>
        <v>0</v>
      </c>
      <c r="L1229" s="312">
        <f t="shared" si="334"/>
        <v>0</v>
      </c>
      <c r="M1229" s="313">
        <f t="shared" si="335"/>
        <v>0</v>
      </c>
      <c r="N1229" s="320"/>
      <c r="O1229" s="315">
        <f t="shared" si="336"/>
        <v>0</v>
      </c>
      <c r="P1229" s="315">
        <f t="shared" si="337"/>
        <v>0</v>
      </c>
      <c r="Q1229" s="320"/>
      <c r="R1229" s="315">
        <f t="shared" si="338"/>
        <v>0</v>
      </c>
      <c r="S1229" s="315">
        <f t="shared" si="339"/>
        <v>0</v>
      </c>
      <c r="T1229" s="213"/>
      <c r="U1229" s="213"/>
      <c r="V1229" s="213"/>
      <c r="W1229" s="213"/>
      <c r="X1229" s="591"/>
      <c r="Y1229" s="591"/>
    </row>
    <row r="1230" spans="1:25" ht="14.85" customHeight="1">
      <c r="A1230" s="619"/>
      <c r="B1230" s="586"/>
      <c r="C1230" s="259"/>
      <c r="D1230" s="621"/>
      <c r="E1230" s="157"/>
      <c r="F1230" s="262"/>
      <c r="G1230" s="254"/>
      <c r="H1230" s="154"/>
      <c r="I1230" s="155"/>
      <c r="J1230" s="279"/>
      <c r="K1230" s="311">
        <f t="shared" si="333"/>
        <v>0</v>
      </c>
      <c r="L1230" s="312">
        <f t="shared" si="334"/>
        <v>0</v>
      </c>
      <c r="M1230" s="313">
        <f t="shared" si="335"/>
        <v>0</v>
      </c>
      <c r="N1230" s="320"/>
      <c r="O1230" s="315">
        <f t="shared" si="336"/>
        <v>0</v>
      </c>
      <c r="P1230" s="315">
        <f t="shared" si="337"/>
        <v>0</v>
      </c>
      <c r="Q1230" s="320"/>
      <c r="R1230" s="315">
        <f t="shared" si="338"/>
        <v>0</v>
      </c>
      <c r="S1230" s="315">
        <f t="shared" si="339"/>
        <v>0</v>
      </c>
      <c r="T1230" s="213"/>
      <c r="U1230" s="213"/>
      <c r="V1230" s="213"/>
      <c r="W1230" s="213"/>
      <c r="X1230" s="591"/>
      <c r="Y1230" s="591"/>
    </row>
    <row r="1231" spans="1:25" ht="14.85" customHeight="1">
      <c r="A1231" s="619"/>
      <c r="B1231" s="586"/>
      <c r="C1231" s="259"/>
      <c r="D1231" s="621"/>
      <c r="E1231" s="157"/>
      <c r="F1231" s="262"/>
      <c r="G1231" s="254"/>
      <c r="H1231" s="154"/>
      <c r="I1231" s="155"/>
      <c r="J1231" s="279"/>
      <c r="K1231" s="311">
        <f t="shared" si="333"/>
        <v>0</v>
      </c>
      <c r="L1231" s="312">
        <f t="shared" si="334"/>
        <v>0</v>
      </c>
      <c r="M1231" s="313">
        <f t="shared" si="335"/>
        <v>0</v>
      </c>
      <c r="N1231" s="320"/>
      <c r="O1231" s="315">
        <f t="shared" si="336"/>
        <v>0</v>
      </c>
      <c r="P1231" s="315">
        <f t="shared" si="337"/>
        <v>0</v>
      </c>
      <c r="Q1231" s="320"/>
      <c r="R1231" s="315">
        <f t="shared" si="338"/>
        <v>0</v>
      </c>
      <c r="S1231" s="315">
        <f t="shared" si="339"/>
        <v>0</v>
      </c>
      <c r="T1231" s="213"/>
      <c r="U1231" s="213"/>
      <c r="V1231" s="213"/>
      <c r="W1231" s="213"/>
      <c r="X1231" s="591"/>
      <c r="Y1231" s="591"/>
    </row>
    <row r="1232" spans="1:25" ht="14.85" customHeight="1">
      <c r="A1232" s="619"/>
      <c r="B1232" s="586"/>
      <c r="C1232" s="259"/>
      <c r="D1232" s="621"/>
      <c r="E1232" s="157"/>
      <c r="F1232" s="262"/>
      <c r="G1232" s="254"/>
      <c r="H1232" s="154"/>
      <c r="I1232" s="155"/>
      <c r="J1232" s="279"/>
      <c r="K1232" s="311">
        <f t="shared" si="333"/>
        <v>0</v>
      </c>
      <c r="L1232" s="312">
        <f t="shared" si="334"/>
        <v>0</v>
      </c>
      <c r="M1232" s="313">
        <f t="shared" si="335"/>
        <v>0</v>
      </c>
      <c r="N1232" s="320"/>
      <c r="O1232" s="315">
        <f t="shared" si="336"/>
        <v>0</v>
      </c>
      <c r="P1232" s="315">
        <f t="shared" si="337"/>
        <v>0</v>
      </c>
      <c r="Q1232" s="320"/>
      <c r="R1232" s="315">
        <f t="shared" si="338"/>
        <v>0</v>
      </c>
      <c r="S1232" s="315">
        <f t="shared" si="339"/>
        <v>0</v>
      </c>
      <c r="T1232" s="213"/>
      <c r="U1232" s="213"/>
      <c r="V1232" s="213"/>
      <c r="W1232" s="213"/>
      <c r="X1232" s="591"/>
      <c r="Y1232" s="591"/>
    </row>
    <row r="1233" spans="1:25" ht="14.85" customHeight="1">
      <c r="A1233" s="619"/>
      <c r="B1233" s="586"/>
      <c r="C1233" s="259"/>
      <c r="D1233" s="621"/>
      <c r="E1233" s="157"/>
      <c r="F1233" s="262"/>
      <c r="G1233" s="254"/>
      <c r="H1233" s="154"/>
      <c r="I1233" s="155"/>
      <c r="J1233" s="279"/>
      <c r="K1233" s="311">
        <f t="shared" si="333"/>
        <v>0</v>
      </c>
      <c r="L1233" s="312">
        <f t="shared" si="334"/>
        <v>0</v>
      </c>
      <c r="M1233" s="313">
        <f t="shared" si="335"/>
        <v>0</v>
      </c>
      <c r="N1233" s="320"/>
      <c r="O1233" s="315">
        <f t="shared" si="336"/>
        <v>0</v>
      </c>
      <c r="P1233" s="315">
        <f t="shared" si="337"/>
        <v>0</v>
      </c>
      <c r="Q1233" s="320"/>
      <c r="R1233" s="315">
        <f t="shared" si="338"/>
        <v>0</v>
      </c>
      <c r="S1233" s="315">
        <f t="shared" si="339"/>
        <v>0</v>
      </c>
      <c r="T1233" s="213"/>
      <c r="U1233" s="213"/>
      <c r="V1233" s="213"/>
      <c r="W1233" s="213"/>
      <c r="X1233" s="591"/>
      <c r="Y1233" s="591"/>
    </row>
    <row r="1234" spans="1:25" ht="14.85" customHeight="1">
      <c r="A1234" s="619"/>
      <c r="B1234" s="586"/>
      <c r="C1234" s="259"/>
      <c r="D1234" s="621"/>
      <c r="E1234" s="157"/>
      <c r="F1234" s="262"/>
      <c r="G1234" s="254"/>
      <c r="H1234" s="154"/>
      <c r="I1234" s="155"/>
      <c r="J1234" s="279"/>
      <c r="K1234" s="311">
        <f t="shared" si="333"/>
        <v>0</v>
      </c>
      <c r="L1234" s="312">
        <f t="shared" si="334"/>
        <v>0</v>
      </c>
      <c r="M1234" s="313">
        <f t="shared" si="335"/>
        <v>0</v>
      </c>
      <c r="N1234" s="320">
        <f>SUM(L1229:L1234)</f>
        <v>0</v>
      </c>
      <c r="O1234" s="315">
        <f t="shared" si="336"/>
        <v>0</v>
      </c>
      <c r="P1234" s="315">
        <f t="shared" si="337"/>
        <v>0</v>
      </c>
      <c r="Q1234" s="320">
        <f>N1228+N1234</f>
        <v>0</v>
      </c>
      <c r="R1234" s="315">
        <f t="shared" si="338"/>
        <v>0</v>
      </c>
      <c r="S1234" s="315">
        <f t="shared" si="339"/>
        <v>0</v>
      </c>
      <c r="T1234" s="213"/>
      <c r="U1234" s="213"/>
      <c r="V1234" s="213"/>
      <c r="W1234" s="213"/>
      <c r="X1234" s="591"/>
      <c r="Y1234" s="591"/>
    </row>
    <row r="1235" spans="1:25" ht="14.85" customHeight="1">
      <c r="A1235" s="619"/>
      <c r="B1235" s="586"/>
      <c r="C1235" s="259"/>
      <c r="D1235" s="621"/>
      <c r="E1235" s="157"/>
      <c r="F1235" s="262"/>
      <c r="G1235" s="254"/>
      <c r="H1235" s="154"/>
      <c r="I1235" s="155"/>
      <c r="J1235" s="279"/>
      <c r="K1235" s="311">
        <f t="shared" si="333"/>
        <v>0</v>
      </c>
      <c r="L1235" s="312">
        <f t="shared" si="334"/>
        <v>0</v>
      </c>
      <c r="M1235" s="313">
        <f t="shared" si="335"/>
        <v>0</v>
      </c>
      <c r="N1235" s="320"/>
      <c r="O1235" s="315"/>
      <c r="P1235" s="315"/>
      <c r="Q1235" s="320"/>
      <c r="R1235" s="315">
        <f t="shared" si="338"/>
        <v>0</v>
      </c>
      <c r="S1235" s="315">
        <f t="shared" si="339"/>
        <v>0</v>
      </c>
      <c r="T1235" s="213"/>
      <c r="U1235" s="213"/>
      <c r="V1235" s="213"/>
      <c r="W1235" s="213"/>
      <c r="X1235" s="591"/>
      <c r="Y1235" s="591"/>
    </row>
    <row r="1236" spans="1:25" ht="14.85" customHeight="1">
      <c r="A1236" s="619"/>
      <c r="B1236" s="586"/>
      <c r="C1236" s="259"/>
      <c r="D1236" s="621"/>
      <c r="E1236" s="240"/>
      <c r="F1236" s="154"/>
      <c r="G1236" s="380"/>
      <c r="H1236" s="380"/>
      <c r="I1236" s="154"/>
      <c r="J1236" s="270"/>
      <c r="K1236" s="311">
        <f t="shared" si="333"/>
        <v>0</v>
      </c>
      <c r="L1236" s="312">
        <f t="shared" si="334"/>
        <v>0</v>
      </c>
      <c r="M1236" s="313">
        <f t="shared" si="335"/>
        <v>0</v>
      </c>
      <c r="N1236" s="320"/>
      <c r="O1236" s="315">
        <f t="shared" si="336"/>
        <v>0</v>
      </c>
      <c r="P1236" s="315">
        <f t="shared" si="337"/>
        <v>0</v>
      </c>
      <c r="Q1236" s="320"/>
      <c r="R1236" s="315">
        <f t="shared" si="338"/>
        <v>0</v>
      </c>
      <c r="S1236" s="315">
        <f t="shared" si="339"/>
        <v>0</v>
      </c>
      <c r="T1236" s="213"/>
      <c r="U1236" s="213"/>
      <c r="V1236" s="213"/>
      <c r="W1236" s="213"/>
      <c r="X1236" s="591"/>
      <c r="Y1236" s="591"/>
    </row>
    <row r="1237" spans="1:25" ht="14.85" customHeight="1">
      <c r="A1237" s="619"/>
      <c r="B1237" s="586"/>
      <c r="C1237" s="259"/>
      <c r="D1237" s="621"/>
      <c r="E1237" s="241"/>
      <c r="F1237" s="154"/>
      <c r="G1237" s="380"/>
      <c r="H1237" s="380"/>
      <c r="I1237" s="154"/>
      <c r="J1237" s="270"/>
      <c r="K1237" s="311">
        <f t="shared" si="333"/>
        <v>0</v>
      </c>
      <c r="L1237" s="312">
        <f t="shared" si="334"/>
        <v>0</v>
      </c>
      <c r="M1237" s="313">
        <f t="shared" si="335"/>
        <v>0</v>
      </c>
      <c r="N1237" s="320">
        <f>L1236+L1237</f>
        <v>0</v>
      </c>
      <c r="O1237" s="315">
        <f t="shared" si="336"/>
        <v>0</v>
      </c>
      <c r="P1237" s="315">
        <f t="shared" si="337"/>
        <v>0</v>
      </c>
      <c r="Q1237" s="320"/>
      <c r="R1237" s="315">
        <f t="shared" si="338"/>
        <v>0</v>
      </c>
      <c r="S1237" s="315">
        <f t="shared" si="339"/>
        <v>0</v>
      </c>
      <c r="T1237" s="213"/>
      <c r="U1237" s="213"/>
      <c r="V1237" s="213"/>
      <c r="W1237" s="213"/>
      <c r="X1237" s="591"/>
      <c r="Y1237" s="591"/>
    </row>
    <row r="1238" spans="1:25" ht="14.85" customHeight="1">
      <c r="A1238" s="619"/>
      <c r="B1238" s="586"/>
      <c r="C1238" s="259"/>
      <c r="D1238" s="621"/>
      <c r="E1238" s="157"/>
      <c r="F1238" s="154"/>
      <c r="G1238" s="254"/>
      <c r="H1238" s="254"/>
      <c r="I1238" s="154"/>
      <c r="J1238" s="270"/>
      <c r="K1238" s="311">
        <f t="shared" si="333"/>
        <v>0</v>
      </c>
      <c r="L1238" s="312">
        <f t="shared" si="334"/>
        <v>0</v>
      </c>
      <c r="M1238" s="313">
        <f t="shared" si="335"/>
        <v>0</v>
      </c>
      <c r="N1238" s="320"/>
      <c r="O1238" s="315">
        <f t="shared" si="336"/>
        <v>0</v>
      </c>
      <c r="P1238" s="315">
        <f t="shared" si="337"/>
        <v>0</v>
      </c>
      <c r="Q1238" s="320"/>
      <c r="R1238" s="315">
        <f t="shared" si="338"/>
        <v>0</v>
      </c>
      <c r="S1238" s="315">
        <f t="shared" si="339"/>
        <v>0</v>
      </c>
      <c r="T1238" s="213"/>
      <c r="U1238" s="213"/>
      <c r="V1238" s="213"/>
      <c r="W1238" s="213"/>
      <c r="X1238" s="591"/>
      <c r="Y1238" s="591"/>
    </row>
    <row r="1239" spans="1:25" ht="14.85" customHeight="1">
      <c r="A1239" s="619"/>
      <c r="B1239" s="586"/>
      <c r="C1239" s="259"/>
      <c r="D1239" s="621"/>
      <c r="E1239" s="157"/>
      <c r="F1239" s="154"/>
      <c r="G1239" s="254"/>
      <c r="H1239" s="154"/>
      <c r="I1239" s="154"/>
      <c r="J1239" s="270"/>
      <c r="K1239" s="311">
        <f t="shared" si="333"/>
        <v>0</v>
      </c>
      <c r="L1239" s="312">
        <f t="shared" si="334"/>
        <v>0</v>
      </c>
      <c r="M1239" s="313">
        <f t="shared" si="335"/>
        <v>0</v>
      </c>
      <c r="N1239" s="320"/>
      <c r="O1239" s="315">
        <f t="shared" si="336"/>
        <v>0</v>
      </c>
      <c r="P1239" s="315">
        <f t="shared" si="337"/>
        <v>0</v>
      </c>
      <c r="Q1239" s="320"/>
      <c r="R1239" s="315">
        <f t="shared" si="338"/>
        <v>0</v>
      </c>
      <c r="S1239" s="315">
        <f t="shared" si="339"/>
        <v>0</v>
      </c>
      <c r="T1239" s="213"/>
      <c r="U1239" s="213"/>
      <c r="V1239" s="213"/>
      <c r="W1239" s="213"/>
      <c r="X1239" s="591"/>
      <c r="Y1239" s="591"/>
    </row>
    <row r="1240" spans="1:25" ht="14.85" customHeight="1">
      <c r="A1240" s="619"/>
      <c r="B1240" s="586"/>
      <c r="C1240" s="259"/>
      <c r="D1240" s="621"/>
      <c r="E1240" s="157"/>
      <c r="F1240" s="154"/>
      <c r="G1240" s="254"/>
      <c r="H1240" s="154"/>
      <c r="I1240" s="154"/>
      <c r="J1240" s="270"/>
      <c r="K1240" s="311">
        <f t="shared" si="333"/>
        <v>0</v>
      </c>
      <c r="L1240" s="312">
        <f t="shared" si="334"/>
        <v>0</v>
      </c>
      <c r="M1240" s="313">
        <f t="shared" si="335"/>
        <v>0</v>
      </c>
      <c r="N1240" s="320"/>
      <c r="O1240" s="315">
        <f t="shared" si="336"/>
        <v>0</v>
      </c>
      <c r="P1240" s="315">
        <f t="shared" si="337"/>
        <v>0</v>
      </c>
      <c r="Q1240" s="320"/>
      <c r="R1240" s="315">
        <f t="shared" si="338"/>
        <v>0</v>
      </c>
      <c r="S1240" s="315">
        <f t="shared" si="339"/>
        <v>0</v>
      </c>
      <c r="T1240" s="213"/>
      <c r="U1240" s="213"/>
      <c r="V1240" s="213"/>
      <c r="W1240" s="213"/>
      <c r="X1240" s="591"/>
      <c r="Y1240" s="591"/>
    </row>
    <row r="1241" spans="1:25" ht="14.85" customHeight="1">
      <c r="A1241" s="619"/>
      <c r="B1241" s="586"/>
      <c r="C1241" s="259"/>
      <c r="D1241" s="621"/>
      <c r="E1241" s="157"/>
      <c r="F1241" s="154"/>
      <c r="G1241" s="254"/>
      <c r="H1241" s="154"/>
      <c r="I1241" s="154"/>
      <c r="J1241" s="270"/>
      <c r="K1241" s="311">
        <f t="shared" si="333"/>
        <v>0</v>
      </c>
      <c r="L1241" s="312">
        <f t="shared" si="334"/>
        <v>0</v>
      </c>
      <c r="M1241" s="313">
        <f t="shared" si="335"/>
        <v>0</v>
      </c>
      <c r="N1241" s="320">
        <f>SUM(L1238:L1241)</f>
        <v>0</v>
      </c>
      <c r="O1241" s="315">
        <f t="shared" si="336"/>
        <v>0</v>
      </c>
      <c r="P1241" s="315">
        <f t="shared" si="337"/>
        <v>0</v>
      </c>
      <c r="Q1241" s="320"/>
      <c r="R1241" s="315">
        <f t="shared" si="338"/>
        <v>0</v>
      </c>
      <c r="S1241" s="315">
        <f t="shared" si="339"/>
        <v>0</v>
      </c>
      <c r="T1241" s="213"/>
      <c r="U1241" s="213"/>
      <c r="V1241" s="213"/>
      <c r="W1241" s="213"/>
      <c r="X1241" s="591"/>
      <c r="Y1241" s="591"/>
    </row>
    <row r="1242" spans="1:25" ht="14.85" customHeight="1">
      <c r="A1242" s="619"/>
      <c r="B1242" s="586"/>
      <c r="C1242" s="259"/>
      <c r="D1242" s="621"/>
      <c r="E1242" s="157"/>
      <c r="F1242" s="154"/>
      <c r="G1242" s="254"/>
      <c r="H1242" s="154"/>
      <c r="I1242" s="154"/>
      <c r="J1242" s="254"/>
      <c r="K1242" s="311">
        <f t="shared" si="333"/>
        <v>0</v>
      </c>
      <c r="L1242" s="312">
        <f t="shared" si="334"/>
        <v>0</v>
      </c>
      <c r="M1242" s="313">
        <f t="shared" si="335"/>
        <v>0</v>
      </c>
      <c r="N1242" s="320"/>
      <c r="O1242" s="315">
        <f t="shared" si="336"/>
        <v>0</v>
      </c>
      <c r="P1242" s="315">
        <f t="shared" si="337"/>
        <v>0</v>
      </c>
      <c r="Q1242" s="320"/>
      <c r="R1242" s="315">
        <f t="shared" si="338"/>
        <v>0</v>
      </c>
      <c r="S1242" s="315">
        <f t="shared" si="339"/>
        <v>0</v>
      </c>
      <c r="T1242" s="213"/>
      <c r="U1242" s="213"/>
      <c r="V1242" s="213"/>
      <c r="W1242" s="213"/>
      <c r="X1242" s="591"/>
      <c r="Y1242" s="591"/>
    </row>
    <row r="1243" spans="1:25" ht="14.85" customHeight="1">
      <c r="A1243" s="619"/>
      <c r="B1243" s="586"/>
      <c r="C1243" s="259"/>
      <c r="D1243" s="621"/>
      <c r="E1243" s="157"/>
      <c r="F1243" s="154"/>
      <c r="G1243" s="254"/>
      <c r="H1243" s="154"/>
      <c r="I1243" s="154"/>
      <c r="J1243" s="254"/>
      <c r="K1243" s="311">
        <f t="shared" si="333"/>
        <v>0</v>
      </c>
      <c r="L1243" s="312">
        <f t="shared" si="334"/>
        <v>0</v>
      </c>
      <c r="M1243" s="313">
        <f t="shared" si="335"/>
        <v>0</v>
      </c>
      <c r="N1243" s="320"/>
      <c r="O1243" s="315">
        <f t="shared" si="336"/>
        <v>0</v>
      </c>
      <c r="P1243" s="315">
        <f t="shared" si="337"/>
        <v>0</v>
      </c>
      <c r="Q1243" s="320"/>
      <c r="R1243" s="315">
        <f t="shared" si="338"/>
        <v>0</v>
      </c>
      <c r="S1243" s="315">
        <f t="shared" si="339"/>
        <v>0</v>
      </c>
      <c r="T1243" s="213"/>
      <c r="U1243" s="213"/>
      <c r="V1243" s="213"/>
      <c r="W1243" s="213"/>
      <c r="X1243" s="591"/>
      <c r="Y1243" s="591"/>
    </row>
    <row r="1244" spans="1:25" ht="14.85" customHeight="1">
      <c r="A1244" s="619"/>
      <c r="B1244" s="586"/>
      <c r="C1244" s="259"/>
      <c r="D1244" s="621"/>
      <c r="E1244" s="157"/>
      <c r="F1244" s="154"/>
      <c r="G1244" s="254"/>
      <c r="H1244" s="154"/>
      <c r="I1244" s="154"/>
      <c r="J1244" s="254"/>
      <c r="K1244" s="311">
        <f t="shared" si="333"/>
        <v>0</v>
      </c>
      <c r="L1244" s="312">
        <f t="shared" si="334"/>
        <v>0</v>
      </c>
      <c r="M1244" s="313">
        <f t="shared" si="335"/>
        <v>0</v>
      </c>
      <c r="N1244" s="320"/>
      <c r="O1244" s="315">
        <f t="shared" si="336"/>
        <v>0</v>
      </c>
      <c r="P1244" s="315">
        <f t="shared" si="337"/>
        <v>0</v>
      </c>
      <c r="Q1244" s="320"/>
      <c r="R1244" s="315">
        <f t="shared" si="338"/>
        <v>0</v>
      </c>
      <c r="S1244" s="315">
        <f t="shared" si="339"/>
        <v>0</v>
      </c>
      <c r="T1244" s="213"/>
      <c r="U1244" s="213"/>
      <c r="V1244" s="213"/>
      <c r="W1244" s="213"/>
      <c r="X1244" s="591"/>
      <c r="Y1244" s="591"/>
    </row>
    <row r="1245" spans="1:25" ht="14.85" customHeight="1">
      <c r="A1245" s="619"/>
      <c r="B1245" s="586"/>
      <c r="C1245" s="259"/>
      <c r="D1245" s="621"/>
      <c r="E1245" s="157"/>
      <c r="F1245" s="154"/>
      <c r="G1245" s="254"/>
      <c r="H1245" s="154"/>
      <c r="I1245" s="154"/>
      <c r="J1245" s="254"/>
      <c r="K1245" s="311">
        <f t="shared" si="333"/>
        <v>0</v>
      </c>
      <c r="L1245" s="312">
        <f t="shared" si="334"/>
        <v>0</v>
      </c>
      <c r="M1245" s="313">
        <f t="shared" si="335"/>
        <v>0</v>
      </c>
      <c r="N1245" s="320"/>
      <c r="O1245" s="315">
        <f t="shared" si="336"/>
        <v>0</v>
      </c>
      <c r="P1245" s="315">
        <f t="shared" si="337"/>
        <v>0</v>
      </c>
      <c r="Q1245" s="320"/>
      <c r="R1245" s="315">
        <f t="shared" si="338"/>
        <v>0</v>
      </c>
      <c r="S1245" s="315">
        <f t="shared" si="339"/>
        <v>0</v>
      </c>
      <c r="T1245" s="213"/>
      <c r="U1245" s="213"/>
      <c r="V1245" s="213"/>
      <c r="W1245" s="213"/>
      <c r="X1245" s="591"/>
      <c r="Y1245" s="591"/>
    </row>
    <row r="1246" spans="1:25" ht="14.85" customHeight="1">
      <c r="A1246" s="619"/>
      <c r="B1246" s="586"/>
      <c r="C1246" s="259"/>
      <c r="D1246" s="621"/>
      <c r="E1246" s="157"/>
      <c r="F1246" s="154"/>
      <c r="G1246" s="254"/>
      <c r="H1246" s="154"/>
      <c r="I1246" s="154"/>
      <c r="J1246" s="254"/>
      <c r="K1246" s="311">
        <f t="shared" si="333"/>
        <v>0</v>
      </c>
      <c r="L1246" s="312">
        <f t="shared" si="334"/>
        <v>0</v>
      </c>
      <c r="M1246" s="313">
        <f t="shared" si="335"/>
        <v>0</v>
      </c>
      <c r="N1246" s="320">
        <f>SUM(L1242:L1246)</f>
        <v>0</v>
      </c>
      <c r="O1246" s="315">
        <f t="shared" si="336"/>
        <v>0</v>
      </c>
      <c r="P1246" s="315">
        <f t="shared" si="337"/>
        <v>0</v>
      </c>
      <c r="Q1246" s="320">
        <f>N1237+N1241+N1246</f>
        <v>0</v>
      </c>
      <c r="R1246" s="315">
        <f t="shared" si="338"/>
        <v>0</v>
      </c>
      <c r="S1246" s="315">
        <f t="shared" si="339"/>
        <v>0</v>
      </c>
      <c r="T1246" s="213"/>
      <c r="U1246" s="213"/>
      <c r="V1246" s="213"/>
      <c r="W1246" s="213"/>
      <c r="X1246" s="591"/>
      <c r="Y1246" s="591"/>
    </row>
    <row r="1247" spans="1:25" ht="14.85" customHeight="1">
      <c r="A1247" s="619"/>
      <c r="B1247" s="586"/>
      <c r="C1247" s="259"/>
      <c r="D1247" s="621"/>
      <c r="E1247" s="157"/>
      <c r="F1247" s="154"/>
      <c r="G1247" s="254"/>
      <c r="H1247" s="154"/>
      <c r="I1247" s="154"/>
      <c r="J1247" s="254"/>
      <c r="K1247" s="311">
        <f t="shared" si="333"/>
        <v>0</v>
      </c>
      <c r="L1247" s="312">
        <f t="shared" si="334"/>
        <v>0</v>
      </c>
      <c r="M1247" s="313">
        <f t="shared" si="335"/>
        <v>0</v>
      </c>
      <c r="N1247" s="320"/>
      <c r="O1247" s="315"/>
      <c r="P1247" s="315"/>
      <c r="Q1247" s="320"/>
      <c r="R1247" s="315">
        <f t="shared" si="338"/>
        <v>0</v>
      </c>
      <c r="S1247" s="315">
        <f t="shared" si="339"/>
        <v>0</v>
      </c>
      <c r="T1247" s="213"/>
      <c r="U1247" s="213"/>
      <c r="V1247" s="213"/>
      <c r="W1247" s="213"/>
      <c r="X1247" s="591"/>
      <c r="Y1247" s="591"/>
    </row>
    <row r="1248" spans="1:25" ht="14.85" customHeight="1">
      <c r="A1248" s="619"/>
      <c r="B1248" s="586"/>
      <c r="C1248" s="259"/>
      <c r="D1248" s="621"/>
      <c r="E1248" s="240"/>
      <c r="F1248" s="154"/>
      <c r="G1248" s="230"/>
      <c r="H1248" s="230"/>
      <c r="I1248" s="154"/>
      <c r="J1248" s="270"/>
      <c r="K1248" s="311">
        <f t="shared" si="333"/>
        <v>0</v>
      </c>
      <c r="L1248" s="312">
        <f t="shared" si="334"/>
        <v>0</v>
      </c>
      <c r="M1248" s="313">
        <f t="shared" si="335"/>
        <v>0</v>
      </c>
      <c r="N1248" s="320"/>
      <c r="O1248" s="315">
        <f t="shared" si="336"/>
        <v>0</v>
      </c>
      <c r="P1248" s="315">
        <f t="shared" si="337"/>
        <v>0</v>
      </c>
      <c r="Q1248" s="320"/>
      <c r="R1248" s="315">
        <f t="shared" si="338"/>
        <v>0</v>
      </c>
      <c r="S1248" s="315">
        <f t="shared" si="339"/>
        <v>0</v>
      </c>
      <c r="T1248" s="213"/>
      <c r="U1248" s="213"/>
      <c r="V1248" s="213"/>
      <c r="W1248" s="213"/>
      <c r="X1248" s="591"/>
      <c r="Y1248" s="591"/>
    </row>
    <row r="1249" spans="1:25" ht="14.85" customHeight="1">
      <c r="A1249" s="619"/>
      <c r="B1249" s="586"/>
      <c r="C1249" s="259"/>
      <c r="D1249" s="621"/>
      <c r="E1249" s="241"/>
      <c r="F1249" s="154"/>
      <c r="G1249" s="230"/>
      <c r="H1249" s="230"/>
      <c r="I1249" s="154"/>
      <c r="J1249" s="270"/>
      <c r="K1249" s="311">
        <f t="shared" ref="K1249:K1292" si="340">J1249/$K$11</f>
        <v>0</v>
      </c>
      <c r="L1249" s="312">
        <f t="shared" ref="L1249:L1292" si="341">J1249/$L$11</f>
        <v>0</v>
      </c>
      <c r="M1249" s="313">
        <f t="shared" ref="M1249:M1292" si="342">ROUND((L1249/$M$11),0)</f>
        <v>0</v>
      </c>
      <c r="N1249" s="320"/>
      <c r="O1249" s="315">
        <f t="shared" si="336"/>
        <v>0</v>
      </c>
      <c r="P1249" s="315">
        <f t="shared" si="337"/>
        <v>0</v>
      </c>
      <c r="Q1249" s="320"/>
      <c r="R1249" s="315">
        <f t="shared" si="338"/>
        <v>0</v>
      </c>
      <c r="S1249" s="315">
        <f t="shared" si="339"/>
        <v>0</v>
      </c>
      <c r="T1249" s="213"/>
      <c r="U1249" s="213"/>
      <c r="V1249" s="213"/>
      <c r="W1249" s="213"/>
      <c r="X1249" s="591"/>
      <c r="Y1249" s="591"/>
    </row>
    <row r="1250" spans="1:25" ht="14.85" customHeight="1">
      <c r="A1250" s="619"/>
      <c r="B1250" s="586"/>
      <c r="C1250" s="259"/>
      <c r="D1250" s="621"/>
      <c r="E1250" s="241"/>
      <c r="F1250" s="154"/>
      <c r="G1250" s="230"/>
      <c r="H1250" s="230"/>
      <c r="I1250" s="154"/>
      <c r="J1250" s="270"/>
      <c r="K1250" s="311">
        <f t="shared" si="340"/>
        <v>0</v>
      </c>
      <c r="L1250" s="312">
        <f t="shared" si="341"/>
        <v>0</v>
      </c>
      <c r="M1250" s="313">
        <f t="shared" si="342"/>
        <v>0</v>
      </c>
      <c r="N1250" s="320"/>
      <c r="O1250" s="315">
        <f t="shared" si="336"/>
        <v>0</v>
      </c>
      <c r="P1250" s="315">
        <f t="shared" si="337"/>
        <v>0</v>
      </c>
      <c r="Q1250" s="320"/>
      <c r="R1250" s="315">
        <f t="shared" si="338"/>
        <v>0</v>
      </c>
      <c r="S1250" s="315">
        <f t="shared" si="339"/>
        <v>0</v>
      </c>
      <c r="T1250" s="213"/>
      <c r="U1250" s="213"/>
      <c r="V1250" s="213"/>
      <c r="W1250" s="213"/>
      <c r="X1250" s="591"/>
      <c r="Y1250" s="591"/>
    </row>
    <row r="1251" spans="1:25" ht="14.85" customHeight="1">
      <c r="A1251" s="619"/>
      <c r="B1251" s="586"/>
      <c r="C1251" s="259"/>
      <c r="D1251" s="621"/>
      <c r="E1251" s="241"/>
      <c r="F1251" s="154"/>
      <c r="G1251" s="230"/>
      <c r="H1251" s="230"/>
      <c r="I1251" s="154"/>
      <c r="J1251" s="270"/>
      <c r="K1251" s="311">
        <f t="shared" si="340"/>
        <v>0</v>
      </c>
      <c r="L1251" s="312">
        <f t="shared" si="341"/>
        <v>0</v>
      </c>
      <c r="M1251" s="313">
        <f t="shared" si="342"/>
        <v>0</v>
      </c>
      <c r="N1251" s="320"/>
      <c r="O1251" s="315">
        <f t="shared" si="336"/>
        <v>0</v>
      </c>
      <c r="P1251" s="315">
        <f t="shared" si="337"/>
        <v>0</v>
      </c>
      <c r="Q1251" s="320"/>
      <c r="R1251" s="315">
        <f t="shared" si="338"/>
        <v>0</v>
      </c>
      <c r="S1251" s="315">
        <f t="shared" si="339"/>
        <v>0</v>
      </c>
      <c r="T1251" s="213"/>
      <c r="U1251" s="213"/>
      <c r="V1251" s="213"/>
      <c r="W1251" s="213"/>
      <c r="X1251" s="591"/>
      <c r="Y1251" s="591"/>
    </row>
    <row r="1252" spans="1:25" ht="14.85" customHeight="1">
      <c r="A1252" s="619"/>
      <c r="B1252" s="586"/>
      <c r="C1252" s="259"/>
      <c r="D1252" s="621"/>
      <c r="E1252" s="241"/>
      <c r="F1252" s="154"/>
      <c r="G1252" s="230"/>
      <c r="H1252" s="230"/>
      <c r="I1252" s="154"/>
      <c r="J1252" s="270"/>
      <c r="K1252" s="311">
        <f t="shared" si="340"/>
        <v>0</v>
      </c>
      <c r="L1252" s="312">
        <f t="shared" si="341"/>
        <v>0</v>
      </c>
      <c r="M1252" s="313">
        <f t="shared" si="342"/>
        <v>0</v>
      </c>
      <c r="N1252" s="320"/>
      <c r="O1252" s="315">
        <f t="shared" si="336"/>
        <v>0</v>
      </c>
      <c r="P1252" s="315">
        <f t="shared" si="337"/>
        <v>0</v>
      </c>
      <c r="Q1252" s="320"/>
      <c r="R1252" s="315">
        <f t="shared" si="338"/>
        <v>0</v>
      </c>
      <c r="S1252" s="315">
        <f t="shared" si="339"/>
        <v>0</v>
      </c>
      <c r="T1252" s="213"/>
      <c r="U1252" s="213"/>
      <c r="V1252" s="213"/>
      <c r="W1252" s="213"/>
      <c r="X1252" s="591"/>
      <c r="Y1252" s="591"/>
    </row>
    <row r="1253" spans="1:25" ht="14.85" customHeight="1">
      <c r="A1253" s="619"/>
      <c r="B1253" s="586"/>
      <c r="C1253" s="259"/>
      <c r="D1253" s="621"/>
      <c r="E1253" s="241"/>
      <c r="F1253" s="154"/>
      <c r="G1253" s="230"/>
      <c r="H1253" s="230"/>
      <c r="I1253" s="154"/>
      <c r="J1253" s="270"/>
      <c r="K1253" s="311">
        <f t="shared" si="340"/>
        <v>0</v>
      </c>
      <c r="L1253" s="312">
        <f t="shared" si="341"/>
        <v>0</v>
      </c>
      <c r="M1253" s="313">
        <f t="shared" si="342"/>
        <v>0</v>
      </c>
      <c r="N1253" s="320">
        <f>SUM(L1248:L1253)</f>
        <v>0</v>
      </c>
      <c r="O1253" s="315">
        <f t="shared" si="336"/>
        <v>0</v>
      </c>
      <c r="P1253" s="315">
        <f t="shared" si="337"/>
        <v>0</v>
      </c>
      <c r="Q1253" s="320"/>
      <c r="R1253" s="315">
        <f t="shared" si="338"/>
        <v>0</v>
      </c>
      <c r="S1253" s="315">
        <f t="shared" si="339"/>
        <v>0</v>
      </c>
      <c r="T1253" s="213"/>
      <c r="U1253" s="213"/>
      <c r="V1253" s="213"/>
      <c r="W1253" s="213"/>
      <c r="X1253" s="591"/>
      <c r="Y1253" s="591"/>
    </row>
    <row r="1254" spans="1:25" ht="14.85" customHeight="1">
      <c r="A1254" s="619"/>
      <c r="B1254" s="586"/>
      <c r="C1254" s="259"/>
      <c r="D1254" s="621"/>
      <c r="E1254" s="157"/>
      <c r="F1254" s="154"/>
      <c r="G1254" s="254"/>
      <c r="H1254" s="154"/>
      <c r="I1254" s="154"/>
      <c r="J1254" s="270"/>
      <c r="K1254" s="311">
        <f t="shared" si="340"/>
        <v>0</v>
      </c>
      <c r="L1254" s="312">
        <f t="shared" si="341"/>
        <v>0</v>
      </c>
      <c r="M1254" s="313">
        <f t="shared" si="342"/>
        <v>0</v>
      </c>
      <c r="N1254" s="320"/>
      <c r="O1254" s="315">
        <f t="shared" si="336"/>
        <v>0</v>
      </c>
      <c r="P1254" s="315">
        <f t="shared" si="337"/>
        <v>0</v>
      </c>
      <c r="Q1254" s="320"/>
      <c r="R1254" s="315">
        <f t="shared" si="338"/>
        <v>0</v>
      </c>
      <c r="S1254" s="315">
        <f t="shared" si="339"/>
        <v>0</v>
      </c>
      <c r="T1254" s="213"/>
      <c r="U1254" s="213"/>
      <c r="V1254" s="213"/>
      <c r="W1254" s="213"/>
      <c r="X1254" s="591"/>
      <c r="Y1254" s="591"/>
    </row>
    <row r="1255" spans="1:25" ht="14.85" customHeight="1">
      <c r="A1255" s="619"/>
      <c r="B1255" s="586"/>
      <c r="C1255" s="259"/>
      <c r="D1255" s="621"/>
      <c r="E1255" s="157"/>
      <c r="F1255" s="154"/>
      <c r="G1255" s="254"/>
      <c r="H1255" s="154"/>
      <c r="I1255" s="154"/>
      <c r="J1255" s="270"/>
      <c r="K1255" s="311">
        <f t="shared" si="340"/>
        <v>0</v>
      </c>
      <c r="L1255" s="312">
        <f t="shared" si="341"/>
        <v>0</v>
      </c>
      <c r="M1255" s="313">
        <f t="shared" si="342"/>
        <v>0</v>
      </c>
      <c r="N1255" s="320"/>
      <c r="O1255" s="315">
        <f t="shared" si="336"/>
        <v>0</v>
      </c>
      <c r="P1255" s="315">
        <f t="shared" si="337"/>
        <v>0</v>
      </c>
      <c r="Q1255" s="320"/>
      <c r="R1255" s="315">
        <f t="shared" si="338"/>
        <v>0</v>
      </c>
      <c r="S1255" s="315">
        <f t="shared" si="339"/>
        <v>0</v>
      </c>
      <c r="T1255" s="213"/>
      <c r="U1255" s="213"/>
      <c r="V1255" s="213"/>
      <c r="W1255" s="213"/>
      <c r="X1255" s="591"/>
      <c r="Y1255" s="591"/>
    </row>
    <row r="1256" spans="1:25" ht="14.85" customHeight="1">
      <c r="A1256" s="619"/>
      <c r="B1256" s="586"/>
      <c r="C1256" s="259"/>
      <c r="D1256" s="621"/>
      <c r="E1256" s="157"/>
      <c r="F1256" s="154"/>
      <c r="G1256" s="254"/>
      <c r="H1256" s="154"/>
      <c r="I1256" s="154"/>
      <c r="J1256" s="270"/>
      <c r="K1256" s="311">
        <f t="shared" si="340"/>
        <v>0</v>
      </c>
      <c r="L1256" s="312">
        <f t="shared" si="341"/>
        <v>0</v>
      </c>
      <c r="M1256" s="313">
        <f t="shared" si="342"/>
        <v>0</v>
      </c>
      <c r="N1256" s="320">
        <f>SUM(L1254:L1256)</f>
        <v>0</v>
      </c>
      <c r="O1256" s="315">
        <f t="shared" si="336"/>
        <v>0</v>
      </c>
      <c r="P1256" s="315">
        <f t="shared" si="337"/>
        <v>0</v>
      </c>
      <c r="Q1256" s="320"/>
      <c r="R1256" s="315">
        <f t="shared" si="338"/>
        <v>0</v>
      </c>
      <c r="S1256" s="315">
        <f t="shared" si="339"/>
        <v>0</v>
      </c>
      <c r="T1256" s="213"/>
      <c r="U1256" s="213"/>
      <c r="V1256" s="213"/>
      <c r="W1256" s="213"/>
      <c r="X1256" s="591"/>
      <c r="Y1256" s="591"/>
    </row>
    <row r="1257" spans="1:25" ht="14.85" customHeight="1">
      <c r="A1257" s="619"/>
      <c r="B1257" s="586"/>
      <c r="C1257" s="259"/>
      <c r="D1257" s="621"/>
      <c r="E1257" s="157"/>
      <c r="F1257" s="154"/>
      <c r="G1257" s="254"/>
      <c r="H1257" s="154"/>
      <c r="I1257" s="154"/>
      <c r="J1257" s="254"/>
      <c r="K1257" s="311">
        <f t="shared" si="340"/>
        <v>0</v>
      </c>
      <c r="L1257" s="312">
        <f t="shared" si="341"/>
        <v>0</v>
      </c>
      <c r="M1257" s="313">
        <f t="shared" si="342"/>
        <v>0</v>
      </c>
      <c r="N1257" s="320"/>
      <c r="O1257" s="315">
        <f t="shared" si="336"/>
        <v>0</v>
      </c>
      <c r="P1257" s="315">
        <f t="shared" si="337"/>
        <v>0</v>
      </c>
      <c r="Q1257" s="320"/>
      <c r="R1257" s="315">
        <f t="shared" si="338"/>
        <v>0</v>
      </c>
      <c r="S1257" s="315">
        <f t="shared" si="339"/>
        <v>0</v>
      </c>
      <c r="T1257" s="213"/>
      <c r="U1257" s="213"/>
      <c r="V1257" s="213"/>
      <c r="W1257" s="213"/>
      <c r="X1257" s="591"/>
      <c r="Y1257" s="591"/>
    </row>
    <row r="1258" spans="1:25" ht="14.85" customHeight="1">
      <c r="A1258" s="619"/>
      <c r="B1258" s="586"/>
      <c r="C1258" s="259"/>
      <c r="D1258" s="621"/>
      <c r="E1258" s="157"/>
      <c r="F1258" s="154"/>
      <c r="G1258" s="254"/>
      <c r="H1258" s="154"/>
      <c r="I1258" s="154"/>
      <c r="J1258" s="254"/>
      <c r="K1258" s="311">
        <f t="shared" si="340"/>
        <v>0</v>
      </c>
      <c r="L1258" s="312">
        <f t="shared" si="341"/>
        <v>0</v>
      </c>
      <c r="M1258" s="313">
        <f t="shared" si="342"/>
        <v>0</v>
      </c>
      <c r="N1258" s="320">
        <f>L1257+L1258</f>
        <v>0</v>
      </c>
      <c r="O1258" s="315">
        <f t="shared" si="336"/>
        <v>0</v>
      </c>
      <c r="P1258" s="315">
        <f t="shared" si="337"/>
        <v>0</v>
      </c>
      <c r="Q1258" s="320"/>
      <c r="R1258" s="315">
        <f t="shared" si="338"/>
        <v>0</v>
      </c>
      <c r="S1258" s="315">
        <f t="shared" si="339"/>
        <v>0</v>
      </c>
      <c r="T1258" s="213"/>
      <c r="U1258" s="213"/>
      <c r="V1258" s="213"/>
      <c r="W1258" s="213"/>
      <c r="X1258" s="591"/>
      <c r="Y1258" s="591"/>
    </row>
    <row r="1259" spans="1:25" ht="14.85" customHeight="1">
      <c r="A1259" s="619"/>
      <c r="B1259" s="586"/>
      <c r="C1259" s="259"/>
      <c r="D1259" s="621"/>
      <c r="E1259" s="157"/>
      <c r="F1259" s="154"/>
      <c r="G1259" s="254"/>
      <c r="H1259" s="154"/>
      <c r="I1259" s="154"/>
      <c r="J1259" s="254"/>
      <c r="K1259" s="311">
        <f t="shared" si="340"/>
        <v>0</v>
      </c>
      <c r="L1259" s="312">
        <f t="shared" si="341"/>
        <v>0</v>
      </c>
      <c r="M1259" s="313">
        <f t="shared" si="342"/>
        <v>0</v>
      </c>
      <c r="N1259" s="320"/>
      <c r="O1259" s="315">
        <f t="shared" si="336"/>
        <v>0</v>
      </c>
      <c r="P1259" s="315">
        <f t="shared" si="337"/>
        <v>0</v>
      </c>
      <c r="Q1259" s="320"/>
      <c r="R1259" s="315">
        <f t="shared" si="338"/>
        <v>0</v>
      </c>
      <c r="S1259" s="315">
        <f t="shared" si="339"/>
        <v>0</v>
      </c>
      <c r="T1259" s="213"/>
      <c r="U1259" s="213"/>
      <c r="V1259" s="213"/>
      <c r="W1259" s="213"/>
      <c r="X1259" s="591"/>
      <c r="Y1259" s="591"/>
    </row>
    <row r="1260" spans="1:25" ht="14.85" customHeight="1">
      <c r="A1260" s="619"/>
      <c r="B1260" s="586"/>
      <c r="C1260" s="259"/>
      <c r="D1260" s="621"/>
      <c r="E1260" s="157"/>
      <c r="F1260" s="154"/>
      <c r="G1260" s="254"/>
      <c r="H1260" s="154"/>
      <c r="I1260" s="154"/>
      <c r="J1260" s="254"/>
      <c r="K1260" s="311">
        <f t="shared" si="340"/>
        <v>0</v>
      </c>
      <c r="L1260" s="312">
        <f t="shared" si="341"/>
        <v>0</v>
      </c>
      <c r="M1260" s="313">
        <f t="shared" si="342"/>
        <v>0</v>
      </c>
      <c r="N1260" s="320"/>
      <c r="O1260" s="315">
        <f t="shared" si="336"/>
        <v>0</v>
      </c>
      <c r="P1260" s="315">
        <f t="shared" si="337"/>
        <v>0</v>
      </c>
      <c r="Q1260" s="320"/>
      <c r="R1260" s="315">
        <f t="shared" si="338"/>
        <v>0</v>
      </c>
      <c r="S1260" s="315">
        <f t="shared" si="339"/>
        <v>0</v>
      </c>
      <c r="T1260" s="213"/>
      <c r="U1260" s="213"/>
      <c r="V1260" s="213"/>
      <c r="W1260" s="213"/>
      <c r="X1260" s="591"/>
      <c r="Y1260" s="591"/>
    </row>
    <row r="1261" spans="1:25" ht="14.85" customHeight="1">
      <c r="A1261" s="619"/>
      <c r="B1261" s="586"/>
      <c r="C1261" s="259"/>
      <c r="D1261" s="621"/>
      <c r="E1261" s="157"/>
      <c r="F1261" s="154"/>
      <c r="G1261" s="254"/>
      <c r="H1261" s="154"/>
      <c r="I1261" s="154"/>
      <c r="J1261" s="254"/>
      <c r="K1261" s="311">
        <f t="shared" si="340"/>
        <v>0</v>
      </c>
      <c r="L1261" s="312">
        <f t="shared" si="341"/>
        <v>0</v>
      </c>
      <c r="M1261" s="313">
        <f t="shared" si="342"/>
        <v>0</v>
      </c>
      <c r="N1261" s="320">
        <f>SUM(L1259:L1261)</f>
        <v>0</v>
      </c>
      <c r="O1261" s="315">
        <f t="shared" si="336"/>
        <v>0</v>
      </c>
      <c r="P1261" s="315">
        <f t="shared" si="337"/>
        <v>0</v>
      </c>
      <c r="Q1261" s="320"/>
      <c r="R1261" s="315">
        <f t="shared" si="338"/>
        <v>0</v>
      </c>
      <c r="S1261" s="315">
        <f t="shared" si="339"/>
        <v>0</v>
      </c>
      <c r="T1261" s="213"/>
      <c r="U1261" s="213"/>
      <c r="V1261" s="213"/>
      <c r="W1261" s="213"/>
      <c r="X1261" s="591"/>
      <c r="Y1261" s="591"/>
    </row>
    <row r="1262" spans="1:25" ht="14.85" customHeight="1">
      <c r="A1262" s="619"/>
      <c r="B1262" s="586"/>
      <c r="C1262" s="259"/>
      <c r="D1262" s="621"/>
      <c r="E1262" s="157"/>
      <c r="F1262" s="154"/>
      <c r="G1262" s="254"/>
      <c r="H1262" s="154"/>
      <c r="I1262" s="154"/>
      <c r="J1262" s="254"/>
      <c r="K1262" s="311">
        <f t="shared" si="340"/>
        <v>0</v>
      </c>
      <c r="L1262" s="312">
        <f t="shared" si="341"/>
        <v>0</v>
      </c>
      <c r="M1262" s="313">
        <f t="shared" si="342"/>
        <v>0</v>
      </c>
      <c r="N1262" s="320"/>
      <c r="O1262" s="315">
        <f t="shared" si="336"/>
        <v>0</v>
      </c>
      <c r="P1262" s="315">
        <f t="shared" si="337"/>
        <v>0</v>
      </c>
      <c r="Q1262" s="320"/>
      <c r="R1262" s="315">
        <f t="shared" si="338"/>
        <v>0</v>
      </c>
      <c r="S1262" s="315">
        <f t="shared" si="339"/>
        <v>0</v>
      </c>
      <c r="T1262" s="213"/>
      <c r="U1262" s="213"/>
      <c r="V1262" s="213"/>
      <c r="W1262" s="213"/>
      <c r="X1262" s="591"/>
      <c r="Y1262" s="591"/>
    </row>
    <row r="1263" spans="1:25" ht="14.85" customHeight="1">
      <c r="A1263" s="619"/>
      <c r="B1263" s="586"/>
      <c r="C1263" s="259"/>
      <c r="D1263" s="621"/>
      <c r="E1263" s="157"/>
      <c r="F1263" s="154"/>
      <c r="G1263" s="254"/>
      <c r="H1263" s="154"/>
      <c r="I1263" s="154"/>
      <c r="J1263" s="254"/>
      <c r="K1263" s="311">
        <f t="shared" si="340"/>
        <v>0</v>
      </c>
      <c r="L1263" s="312">
        <f t="shared" si="341"/>
        <v>0</v>
      </c>
      <c r="M1263" s="313">
        <f t="shared" si="342"/>
        <v>0</v>
      </c>
      <c r="N1263" s="320"/>
      <c r="O1263" s="315">
        <f t="shared" si="336"/>
        <v>0</v>
      </c>
      <c r="P1263" s="315">
        <f t="shared" si="337"/>
        <v>0</v>
      </c>
      <c r="Q1263" s="320"/>
      <c r="R1263" s="315">
        <f t="shared" si="338"/>
        <v>0</v>
      </c>
      <c r="S1263" s="315">
        <f t="shared" si="339"/>
        <v>0</v>
      </c>
      <c r="T1263" s="213"/>
      <c r="U1263" s="213"/>
      <c r="V1263" s="213"/>
      <c r="W1263" s="213"/>
      <c r="X1263" s="591"/>
      <c r="Y1263" s="591"/>
    </row>
    <row r="1264" spans="1:25" ht="14.85" customHeight="1">
      <c r="A1264" s="619"/>
      <c r="B1264" s="586"/>
      <c r="C1264" s="259"/>
      <c r="D1264" s="621"/>
      <c r="E1264" s="157"/>
      <c r="F1264" s="154"/>
      <c r="G1264" s="254"/>
      <c r="H1264" s="154"/>
      <c r="I1264" s="154"/>
      <c r="J1264" s="254"/>
      <c r="K1264" s="311">
        <f t="shared" si="340"/>
        <v>0</v>
      </c>
      <c r="L1264" s="312">
        <f t="shared" si="341"/>
        <v>0</v>
      </c>
      <c r="M1264" s="313">
        <f t="shared" si="342"/>
        <v>0</v>
      </c>
      <c r="N1264" s="320"/>
      <c r="O1264" s="315">
        <f t="shared" si="336"/>
        <v>0</v>
      </c>
      <c r="P1264" s="315">
        <f t="shared" si="337"/>
        <v>0</v>
      </c>
      <c r="Q1264" s="320"/>
      <c r="R1264" s="315">
        <f t="shared" si="338"/>
        <v>0</v>
      </c>
      <c r="S1264" s="315">
        <f t="shared" si="339"/>
        <v>0</v>
      </c>
      <c r="T1264" s="213"/>
      <c r="U1264" s="213"/>
      <c r="V1264" s="213"/>
      <c r="W1264" s="213"/>
      <c r="X1264" s="591"/>
      <c r="Y1264" s="591"/>
    </row>
    <row r="1265" spans="1:25" ht="14.85" customHeight="1">
      <c r="A1265" s="619"/>
      <c r="B1265" s="586"/>
      <c r="C1265" s="259"/>
      <c r="D1265" s="621"/>
      <c r="E1265" s="157"/>
      <c r="F1265" s="154"/>
      <c r="G1265" s="254"/>
      <c r="H1265" s="154"/>
      <c r="I1265" s="154"/>
      <c r="J1265" s="254"/>
      <c r="K1265" s="311">
        <f t="shared" si="340"/>
        <v>0</v>
      </c>
      <c r="L1265" s="312">
        <f t="shared" si="341"/>
        <v>0</v>
      </c>
      <c r="M1265" s="313">
        <f t="shared" si="342"/>
        <v>0</v>
      </c>
      <c r="N1265" s="320">
        <f>SUM(L1262:L1265)</f>
        <v>0</v>
      </c>
      <c r="O1265" s="315">
        <f t="shared" si="336"/>
        <v>0</v>
      </c>
      <c r="P1265" s="315">
        <f t="shared" si="337"/>
        <v>0</v>
      </c>
      <c r="Q1265" s="320">
        <f>SUM(N1253:N1265)</f>
        <v>0</v>
      </c>
      <c r="R1265" s="315">
        <f t="shared" si="338"/>
        <v>0</v>
      </c>
      <c r="S1265" s="315">
        <f t="shared" si="339"/>
        <v>0</v>
      </c>
      <c r="T1265" s="213"/>
      <c r="U1265" s="213"/>
      <c r="V1265" s="213"/>
      <c r="W1265" s="213"/>
      <c r="X1265" s="591"/>
      <c r="Y1265" s="591"/>
    </row>
    <row r="1266" spans="1:25" ht="14.85" customHeight="1">
      <c r="A1266" s="619"/>
      <c r="B1266" s="586"/>
      <c r="C1266" s="259"/>
      <c r="D1266" s="621"/>
      <c r="E1266" s="157"/>
      <c r="F1266" s="154"/>
      <c r="G1266" s="254"/>
      <c r="H1266" s="154"/>
      <c r="I1266" s="154"/>
      <c r="J1266" s="254"/>
      <c r="K1266" s="311">
        <f t="shared" si="340"/>
        <v>0</v>
      </c>
      <c r="L1266" s="312">
        <f t="shared" si="341"/>
        <v>0</v>
      </c>
      <c r="M1266" s="313">
        <f t="shared" si="342"/>
        <v>0</v>
      </c>
      <c r="N1266" s="320"/>
      <c r="O1266" s="315"/>
      <c r="P1266" s="315"/>
      <c r="Q1266" s="320"/>
      <c r="R1266" s="315">
        <f t="shared" si="338"/>
        <v>0</v>
      </c>
      <c r="S1266" s="315">
        <f t="shared" si="339"/>
        <v>0</v>
      </c>
      <c r="T1266" s="213"/>
      <c r="U1266" s="213"/>
      <c r="V1266" s="213"/>
      <c r="W1266" s="213"/>
      <c r="X1266" s="591"/>
      <c r="Y1266" s="591"/>
    </row>
    <row r="1267" spans="1:25" ht="14.85" customHeight="1">
      <c r="A1267" s="619"/>
      <c r="B1267" s="586"/>
      <c r="C1267" s="259"/>
      <c r="D1267" s="621"/>
      <c r="E1267" s="240"/>
      <c r="F1267" s="154"/>
      <c r="G1267" s="230"/>
      <c r="H1267" s="230"/>
      <c r="I1267" s="154"/>
      <c r="J1267" s="254"/>
      <c r="K1267" s="311">
        <f t="shared" si="340"/>
        <v>0</v>
      </c>
      <c r="L1267" s="312">
        <f t="shared" si="341"/>
        <v>0</v>
      </c>
      <c r="M1267" s="313">
        <f t="shared" si="342"/>
        <v>0</v>
      </c>
      <c r="N1267" s="320"/>
      <c r="O1267" s="315">
        <f t="shared" si="336"/>
        <v>0</v>
      </c>
      <c r="P1267" s="315">
        <f t="shared" si="337"/>
        <v>0</v>
      </c>
      <c r="Q1267" s="320"/>
      <c r="R1267" s="315">
        <f t="shared" si="338"/>
        <v>0</v>
      </c>
      <c r="S1267" s="315">
        <f t="shared" si="339"/>
        <v>0</v>
      </c>
      <c r="T1267" s="213"/>
      <c r="U1267" s="213"/>
      <c r="V1267" s="213"/>
      <c r="W1267" s="213"/>
      <c r="X1267" s="591"/>
      <c r="Y1267" s="591"/>
    </row>
    <row r="1268" spans="1:25" ht="14.85" customHeight="1">
      <c r="A1268" s="619"/>
      <c r="B1268" s="586"/>
      <c r="C1268" s="259"/>
      <c r="D1268" s="621"/>
      <c r="E1268" s="241"/>
      <c r="F1268" s="154"/>
      <c r="G1268" s="230"/>
      <c r="H1268" s="230"/>
      <c r="I1268" s="154"/>
      <c r="J1268" s="254"/>
      <c r="K1268" s="311">
        <f t="shared" si="340"/>
        <v>0</v>
      </c>
      <c r="L1268" s="312">
        <f t="shared" si="341"/>
        <v>0</v>
      </c>
      <c r="M1268" s="313">
        <f t="shared" si="342"/>
        <v>0</v>
      </c>
      <c r="N1268" s="320"/>
      <c r="O1268" s="315">
        <f t="shared" si="336"/>
        <v>0</v>
      </c>
      <c r="P1268" s="315">
        <f t="shared" si="337"/>
        <v>0</v>
      </c>
      <c r="Q1268" s="320"/>
      <c r="R1268" s="315">
        <f t="shared" si="338"/>
        <v>0</v>
      </c>
      <c r="S1268" s="315">
        <f t="shared" si="339"/>
        <v>0</v>
      </c>
      <c r="T1268" s="213"/>
      <c r="U1268" s="213"/>
      <c r="V1268" s="213"/>
      <c r="W1268" s="213"/>
      <c r="X1268" s="591"/>
      <c r="Y1268" s="591"/>
    </row>
    <row r="1269" spans="1:25" ht="14.85" customHeight="1">
      <c r="A1269" s="619"/>
      <c r="B1269" s="586"/>
      <c r="C1269" s="259"/>
      <c r="D1269" s="621"/>
      <c r="E1269" s="241"/>
      <c r="F1269" s="154"/>
      <c r="G1269" s="230"/>
      <c r="H1269" s="230"/>
      <c r="I1269" s="154"/>
      <c r="J1269" s="254"/>
      <c r="K1269" s="311">
        <f t="shared" si="340"/>
        <v>0</v>
      </c>
      <c r="L1269" s="312">
        <f t="shared" si="341"/>
        <v>0</v>
      </c>
      <c r="M1269" s="313">
        <f t="shared" si="342"/>
        <v>0</v>
      </c>
      <c r="N1269" s="320">
        <f>SUM(L1267:L1269)</f>
        <v>0</v>
      </c>
      <c r="O1269" s="315">
        <f t="shared" si="336"/>
        <v>0</v>
      </c>
      <c r="P1269" s="315">
        <f t="shared" si="337"/>
        <v>0</v>
      </c>
      <c r="Q1269" s="320"/>
      <c r="R1269" s="315">
        <f t="shared" si="338"/>
        <v>0</v>
      </c>
      <c r="S1269" s="315">
        <f t="shared" si="339"/>
        <v>0</v>
      </c>
      <c r="T1269" s="213"/>
      <c r="U1269" s="213"/>
      <c r="V1269" s="213"/>
      <c r="W1269" s="213"/>
      <c r="X1269" s="591"/>
      <c r="Y1269" s="591"/>
    </row>
    <row r="1270" spans="1:25" ht="14.85" customHeight="1">
      <c r="A1270" s="619"/>
      <c r="B1270" s="586"/>
      <c r="C1270" s="259"/>
      <c r="D1270" s="621"/>
      <c r="E1270" s="157"/>
      <c r="F1270" s="154"/>
      <c r="G1270" s="254"/>
      <c r="H1270" s="254"/>
      <c r="I1270" s="154"/>
      <c r="J1270" s="254"/>
      <c r="K1270" s="311">
        <f t="shared" si="340"/>
        <v>0</v>
      </c>
      <c r="L1270" s="312">
        <f t="shared" si="341"/>
        <v>0</v>
      </c>
      <c r="M1270" s="313">
        <f t="shared" si="342"/>
        <v>0</v>
      </c>
      <c r="N1270" s="320"/>
      <c r="O1270" s="315">
        <f t="shared" si="336"/>
        <v>0</v>
      </c>
      <c r="P1270" s="315">
        <f t="shared" si="337"/>
        <v>0</v>
      </c>
      <c r="Q1270" s="320"/>
      <c r="R1270" s="315">
        <f t="shared" si="338"/>
        <v>0</v>
      </c>
      <c r="S1270" s="315">
        <f t="shared" si="339"/>
        <v>0</v>
      </c>
      <c r="T1270" s="213"/>
      <c r="U1270" s="213"/>
      <c r="V1270" s="213"/>
      <c r="W1270" s="213"/>
      <c r="X1270" s="591"/>
      <c r="Y1270" s="591"/>
    </row>
    <row r="1271" spans="1:25" ht="14.85" customHeight="1">
      <c r="A1271" s="619"/>
      <c r="B1271" s="586"/>
      <c r="C1271" s="259"/>
      <c r="D1271" s="621"/>
      <c r="E1271" s="157"/>
      <c r="F1271" s="154"/>
      <c r="G1271" s="254"/>
      <c r="H1271" s="154"/>
      <c r="I1271" s="154"/>
      <c r="J1271" s="254"/>
      <c r="K1271" s="311">
        <f t="shared" si="340"/>
        <v>0</v>
      </c>
      <c r="L1271" s="312">
        <f t="shared" si="341"/>
        <v>0</v>
      </c>
      <c r="M1271" s="313">
        <f t="shared" si="342"/>
        <v>0</v>
      </c>
      <c r="N1271" s="320"/>
      <c r="O1271" s="315">
        <f t="shared" si="336"/>
        <v>0</v>
      </c>
      <c r="P1271" s="315">
        <f t="shared" si="337"/>
        <v>0</v>
      </c>
      <c r="Q1271" s="320"/>
      <c r="R1271" s="315">
        <f t="shared" si="338"/>
        <v>0</v>
      </c>
      <c r="S1271" s="315">
        <f t="shared" si="339"/>
        <v>0</v>
      </c>
      <c r="T1271" s="213"/>
      <c r="U1271" s="213"/>
      <c r="V1271" s="213"/>
      <c r="W1271" s="213"/>
      <c r="X1271" s="591"/>
      <c r="Y1271" s="591"/>
    </row>
    <row r="1272" spans="1:25" ht="14.85" customHeight="1">
      <c r="A1272" s="619"/>
      <c r="B1272" s="586"/>
      <c r="C1272" s="259"/>
      <c r="D1272" s="621"/>
      <c r="E1272" s="157"/>
      <c r="F1272" s="154"/>
      <c r="G1272" s="254"/>
      <c r="H1272" s="154"/>
      <c r="I1272" s="154"/>
      <c r="J1272" s="254"/>
      <c r="K1272" s="311">
        <f t="shared" si="340"/>
        <v>0</v>
      </c>
      <c r="L1272" s="312">
        <f t="shared" si="341"/>
        <v>0</v>
      </c>
      <c r="M1272" s="313">
        <f t="shared" si="342"/>
        <v>0</v>
      </c>
      <c r="N1272" s="320"/>
      <c r="O1272" s="315">
        <f t="shared" si="336"/>
        <v>0</v>
      </c>
      <c r="P1272" s="315">
        <f t="shared" si="337"/>
        <v>0</v>
      </c>
      <c r="Q1272" s="320"/>
      <c r="R1272" s="315">
        <f t="shared" si="338"/>
        <v>0</v>
      </c>
      <c r="S1272" s="315">
        <f t="shared" si="339"/>
        <v>0</v>
      </c>
      <c r="T1272" s="213"/>
      <c r="U1272" s="213"/>
      <c r="V1272" s="213"/>
      <c r="W1272" s="213"/>
      <c r="X1272" s="591"/>
      <c r="Y1272" s="591"/>
    </row>
    <row r="1273" spans="1:25" ht="14.85" customHeight="1">
      <c r="A1273" s="619"/>
      <c r="B1273" s="586"/>
      <c r="C1273" s="259"/>
      <c r="D1273" s="621"/>
      <c r="E1273" s="157"/>
      <c r="F1273" s="154"/>
      <c r="G1273" s="254"/>
      <c r="H1273" s="154"/>
      <c r="I1273" s="154"/>
      <c r="J1273" s="254"/>
      <c r="K1273" s="311">
        <f t="shared" si="340"/>
        <v>0</v>
      </c>
      <c r="L1273" s="312">
        <f t="shared" si="341"/>
        <v>0</v>
      </c>
      <c r="M1273" s="313">
        <f t="shared" si="342"/>
        <v>0</v>
      </c>
      <c r="N1273" s="320"/>
      <c r="O1273" s="315">
        <f t="shared" si="336"/>
        <v>0</v>
      </c>
      <c r="P1273" s="315">
        <f t="shared" si="337"/>
        <v>0</v>
      </c>
      <c r="Q1273" s="320"/>
      <c r="R1273" s="315">
        <f t="shared" si="338"/>
        <v>0</v>
      </c>
      <c r="S1273" s="315">
        <f t="shared" si="339"/>
        <v>0</v>
      </c>
      <c r="T1273" s="213"/>
      <c r="U1273" s="213"/>
      <c r="V1273" s="213"/>
      <c r="W1273" s="213"/>
      <c r="X1273" s="591"/>
      <c r="Y1273" s="591"/>
    </row>
    <row r="1274" spans="1:25" ht="14.85" customHeight="1">
      <c r="A1274" s="619"/>
      <c r="B1274" s="586"/>
      <c r="C1274" s="259"/>
      <c r="D1274" s="621"/>
      <c r="E1274" s="157"/>
      <c r="F1274" s="154"/>
      <c r="G1274" s="254"/>
      <c r="H1274" s="154"/>
      <c r="I1274" s="154"/>
      <c r="J1274" s="254"/>
      <c r="K1274" s="311">
        <f t="shared" si="340"/>
        <v>0</v>
      </c>
      <c r="L1274" s="312">
        <f t="shared" si="341"/>
        <v>0</v>
      </c>
      <c r="M1274" s="313">
        <f t="shared" si="342"/>
        <v>0</v>
      </c>
      <c r="N1274" s="320">
        <f>SUM(L1270:L1274)</f>
        <v>0</v>
      </c>
      <c r="O1274" s="315">
        <f t="shared" si="336"/>
        <v>0</v>
      </c>
      <c r="P1274" s="315">
        <f t="shared" si="337"/>
        <v>0</v>
      </c>
      <c r="Q1274" s="320">
        <f>N1269+N1274</f>
        <v>0</v>
      </c>
      <c r="R1274" s="315">
        <f t="shared" si="338"/>
        <v>0</v>
      </c>
      <c r="S1274" s="315">
        <f t="shared" si="339"/>
        <v>0</v>
      </c>
      <c r="T1274" s="213"/>
      <c r="U1274" s="213"/>
      <c r="V1274" s="213"/>
      <c r="W1274" s="213"/>
      <c r="X1274" s="591"/>
      <c r="Y1274" s="591"/>
    </row>
    <row r="1275" spans="1:25" ht="14.85" customHeight="1">
      <c r="A1275" s="619"/>
      <c r="B1275" s="586"/>
      <c r="C1275" s="259"/>
      <c r="D1275" s="621"/>
      <c r="E1275" s="157"/>
      <c r="F1275" s="154"/>
      <c r="G1275" s="254"/>
      <c r="H1275" s="154"/>
      <c r="I1275" s="154"/>
      <c r="J1275" s="254"/>
      <c r="K1275" s="311">
        <f t="shared" si="340"/>
        <v>0</v>
      </c>
      <c r="L1275" s="312">
        <f t="shared" si="341"/>
        <v>0</v>
      </c>
      <c r="M1275" s="313">
        <f t="shared" si="342"/>
        <v>0</v>
      </c>
      <c r="N1275" s="320"/>
      <c r="O1275" s="315">
        <f t="shared" si="336"/>
        <v>0</v>
      </c>
      <c r="P1275" s="315">
        <f t="shared" si="337"/>
        <v>0</v>
      </c>
      <c r="Q1275" s="320"/>
      <c r="R1275" s="315">
        <f t="shared" si="338"/>
        <v>0</v>
      </c>
      <c r="S1275" s="315">
        <f t="shared" si="339"/>
        <v>0</v>
      </c>
      <c r="T1275" s="213"/>
      <c r="U1275" s="213"/>
      <c r="V1275" s="213"/>
      <c r="W1275" s="213"/>
      <c r="X1275" s="591"/>
      <c r="Y1275" s="591"/>
    </row>
    <row r="1276" spans="1:25" ht="14.85" customHeight="1">
      <c r="A1276" s="619"/>
      <c r="B1276" s="586"/>
      <c r="C1276" s="259"/>
      <c r="D1276" s="621"/>
      <c r="E1276" s="157"/>
      <c r="F1276" s="154"/>
      <c r="G1276" s="230"/>
      <c r="H1276" s="231"/>
      <c r="I1276" s="154"/>
      <c r="J1276" s="254"/>
      <c r="K1276" s="311">
        <f t="shared" si="340"/>
        <v>0</v>
      </c>
      <c r="L1276" s="312">
        <f t="shared" si="341"/>
        <v>0</v>
      </c>
      <c r="M1276" s="313">
        <f t="shared" si="342"/>
        <v>0</v>
      </c>
      <c r="N1276" s="320"/>
      <c r="O1276" s="315">
        <f t="shared" si="336"/>
        <v>0</v>
      </c>
      <c r="P1276" s="315">
        <f t="shared" si="337"/>
        <v>0</v>
      </c>
      <c r="Q1276" s="320"/>
      <c r="R1276" s="315">
        <f t="shared" si="338"/>
        <v>0</v>
      </c>
      <c r="S1276" s="315">
        <f t="shared" si="339"/>
        <v>0</v>
      </c>
      <c r="T1276" s="213"/>
      <c r="U1276" s="213"/>
      <c r="V1276" s="213"/>
      <c r="W1276" s="213"/>
      <c r="X1276" s="591"/>
      <c r="Y1276" s="591"/>
    </row>
    <row r="1277" spans="1:25" ht="14.85" customHeight="1">
      <c r="A1277" s="619"/>
      <c r="B1277" s="586"/>
      <c r="C1277" s="259"/>
      <c r="D1277" s="621"/>
      <c r="E1277" s="157"/>
      <c r="F1277" s="154"/>
      <c r="G1277" s="230"/>
      <c r="H1277" s="231"/>
      <c r="I1277" s="154"/>
      <c r="J1277" s="254"/>
      <c r="K1277" s="311">
        <f t="shared" si="340"/>
        <v>0</v>
      </c>
      <c r="L1277" s="312">
        <f t="shared" si="341"/>
        <v>0</v>
      </c>
      <c r="M1277" s="313">
        <f t="shared" si="342"/>
        <v>0</v>
      </c>
      <c r="N1277" s="320"/>
      <c r="O1277" s="315">
        <f t="shared" si="336"/>
        <v>0</v>
      </c>
      <c r="P1277" s="315">
        <f t="shared" si="337"/>
        <v>0</v>
      </c>
      <c r="Q1277" s="320"/>
      <c r="R1277" s="315">
        <f t="shared" si="338"/>
        <v>0</v>
      </c>
      <c r="S1277" s="315">
        <f t="shared" si="339"/>
        <v>0</v>
      </c>
      <c r="T1277" s="213"/>
      <c r="U1277" s="213"/>
      <c r="V1277" s="213"/>
      <c r="W1277" s="213"/>
      <c r="X1277" s="591"/>
      <c r="Y1277" s="591"/>
    </row>
    <row r="1278" spans="1:25" ht="14.85" customHeight="1">
      <c r="A1278" s="619"/>
      <c r="B1278" s="586"/>
      <c r="C1278" s="259"/>
      <c r="D1278" s="621"/>
      <c r="E1278" s="157"/>
      <c r="F1278" s="154"/>
      <c r="G1278" s="254"/>
      <c r="H1278" s="154"/>
      <c r="I1278" s="154"/>
      <c r="J1278" s="270"/>
      <c r="K1278" s="311">
        <f t="shared" si="340"/>
        <v>0</v>
      </c>
      <c r="L1278" s="312">
        <f t="shared" si="341"/>
        <v>0</v>
      </c>
      <c r="M1278" s="313">
        <f t="shared" si="342"/>
        <v>0</v>
      </c>
      <c r="N1278" s="320">
        <f>SUM(L1276:L1278)</f>
        <v>0</v>
      </c>
      <c r="O1278" s="315">
        <f t="shared" si="336"/>
        <v>0</v>
      </c>
      <c r="P1278" s="315">
        <f t="shared" si="337"/>
        <v>0</v>
      </c>
      <c r="Q1278" s="320">
        <f>N1278</f>
        <v>0</v>
      </c>
      <c r="R1278" s="315">
        <f t="shared" si="338"/>
        <v>0</v>
      </c>
      <c r="S1278" s="315">
        <f t="shared" si="339"/>
        <v>0</v>
      </c>
      <c r="T1278" s="213"/>
      <c r="U1278" s="213"/>
      <c r="V1278" s="213"/>
      <c r="W1278" s="213"/>
      <c r="X1278" s="591"/>
      <c r="Y1278" s="591"/>
    </row>
    <row r="1279" spans="1:25" ht="14.85" customHeight="1">
      <c r="A1279" s="619"/>
      <c r="B1279" s="586"/>
      <c r="C1279" s="259"/>
      <c r="D1279" s="621"/>
      <c r="E1279" s="157"/>
      <c r="F1279" s="154"/>
      <c r="G1279" s="254"/>
      <c r="H1279" s="154"/>
      <c r="I1279" s="154"/>
      <c r="J1279" s="270"/>
      <c r="K1279" s="311">
        <f t="shared" si="340"/>
        <v>0</v>
      </c>
      <c r="L1279" s="312">
        <f t="shared" si="341"/>
        <v>0</v>
      </c>
      <c r="M1279" s="313">
        <f t="shared" si="342"/>
        <v>0</v>
      </c>
      <c r="N1279" s="320"/>
      <c r="O1279" s="315"/>
      <c r="P1279" s="315"/>
      <c r="Q1279" s="320"/>
      <c r="R1279" s="315">
        <f t="shared" si="338"/>
        <v>0</v>
      </c>
      <c r="S1279" s="315">
        <f t="shared" si="339"/>
        <v>0</v>
      </c>
      <c r="T1279" s="213"/>
      <c r="U1279" s="213"/>
      <c r="V1279" s="213"/>
      <c r="W1279" s="213"/>
      <c r="X1279" s="591"/>
      <c r="Y1279" s="591"/>
    </row>
    <row r="1280" spans="1:25" ht="14.85" customHeight="1">
      <c r="A1280" s="619"/>
      <c r="B1280" s="586"/>
      <c r="C1280" s="259"/>
      <c r="D1280" s="621"/>
      <c r="E1280" s="157"/>
      <c r="F1280" s="154"/>
      <c r="G1280" s="230"/>
      <c r="H1280" s="231"/>
      <c r="I1280" s="154"/>
      <c r="J1280" s="254"/>
      <c r="K1280" s="311">
        <f t="shared" si="340"/>
        <v>0</v>
      </c>
      <c r="L1280" s="312">
        <f t="shared" si="341"/>
        <v>0</v>
      </c>
      <c r="M1280" s="313">
        <f t="shared" si="342"/>
        <v>0</v>
      </c>
      <c r="N1280" s="320"/>
      <c r="O1280" s="315">
        <f t="shared" si="336"/>
        <v>0</v>
      </c>
      <c r="P1280" s="315">
        <f t="shared" si="337"/>
        <v>0</v>
      </c>
      <c r="Q1280" s="320"/>
      <c r="R1280" s="315">
        <f t="shared" si="338"/>
        <v>0</v>
      </c>
      <c r="S1280" s="315">
        <f t="shared" si="339"/>
        <v>0</v>
      </c>
      <c r="T1280" s="213"/>
      <c r="U1280" s="213"/>
      <c r="V1280" s="213"/>
      <c r="W1280" s="213"/>
      <c r="X1280" s="591"/>
      <c r="Y1280" s="591"/>
    </row>
    <row r="1281" spans="1:25" ht="14.85" customHeight="1">
      <c r="A1281" s="619"/>
      <c r="B1281" s="586"/>
      <c r="C1281" s="259"/>
      <c r="D1281" s="621"/>
      <c r="E1281" s="157"/>
      <c r="F1281" s="154"/>
      <c r="G1281" s="230"/>
      <c r="H1281" s="231"/>
      <c r="I1281" s="154"/>
      <c r="J1281" s="254"/>
      <c r="K1281" s="311">
        <f t="shared" si="340"/>
        <v>0</v>
      </c>
      <c r="L1281" s="312">
        <f t="shared" si="341"/>
        <v>0</v>
      </c>
      <c r="M1281" s="313">
        <f t="shared" si="342"/>
        <v>0</v>
      </c>
      <c r="N1281" s="320"/>
      <c r="O1281" s="315">
        <f t="shared" si="336"/>
        <v>0</v>
      </c>
      <c r="P1281" s="315">
        <f t="shared" si="337"/>
        <v>0</v>
      </c>
      <c r="Q1281" s="320"/>
      <c r="R1281" s="315">
        <f t="shared" si="338"/>
        <v>0</v>
      </c>
      <c r="S1281" s="315">
        <f t="shared" si="339"/>
        <v>0</v>
      </c>
      <c r="T1281" s="213"/>
      <c r="U1281" s="213"/>
      <c r="V1281" s="213"/>
      <c r="W1281" s="213"/>
      <c r="X1281" s="591"/>
      <c r="Y1281" s="591"/>
    </row>
    <row r="1282" spans="1:25" ht="14.85" customHeight="1">
      <c r="A1282" s="619"/>
      <c r="B1282" s="586"/>
      <c r="C1282" s="259"/>
      <c r="D1282" s="621"/>
      <c r="E1282" s="157"/>
      <c r="F1282" s="154"/>
      <c r="G1282" s="231"/>
      <c r="H1282" s="231"/>
      <c r="I1282" s="154"/>
      <c r="J1282" s="254"/>
      <c r="K1282" s="311">
        <f t="shared" si="340"/>
        <v>0</v>
      </c>
      <c r="L1282" s="312">
        <f t="shared" si="341"/>
        <v>0</v>
      </c>
      <c r="M1282" s="313">
        <f t="shared" si="342"/>
        <v>0</v>
      </c>
      <c r="N1282" s="320">
        <f>SUM(L1280:L1282)</f>
        <v>0</v>
      </c>
      <c r="O1282" s="315">
        <f t="shared" si="336"/>
        <v>0</v>
      </c>
      <c r="P1282" s="315">
        <f t="shared" si="337"/>
        <v>0</v>
      </c>
      <c r="Q1282" s="320">
        <f>N1282</f>
        <v>0</v>
      </c>
      <c r="R1282" s="315">
        <f t="shared" si="338"/>
        <v>0</v>
      </c>
      <c r="S1282" s="315">
        <f t="shared" si="339"/>
        <v>0</v>
      </c>
      <c r="T1282" s="213"/>
      <c r="U1282" s="213"/>
      <c r="V1282" s="213"/>
      <c r="W1282" s="213"/>
      <c r="X1282" s="591"/>
      <c r="Y1282" s="591"/>
    </row>
    <row r="1283" spans="1:25" ht="14.85" customHeight="1">
      <c r="A1283" s="619"/>
      <c r="B1283" s="586"/>
      <c r="C1283" s="259"/>
      <c r="D1283" s="621"/>
      <c r="E1283" s="157"/>
      <c r="F1283" s="154"/>
      <c r="G1283" s="231"/>
      <c r="H1283" s="231"/>
      <c r="I1283" s="154"/>
      <c r="J1283" s="254"/>
      <c r="K1283" s="311">
        <f t="shared" si="340"/>
        <v>0</v>
      </c>
      <c r="L1283" s="312">
        <f t="shared" si="341"/>
        <v>0</v>
      </c>
      <c r="M1283" s="313">
        <f t="shared" si="342"/>
        <v>0</v>
      </c>
      <c r="N1283" s="320"/>
      <c r="O1283" s="315"/>
      <c r="P1283" s="315"/>
      <c r="Q1283" s="320"/>
      <c r="R1283" s="315">
        <f t="shared" si="338"/>
        <v>0</v>
      </c>
      <c r="S1283" s="315">
        <f t="shared" si="339"/>
        <v>0</v>
      </c>
      <c r="T1283" s="213"/>
      <c r="U1283" s="213"/>
      <c r="V1283" s="213"/>
      <c r="W1283" s="213"/>
      <c r="X1283" s="591"/>
      <c r="Y1283" s="591"/>
    </row>
    <row r="1284" spans="1:25" ht="14.85" customHeight="1">
      <c r="A1284" s="619"/>
      <c r="B1284" s="586"/>
      <c r="C1284" s="259"/>
      <c r="D1284" s="621"/>
      <c r="E1284" s="235"/>
      <c r="F1284" s="154"/>
      <c r="G1284" s="254"/>
      <c r="H1284" s="154"/>
      <c r="I1284" s="154"/>
      <c r="J1284" s="270"/>
      <c r="K1284" s="311">
        <f t="shared" si="340"/>
        <v>0</v>
      </c>
      <c r="L1284" s="312">
        <f t="shared" si="341"/>
        <v>0</v>
      </c>
      <c r="M1284" s="313">
        <f t="shared" si="342"/>
        <v>0</v>
      </c>
      <c r="N1284" s="320"/>
      <c r="O1284" s="315">
        <f t="shared" si="336"/>
        <v>0</v>
      </c>
      <c r="P1284" s="315">
        <f t="shared" si="337"/>
        <v>0</v>
      </c>
      <c r="Q1284" s="320"/>
      <c r="R1284" s="315">
        <f t="shared" si="338"/>
        <v>0</v>
      </c>
      <c r="S1284" s="315">
        <f t="shared" si="339"/>
        <v>0</v>
      </c>
      <c r="T1284" s="213"/>
      <c r="U1284" s="213"/>
      <c r="V1284" s="213"/>
      <c r="W1284" s="213"/>
      <c r="X1284" s="591"/>
      <c r="Y1284" s="591"/>
    </row>
    <row r="1285" spans="1:25" ht="14.85" customHeight="1">
      <c r="A1285" s="619"/>
      <c r="B1285" s="586"/>
      <c r="C1285" s="259"/>
      <c r="D1285" s="621"/>
      <c r="E1285" s="242"/>
      <c r="F1285" s="154"/>
      <c r="G1285" s="254"/>
      <c r="H1285" s="154"/>
      <c r="I1285" s="154"/>
      <c r="J1285" s="270"/>
      <c r="K1285" s="311">
        <f t="shared" si="340"/>
        <v>0</v>
      </c>
      <c r="L1285" s="312">
        <f t="shared" si="341"/>
        <v>0</v>
      </c>
      <c r="M1285" s="313">
        <f t="shared" si="342"/>
        <v>0</v>
      </c>
      <c r="N1285" s="320">
        <f>L1284+L1285</f>
        <v>0</v>
      </c>
      <c r="O1285" s="315">
        <f t="shared" si="336"/>
        <v>0</v>
      </c>
      <c r="P1285" s="315">
        <f t="shared" si="337"/>
        <v>0</v>
      </c>
      <c r="Q1285" s="320"/>
      <c r="R1285" s="315">
        <f t="shared" si="338"/>
        <v>0</v>
      </c>
      <c r="S1285" s="315">
        <f t="shared" si="339"/>
        <v>0</v>
      </c>
      <c r="T1285" s="213"/>
      <c r="U1285" s="213"/>
      <c r="V1285" s="213"/>
      <c r="W1285" s="213"/>
      <c r="X1285" s="591"/>
      <c r="Y1285" s="591"/>
    </row>
    <row r="1286" spans="1:25" ht="14.85" customHeight="1">
      <c r="A1286" s="619"/>
      <c r="B1286" s="586"/>
      <c r="C1286" s="259"/>
      <c r="D1286" s="621"/>
      <c r="E1286" s="157"/>
      <c r="F1286" s="273"/>
      <c r="G1286" s="254"/>
      <c r="H1286" s="154"/>
      <c r="I1286" s="155"/>
      <c r="J1286" s="270"/>
      <c r="K1286" s="311">
        <f t="shared" si="340"/>
        <v>0</v>
      </c>
      <c r="L1286" s="312">
        <f t="shared" si="341"/>
        <v>0</v>
      </c>
      <c r="M1286" s="313">
        <f t="shared" si="342"/>
        <v>0</v>
      </c>
      <c r="N1286" s="320"/>
      <c r="O1286" s="315">
        <f t="shared" si="336"/>
        <v>0</v>
      </c>
      <c r="P1286" s="315">
        <f t="shared" si="337"/>
        <v>0</v>
      </c>
      <c r="Q1286" s="320"/>
      <c r="R1286" s="315">
        <f t="shared" si="338"/>
        <v>0</v>
      </c>
      <c r="S1286" s="315">
        <f t="shared" si="339"/>
        <v>0</v>
      </c>
      <c r="T1286" s="213"/>
      <c r="U1286" s="213"/>
      <c r="V1286" s="213"/>
      <c r="W1286" s="213"/>
      <c r="X1286" s="591"/>
      <c r="Y1286" s="591"/>
    </row>
    <row r="1287" spans="1:25" ht="14.85" customHeight="1">
      <c r="A1287" s="619"/>
      <c r="B1287" s="586"/>
      <c r="C1287" s="259"/>
      <c r="D1287" s="621"/>
      <c r="E1287" s="157"/>
      <c r="F1287" s="273"/>
      <c r="G1287" s="254"/>
      <c r="H1287" s="154"/>
      <c r="I1287" s="155"/>
      <c r="J1287" s="279"/>
      <c r="K1287" s="311">
        <f t="shared" si="340"/>
        <v>0</v>
      </c>
      <c r="L1287" s="312">
        <f t="shared" si="341"/>
        <v>0</v>
      </c>
      <c r="M1287" s="313">
        <f t="shared" si="342"/>
        <v>0</v>
      </c>
      <c r="N1287" s="320"/>
      <c r="O1287" s="315">
        <f t="shared" si="336"/>
        <v>0</v>
      </c>
      <c r="P1287" s="315">
        <f t="shared" si="337"/>
        <v>0</v>
      </c>
      <c r="Q1287" s="320"/>
      <c r="R1287" s="315">
        <f t="shared" si="338"/>
        <v>0</v>
      </c>
      <c r="S1287" s="315">
        <f t="shared" si="339"/>
        <v>0</v>
      </c>
      <c r="T1287" s="213"/>
      <c r="U1287" s="213"/>
      <c r="V1287" s="213"/>
      <c r="W1287" s="213"/>
      <c r="X1287" s="591"/>
      <c r="Y1287" s="591"/>
    </row>
    <row r="1288" spans="1:25" ht="14.85" customHeight="1">
      <c r="A1288" s="619"/>
      <c r="B1288" s="586"/>
      <c r="C1288" s="259"/>
      <c r="D1288" s="621"/>
      <c r="E1288" s="157"/>
      <c r="F1288" s="273"/>
      <c r="G1288" s="254"/>
      <c r="H1288" s="154"/>
      <c r="I1288" s="155"/>
      <c r="J1288" s="279"/>
      <c r="K1288" s="311">
        <f t="shared" si="340"/>
        <v>0</v>
      </c>
      <c r="L1288" s="312">
        <f t="shared" si="341"/>
        <v>0</v>
      </c>
      <c r="M1288" s="313">
        <f t="shared" si="342"/>
        <v>0</v>
      </c>
      <c r="N1288" s="320"/>
      <c r="O1288" s="315">
        <f t="shared" si="336"/>
        <v>0</v>
      </c>
      <c r="P1288" s="315">
        <f t="shared" si="337"/>
        <v>0</v>
      </c>
      <c r="Q1288" s="320"/>
      <c r="R1288" s="315">
        <f t="shared" si="338"/>
        <v>0</v>
      </c>
      <c r="S1288" s="315">
        <f t="shared" si="339"/>
        <v>0</v>
      </c>
      <c r="T1288" s="213"/>
      <c r="U1288" s="213"/>
      <c r="V1288" s="213"/>
      <c r="W1288" s="213"/>
      <c r="X1288" s="591"/>
      <c r="Y1288" s="591"/>
    </row>
    <row r="1289" spans="1:25" ht="14.85" customHeight="1">
      <c r="A1289" s="619"/>
      <c r="B1289" s="586"/>
      <c r="C1289" s="259"/>
      <c r="D1289" s="621"/>
      <c r="E1289" s="157"/>
      <c r="F1289" s="273"/>
      <c r="G1289" s="254"/>
      <c r="H1289" s="154"/>
      <c r="I1289" s="155"/>
      <c r="J1289" s="279"/>
      <c r="K1289" s="311">
        <f t="shared" si="340"/>
        <v>0</v>
      </c>
      <c r="L1289" s="312">
        <f t="shared" si="341"/>
        <v>0</v>
      </c>
      <c r="M1289" s="313">
        <f t="shared" si="342"/>
        <v>0</v>
      </c>
      <c r="N1289" s="320">
        <f>SUM(L1286:L1289)</f>
        <v>0</v>
      </c>
      <c r="O1289" s="315">
        <f t="shared" si="336"/>
        <v>0</v>
      </c>
      <c r="P1289" s="315">
        <f t="shared" si="337"/>
        <v>0</v>
      </c>
      <c r="Q1289" s="320">
        <f>SUM(N1285:N1289)</f>
        <v>0</v>
      </c>
      <c r="R1289" s="315">
        <f t="shared" si="338"/>
        <v>0</v>
      </c>
      <c r="S1289" s="315">
        <f t="shared" si="339"/>
        <v>0</v>
      </c>
      <c r="T1289" s="213"/>
      <c r="U1289" s="213"/>
      <c r="V1289" s="213"/>
      <c r="W1289" s="213"/>
      <c r="X1289" s="591"/>
      <c r="Y1289" s="591"/>
    </row>
    <row r="1290" spans="1:25" ht="14.85" customHeight="1">
      <c r="A1290" s="619"/>
      <c r="B1290" s="586"/>
      <c r="C1290" s="259"/>
      <c r="D1290" s="621"/>
      <c r="E1290" s="157"/>
      <c r="F1290" s="273"/>
      <c r="G1290" s="254"/>
      <c r="H1290" s="154"/>
      <c r="I1290" s="155"/>
      <c r="J1290" s="279"/>
      <c r="K1290" s="311">
        <f t="shared" si="340"/>
        <v>0</v>
      </c>
      <c r="L1290" s="312">
        <f t="shared" si="341"/>
        <v>0</v>
      </c>
      <c r="M1290" s="313">
        <f t="shared" si="342"/>
        <v>0</v>
      </c>
      <c r="N1290" s="320"/>
      <c r="O1290" s="315">
        <f t="shared" si="336"/>
        <v>0</v>
      </c>
      <c r="P1290" s="315">
        <f t="shared" si="337"/>
        <v>0</v>
      </c>
      <c r="Q1290" s="320"/>
      <c r="R1290" s="315">
        <f t="shared" si="338"/>
        <v>0</v>
      </c>
      <c r="S1290" s="315">
        <f t="shared" si="339"/>
        <v>0</v>
      </c>
      <c r="T1290" s="213"/>
      <c r="U1290" s="213"/>
      <c r="V1290" s="213"/>
      <c r="W1290" s="213"/>
      <c r="X1290" s="591"/>
      <c r="Y1290" s="591"/>
    </row>
    <row r="1291" spans="1:25" ht="14.85" customHeight="1">
      <c r="A1291" s="619"/>
      <c r="B1291" s="586"/>
      <c r="C1291" s="259"/>
      <c r="D1291" s="621"/>
      <c r="E1291" s="157"/>
      <c r="F1291" s="273"/>
      <c r="G1291" s="254"/>
      <c r="H1291" s="154"/>
      <c r="I1291" s="155"/>
      <c r="J1291" s="279"/>
      <c r="K1291" s="311">
        <f t="shared" si="340"/>
        <v>0</v>
      </c>
      <c r="L1291" s="312">
        <f t="shared" si="341"/>
        <v>0</v>
      </c>
      <c r="M1291" s="313">
        <f t="shared" si="342"/>
        <v>0</v>
      </c>
      <c r="N1291" s="320">
        <f>L1290+L1291</f>
        <v>0</v>
      </c>
      <c r="O1291" s="315">
        <f t="shared" si="336"/>
        <v>0</v>
      </c>
      <c r="P1291" s="315">
        <f t="shared" si="337"/>
        <v>0</v>
      </c>
      <c r="Q1291" s="320">
        <f>N1291</f>
        <v>0</v>
      </c>
      <c r="R1291" s="315">
        <f t="shared" si="338"/>
        <v>0</v>
      </c>
      <c r="S1291" s="315">
        <f t="shared" si="339"/>
        <v>0</v>
      </c>
      <c r="T1291" s="213"/>
      <c r="U1291" s="213"/>
      <c r="V1291" s="213"/>
      <c r="W1291" s="213"/>
      <c r="X1291" s="591"/>
      <c r="Y1291" s="591"/>
    </row>
    <row r="1292" spans="1:25" ht="14.85" customHeight="1">
      <c r="A1292" s="316"/>
      <c r="B1292" s="259"/>
      <c r="C1292" s="259"/>
      <c r="D1292" s="256"/>
      <c r="E1292" s="157"/>
      <c r="F1292" s="273"/>
      <c r="G1292" s="254"/>
      <c r="H1292" s="154"/>
      <c r="I1292" s="155"/>
      <c r="J1292" s="279"/>
      <c r="K1292" s="311">
        <f t="shared" si="340"/>
        <v>0</v>
      </c>
      <c r="L1292" s="312">
        <f t="shared" si="341"/>
        <v>0</v>
      </c>
      <c r="M1292" s="313">
        <f t="shared" si="342"/>
        <v>0</v>
      </c>
      <c r="N1292" s="320"/>
      <c r="O1292" s="315"/>
      <c r="P1292" s="315"/>
      <c r="Q1292" s="320"/>
      <c r="R1292" s="315">
        <f t="shared" ref="R1292" si="343">ROUNDDOWN((Q1292/$O$11),0)</f>
        <v>0</v>
      </c>
      <c r="S1292" s="315">
        <f t="shared" ref="S1292" si="344">ROUND((Q1292-(R1292*$P$11)),0)</f>
        <v>0</v>
      </c>
      <c r="T1292" s="213"/>
      <c r="U1292" s="213"/>
      <c r="V1292" s="213"/>
      <c r="W1292" s="213"/>
      <c r="X1292" s="317"/>
      <c r="Y1292" s="317"/>
    </row>
    <row r="1293" spans="1:25" s="287" customFormat="1">
      <c r="A1293" s="211" t="s">
        <v>129</v>
      </c>
      <c r="B1293" s="211">
        <f>COUNTA(B1119:B1291)</f>
        <v>0</v>
      </c>
      <c r="C1293" s="211"/>
      <c r="D1293" s="211">
        <f>COUNTA(D1229:D1291)</f>
        <v>0</v>
      </c>
      <c r="E1293" s="212">
        <f>COUNTA(E1229:E1291)</f>
        <v>0</v>
      </c>
      <c r="F1293" s="211">
        <f>COUNTA(F1119:F1291)</f>
        <v>0</v>
      </c>
      <c r="G1293" s="211">
        <f>COUNTA(G1119:G1291)</f>
        <v>0</v>
      </c>
      <c r="H1293" s="211"/>
      <c r="I1293" s="211">
        <f>COUNTA(I1119:I1291)</f>
        <v>0</v>
      </c>
      <c r="J1293" s="280">
        <f>SUM(J1119:J1291)</f>
        <v>0</v>
      </c>
      <c r="K1293" s="161">
        <f>SUM(K1229:K1291)</f>
        <v>0</v>
      </c>
      <c r="L1293" s="161">
        <f>SUM(L1229:L1291)</f>
        <v>0</v>
      </c>
      <c r="M1293" s="161">
        <f>SUM(M1229:M1291)</f>
        <v>0</v>
      </c>
      <c r="N1293" s="161">
        <f>SUM(N1229:N1291)</f>
        <v>0</v>
      </c>
      <c r="O1293" s="161">
        <f t="shared" si="328"/>
        <v>0</v>
      </c>
      <c r="P1293" s="161">
        <f t="shared" ref="P1293:P1296" si="345">ROUND((N1293-(O1293*$P$11)),0)</f>
        <v>0</v>
      </c>
      <c r="Q1293" s="161">
        <f>SUM(Q1229:Q1291)</f>
        <v>0</v>
      </c>
      <c r="R1293" s="161">
        <f t="shared" si="326"/>
        <v>0</v>
      </c>
      <c r="S1293" s="161">
        <f t="shared" si="327"/>
        <v>0</v>
      </c>
      <c r="T1293" s="211"/>
      <c r="U1293" s="211"/>
      <c r="V1293" s="211"/>
      <c r="W1293" s="211"/>
      <c r="X1293" s="161" t="str">
        <f>IF(X1119&lt;1.4,"1",IF(X1119&lt;=2.3,"2",IF(X1119&gt;2.3, ROUND(X1119,0))))</f>
        <v>1</v>
      </c>
      <c r="Y1293" s="161">
        <f>$Y$11*F1293</f>
        <v>0</v>
      </c>
    </row>
    <row r="1294" spans="1:25">
      <c r="A1294" s="618"/>
      <c r="B1294" s="585"/>
      <c r="C1294" s="258"/>
      <c r="D1294" s="620"/>
      <c r="E1294" s="375"/>
      <c r="F1294" s="154"/>
      <c r="G1294" s="232"/>
      <c r="H1294" s="232"/>
      <c r="I1294" s="154"/>
      <c r="J1294" s="270"/>
      <c r="K1294" s="311">
        <f t="shared" ref="K1294" si="346">J1294/$K$11</f>
        <v>0</v>
      </c>
      <c r="L1294" s="312">
        <f t="shared" ref="L1294" si="347">J1294/$L$11</f>
        <v>0</v>
      </c>
      <c r="M1294" s="313">
        <f t="shared" ref="M1294" si="348">ROUND((L1294/$M$11),0)</f>
        <v>0</v>
      </c>
      <c r="N1294" s="320"/>
      <c r="O1294" s="315">
        <f t="shared" si="328"/>
        <v>0</v>
      </c>
      <c r="P1294" s="315">
        <f t="shared" si="345"/>
        <v>0</v>
      </c>
      <c r="Q1294" s="320"/>
      <c r="R1294" s="315">
        <f t="shared" si="326"/>
        <v>0</v>
      </c>
      <c r="S1294" s="315">
        <f t="shared" si="327"/>
        <v>0</v>
      </c>
      <c r="T1294" s="213"/>
      <c r="U1294" s="213"/>
      <c r="V1294" s="213"/>
      <c r="W1294" s="213"/>
      <c r="X1294" s="590">
        <f>F1370/$X$11</f>
        <v>0</v>
      </c>
      <c r="Y1294" s="590"/>
    </row>
    <row r="1295" spans="1:25" ht="14.85" customHeight="1">
      <c r="A1295" s="619"/>
      <c r="B1295" s="586"/>
      <c r="C1295" s="259"/>
      <c r="D1295" s="621"/>
      <c r="E1295" s="376"/>
      <c r="F1295" s="154"/>
      <c r="G1295" s="232"/>
      <c r="H1295" s="232"/>
      <c r="I1295" s="154"/>
      <c r="J1295" s="270"/>
      <c r="K1295" s="311">
        <f t="shared" ref="K1295:K1359" si="349">J1295/$K$11</f>
        <v>0</v>
      </c>
      <c r="L1295" s="312">
        <f t="shared" ref="L1295:L1359" si="350">J1295/$L$11</f>
        <v>0</v>
      </c>
      <c r="M1295" s="313">
        <f t="shared" ref="M1295:M1359" si="351">ROUND((L1295/$M$11),0)</f>
        <v>0</v>
      </c>
      <c r="N1295" s="320"/>
      <c r="O1295" s="315">
        <f t="shared" si="328"/>
        <v>0</v>
      </c>
      <c r="P1295" s="315">
        <f t="shared" si="345"/>
        <v>0</v>
      </c>
      <c r="Q1295" s="320"/>
      <c r="R1295" s="315">
        <f t="shared" si="326"/>
        <v>0</v>
      </c>
      <c r="S1295" s="315">
        <f t="shared" si="327"/>
        <v>0</v>
      </c>
      <c r="T1295" s="213"/>
      <c r="U1295" s="213"/>
      <c r="V1295" s="213"/>
      <c r="W1295" s="213"/>
      <c r="X1295" s="591"/>
      <c r="Y1295" s="591"/>
    </row>
    <row r="1296" spans="1:25" ht="14.85" customHeight="1">
      <c r="A1296" s="619"/>
      <c r="B1296" s="586"/>
      <c r="C1296" s="259"/>
      <c r="D1296" s="621"/>
      <c r="E1296" s="376"/>
      <c r="F1296" s="154"/>
      <c r="G1296" s="232"/>
      <c r="H1296" s="232"/>
      <c r="I1296" s="154"/>
      <c r="J1296" s="270"/>
      <c r="K1296" s="311">
        <f t="shared" si="349"/>
        <v>0</v>
      </c>
      <c r="L1296" s="312">
        <f t="shared" si="350"/>
        <v>0</v>
      </c>
      <c r="M1296" s="313">
        <f t="shared" si="351"/>
        <v>0</v>
      </c>
      <c r="N1296" s="320">
        <f>SUM(L1294:L1296)</f>
        <v>0</v>
      </c>
      <c r="O1296" s="315">
        <f t="shared" si="328"/>
        <v>0</v>
      </c>
      <c r="P1296" s="315">
        <f t="shared" si="345"/>
        <v>0</v>
      </c>
      <c r="Q1296" s="320"/>
      <c r="R1296" s="315">
        <f t="shared" si="326"/>
        <v>0</v>
      </c>
      <c r="S1296" s="315">
        <f t="shared" si="327"/>
        <v>0</v>
      </c>
      <c r="T1296" s="213"/>
      <c r="U1296" s="213"/>
      <c r="V1296" s="213"/>
      <c r="W1296" s="213"/>
      <c r="X1296" s="591"/>
      <c r="Y1296" s="591"/>
    </row>
    <row r="1297" spans="1:25" ht="14.85" customHeight="1">
      <c r="A1297" s="619"/>
      <c r="B1297" s="586"/>
      <c r="C1297" s="259"/>
      <c r="D1297" s="621"/>
      <c r="E1297" s="157"/>
      <c r="F1297" s="154"/>
      <c r="G1297" s="254"/>
      <c r="H1297" s="154"/>
      <c r="I1297" s="154"/>
      <c r="J1297" s="270"/>
      <c r="K1297" s="311">
        <f t="shared" si="349"/>
        <v>0</v>
      </c>
      <c r="L1297" s="312">
        <f t="shared" si="350"/>
        <v>0</v>
      </c>
      <c r="M1297" s="313">
        <f t="shared" si="351"/>
        <v>0</v>
      </c>
      <c r="N1297" s="320"/>
      <c r="O1297" s="315">
        <f t="shared" ref="O1297:O1363" si="352">ROUNDDOWN((N1297/$O$11),0)</f>
        <v>0</v>
      </c>
      <c r="P1297" s="315">
        <f t="shared" ref="P1297:P1363" si="353">ROUND((N1297-(O1297*$P$11)),0)</f>
        <v>0</v>
      </c>
      <c r="Q1297" s="320"/>
      <c r="R1297" s="315">
        <f t="shared" si="326"/>
        <v>0</v>
      </c>
      <c r="S1297" s="315">
        <f t="shared" si="327"/>
        <v>0</v>
      </c>
      <c r="T1297" s="213"/>
      <c r="U1297" s="213"/>
      <c r="V1297" s="213"/>
      <c r="W1297" s="213"/>
      <c r="X1297" s="591"/>
      <c r="Y1297" s="591"/>
    </row>
    <row r="1298" spans="1:25" ht="14.85" customHeight="1">
      <c r="A1298" s="619"/>
      <c r="B1298" s="586"/>
      <c r="C1298" s="259"/>
      <c r="D1298" s="621"/>
      <c r="E1298" s="157"/>
      <c r="F1298" s="154"/>
      <c r="G1298" s="254"/>
      <c r="H1298" s="154"/>
      <c r="I1298" s="154"/>
      <c r="J1298" s="270"/>
      <c r="K1298" s="311">
        <f t="shared" si="349"/>
        <v>0</v>
      </c>
      <c r="L1298" s="312">
        <f t="shared" si="350"/>
        <v>0</v>
      </c>
      <c r="M1298" s="313">
        <f t="shared" si="351"/>
        <v>0</v>
      </c>
      <c r="N1298" s="320"/>
      <c r="O1298" s="315">
        <f t="shared" si="352"/>
        <v>0</v>
      </c>
      <c r="P1298" s="315">
        <f t="shared" si="353"/>
        <v>0</v>
      </c>
      <c r="Q1298" s="320"/>
      <c r="R1298" s="315">
        <f t="shared" ref="R1298:R1361" si="354">ROUNDDOWN((Q1298/$O$11),0)</f>
        <v>0</v>
      </c>
      <c r="S1298" s="315">
        <f t="shared" ref="S1298:S1361" si="355">ROUND((Q1298-(R1298*$P$11)),0)</f>
        <v>0</v>
      </c>
      <c r="T1298" s="213"/>
      <c r="U1298" s="213"/>
      <c r="V1298" s="213"/>
      <c r="W1298" s="213"/>
      <c r="X1298" s="591"/>
      <c r="Y1298" s="591"/>
    </row>
    <row r="1299" spans="1:25" ht="14.85" customHeight="1">
      <c r="A1299" s="619"/>
      <c r="B1299" s="586"/>
      <c r="C1299" s="259"/>
      <c r="D1299" s="621"/>
      <c r="E1299" s="157"/>
      <c r="F1299" s="154"/>
      <c r="G1299" s="254"/>
      <c r="H1299" s="154"/>
      <c r="I1299" s="154"/>
      <c r="J1299" s="270"/>
      <c r="K1299" s="311">
        <f t="shared" si="349"/>
        <v>0</v>
      </c>
      <c r="L1299" s="312">
        <f t="shared" si="350"/>
        <v>0</v>
      </c>
      <c r="M1299" s="313">
        <f t="shared" si="351"/>
        <v>0</v>
      </c>
      <c r="N1299" s="320"/>
      <c r="O1299" s="315">
        <f t="shared" si="352"/>
        <v>0</v>
      </c>
      <c r="P1299" s="315">
        <f t="shared" si="353"/>
        <v>0</v>
      </c>
      <c r="Q1299" s="320"/>
      <c r="R1299" s="315">
        <f t="shared" si="354"/>
        <v>0</v>
      </c>
      <c r="S1299" s="315">
        <f t="shared" si="355"/>
        <v>0</v>
      </c>
      <c r="T1299" s="213"/>
      <c r="U1299" s="213"/>
      <c r="V1299" s="213"/>
      <c r="W1299" s="213"/>
      <c r="X1299" s="591"/>
      <c r="Y1299" s="591"/>
    </row>
    <row r="1300" spans="1:25" ht="14.85" customHeight="1">
      <c r="A1300" s="619"/>
      <c r="B1300" s="586"/>
      <c r="C1300" s="259"/>
      <c r="D1300" s="621"/>
      <c r="E1300" s="157"/>
      <c r="F1300" s="154"/>
      <c r="G1300" s="254"/>
      <c r="H1300" s="154"/>
      <c r="I1300" s="154"/>
      <c r="J1300" s="270"/>
      <c r="K1300" s="311">
        <f t="shared" si="349"/>
        <v>0</v>
      </c>
      <c r="L1300" s="312">
        <f t="shared" si="350"/>
        <v>0</v>
      </c>
      <c r="M1300" s="313">
        <f t="shared" si="351"/>
        <v>0</v>
      </c>
      <c r="N1300" s="320">
        <f>SUM(L1297:L1300)</f>
        <v>0</v>
      </c>
      <c r="O1300" s="315">
        <f t="shared" si="352"/>
        <v>0</v>
      </c>
      <c r="P1300" s="315">
        <f t="shared" si="353"/>
        <v>0</v>
      </c>
      <c r="Q1300" s="320"/>
      <c r="R1300" s="315">
        <f t="shared" si="354"/>
        <v>0</v>
      </c>
      <c r="S1300" s="315">
        <f t="shared" si="355"/>
        <v>0</v>
      </c>
      <c r="T1300" s="213"/>
      <c r="U1300" s="213"/>
      <c r="V1300" s="213"/>
      <c r="W1300" s="213"/>
      <c r="X1300" s="591"/>
      <c r="Y1300" s="591"/>
    </row>
    <row r="1301" spans="1:25" ht="14.85" customHeight="1">
      <c r="A1301" s="619"/>
      <c r="B1301" s="586"/>
      <c r="C1301" s="259"/>
      <c r="D1301" s="621"/>
      <c r="E1301" s="157"/>
      <c r="F1301" s="154"/>
      <c r="G1301" s="254"/>
      <c r="H1301" s="154"/>
      <c r="I1301" s="154"/>
      <c r="J1301" s="270"/>
      <c r="K1301" s="311">
        <f t="shared" si="349"/>
        <v>0</v>
      </c>
      <c r="L1301" s="312">
        <f t="shared" si="350"/>
        <v>0</v>
      </c>
      <c r="M1301" s="313">
        <f t="shared" si="351"/>
        <v>0</v>
      </c>
      <c r="N1301" s="320"/>
      <c r="O1301" s="315">
        <f t="shared" si="352"/>
        <v>0</v>
      </c>
      <c r="P1301" s="315">
        <f t="shared" si="353"/>
        <v>0</v>
      </c>
      <c r="Q1301" s="320"/>
      <c r="R1301" s="315">
        <f t="shared" si="354"/>
        <v>0</v>
      </c>
      <c r="S1301" s="315">
        <f t="shared" si="355"/>
        <v>0</v>
      </c>
      <c r="T1301" s="213"/>
      <c r="U1301" s="213"/>
      <c r="V1301" s="213"/>
      <c r="W1301" s="213"/>
      <c r="X1301" s="591"/>
      <c r="Y1301" s="591"/>
    </row>
    <row r="1302" spans="1:25" ht="14.85" customHeight="1">
      <c r="A1302" s="619"/>
      <c r="B1302" s="586"/>
      <c r="C1302" s="259"/>
      <c r="D1302" s="621"/>
      <c r="E1302" s="157"/>
      <c r="F1302" s="154"/>
      <c r="G1302" s="254"/>
      <c r="H1302" s="154"/>
      <c r="I1302" s="154"/>
      <c r="J1302" s="270"/>
      <c r="K1302" s="311">
        <f t="shared" si="349"/>
        <v>0</v>
      </c>
      <c r="L1302" s="312">
        <f t="shared" si="350"/>
        <v>0</v>
      </c>
      <c r="M1302" s="313">
        <f t="shared" si="351"/>
        <v>0</v>
      </c>
      <c r="N1302" s="320">
        <f>SUM(L1301:L1302)</f>
        <v>0</v>
      </c>
      <c r="O1302" s="315">
        <f t="shared" si="352"/>
        <v>0</v>
      </c>
      <c r="P1302" s="315">
        <f t="shared" si="353"/>
        <v>0</v>
      </c>
      <c r="Q1302" s="320">
        <f>N1296+N1300+N1302</f>
        <v>0</v>
      </c>
      <c r="R1302" s="315">
        <f t="shared" si="354"/>
        <v>0</v>
      </c>
      <c r="S1302" s="315">
        <f t="shared" si="355"/>
        <v>0</v>
      </c>
      <c r="T1302" s="213"/>
      <c r="U1302" s="213"/>
      <c r="V1302" s="213"/>
      <c r="W1302" s="213"/>
      <c r="X1302" s="591"/>
      <c r="Y1302" s="591"/>
    </row>
    <row r="1303" spans="1:25" ht="14.85" customHeight="1">
      <c r="A1303" s="619"/>
      <c r="B1303" s="586"/>
      <c r="C1303" s="259"/>
      <c r="D1303" s="621"/>
      <c r="E1303" s="157"/>
      <c r="F1303" s="154"/>
      <c r="G1303" s="254"/>
      <c r="H1303" s="154"/>
      <c r="I1303" s="154"/>
      <c r="J1303" s="270"/>
      <c r="K1303" s="311">
        <f t="shared" si="349"/>
        <v>0</v>
      </c>
      <c r="L1303" s="312">
        <f t="shared" si="350"/>
        <v>0</v>
      </c>
      <c r="M1303" s="313">
        <f t="shared" si="351"/>
        <v>0</v>
      </c>
      <c r="N1303" s="320"/>
      <c r="O1303" s="315">
        <f t="shared" si="352"/>
        <v>0</v>
      </c>
      <c r="P1303" s="315">
        <f t="shared" si="353"/>
        <v>0</v>
      </c>
      <c r="Q1303" s="320"/>
      <c r="R1303" s="315">
        <f t="shared" si="354"/>
        <v>0</v>
      </c>
      <c r="S1303" s="315">
        <f t="shared" si="355"/>
        <v>0</v>
      </c>
      <c r="T1303" s="213"/>
      <c r="U1303" s="213"/>
      <c r="V1303" s="213"/>
      <c r="W1303" s="213"/>
      <c r="X1303" s="591"/>
      <c r="Y1303" s="591"/>
    </row>
    <row r="1304" spans="1:25" ht="14.85" customHeight="1">
      <c r="A1304" s="619"/>
      <c r="B1304" s="586"/>
      <c r="C1304" s="259"/>
      <c r="D1304" s="621"/>
      <c r="E1304" s="375"/>
      <c r="F1304" s="154"/>
      <c r="G1304" s="232"/>
      <c r="H1304" s="232"/>
      <c r="I1304" s="154"/>
      <c r="J1304" s="270"/>
      <c r="K1304" s="311">
        <f t="shared" si="349"/>
        <v>0</v>
      </c>
      <c r="L1304" s="312">
        <f t="shared" si="350"/>
        <v>0</v>
      </c>
      <c r="M1304" s="313">
        <f t="shared" si="351"/>
        <v>0</v>
      </c>
      <c r="N1304" s="320"/>
      <c r="O1304" s="315">
        <f t="shared" si="352"/>
        <v>0</v>
      </c>
      <c r="P1304" s="315">
        <f t="shared" si="353"/>
        <v>0</v>
      </c>
      <c r="Q1304" s="320"/>
      <c r="R1304" s="315">
        <f t="shared" si="354"/>
        <v>0</v>
      </c>
      <c r="S1304" s="315">
        <f t="shared" si="355"/>
        <v>0</v>
      </c>
      <c r="T1304" s="213"/>
      <c r="U1304" s="213"/>
      <c r="V1304" s="213"/>
      <c r="W1304" s="213"/>
      <c r="X1304" s="591"/>
      <c r="Y1304" s="591"/>
    </row>
    <row r="1305" spans="1:25" ht="14.85" customHeight="1">
      <c r="A1305" s="619"/>
      <c r="B1305" s="586"/>
      <c r="C1305" s="259"/>
      <c r="D1305" s="621"/>
      <c r="E1305" s="376"/>
      <c r="F1305" s="154"/>
      <c r="G1305" s="232"/>
      <c r="H1305" s="232"/>
      <c r="I1305" s="154"/>
      <c r="J1305" s="270"/>
      <c r="K1305" s="311">
        <f t="shared" si="349"/>
        <v>0</v>
      </c>
      <c r="L1305" s="312">
        <f t="shared" si="350"/>
        <v>0</v>
      </c>
      <c r="M1305" s="313">
        <f t="shared" si="351"/>
        <v>0</v>
      </c>
      <c r="N1305" s="320"/>
      <c r="O1305" s="315">
        <f t="shared" si="352"/>
        <v>0</v>
      </c>
      <c r="P1305" s="315">
        <f t="shared" si="353"/>
        <v>0</v>
      </c>
      <c r="Q1305" s="320"/>
      <c r="R1305" s="315">
        <f t="shared" si="354"/>
        <v>0</v>
      </c>
      <c r="S1305" s="315">
        <f t="shared" si="355"/>
        <v>0</v>
      </c>
      <c r="T1305" s="213"/>
      <c r="U1305" s="213"/>
      <c r="V1305" s="213"/>
      <c r="W1305" s="213"/>
      <c r="X1305" s="591"/>
      <c r="Y1305" s="591"/>
    </row>
    <row r="1306" spans="1:25" ht="14.85" customHeight="1">
      <c r="A1306" s="619"/>
      <c r="B1306" s="586"/>
      <c r="C1306" s="259"/>
      <c r="D1306" s="621"/>
      <c r="E1306" s="376"/>
      <c r="F1306" s="154"/>
      <c r="G1306" s="232"/>
      <c r="H1306" s="232"/>
      <c r="I1306" s="154"/>
      <c r="J1306" s="270"/>
      <c r="K1306" s="311">
        <f t="shared" si="349"/>
        <v>0</v>
      </c>
      <c r="L1306" s="312">
        <f t="shared" si="350"/>
        <v>0</v>
      </c>
      <c r="M1306" s="313">
        <f t="shared" si="351"/>
        <v>0</v>
      </c>
      <c r="N1306" s="320">
        <f>SUM(L1304:L1306)</f>
        <v>0</v>
      </c>
      <c r="O1306" s="315">
        <f t="shared" si="352"/>
        <v>0</v>
      </c>
      <c r="P1306" s="315">
        <f t="shared" si="353"/>
        <v>0</v>
      </c>
      <c r="Q1306" s="320"/>
      <c r="R1306" s="315">
        <f t="shared" si="354"/>
        <v>0</v>
      </c>
      <c r="S1306" s="315">
        <f t="shared" si="355"/>
        <v>0</v>
      </c>
      <c r="T1306" s="213"/>
      <c r="U1306" s="213"/>
      <c r="V1306" s="213"/>
      <c r="W1306" s="213"/>
      <c r="X1306" s="591"/>
      <c r="Y1306" s="591"/>
    </row>
    <row r="1307" spans="1:25" ht="14.85" customHeight="1">
      <c r="A1307" s="619"/>
      <c r="B1307" s="586"/>
      <c r="C1307" s="259"/>
      <c r="D1307" s="621"/>
      <c r="E1307" s="157"/>
      <c r="F1307" s="154"/>
      <c r="G1307" s="254"/>
      <c r="H1307" s="154"/>
      <c r="I1307" s="154"/>
      <c r="J1307" s="270"/>
      <c r="K1307" s="311">
        <f t="shared" si="349"/>
        <v>0</v>
      </c>
      <c r="L1307" s="312">
        <f t="shared" si="350"/>
        <v>0</v>
      </c>
      <c r="M1307" s="313">
        <f t="shared" si="351"/>
        <v>0</v>
      </c>
      <c r="N1307" s="320"/>
      <c r="O1307" s="315">
        <f t="shared" si="352"/>
        <v>0</v>
      </c>
      <c r="P1307" s="315">
        <f t="shared" si="353"/>
        <v>0</v>
      </c>
      <c r="Q1307" s="320"/>
      <c r="R1307" s="315">
        <f t="shared" si="354"/>
        <v>0</v>
      </c>
      <c r="S1307" s="315">
        <f t="shared" si="355"/>
        <v>0</v>
      </c>
      <c r="T1307" s="213"/>
      <c r="U1307" s="213"/>
      <c r="V1307" s="213"/>
      <c r="W1307" s="213"/>
      <c r="X1307" s="591"/>
      <c r="Y1307" s="591"/>
    </row>
    <row r="1308" spans="1:25" ht="14.85" customHeight="1">
      <c r="A1308" s="619"/>
      <c r="B1308" s="586"/>
      <c r="C1308" s="259"/>
      <c r="D1308" s="621"/>
      <c r="E1308" s="157"/>
      <c r="F1308" s="154"/>
      <c r="G1308" s="254"/>
      <c r="H1308" s="154"/>
      <c r="I1308" s="154"/>
      <c r="J1308" s="270"/>
      <c r="K1308" s="311">
        <f t="shared" si="349"/>
        <v>0</v>
      </c>
      <c r="L1308" s="312">
        <f t="shared" si="350"/>
        <v>0</v>
      </c>
      <c r="M1308" s="313">
        <f t="shared" si="351"/>
        <v>0</v>
      </c>
      <c r="N1308" s="320"/>
      <c r="O1308" s="315">
        <f t="shared" si="352"/>
        <v>0</v>
      </c>
      <c r="P1308" s="315">
        <f t="shared" si="353"/>
        <v>0</v>
      </c>
      <c r="Q1308" s="320"/>
      <c r="R1308" s="315">
        <f t="shared" si="354"/>
        <v>0</v>
      </c>
      <c r="S1308" s="315">
        <f t="shared" si="355"/>
        <v>0</v>
      </c>
      <c r="T1308" s="213"/>
      <c r="U1308" s="213"/>
      <c r="V1308" s="213"/>
      <c r="W1308" s="213"/>
      <c r="X1308" s="591"/>
      <c r="Y1308" s="591"/>
    </row>
    <row r="1309" spans="1:25" ht="14.85" customHeight="1">
      <c r="A1309" s="619"/>
      <c r="B1309" s="586"/>
      <c r="C1309" s="259"/>
      <c r="D1309" s="621"/>
      <c r="E1309" s="157"/>
      <c r="F1309" s="154"/>
      <c r="G1309" s="254"/>
      <c r="H1309" s="154"/>
      <c r="I1309" s="154"/>
      <c r="J1309" s="270"/>
      <c r="K1309" s="311">
        <f t="shared" si="349"/>
        <v>0</v>
      </c>
      <c r="L1309" s="312">
        <f t="shared" si="350"/>
        <v>0</v>
      </c>
      <c r="M1309" s="313">
        <f t="shared" si="351"/>
        <v>0</v>
      </c>
      <c r="N1309" s="320">
        <f>SUM(L1307:L1309)</f>
        <v>0</v>
      </c>
      <c r="O1309" s="315">
        <f t="shared" si="352"/>
        <v>0</v>
      </c>
      <c r="P1309" s="315">
        <f t="shared" si="353"/>
        <v>0</v>
      </c>
      <c r="Q1309" s="320">
        <f>N1306+N1309</f>
        <v>0</v>
      </c>
      <c r="R1309" s="315">
        <f t="shared" si="354"/>
        <v>0</v>
      </c>
      <c r="S1309" s="315">
        <f t="shared" si="355"/>
        <v>0</v>
      </c>
      <c r="T1309" s="213"/>
      <c r="U1309" s="213"/>
      <c r="V1309" s="213"/>
      <c r="W1309" s="213"/>
      <c r="X1309" s="591"/>
      <c r="Y1309" s="591"/>
    </row>
    <row r="1310" spans="1:25" ht="14.85" customHeight="1">
      <c r="A1310" s="619"/>
      <c r="B1310" s="586"/>
      <c r="C1310" s="259"/>
      <c r="D1310" s="621"/>
      <c r="E1310" s="157"/>
      <c r="F1310" s="154"/>
      <c r="G1310" s="254"/>
      <c r="H1310" s="154"/>
      <c r="I1310" s="154"/>
      <c r="J1310" s="270"/>
      <c r="K1310" s="311">
        <f t="shared" si="349"/>
        <v>0</v>
      </c>
      <c r="L1310" s="312">
        <f t="shared" si="350"/>
        <v>0</v>
      </c>
      <c r="M1310" s="313">
        <f t="shared" si="351"/>
        <v>0</v>
      </c>
      <c r="N1310" s="320"/>
      <c r="O1310" s="315">
        <f t="shared" si="352"/>
        <v>0</v>
      </c>
      <c r="P1310" s="315">
        <f t="shared" si="353"/>
        <v>0</v>
      </c>
      <c r="Q1310" s="320"/>
      <c r="R1310" s="315">
        <f t="shared" si="354"/>
        <v>0</v>
      </c>
      <c r="S1310" s="315">
        <f t="shared" si="355"/>
        <v>0</v>
      </c>
      <c r="T1310" s="213"/>
      <c r="U1310" s="213"/>
      <c r="V1310" s="213"/>
      <c r="W1310" s="213"/>
      <c r="X1310" s="591"/>
      <c r="Y1310" s="591"/>
    </row>
    <row r="1311" spans="1:25" ht="14.85" customHeight="1">
      <c r="A1311" s="619"/>
      <c r="B1311" s="586"/>
      <c r="C1311" s="259"/>
      <c r="D1311" s="621"/>
      <c r="E1311" s="375"/>
      <c r="F1311" s="154"/>
      <c r="G1311" s="232"/>
      <c r="H1311" s="232"/>
      <c r="I1311" s="154"/>
      <c r="J1311" s="270"/>
      <c r="K1311" s="311">
        <f t="shared" si="349"/>
        <v>0</v>
      </c>
      <c r="L1311" s="312">
        <f t="shared" si="350"/>
        <v>0</v>
      </c>
      <c r="M1311" s="313">
        <f t="shared" si="351"/>
        <v>0</v>
      </c>
      <c r="N1311" s="320"/>
      <c r="O1311" s="315">
        <f t="shared" si="352"/>
        <v>0</v>
      </c>
      <c r="P1311" s="315">
        <f t="shared" si="353"/>
        <v>0</v>
      </c>
      <c r="Q1311" s="320"/>
      <c r="R1311" s="315">
        <f t="shared" si="354"/>
        <v>0</v>
      </c>
      <c r="S1311" s="315">
        <f t="shared" si="355"/>
        <v>0</v>
      </c>
      <c r="T1311" s="213"/>
      <c r="U1311" s="213"/>
      <c r="V1311" s="213"/>
      <c r="W1311" s="213"/>
      <c r="X1311" s="591"/>
      <c r="Y1311" s="591"/>
    </row>
    <row r="1312" spans="1:25" ht="14.85" customHeight="1">
      <c r="A1312" s="619"/>
      <c r="B1312" s="586"/>
      <c r="C1312" s="259"/>
      <c r="D1312" s="621"/>
      <c r="E1312" s="376"/>
      <c r="F1312" s="154"/>
      <c r="G1312" s="232"/>
      <c r="H1312" s="232"/>
      <c r="I1312" s="154"/>
      <c r="J1312" s="270"/>
      <c r="K1312" s="311">
        <f t="shared" si="349"/>
        <v>0</v>
      </c>
      <c r="L1312" s="312">
        <f t="shared" si="350"/>
        <v>0</v>
      </c>
      <c r="M1312" s="313">
        <f t="shared" si="351"/>
        <v>0</v>
      </c>
      <c r="N1312" s="320">
        <f>L1311+L1312</f>
        <v>0</v>
      </c>
      <c r="O1312" s="315">
        <f t="shared" si="352"/>
        <v>0</v>
      </c>
      <c r="P1312" s="315">
        <f t="shared" si="353"/>
        <v>0</v>
      </c>
      <c r="Q1312" s="320"/>
      <c r="R1312" s="315">
        <f t="shared" si="354"/>
        <v>0</v>
      </c>
      <c r="S1312" s="315">
        <f t="shared" si="355"/>
        <v>0</v>
      </c>
      <c r="T1312" s="213"/>
      <c r="U1312" s="213"/>
      <c r="V1312" s="213"/>
      <c r="W1312" s="213"/>
      <c r="X1312" s="591"/>
      <c r="Y1312" s="591"/>
    </row>
    <row r="1313" spans="1:25" ht="14.85" customHeight="1">
      <c r="A1313" s="619"/>
      <c r="B1313" s="586"/>
      <c r="C1313" s="259"/>
      <c r="D1313" s="621"/>
      <c r="E1313" s="157"/>
      <c r="F1313" s="154"/>
      <c r="G1313" s="254"/>
      <c r="H1313" s="154"/>
      <c r="I1313" s="154"/>
      <c r="J1313" s="270"/>
      <c r="K1313" s="311">
        <f t="shared" si="349"/>
        <v>0</v>
      </c>
      <c r="L1313" s="312">
        <f t="shared" si="350"/>
        <v>0</v>
      </c>
      <c r="M1313" s="313">
        <f t="shared" si="351"/>
        <v>0</v>
      </c>
      <c r="N1313" s="320"/>
      <c r="O1313" s="315">
        <f t="shared" si="352"/>
        <v>0</v>
      </c>
      <c r="P1313" s="315">
        <f t="shared" si="353"/>
        <v>0</v>
      </c>
      <c r="Q1313" s="320"/>
      <c r="R1313" s="315">
        <f t="shared" si="354"/>
        <v>0</v>
      </c>
      <c r="S1313" s="315">
        <f t="shared" si="355"/>
        <v>0</v>
      </c>
      <c r="T1313" s="213"/>
      <c r="U1313" s="213"/>
      <c r="V1313" s="213"/>
      <c r="W1313" s="213"/>
      <c r="X1313" s="591"/>
      <c r="Y1313" s="591"/>
    </row>
    <row r="1314" spans="1:25" ht="14.85" customHeight="1">
      <c r="A1314" s="619"/>
      <c r="B1314" s="586"/>
      <c r="C1314" s="259"/>
      <c r="D1314" s="621"/>
      <c r="E1314" s="157"/>
      <c r="F1314" s="154"/>
      <c r="G1314" s="254"/>
      <c r="H1314" s="154"/>
      <c r="I1314" s="154"/>
      <c r="J1314" s="270"/>
      <c r="K1314" s="311">
        <f t="shared" si="349"/>
        <v>0</v>
      </c>
      <c r="L1314" s="312">
        <f t="shared" si="350"/>
        <v>0</v>
      </c>
      <c r="M1314" s="313">
        <f t="shared" si="351"/>
        <v>0</v>
      </c>
      <c r="N1314" s="320"/>
      <c r="O1314" s="315">
        <f t="shared" si="352"/>
        <v>0</v>
      </c>
      <c r="P1314" s="315">
        <f t="shared" si="353"/>
        <v>0</v>
      </c>
      <c r="Q1314" s="320"/>
      <c r="R1314" s="315">
        <f t="shared" si="354"/>
        <v>0</v>
      </c>
      <c r="S1314" s="315">
        <f t="shared" si="355"/>
        <v>0</v>
      </c>
      <c r="T1314" s="213"/>
      <c r="U1314" s="213"/>
      <c r="V1314" s="213"/>
      <c r="W1314" s="213"/>
      <c r="X1314" s="591"/>
      <c r="Y1314" s="591"/>
    </row>
    <row r="1315" spans="1:25" ht="14.85" customHeight="1">
      <c r="A1315" s="619"/>
      <c r="B1315" s="586"/>
      <c r="C1315" s="259"/>
      <c r="D1315" s="621"/>
      <c r="E1315" s="157"/>
      <c r="F1315" s="154"/>
      <c r="G1315" s="254"/>
      <c r="H1315" s="154"/>
      <c r="I1315" s="154"/>
      <c r="J1315" s="270"/>
      <c r="K1315" s="311">
        <f t="shared" si="349"/>
        <v>0</v>
      </c>
      <c r="L1315" s="312">
        <f t="shared" si="350"/>
        <v>0</v>
      </c>
      <c r="M1315" s="313">
        <f t="shared" si="351"/>
        <v>0</v>
      </c>
      <c r="N1315" s="320"/>
      <c r="O1315" s="315">
        <f t="shared" si="352"/>
        <v>0</v>
      </c>
      <c r="P1315" s="315">
        <f t="shared" si="353"/>
        <v>0</v>
      </c>
      <c r="Q1315" s="320"/>
      <c r="R1315" s="315">
        <f t="shared" si="354"/>
        <v>0</v>
      </c>
      <c r="S1315" s="315">
        <f t="shared" si="355"/>
        <v>0</v>
      </c>
      <c r="T1315" s="213"/>
      <c r="U1315" s="213"/>
      <c r="V1315" s="213"/>
      <c r="W1315" s="213"/>
      <c r="X1315" s="591"/>
      <c r="Y1315" s="591"/>
    </row>
    <row r="1316" spans="1:25" ht="14.85" customHeight="1">
      <c r="A1316" s="619"/>
      <c r="B1316" s="586"/>
      <c r="C1316" s="259"/>
      <c r="D1316" s="621"/>
      <c r="E1316" s="157"/>
      <c r="F1316" s="154"/>
      <c r="G1316" s="254"/>
      <c r="H1316" s="154"/>
      <c r="I1316" s="154"/>
      <c r="J1316" s="270"/>
      <c r="K1316" s="311">
        <f t="shared" si="349"/>
        <v>0</v>
      </c>
      <c r="L1316" s="312">
        <f t="shared" si="350"/>
        <v>0</v>
      </c>
      <c r="M1316" s="313">
        <f t="shared" si="351"/>
        <v>0</v>
      </c>
      <c r="N1316" s="320"/>
      <c r="O1316" s="315">
        <f t="shared" si="352"/>
        <v>0</v>
      </c>
      <c r="P1316" s="315">
        <f t="shared" si="353"/>
        <v>0</v>
      </c>
      <c r="Q1316" s="320"/>
      <c r="R1316" s="315">
        <f t="shared" si="354"/>
        <v>0</v>
      </c>
      <c r="S1316" s="315">
        <f t="shared" si="355"/>
        <v>0</v>
      </c>
      <c r="T1316" s="213"/>
      <c r="U1316" s="213"/>
      <c r="V1316" s="213"/>
      <c r="W1316" s="213"/>
      <c r="X1316" s="591"/>
      <c r="Y1316" s="591"/>
    </row>
    <row r="1317" spans="1:25" ht="14.85" customHeight="1">
      <c r="A1317" s="619"/>
      <c r="B1317" s="586"/>
      <c r="C1317" s="259"/>
      <c r="D1317" s="621"/>
      <c r="E1317" s="157"/>
      <c r="F1317" s="154"/>
      <c r="G1317" s="254"/>
      <c r="H1317" s="154"/>
      <c r="I1317" s="154"/>
      <c r="J1317" s="270"/>
      <c r="K1317" s="311">
        <f t="shared" si="349"/>
        <v>0</v>
      </c>
      <c r="L1317" s="312">
        <f t="shared" si="350"/>
        <v>0</v>
      </c>
      <c r="M1317" s="313">
        <f t="shared" si="351"/>
        <v>0</v>
      </c>
      <c r="N1317" s="320"/>
      <c r="O1317" s="315">
        <f t="shared" si="352"/>
        <v>0</v>
      </c>
      <c r="P1317" s="315">
        <f t="shared" si="353"/>
        <v>0</v>
      </c>
      <c r="Q1317" s="320"/>
      <c r="R1317" s="315">
        <f t="shared" si="354"/>
        <v>0</v>
      </c>
      <c r="S1317" s="315">
        <f t="shared" si="355"/>
        <v>0</v>
      </c>
      <c r="T1317" s="213"/>
      <c r="U1317" s="213"/>
      <c r="V1317" s="213"/>
      <c r="W1317" s="213"/>
      <c r="X1317" s="591"/>
      <c r="Y1317" s="591"/>
    </row>
    <row r="1318" spans="1:25" ht="14.85" customHeight="1">
      <c r="A1318" s="619"/>
      <c r="B1318" s="586"/>
      <c r="C1318" s="259"/>
      <c r="D1318" s="621"/>
      <c r="E1318" s="157"/>
      <c r="F1318" s="154"/>
      <c r="G1318" s="254"/>
      <c r="H1318" s="154"/>
      <c r="I1318" s="154"/>
      <c r="J1318" s="270"/>
      <c r="K1318" s="311">
        <f t="shared" si="349"/>
        <v>0</v>
      </c>
      <c r="L1318" s="312">
        <f t="shared" si="350"/>
        <v>0</v>
      </c>
      <c r="M1318" s="313">
        <f t="shared" si="351"/>
        <v>0</v>
      </c>
      <c r="N1318" s="320">
        <f>SUM(L1313:L1318)</f>
        <v>0</v>
      </c>
      <c r="O1318" s="315">
        <f t="shared" si="352"/>
        <v>0</v>
      </c>
      <c r="P1318" s="315">
        <f t="shared" si="353"/>
        <v>0</v>
      </c>
      <c r="Q1318" s="320"/>
      <c r="R1318" s="315">
        <f t="shared" si="354"/>
        <v>0</v>
      </c>
      <c r="S1318" s="315">
        <f t="shared" si="355"/>
        <v>0</v>
      </c>
      <c r="T1318" s="213"/>
      <c r="U1318" s="213"/>
      <c r="V1318" s="213"/>
      <c r="W1318" s="213"/>
      <c r="X1318" s="591"/>
      <c r="Y1318" s="591"/>
    </row>
    <row r="1319" spans="1:25" ht="14.85" customHeight="1">
      <c r="A1319" s="619"/>
      <c r="B1319" s="586"/>
      <c r="C1319" s="259"/>
      <c r="D1319" s="621"/>
      <c r="E1319" s="157"/>
      <c r="F1319" s="154"/>
      <c r="G1319" s="254"/>
      <c r="H1319" s="154"/>
      <c r="I1319" s="154"/>
      <c r="J1319" s="270"/>
      <c r="K1319" s="311">
        <f t="shared" si="349"/>
        <v>0</v>
      </c>
      <c r="L1319" s="312">
        <f t="shared" si="350"/>
        <v>0</v>
      </c>
      <c r="M1319" s="313">
        <f t="shared" si="351"/>
        <v>0</v>
      </c>
      <c r="N1319" s="320"/>
      <c r="O1319" s="315">
        <f t="shared" si="352"/>
        <v>0</v>
      </c>
      <c r="P1319" s="315">
        <f t="shared" si="353"/>
        <v>0</v>
      </c>
      <c r="Q1319" s="320"/>
      <c r="R1319" s="315">
        <f t="shared" si="354"/>
        <v>0</v>
      </c>
      <c r="S1319" s="315">
        <f t="shared" si="355"/>
        <v>0</v>
      </c>
      <c r="T1319" s="213"/>
      <c r="U1319" s="213"/>
      <c r="V1319" s="213"/>
      <c r="W1319" s="213"/>
      <c r="X1319" s="591"/>
      <c r="Y1319" s="591"/>
    </row>
    <row r="1320" spans="1:25" ht="14.85" customHeight="1">
      <c r="A1320" s="619"/>
      <c r="B1320" s="586"/>
      <c r="C1320" s="259"/>
      <c r="D1320" s="621"/>
      <c r="E1320" s="157"/>
      <c r="F1320" s="154"/>
      <c r="G1320" s="254"/>
      <c r="H1320" s="154"/>
      <c r="I1320" s="154"/>
      <c r="J1320" s="270"/>
      <c r="K1320" s="311">
        <f t="shared" si="349"/>
        <v>0</v>
      </c>
      <c r="L1320" s="312">
        <f t="shared" si="350"/>
        <v>0</v>
      </c>
      <c r="M1320" s="313">
        <f t="shared" si="351"/>
        <v>0</v>
      </c>
      <c r="N1320" s="320"/>
      <c r="O1320" s="315">
        <f t="shared" si="352"/>
        <v>0</v>
      </c>
      <c r="P1320" s="315">
        <f t="shared" si="353"/>
        <v>0</v>
      </c>
      <c r="Q1320" s="320"/>
      <c r="R1320" s="315">
        <f t="shared" si="354"/>
        <v>0</v>
      </c>
      <c r="S1320" s="315">
        <f t="shared" si="355"/>
        <v>0</v>
      </c>
      <c r="T1320" s="213"/>
      <c r="U1320" s="213"/>
      <c r="V1320" s="213"/>
      <c r="W1320" s="213"/>
      <c r="X1320" s="591"/>
      <c r="Y1320" s="591"/>
    </row>
    <row r="1321" spans="1:25" ht="14.85" customHeight="1">
      <c r="A1321" s="619"/>
      <c r="B1321" s="586"/>
      <c r="C1321" s="259"/>
      <c r="D1321" s="621"/>
      <c r="E1321" s="157"/>
      <c r="F1321" s="154"/>
      <c r="G1321" s="254"/>
      <c r="H1321" s="154"/>
      <c r="I1321" s="154"/>
      <c r="J1321" s="270"/>
      <c r="K1321" s="311">
        <f t="shared" si="349"/>
        <v>0</v>
      </c>
      <c r="L1321" s="312">
        <f t="shared" si="350"/>
        <v>0</v>
      </c>
      <c r="M1321" s="313">
        <f t="shared" si="351"/>
        <v>0</v>
      </c>
      <c r="N1321" s="320">
        <f>SUM(L1319:L1321)</f>
        <v>0</v>
      </c>
      <c r="O1321" s="315">
        <f t="shared" si="352"/>
        <v>0</v>
      </c>
      <c r="P1321" s="315">
        <f t="shared" si="353"/>
        <v>0</v>
      </c>
      <c r="Q1321" s="320"/>
      <c r="R1321" s="315">
        <f t="shared" si="354"/>
        <v>0</v>
      </c>
      <c r="S1321" s="315">
        <f t="shared" si="355"/>
        <v>0</v>
      </c>
      <c r="T1321" s="213"/>
      <c r="U1321" s="213"/>
      <c r="V1321" s="213"/>
      <c r="W1321" s="213"/>
      <c r="X1321" s="591"/>
      <c r="Y1321" s="591"/>
    </row>
    <row r="1322" spans="1:25" ht="14.85" customHeight="1">
      <c r="A1322" s="619"/>
      <c r="B1322" s="586"/>
      <c r="C1322" s="259"/>
      <c r="D1322" s="621"/>
      <c r="E1322" s="157"/>
      <c r="F1322" s="154"/>
      <c r="G1322" s="254"/>
      <c r="H1322" s="154"/>
      <c r="I1322" s="154"/>
      <c r="J1322" s="270"/>
      <c r="K1322" s="311">
        <f t="shared" si="349"/>
        <v>0</v>
      </c>
      <c r="L1322" s="312">
        <f t="shared" si="350"/>
        <v>0</v>
      </c>
      <c r="M1322" s="313">
        <f t="shared" si="351"/>
        <v>0</v>
      </c>
      <c r="N1322" s="320"/>
      <c r="O1322" s="315">
        <f t="shared" si="352"/>
        <v>0</v>
      </c>
      <c r="P1322" s="315">
        <f t="shared" si="353"/>
        <v>0</v>
      </c>
      <c r="Q1322" s="320"/>
      <c r="R1322" s="315">
        <f t="shared" si="354"/>
        <v>0</v>
      </c>
      <c r="S1322" s="315">
        <f t="shared" si="355"/>
        <v>0</v>
      </c>
      <c r="T1322" s="213"/>
      <c r="U1322" s="213"/>
      <c r="V1322" s="213"/>
      <c r="W1322" s="213"/>
      <c r="X1322" s="591"/>
      <c r="Y1322" s="591"/>
    </row>
    <row r="1323" spans="1:25" ht="14.85" customHeight="1">
      <c r="A1323" s="619"/>
      <c r="B1323" s="586"/>
      <c r="C1323" s="259"/>
      <c r="D1323" s="621"/>
      <c r="E1323" s="157"/>
      <c r="F1323" s="154"/>
      <c r="G1323" s="254"/>
      <c r="H1323" s="154"/>
      <c r="I1323" s="154"/>
      <c r="J1323" s="270"/>
      <c r="K1323" s="311">
        <f t="shared" si="349"/>
        <v>0</v>
      </c>
      <c r="L1323" s="312">
        <f t="shared" si="350"/>
        <v>0</v>
      </c>
      <c r="M1323" s="313">
        <f t="shared" si="351"/>
        <v>0</v>
      </c>
      <c r="N1323" s="320">
        <f>L1322+L1323</f>
        <v>0</v>
      </c>
      <c r="O1323" s="315">
        <f t="shared" si="352"/>
        <v>0</v>
      </c>
      <c r="P1323" s="315">
        <f t="shared" si="353"/>
        <v>0</v>
      </c>
      <c r="Q1323" s="320">
        <f>N1312+N1318+N1321+N1323</f>
        <v>0</v>
      </c>
      <c r="R1323" s="315">
        <f t="shared" si="354"/>
        <v>0</v>
      </c>
      <c r="S1323" s="315">
        <f t="shared" si="355"/>
        <v>0</v>
      </c>
      <c r="T1323" s="213"/>
      <c r="U1323" s="213"/>
      <c r="V1323" s="213"/>
      <c r="W1323" s="213"/>
      <c r="X1323" s="591"/>
      <c r="Y1323" s="591"/>
    </row>
    <row r="1324" spans="1:25" ht="14.85" customHeight="1">
      <c r="A1324" s="619"/>
      <c r="B1324" s="586"/>
      <c r="C1324" s="259"/>
      <c r="D1324" s="621"/>
      <c r="E1324" s="157"/>
      <c r="F1324" s="154"/>
      <c r="G1324" s="254"/>
      <c r="H1324" s="154"/>
      <c r="I1324" s="154"/>
      <c r="J1324" s="270"/>
      <c r="K1324" s="311">
        <f t="shared" si="349"/>
        <v>0</v>
      </c>
      <c r="L1324" s="312">
        <f t="shared" si="350"/>
        <v>0</v>
      </c>
      <c r="M1324" s="313">
        <f t="shared" si="351"/>
        <v>0</v>
      </c>
      <c r="N1324" s="320"/>
      <c r="O1324" s="315"/>
      <c r="P1324" s="315"/>
      <c r="Q1324" s="320"/>
      <c r="R1324" s="315">
        <f t="shared" si="354"/>
        <v>0</v>
      </c>
      <c r="S1324" s="315">
        <f t="shared" si="355"/>
        <v>0</v>
      </c>
      <c r="T1324" s="213"/>
      <c r="U1324" s="213"/>
      <c r="V1324" s="213"/>
      <c r="W1324" s="213"/>
      <c r="X1324" s="591"/>
      <c r="Y1324" s="591"/>
    </row>
    <row r="1325" spans="1:25" ht="14.85" customHeight="1">
      <c r="A1325" s="619"/>
      <c r="B1325" s="586"/>
      <c r="C1325" s="259"/>
      <c r="D1325" s="621"/>
      <c r="E1325" s="375"/>
      <c r="F1325" s="154"/>
      <c r="G1325" s="232"/>
      <c r="H1325" s="232"/>
      <c r="I1325" s="154"/>
      <c r="J1325" s="270"/>
      <c r="K1325" s="311">
        <f t="shared" si="349"/>
        <v>0</v>
      </c>
      <c r="L1325" s="312">
        <f t="shared" si="350"/>
        <v>0</v>
      </c>
      <c r="M1325" s="313">
        <f t="shared" si="351"/>
        <v>0</v>
      </c>
      <c r="N1325" s="320"/>
      <c r="O1325" s="315">
        <f t="shared" si="352"/>
        <v>0</v>
      </c>
      <c r="P1325" s="315">
        <f t="shared" si="353"/>
        <v>0</v>
      </c>
      <c r="Q1325" s="320"/>
      <c r="R1325" s="315">
        <f t="shared" si="354"/>
        <v>0</v>
      </c>
      <c r="S1325" s="315">
        <f t="shared" si="355"/>
        <v>0</v>
      </c>
      <c r="T1325" s="213"/>
      <c r="U1325" s="213"/>
      <c r="V1325" s="213"/>
      <c r="W1325" s="213"/>
      <c r="X1325" s="591"/>
      <c r="Y1325" s="591"/>
    </row>
    <row r="1326" spans="1:25" ht="14.85" customHeight="1">
      <c r="A1326" s="619"/>
      <c r="B1326" s="586"/>
      <c r="C1326" s="259"/>
      <c r="D1326" s="621"/>
      <c r="E1326" s="376"/>
      <c r="F1326" s="154"/>
      <c r="G1326" s="232"/>
      <c r="H1326" s="232"/>
      <c r="I1326" s="154"/>
      <c r="J1326" s="270"/>
      <c r="K1326" s="311">
        <f t="shared" si="349"/>
        <v>0</v>
      </c>
      <c r="L1326" s="312">
        <f t="shared" si="350"/>
        <v>0</v>
      </c>
      <c r="M1326" s="313">
        <f t="shared" si="351"/>
        <v>0</v>
      </c>
      <c r="N1326" s="320"/>
      <c r="O1326" s="315">
        <f t="shared" si="352"/>
        <v>0</v>
      </c>
      <c r="P1326" s="315">
        <f t="shared" si="353"/>
        <v>0</v>
      </c>
      <c r="Q1326" s="320"/>
      <c r="R1326" s="315">
        <f t="shared" si="354"/>
        <v>0</v>
      </c>
      <c r="S1326" s="315">
        <f t="shared" si="355"/>
        <v>0</v>
      </c>
      <c r="T1326" s="213"/>
      <c r="U1326" s="213"/>
      <c r="V1326" s="213"/>
      <c r="W1326" s="213"/>
      <c r="X1326" s="591"/>
      <c r="Y1326" s="591"/>
    </row>
    <row r="1327" spans="1:25" ht="14.85" customHeight="1">
      <c r="A1327" s="619"/>
      <c r="B1327" s="586"/>
      <c r="C1327" s="259"/>
      <c r="D1327" s="621"/>
      <c r="E1327" s="376"/>
      <c r="F1327" s="154"/>
      <c r="G1327" s="232"/>
      <c r="H1327" s="232"/>
      <c r="I1327" s="154"/>
      <c r="J1327" s="270"/>
      <c r="K1327" s="311">
        <f t="shared" si="349"/>
        <v>0</v>
      </c>
      <c r="L1327" s="312">
        <f t="shared" si="350"/>
        <v>0</v>
      </c>
      <c r="M1327" s="313">
        <f t="shared" si="351"/>
        <v>0</v>
      </c>
      <c r="N1327" s="320"/>
      <c r="O1327" s="315">
        <f t="shared" si="352"/>
        <v>0</v>
      </c>
      <c r="P1327" s="315">
        <f t="shared" si="353"/>
        <v>0</v>
      </c>
      <c r="Q1327" s="320"/>
      <c r="R1327" s="315">
        <f t="shared" si="354"/>
        <v>0</v>
      </c>
      <c r="S1327" s="315">
        <f t="shared" si="355"/>
        <v>0</v>
      </c>
      <c r="T1327" s="213"/>
      <c r="U1327" s="213"/>
      <c r="V1327" s="213"/>
      <c r="W1327" s="213"/>
      <c r="X1327" s="591"/>
      <c r="Y1327" s="591"/>
    </row>
    <row r="1328" spans="1:25" ht="14.85" customHeight="1">
      <c r="A1328" s="619"/>
      <c r="B1328" s="586"/>
      <c r="C1328" s="259"/>
      <c r="D1328" s="621"/>
      <c r="E1328" s="376"/>
      <c r="F1328" s="154"/>
      <c r="G1328" s="232"/>
      <c r="H1328" s="232"/>
      <c r="I1328" s="154"/>
      <c r="J1328" s="270"/>
      <c r="K1328" s="311">
        <f t="shared" si="349"/>
        <v>0</v>
      </c>
      <c r="L1328" s="312">
        <f t="shared" si="350"/>
        <v>0</v>
      </c>
      <c r="M1328" s="313">
        <f t="shared" si="351"/>
        <v>0</v>
      </c>
      <c r="N1328" s="320"/>
      <c r="O1328" s="315">
        <f t="shared" si="352"/>
        <v>0</v>
      </c>
      <c r="P1328" s="315">
        <f t="shared" si="353"/>
        <v>0</v>
      </c>
      <c r="Q1328" s="320"/>
      <c r="R1328" s="315">
        <f t="shared" si="354"/>
        <v>0</v>
      </c>
      <c r="S1328" s="315">
        <f t="shared" si="355"/>
        <v>0</v>
      </c>
      <c r="T1328" s="213"/>
      <c r="U1328" s="213"/>
      <c r="V1328" s="213"/>
      <c r="W1328" s="213"/>
      <c r="X1328" s="591"/>
      <c r="Y1328" s="591"/>
    </row>
    <row r="1329" spans="1:25" ht="14.85" customHeight="1">
      <c r="A1329" s="619"/>
      <c r="B1329" s="586"/>
      <c r="C1329" s="259"/>
      <c r="D1329" s="621"/>
      <c r="E1329" s="376"/>
      <c r="F1329" s="154"/>
      <c r="G1329" s="232"/>
      <c r="H1329" s="232"/>
      <c r="I1329" s="154"/>
      <c r="J1329" s="270"/>
      <c r="K1329" s="311">
        <f t="shared" si="349"/>
        <v>0</v>
      </c>
      <c r="L1329" s="312">
        <f t="shared" si="350"/>
        <v>0</v>
      </c>
      <c r="M1329" s="313">
        <f t="shared" si="351"/>
        <v>0</v>
      </c>
      <c r="N1329" s="320"/>
      <c r="O1329" s="315">
        <f t="shared" si="352"/>
        <v>0</v>
      </c>
      <c r="P1329" s="315">
        <f t="shared" si="353"/>
        <v>0</v>
      </c>
      <c r="Q1329" s="320"/>
      <c r="R1329" s="315">
        <f t="shared" si="354"/>
        <v>0</v>
      </c>
      <c r="S1329" s="315">
        <f t="shared" si="355"/>
        <v>0</v>
      </c>
      <c r="T1329" s="213"/>
      <c r="U1329" s="213"/>
      <c r="V1329" s="213"/>
      <c r="W1329" s="213"/>
      <c r="X1329" s="591"/>
      <c r="Y1329" s="591"/>
    </row>
    <row r="1330" spans="1:25" ht="14.85" customHeight="1">
      <c r="A1330" s="619"/>
      <c r="B1330" s="586"/>
      <c r="C1330" s="259"/>
      <c r="D1330" s="621"/>
      <c r="E1330" s="376"/>
      <c r="F1330" s="154"/>
      <c r="G1330" s="232"/>
      <c r="H1330" s="232"/>
      <c r="I1330" s="154"/>
      <c r="J1330" s="270"/>
      <c r="K1330" s="311">
        <f t="shared" si="349"/>
        <v>0</v>
      </c>
      <c r="L1330" s="312">
        <f t="shared" si="350"/>
        <v>0</v>
      </c>
      <c r="M1330" s="313">
        <f t="shared" si="351"/>
        <v>0</v>
      </c>
      <c r="N1330" s="320">
        <f>SUM(L1325:L1330)</f>
        <v>0</v>
      </c>
      <c r="O1330" s="315">
        <f t="shared" si="352"/>
        <v>0</v>
      </c>
      <c r="P1330" s="315">
        <f t="shared" si="353"/>
        <v>0</v>
      </c>
      <c r="Q1330" s="320"/>
      <c r="R1330" s="315">
        <f t="shared" si="354"/>
        <v>0</v>
      </c>
      <c r="S1330" s="315">
        <f t="shared" si="355"/>
        <v>0</v>
      </c>
      <c r="T1330" s="213"/>
      <c r="U1330" s="213"/>
      <c r="V1330" s="213"/>
      <c r="W1330" s="213"/>
      <c r="X1330" s="591"/>
      <c r="Y1330" s="591"/>
    </row>
    <row r="1331" spans="1:25" ht="14.85" customHeight="1">
      <c r="A1331" s="619"/>
      <c r="B1331" s="586"/>
      <c r="C1331" s="259"/>
      <c r="D1331" s="621"/>
      <c r="E1331" s="157"/>
      <c r="F1331" s="154"/>
      <c r="G1331" s="254"/>
      <c r="H1331" s="154"/>
      <c r="I1331" s="154"/>
      <c r="J1331" s="270"/>
      <c r="K1331" s="311">
        <f t="shared" si="349"/>
        <v>0</v>
      </c>
      <c r="L1331" s="312">
        <f t="shared" si="350"/>
        <v>0</v>
      </c>
      <c r="M1331" s="313">
        <f t="shared" si="351"/>
        <v>0</v>
      </c>
      <c r="N1331" s="320"/>
      <c r="O1331" s="315">
        <f t="shared" si="352"/>
        <v>0</v>
      </c>
      <c r="P1331" s="315">
        <f t="shared" si="353"/>
        <v>0</v>
      </c>
      <c r="Q1331" s="320"/>
      <c r="R1331" s="315">
        <f t="shared" si="354"/>
        <v>0</v>
      </c>
      <c r="S1331" s="315">
        <f t="shared" si="355"/>
        <v>0</v>
      </c>
      <c r="T1331" s="213"/>
      <c r="U1331" s="213"/>
      <c r="V1331" s="213"/>
      <c r="W1331" s="213"/>
      <c r="X1331" s="591"/>
      <c r="Y1331" s="591"/>
    </row>
    <row r="1332" spans="1:25" ht="14.85" customHeight="1">
      <c r="A1332" s="619"/>
      <c r="B1332" s="586"/>
      <c r="C1332" s="259"/>
      <c r="D1332" s="621"/>
      <c r="E1332" s="157"/>
      <c r="F1332" s="154"/>
      <c r="G1332" s="254"/>
      <c r="H1332" s="154"/>
      <c r="I1332" s="154"/>
      <c r="J1332" s="270"/>
      <c r="K1332" s="311">
        <f t="shared" si="349"/>
        <v>0</v>
      </c>
      <c r="L1332" s="312">
        <f t="shared" si="350"/>
        <v>0</v>
      </c>
      <c r="M1332" s="313">
        <f t="shared" si="351"/>
        <v>0</v>
      </c>
      <c r="N1332" s="320"/>
      <c r="O1332" s="315">
        <f t="shared" si="352"/>
        <v>0</v>
      </c>
      <c r="P1332" s="315">
        <f t="shared" si="353"/>
        <v>0</v>
      </c>
      <c r="Q1332" s="320"/>
      <c r="R1332" s="315">
        <f t="shared" si="354"/>
        <v>0</v>
      </c>
      <c r="S1332" s="315">
        <f t="shared" si="355"/>
        <v>0</v>
      </c>
      <c r="T1332" s="213"/>
      <c r="U1332" s="213"/>
      <c r="V1332" s="213"/>
      <c r="W1332" s="213"/>
      <c r="X1332" s="591"/>
      <c r="Y1332" s="591"/>
    </row>
    <row r="1333" spans="1:25" ht="14.85" customHeight="1">
      <c r="A1333" s="619"/>
      <c r="B1333" s="586"/>
      <c r="C1333" s="259"/>
      <c r="D1333" s="621"/>
      <c r="E1333" s="157"/>
      <c r="F1333" s="154"/>
      <c r="G1333" s="254"/>
      <c r="H1333" s="154"/>
      <c r="I1333" s="154"/>
      <c r="J1333" s="270"/>
      <c r="K1333" s="311">
        <f t="shared" si="349"/>
        <v>0</v>
      </c>
      <c r="L1333" s="312">
        <f t="shared" si="350"/>
        <v>0</v>
      </c>
      <c r="M1333" s="313">
        <f t="shared" si="351"/>
        <v>0</v>
      </c>
      <c r="N1333" s="320"/>
      <c r="O1333" s="315">
        <f t="shared" si="352"/>
        <v>0</v>
      </c>
      <c r="P1333" s="315">
        <f t="shared" si="353"/>
        <v>0</v>
      </c>
      <c r="Q1333" s="320"/>
      <c r="R1333" s="315">
        <f t="shared" si="354"/>
        <v>0</v>
      </c>
      <c r="S1333" s="315">
        <f t="shared" si="355"/>
        <v>0</v>
      </c>
      <c r="T1333" s="213"/>
      <c r="U1333" s="213"/>
      <c r="V1333" s="213"/>
      <c r="W1333" s="213"/>
      <c r="X1333" s="591"/>
      <c r="Y1333" s="591"/>
    </row>
    <row r="1334" spans="1:25" ht="14.85" customHeight="1">
      <c r="A1334" s="619"/>
      <c r="B1334" s="586"/>
      <c r="C1334" s="259"/>
      <c r="D1334" s="621"/>
      <c r="E1334" s="157"/>
      <c r="F1334" s="154"/>
      <c r="G1334" s="254"/>
      <c r="H1334" s="154"/>
      <c r="I1334" s="154"/>
      <c r="J1334" s="270"/>
      <c r="K1334" s="311">
        <f t="shared" si="349"/>
        <v>0</v>
      </c>
      <c r="L1334" s="312">
        <f t="shared" si="350"/>
        <v>0</v>
      </c>
      <c r="M1334" s="313">
        <f t="shared" si="351"/>
        <v>0</v>
      </c>
      <c r="N1334" s="320"/>
      <c r="O1334" s="315">
        <f t="shared" si="352"/>
        <v>0</v>
      </c>
      <c r="P1334" s="315">
        <f t="shared" si="353"/>
        <v>0</v>
      </c>
      <c r="Q1334" s="320"/>
      <c r="R1334" s="315">
        <f t="shared" si="354"/>
        <v>0</v>
      </c>
      <c r="S1334" s="315">
        <f t="shared" si="355"/>
        <v>0</v>
      </c>
      <c r="T1334" s="213"/>
      <c r="U1334" s="213"/>
      <c r="V1334" s="213"/>
      <c r="W1334" s="213"/>
      <c r="X1334" s="591"/>
      <c r="Y1334" s="591"/>
    </row>
    <row r="1335" spans="1:25" ht="14.85" customHeight="1">
      <c r="A1335" s="619"/>
      <c r="B1335" s="586"/>
      <c r="C1335" s="259"/>
      <c r="D1335" s="621"/>
      <c r="E1335" s="157"/>
      <c r="F1335" s="154"/>
      <c r="G1335" s="254"/>
      <c r="H1335" s="154"/>
      <c r="I1335" s="154"/>
      <c r="J1335" s="270"/>
      <c r="K1335" s="311">
        <f t="shared" si="349"/>
        <v>0</v>
      </c>
      <c r="L1335" s="312">
        <f t="shared" si="350"/>
        <v>0</v>
      </c>
      <c r="M1335" s="313">
        <f t="shared" si="351"/>
        <v>0</v>
      </c>
      <c r="N1335" s="320">
        <f>SUM(L1331:L1335)</f>
        <v>0</v>
      </c>
      <c r="O1335" s="315">
        <f t="shared" si="352"/>
        <v>0</v>
      </c>
      <c r="P1335" s="315">
        <f t="shared" si="353"/>
        <v>0</v>
      </c>
      <c r="Q1335" s="320"/>
      <c r="R1335" s="315">
        <f t="shared" si="354"/>
        <v>0</v>
      </c>
      <c r="S1335" s="315">
        <f t="shared" si="355"/>
        <v>0</v>
      </c>
      <c r="T1335" s="213"/>
      <c r="U1335" s="213"/>
      <c r="V1335" s="213"/>
      <c r="W1335" s="213"/>
      <c r="X1335" s="591"/>
      <c r="Y1335" s="591"/>
    </row>
    <row r="1336" spans="1:25" ht="14.85" customHeight="1">
      <c r="A1336" s="619"/>
      <c r="B1336" s="586"/>
      <c r="C1336" s="259"/>
      <c r="D1336" s="621"/>
      <c r="E1336" s="157"/>
      <c r="F1336" s="154"/>
      <c r="G1336" s="254"/>
      <c r="H1336" s="154"/>
      <c r="I1336" s="154"/>
      <c r="J1336" s="270"/>
      <c r="K1336" s="311">
        <f t="shared" si="349"/>
        <v>0</v>
      </c>
      <c r="L1336" s="312">
        <f t="shared" si="350"/>
        <v>0</v>
      </c>
      <c r="M1336" s="313">
        <f t="shared" si="351"/>
        <v>0</v>
      </c>
      <c r="N1336" s="320"/>
      <c r="O1336" s="315">
        <f t="shared" si="352"/>
        <v>0</v>
      </c>
      <c r="P1336" s="315">
        <f t="shared" si="353"/>
        <v>0</v>
      </c>
      <c r="Q1336" s="320"/>
      <c r="R1336" s="315">
        <f t="shared" si="354"/>
        <v>0</v>
      </c>
      <c r="S1336" s="315">
        <f t="shared" si="355"/>
        <v>0</v>
      </c>
      <c r="T1336" s="213"/>
      <c r="U1336" s="213"/>
      <c r="V1336" s="213"/>
      <c r="W1336" s="213"/>
      <c r="X1336" s="591"/>
      <c r="Y1336" s="591"/>
    </row>
    <row r="1337" spans="1:25" ht="14.85" customHeight="1">
      <c r="A1337" s="619"/>
      <c r="B1337" s="586"/>
      <c r="C1337" s="259"/>
      <c r="D1337" s="621"/>
      <c r="E1337" s="157"/>
      <c r="F1337" s="154"/>
      <c r="G1337" s="254"/>
      <c r="H1337" s="154"/>
      <c r="I1337" s="154"/>
      <c r="J1337" s="270"/>
      <c r="K1337" s="311">
        <f t="shared" si="349"/>
        <v>0</v>
      </c>
      <c r="L1337" s="312">
        <f t="shared" si="350"/>
        <v>0</v>
      </c>
      <c r="M1337" s="313">
        <f t="shared" si="351"/>
        <v>0</v>
      </c>
      <c r="N1337" s="320"/>
      <c r="O1337" s="315">
        <f t="shared" si="352"/>
        <v>0</v>
      </c>
      <c r="P1337" s="315">
        <f t="shared" si="353"/>
        <v>0</v>
      </c>
      <c r="Q1337" s="320"/>
      <c r="R1337" s="315">
        <f t="shared" si="354"/>
        <v>0</v>
      </c>
      <c r="S1337" s="315">
        <f t="shared" si="355"/>
        <v>0</v>
      </c>
      <c r="T1337" s="213"/>
      <c r="U1337" s="213"/>
      <c r="V1337" s="213"/>
      <c r="W1337" s="213"/>
      <c r="X1337" s="591"/>
      <c r="Y1337" s="591"/>
    </row>
    <row r="1338" spans="1:25" ht="14.85" customHeight="1">
      <c r="A1338" s="619"/>
      <c r="B1338" s="586"/>
      <c r="C1338" s="259"/>
      <c r="D1338" s="621"/>
      <c r="E1338" s="157"/>
      <c r="F1338" s="154"/>
      <c r="G1338" s="254"/>
      <c r="H1338" s="154"/>
      <c r="I1338" s="154"/>
      <c r="J1338" s="270"/>
      <c r="K1338" s="311">
        <f t="shared" si="349"/>
        <v>0</v>
      </c>
      <c r="L1338" s="312">
        <f t="shared" si="350"/>
        <v>0</v>
      </c>
      <c r="M1338" s="313">
        <f t="shared" si="351"/>
        <v>0</v>
      </c>
      <c r="N1338" s="320"/>
      <c r="O1338" s="315">
        <f t="shared" si="352"/>
        <v>0</v>
      </c>
      <c r="P1338" s="315">
        <f t="shared" si="353"/>
        <v>0</v>
      </c>
      <c r="Q1338" s="320"/>
      <c r="R1338" s="315">
        <f t="shared" si="354"/>
        <v>0</v>
      </c>
      <c r="S1338" s="315">
        <f t="shared" si="355"/>
        <v>0</v>
      </c>
      <c r="T1338" s="213"/>
      <c r="U1338" s="213"/>
      <c r="V1338" s="213"/>
      <c r="W1338" s="213"/>
      <c r="X1338" s="591"/>
      <c r="Y1338" s="591"/>
    </row>
    <row r="1339" spans="1:25" ht="14.85" customHeight="1">
      <c r="A1339" s="619"/>
      <c r="B1339" s="586"/>
      <c r="C1339" s="259"/>
      <c r="D1339" s="621"/>
      <c r="E1339" s="157"/>
      <c r="F1339" s="154"/>
      <c r="G1339" s="254"/>
      <c r="H1339" s="154"/>
      <c r="I1339" s="154"/>
      <c r="J1339" s="270"/>
      <c r="K1339" s="311">
        <f t="shared" si="349"/>
        <v>0</v>
      </c>
      <c r="L1339" s="312">
        <f t="shared" si="350"/>
        <v>0</v>
      </c>
      <c r="M1339" s="313">
        <f t="shared" si="351"/>
        <v>0</v>
      </c>
      <c r="N1339" s="320"/>
      <c r="O1339" s="315">
        <f t="shared" si="352"/>
        <v>0</v>
      </c>
      <c r="P1339" s="315">
        <f t="shared" si="353"/>
        <v>0</v>
      </c>
      <c r="Q1339" s="320"/>
      <c r="R1339" s="315">
        <f t="shared" si="354"/>
        <v>0</v>
      </c>
      <c r="S1339" s="315">
        <f t="shared" si="355"/>
        <v>0</v>
      </c>
      <c r="T1339" s="213"/>
      <c r="U1339" s="213"/>
      <c r="V1339" s="213"/>
      <c r="W1339" s="213"/>
      <c r="X1339" s="591"/>
      <c r="Y1339" s="591"/>
    </row>
    <row r="1340" spans="1:25" ht="14.85" customHeight="1">
      <c r="A1340" s="619"/>
      <c r="B1340" s="586"/>
      <c r="C1340" s="259"/>
      <c r="D1340" s="621"/>
      <c r="E1340" s="157"/>
      <c r="F1340" s="154"/>
      <c r="G1340" s="254"/>
      <c r="H1340" s="154"/>
      <c r="I1340" s="154"/>
      <c r="J1340" s="270"/>
      <c r="K1340" s="311">
        <f t="shared" si="349"/>
        <v>0</v>
      </c>
      <c r="L1340" s="312">
        <f t="shared" si="350"/>
        <v>0</v>
      </c>
      <c r="M1340" s="313">
        <f t="shared" si="351"/>
        <v>0</v>
      </c>
      <c r="N1340" s="320">
        <f>SUM(L1336:L1340)</f>
        <v>0</v>
      </c>
      <c r="O1340" s="315">
        <f t="shared" si="352"/>
        <v>0</v>
      </c>
      <c r="P1340" s="315">
        <f t="shared" si="353"/>
        <v>0</v>
      </c>
      <c r="Q1340" s="320"/>
      <c r="R1340" s="315">
        <f t="shared" si="354"/>
        <v>0</v>
      </c>
      <c r="S1340" s="315">
        <f t="shared" si="355"/>
        <v>0</v>
      </c>
      <c r="T1340" s="213"/>
      <c r="U1340" s="213"/>
      <c r="V1340" s="213"/>
      <c r="W1340" s="213"/>
      <c r="X1340" s="591"/>
      <c r="Y1340" s="591"/>
    </row>
    <row r="1341" spans="1:25" ht="14.85" customHeight="1">
      <c r="A1341" s="619"/>
      <c r="B1341" s="586"/>
      <c r="C1341" s="259"/>
      <c r="D1341" s="621"/>
      <c r="E1341" s="157"/>
      <c r="F1341" s="154"/>
      <c r="G1341" s="254"/>
      <c r="H1341" s="154"/>
      <c r="I1341" s="154"/>
      <c r="J1341" s="270"/>
      <c r="K1341" s="311">
        <f t="shared" si="349"/>
        <v>0</v>
      </c>
      <c r="L1341" s="312">
        <f t="shared" si="350"/>
        <v>0</v>
      </c>
      <c r="M1341" s="313">
        <f t="shared" si="351"/>
        <v>0</v>
      </c>
      <c r="N1341" s="320"/>
      <c r="O1341" s="315">
        <f t="shared" si="352"/>
        <v>0</v>
      </c>
      <c r="P1341" s="315">
        <f t="shared" si="353"/>
        <v>0</v>
      </c>
      <c r="Q1341" s="320"/>
      <c r="R1341" s="315">
        <f t="shared" si="354"/>
        <v>0</v>
      </c>
      <c r="S1341" s="315">
        <f t="shared" si="355"/>
        <v>0</v>
      </c>
      <c r="T1341" s="213"/>
      <c r="U1341" s="213"/>
      <c r="V1341" s="213"/>
      <c r="W1341" s="213"/>
      <c r="X1341" s="591"/>
      <c r="Y1341" s="591"/>
    </row>
    <row r="1342" spans="1:25" ht="14.85" customHeight="1">
      <c r="A1342" s="619"/>
      <c r="B1342" s="586"/>
      <c r="C1342" s="259"/>
      <c r="D1342" s="621"/>
      <c r="E1342" s="157"/>
      <c r="F1342" s="154"/>
      <c r="G1342" s="254"/>
      <c r="H1342" s="154"/>
      <c r="I1342" s="154"/>
      <c r="J1342" s="270"/>
      <c r="K1342" s="311">
        <f t="shared" si="349"/>
        <v>0</v>
      </c>
      <c r="L1342" s="312">
        <f t="shared" si="350"/>
        <v>0</v>
      </c>
      <c r="M1342" s="313">
        <f t="shared" si="351"/>
        <v>0</v>
      </c>
      <c r="N1342" s="320"/>
      <c r="O1342" s="315">
        <f t="shared" si="352"/>
        <v>0</v>
      </c>
      <c r="P1342" s="315">
        <f t="shared" si="353"/>
        <v>0</v>
      </c>
      <c r="Q1342" s="320"/>
      <c r="R1342" s="315">
        <f t="shared" si="354"/>
        <v>0</v>
      </c>
      <c r="S1342" s="315">
        <f t="shared" si="355"/>
        <v>0</v>
      </c>
      <c r="T1342" s="213"/>
      <c r="U1342" s="213"/>
      <c r="V1342" s="213"/>
      <c r="W1342" s="213"/>
      <c r="X1342" s="591"/>
      <c r="Y1342" s="591"/>
    </row>
    <row r="1343" spans="1:25" ht="14.85" customHeight="1">
      <c r="A1343" s="619"/>
      <c r="B1343" s="586"/>
      <c r="C1343" s="259"/>
      <c r="D1343" s="621"/>
      <c r="E1343" s="157"/>
      <c r="F1343" s="154"/>
      <c r="G1343" s="254"/>
      <c r="H1343" s="154"/>
      <c r="I1343" s="154"/>
      <c r="J1343" s="270"/>
      <c r="K1343" s="311">
        <f t="shared" si="349"/>
        <v>0</v>
      </c>
      <c r="L1343" s="312">
        <f t="shared" si="350"/>
        <v>0</v>
      </c>
      <c r="M1343" s="313">
        <f t="shared" si="351"/>
        <v>0</v>
      </c>
      <c r="N1343" s="320">
        <f>SUM(L1341:L1343)</f>
        <v>0</v>
      </c>
      <c r="O1343" s="315">
        <f t="shared" si="352"/>
        <v>0</v>
      </c>
      <c r="P1343" s="315">
        <f t="shared" si="353"/>
        <v>0</v>
      </c>
      <c r="Q1343" s="320">
        <f>N1330+N1335+N1340+N1343</f>
        <v>0</v>
      </c>
      <c r="R1343" s="315">
        <f t="shared" si="354"/>
        <v>0</v>
      </c>
      <c r="S1343" s="315">
        <f t="shared" si="355"/>
        <v>0</v>
      </c>
      <c r="T1343" s="213"/>
      <c r="U1343" s="213"/>
      <c r="V1343" s="213"/>
      <c r="W1343" s="213"/>
      <c r="X1343" s="591"/>
      <c r="Y1343" s="591"/>
    </row>
    <row r="1344" spans="1:25" ht="14.85" customHeight="1">
      <c r="A1344" s="619"/>
      <c r="B1344" s="586"/>
      <c r="C1344" s="259"/>
      <c r="D1344" s="621"/>
      <c r="E1344" s="157"/>
      <c r="F1344" s="154"/>
      <c r="G1344" s="254"/>
      <c r="H1344" s="154"/>
      <c r="I1344" s="154"/>
      <c r="J1344" s="270"/>
      <c r="K1344" s="311">
        <f t="shared" si="349"/>
        <v>0</v>
      </c>
      <c r="L1344" s="312">
        <f t="shared" si="350"/>
        <v>0</v>
      </c>
      <c r="M1344" s="313">
        <f t="shared" si="351"/>
        <v>0</v>
      </c>
      <c r="N1344" s="320"/>
      <c r="O1344" s="315"/>
      <c r="P1344" s="315"/>
      <c r="Q1344" s="320"/>
      <c r="R1344" s="315">
        <f t="shared" si="354"/>
        <v>0</v>
      </c>
      <c r="S1344" s="315">
        <f t="shared" si="355"/>
        <v>0</v>
      </c>
      <c r="T1344" s="213"/>
      <c r="U1344" s="213"/>
      <c r="V1344" s="213"/>
      <c r="W1344" s="213"/>
      <c r="X1344" s="591"/>
      <c r="Y1344" s="591"/>
    </row>
    <row r="1345" spans="1:25" ht="14.85" customHeight="1">
      <c r="A1345" s="619"/>
      <c r="B1345" s="586"/>
      <c r="C1345" s="259"/>
      <c r="D1345" s="621"/>
      <c r="E1345" s="375"/>
      <c r="F1345" s="273"/>
      <c r="G1345" s="232"/>
      <c r="H1345" s="232"/>
      <c r="I1345" s="155"/>
      <c r="J1345" s="270"/>
      <c r="K1345" s="311">
        <f t="shared" si="349"/>
        <v>0</v>
      </c>
      <c r="L1345" s="312">
        <f t="shared" si="350"/>
        <v>0</v>
      </c>
      <c r="M1345" s="313">
        <f t="shared" si="351"/>
        <v>0</v>
      </c>
      <c r="N1345" s="320"/>
      <c r="O1345" s="315">
        <f t="shared" si="352"/>
        <v>0</v>
      </c>
      <c r="P1345" s="315">
        <f t="shared" si="353"/>
        <v>0</v>
      </c>
      <c r="Q1345" s="320"/>
      <c r="R1345" s="315">
        <f t="shared" si="354"/>
        <v>0</v>
      </c>
      <c r="S1345" s="315">
        <f t="shared" si="355"/>
        <v>0</v>
      </c>
      <c r="T1345" s="213"/>
      <c r="U1345" s="213"/>
      <c r="V1345" s="213"/>
      <c r="W1345" s="213"/>
      <c r="X1345" s="591"/>
      <c r="Y1345" s="591"/>
    </row>
    <row r="1346" spans="1:25" ht="14.85" customHeight="1">
      <c r="A1346" s="619"/>
      <c r="B1346" s="586"/>
      <c r="C1346" s="259"/>
      <c r="D1346" s="621"/>
      <c r="E1346" s="376"/>
      <c r="F1346" s="273"/>
      <c r="G1346" s="232"/>
      <c r="H1346" s="232"/>
      <c r="I1346" s="155"/>
      <c r="J1346" s="270"/>
      <c r="K1346" s="311">
        <f t="shared" si="349"/>
        <v>0</v>
      </c>
      <c r="L1346" s="312">
        <f t="shared" si="350"/>
        <v>0</v>
      </c>
      <c r="M1346" s="313">
        <f t="shared" si="351"/>
        <v>0</v>
      </c>
      <c r="N1346" s="320"/>
      <c r="O1346" s="315">
        <f t="shared" si="352"/>
        <v>0</v>
      </c>
      <c r="P1346" s="315">
        <f t="shared" si="353"/>
        <v>0</v>
      </c>
      <c r="Q1346" s="320"/>
      <c r="R1346" s="315">
        <f t="shared" si="354"/>
        <v>0</v>
      </c>
      <c r="S1346" s="315">
        <f t="shared" si="355"/>
        <v>0</v>
      </c>
      <c r="T1346" s="213"/>
      <c r="U1346" s="213"/>
      <c r="V1346" s="213"/>
      <c r="W1346" s="213"/>
      <c r="X1346" s="591"/>
      <c r="Y1346" s="591"/>
    </row>
    <row r="1347" spans="1:25" ht="14.85" customHeight="1">
      <c r="A1347" s="619"/>
      <c r="B1347" s="586"/>
      <c r="C1347" s="259"/>
      <c r="D1347" s="621"/>
      <c r="E1347" s="376"/>
      <c r="F1347" s="273"/>
      <c r="G1347" s="232"/>
      <c r="H1347" s="232"/>
      <c r="I1347" s="155"/>
      <c r="J1347" s="270"/>
      <c r="K1347" s="311">
        <f t="shared" si="349"/>
        <v>0</v>
      </c>
      <c r="L1347" s="312">
        <f t="shared" si="350"/>
        <v>0</v>
      </c>
      <c r="M1347" s="313">
        <f t="shared" si="351"/>
        <v>0</v>
      </c>
      <c r="N1347" s="320"/>
      <c r="O1347" s="315">
        <f t="shared" si="352"/>
        <v>0</v>
      </c>
      <c r="P1347" s="315">
        <f t="shared" si="353"/>
        <v>0</v>
      </c>
      <c r="Q1347" s="320"/>
      <c r="R1347" s="315">
        <f t="shared" si="354"/>
        <v>0</v>
      </c>
      <c r="S1347" s="315">
        <f t="shared" si="355"/>
        <v>0</v>
      </c>
      <c r="T1347" s="213"/>
      <c r="U1347" s="213"/>
      <c r="V1347" s="213"/>
      <c r="W1347" s="213"/>
      <c r="X1347" s="591"/>
      <c r="Y1347" s="591"/>
    </row>
    <row r="1348" spans="1:25" ht="14.85" customHeight="1">
      <c r="A1348" s="619"/>
      <c r="B1348" s="586"/>
      <c r="C1348" s="259"/>
      <c r="D1348" s="621"/>
      <c r="E1348" s="376"/>
      <c r="F1348" s="273"/>
      <c r="G1348" s="232"/>
      <c r="H1348" s="232"/>
      <c r="I1348" s="155"/>
      <c r="J1348" s="270"/>
      <c r="K1348" s="311">
        <f t="shared" si="349"/>
        <v>0</v>
      </c>
      <c r="L1348" s="312">
        <f t="shared" si="350"/>
        <v>0</v>
      </c>
      <c r="M1348" s="313">
        <f t="shared" si="351"/>
        <v>0</v>
      </c>
      <c r="N1348" s="320"/>
      <c r="O1348" s="315">
        <f t="shared" si="352"/>
        <v>0</v>
      </c>
      <c r="P1348" s="315">
        <f t="shared" si="353"/>
        <v>0</v>
      </c>
      <c r="Q1348" s="320"/>
      <c r="R1348" s="315">
        <f t="shared" si="354"/>
        <v>0</v>
      </c>
      <c r="S1348" s="315">
        <f t="shared" si="355"/>
        <v>0</v>
      </c>
      <c r="T1348" s="213"/>
      <c r="U1348" s="213"/>
      <c r="V1348" s="213"/>
      <c r="W1348" s="213"/>
      <c r="X1348" s="591"/>
      <c r="Y1348" s="591"/>
    </row>
    <row r="1349" spans="1:25" ht="14.85" customHeight="1">
      <c r="A1349" s="619"/>
      <c r="B1349" s="586"/>
      <c r="C1349" s="259"/>
      <c r="D1349" s="621"/>
      <c r="E1349" s="376"/>
      <c r="F1349" s="273"/>
      <c r="G1349" s="232"/>
      <c r="H1349" s="232"/>
      <c r="I1349" s="155"/>
      <c r="J1349" s="270"/>
      <c r="K1349" s="311">
        <f t="shared" si="349"/>
        <v>0</v>
      </c>
      <c r="L1349" s="312">
        <f t="shared" si="350"/>
        <v>0</v>
      </c>
      <c r="M1349" s="313">
        <f t="shared" si="351"/>
        <v>0</v>
      </c>
      <c r="N1349" s="320"/>
      <c r="O1349" s="315">
        <f t="shared" si="352"/>
        <v>0</v>
      </c>
      <c r="P1349" s="315">
        <f t="shared" si="353"/>
        <v>0</v>
      </c>
      <c r="Q1349" s="320"/>
      <c r="R1349" s="315">
        <f t="shared" si="354"/>
        <v>0</v>
      </c>
      <c r="S1349" s="315">
        <f t="shared" si="355"/>
        <v>0</v>
      </c>
      <c r="T1349" s="213"/>
      <c r="U1349" s="213"/>
      <c r="V1349" s="213"/>
      <c r="W1349" s="213"/>
      <c r="X1349" s="591"/>
      <c r="Y1349" s="591"/>
    </row>
    <row r="1350" spans="1:25" ht="14.85" customHeight="1">
      <c r="A1350" s="619"/>
      <c r="B1350" s="586"/>
      <c r="C1350" s="259"/>
      <c r="D1350" s="621"/>
      <c r="E1350" s="376"/>
      <c r="F1350" s="273"/>
      <c r="G1350" s="232"/>
      <c r="H1350" s="232"/>
      <c r="I1350" s="155"/>
      <c r="J1350" s="270"/>
      <c r="K1350" s="311">
        <f t="shared" si="349"/>
        <v>0</v>
      </c>
      <c r="L1350" s="312">
        <f t="shared" si="350"/>
        <v>0</v>
      </c>
      <c r="M1350" s="313">
        <f t="shared" si="351"/>
        <v>0</v>
      </c>
      <c r="N1350" s="320">
        <f>SUM(L1345:L1350)</f>
        <v>0</v>
      </c>
      <c r="O1350" s="315">
        <f t="shared" si="352"/>
        <v>0</v>
      </c>
      <c r="P1350" s="315">
        <f t="shared" si="353"/>
        <v>0</v>
      </c>
      <c r="Q1350" s="320"/>
      <c r="R1350" s="315">
        <f t="shared" si="354"/>
        <v>0</v>
      </c>
      <c r="S1350" s="315">
        <f t="shared" si="355"/>
        <v>0</v>
      </c>
      <c r="T1350" s="213"/>
      <c r="U1350" s="213"/>
      <c r="V1350" s="213"/>
      <c r="W1350" s="213"/>
      <c r="X1350" s="591"/>
      <c r="Y1350" s="591"/>
    </row>
    <row r="1351" spans="1:25" ht="14.85" customHeight="1">
      <c r="A1351" s="619"/>
      <c r="B1351" s="586"/>
      <c r="C1351" s="259"/>
      <c r="D1351" s="621"/>
      <c r="E1351" s="371"/>
      <c r="F1351" s="273"/>
      <c r="G1351" s="254"/>
      <c r="H1351" s="154"/>
      <c r="I1351" s="155"/>
      <c r="J1351" s="270"/>
      <c r="K1351" s="311">
        <f t="shared" si="349"/>
        <v>0</v>
      </c>
      <c r="L1351" s="312">
        <f t="shared" si="350"/>
        <v>0</v>
      </c>
      <c r="M1351" s="313">
        <f t="shared" si="351"/>
        <v>0</v>
      </c>
      <c r="N1351" s="320"/>
      <c r="O1351" s="315">
        <f t="shared" si="352"/>
        <v>0</v>
      </c>
      <c r="P1351" s="315">
        <f t="shared" si="353"/>
        <v>0</v>
      </c>
      <c r="Q1351" s="320"/>
      <c r="R1351" s="315">
        <f t="shared" si="354"/>
        <v>0</v>
      </c>
      <c r="S1351" s="315">
        <f t="shared" si="355"/>
        <v>0</v>
      </c>
      <c r="T1351" s="213"/>
      <c r="U1351" s="213"/>
      <c r="V1351" s="213"/>
      <c r="W1351" s="213"/>
      <c r="X1351" s="591"/>
      <c r="Y1351" s="591"/>
    </row>
    <row r="1352" spans="1:25" ht="14.85" customHeight="1">
      <c r="A1352" s="619"/>
      <c r="B1352" s="586"/>
      <c r="C1352" s="259"/>
      <c r="D1352" s="621"/>
      <c r="E1352" s="371"/>
      <c r="F1352" s="273"/>
      <c r="G1352" s="254"/>
      <c r="H1352" s="154"/>
      <c r="I1352" s="155"/>
      <c r="J1352" s="270"/>
      <c r="K1352" s="311">
        <f t="shared" si="349"/>
        <v>0</v>
      </c>
      <c r="L1352" s="312">
        <f t="shared" si="350"/>
        <v>0</v>
      </c>
      <c r="M1352" s="313">
        <f t="shared" si="351"/>
        <v>0</v>
      </c>
      <c r="N1352" s="320"/>
      <c r="O1352" s="315">
        <f t="shared" si="352"/>
        <v>0</v>
      </c>
      <c r="P1352" s="315">
        <f t="shared" si="353"/>
        <v>0</v>
      </c>
      <c r="Q1352" s="320"/>
      <c r="R1352" s="315">
        <f t="shared" si="354"/>
        <v>0</v>
      </c>
      <c r="S1352" s="315">
        <f t="shared" si="355"/>
        <v>0</v>
      </c>
      <c r="T1352" s="213"/>
      <c r="U1352" s="213"/>
      <c r="V1352" s="213"/>
      <c r="W1352" s="213"/>
      <c r="X1352" s="591"/>
      <c r="Y1352" s="591"/>
    </row>
    <row r="1353" spans="1:25" ht="14.85" customHeight="1">
      <c r="A1353" s="619"/>
      <c r="B1353" s="586"/>
      <c r="C1353" s="259"/>
      <c r="D1353" s="621"/>
      <c r="E1353" s="371"/>
      <c r="F1353" s="273"/>
      <c r="G1353" s="254"/>
      <c r="H1353" s="154"/>
      <c r="I1353" s="155"/>
      <c r="J1353" s="270"/>
      <c r="K1353" s="311">
        <f t="shared" si="349"/>
        <v>0</v>
      </c>
      <c r="L1353" s="312">
        <f t="shared" si="350"/>
        <v>0</v>
      </c>
      <c r="M1353" s="313">
        <f t="shared" si="351"/>
        <v>0</v>
      </c>
      <c r="N1353" s="320"/>
      <c r="O1353" s="315">
        <f t="shared" si="352"/>
        <v>0</v>
      </c>
      <c r="P1353" s="315">
        <f t="shared" si="353"/>
        <v>0</v>
      </c>
      <c r="Q1353" s="320"/>
      <c r="R1353" s="315">
        <f t="shared" si="354"/>
        <v>0</v>
      </c>
      <c r="S1353" s="315">
        <f t="shared" si="355"/>
        <v>0</v>
      </c>
      <c r="T1353" s="213"/>
      <c r="U1353" s="213"/>
      <c r="V1353" s="213"/>
      <c r="W1353" s="213"/>
      <c r="X1353" s="591"/>
      <c r="Y1353" s="591"/>
    </row>
    <row r="1354" spans="1:25" ht="14.85" customHeight="1">
      <c r="A1354" s="619"/>
      <c r="B1354" s="586"/>
      <c r="C1354" s="259"/>
      <c r="D1354" s="621"/>
      <c r="E1354" s="371"/>
      <c r="F1354" s="273"/>
      <c r="G1354" s="254"/>
      <c r="H1354" s="154"/>
      <c r="I1354" s="155"/>
      <c r="J1354" s="270"/>
      <c r="K1354" s="311">
        <f t="shared" si="349"/>
        <v>0</v>
      </c>
      <c r="L1354" s="312">
        <f t="shared" si="350"/>
        <v>0</v>
      </c>
      <c r="M1354" s="313">
        <f t="shared" si="351"/>
        <v>0</v>
      </c>
      <c r="N1354" s="320"/>
      <c r="O1354" s="315">
        <f t="shared" si="352"/>
        <v>0</v>
      </c>
      <c r="P1354" s="315">
        <f t="shared" si="353"/>
        <v>0</v>
      </c>
      <c r="Q1354" s="320"/>
      <c r="R1354" s="315">
        <f t="shared" si="354"/>
        <v>0</v>
      </c>
      <c r="S1354" s="315">
        <f t="shared" si="355"/>
        <v>0</v>
      </c>
      <c r="T1354" s="213"/>
      <c r="U1354" s="213"/>
      <c r="V1354" s="213"/>
      <c r="W1354" s="213"/>
      <c r="X1354" s="591"/>
      <c r="Y1354" s="591"/>
    </row>
    <row r="1355" spans="1:25" ht="14.85" customHeight="1">
      <c r="A1355" s="619"/>
      <c r="B1355" s="586"/>
      <c r="C1355" s="259"/>
      <c r="D1355" s="621"/>
      <c r="E1355" s="371"/>
      <c r="F1355" s="273"/>
      <c r="G1355" s="254"/>
      <c r="H1355" s="154"/>
      <c r="I1355" s="155"/>
      <c r="J1355" s="270"/>
      <c r="K1355" s="311">
        <f t="shared" si="349"/>
        <v>0</v>
      </c>
      <c r="L1355" s="312">
        <f t="shared" si="350"/>
        <v>0</v>
      </c>
      <c r="M1355" s="313">
        <f t="shared" si="351"/>
        <v>0</v>
      </c>
      <c r="N1355" s="320">
        <f>SUM(L1350:L1355)</f>
        <v>0</v>
      </c>
      <c r="O1355" s="315">
        <f t="shared" si="352"/>
        <v>0</v>
      </c>
      <c r="P1355" s="315">
        <f t="shared" si="353"/>
        <v>0</v>
      </c>
      <c r="Q1355" s="320">
        <f>N1350+N1355</f>
        <v>0</v>
      </c>
      <c r="R1355" s="315">
        <f t="shared" si="354"/>
        <v>0</v>
      </c>
      <c r="S1355" s="315">
        <f t="shared" si="355"/>
        <v>0</v>
      </c>
      <c r="T1355" s="213"/>
      <c r="U1355" s="213"/>
      <c r="V1355" s="213"/>
      <c r="W1355" s="213"/>
      <c r="X1355" s="591"/>
      <c r="Y1355" s="591"/>
    </row>
    <row r="1356" spans="1:25" ht="14.85" customHeight="1">
      <c r="A1356" s="619"/>
      <c r="B1356" s="586"/>
      <c r="C1356" s="259"/>
      <c r="D1356" s="621"/>
      <c r="E1356" s="371"/>
      <c r="F1356" s="273"/>
      <c r="G1356" s="254"/>
      <c r="H1356" s="154"/>
      <c r="I1356" s="155"/>
      <c r="J1356" s="270"/>
      <c r="K1356" s="311"/>
      <c r="L1356" s="312"/>
      <c r="M1356" s="313"/>
      <c r="N1356" s="320"/>
      <c r="O1356" s="315"/>
      <c r="P1356" s="315"/>
      <c r="Q1356" s="320"/>
      <c r="R1356" s="315">
        <f t="shared" si="354"/>
        <v>0</v>
      </c>
      <c r="S1356" s="315">
        <f t="shared" si="355"/>
        <v>0</v>
      </c>
      <c r="T1356" s="213"/>
      <c r="U1356" s="213"/>
      <c r="V1356" s="213"/>
      <c r="W1356" s="213"/>
      <c r="X1356" s="591"/>
      <c r="Y1356" s="591"/>
    </row>
    <row r="1357" spans="1:25" ht="14.85" customHeight="1">
      <c r="A1357" s="619"/>
      <c r="B1357" s="586"/>
      <c r="C1357" s="259"/>
      <c r="D1357" s="621"/>
      <c r="E1357" s="375"/>
      <c r="F1357" s="273"/>
      <c r="G1357" s="232"/>
      <c r="H1357" s="232"/>
      <c r="I1357" s="155"/>
      <c r="J1357" s="270"/>
      <c r="K1357" s="311">
        <f t="shared" si="349"/>
        <v>0</v>
      </c>
      <c r="L1357" s="312">
        <f t="shared" si="350"/>
        <v>0</v>
      </c>
      <c r="M1357" s="313">
        <f t="shared" si="351"/>
        <v>0</v>
      </c>
      <c r="N1357" s="320"/>
      <c r="O1357" s="315">
        <f t="shared" si="352"/>
        <v>0</v>
      </c>
      <c r="P1357" s="315">
        <f t="shared" si="353"/>
        <v>0</v>
      </c>
      <c r="Q1357" s="320"/>
      <c r="R1357" s="315">
        <f t="shared" si="354"/>
        <v>0</v>
      </c>
      <c r="S1357" s="315">
        <f t="shared" si="355"/>
        <v>0</v>
      </c>
      <c r="T1357" s="213"/>
      <c r="U1357" s="213"/>
      <c r="V1357" s="213"/>
      <c r="W1357" s="213"/>
      <c r="X1357" s="591"/>
      <c r="Y1357" s="591"/>
    </row>
    <row r="1358" spans="1:25" ht="14.85" customHeight="1">
      <c r="A1358" s="619"/>
      <c r="B1358" s="586"/>
      <c r="C1358" s="259"/>
      <c r="D1358" s="621"/>
      <c r="E1358" s="376"/>
      <c r="F1358" s="273"/>
      <c r="G1358" s="232"/>
      <c r="H1358" s="232"/>
      <c r="I1358" s="155"/>
      <c r="J1358" s="270"/>
      <c r="K1358" s="311">
        <f t="shared" si="349"/>
        <v>0</v>
      </c>
      <c r="L1358" s="312">
        <f t="shared" si="350"/>
        <v>0</v>
      </c>
      <c r="M1358" s="313">
        <f t="shared" si="351"/>
        <v>0</v>
      </c>
      <c r="N1358" s="320"/>
      <c r="O1358" s="315">
        <f t="shared" si="352"/>
        <v>0</v>
      </c>
      <c r="P1358" s="315">
        <f t="shared" si="353"/>
        <v>0</v>
      </c>
      <c r="Q1358" s="320"/>
      <c r="R1358" s="315">
        <f t="shared" si="354"/>
        <v>0</v>
      </c>
      <c r="S1358" s="315">
        <f t="shared" si="355"/>
        <v>0</v>
      </c>
      <c r="T1358" s="213"/>
      <c r="U1358" s="213"/>
      <c r="V1358" s="213"/>
      <c r="W1358" s="213"/>
      <c r="X1358" s="591"/>
      <c r="Y1358" s="591"/>
    </row>
    <row r="1359" spans="1:25" ht="14.85" customHeight="1">
      <c r="A1359" s="619"/>
      <c r="B1359" s="586"/>
      <c r="C1359" s="259"/>
      <c r="D1359" s="621"/>
      <c r="E1359" s="376"/>
      <c r="F1359" s="273"/>
      <c r="G1359" s="232"/>
      <c r="H1359" s="232"/>
      <c r="I1359" s="155"/>
      <c r="J1359" s="270"/>
      <c r="K1359" s="311">
        <f t="shared" si="349"/>
        <v>0</v>
      </c>
      <c r="L1359" s="312">
        <f t="shared" si="350"/>
        <v>0</v>
      </c>
      <c r="M1359" s="313">
        <f t="shared" si="351"/>
        <v>0</v>
      </c>
      <c r="N1359" s="320"/>
      <c r="O1359" s="315">
        <f t="shared" si="352"/>
        <v>0</v>
      </c>
      <c r="P1359" s="315">
        <f t="shared" si="353"/>
        <v>0</v>
      </c>
      <c r="Q1359" s="320"/>
      <c r="R1359" s="315">
        <f t="shared" si="354"/>
        <v>0</v>
      </c>
      <c r="S1359" s="315">
        <f t="shared" si="355"/>
        <v>0</v>
      </c>
      <c r="T1359" s="213"/>
      <c r="U1359" s="213"/>
      <c r="V1359" s="213"/>
      <c r="W1359" s="213"/>
      <c r="X1359" s="591"/>
      <c r="Y1359" s="591"/>
    </row>
    <row r="1360" spans="1:25" ht="14.85" customHeight="1">
      <c r="A1360" s="619"/>
      <c r="B1360" s="586"/>
      <c r="C1360" s="259"/>
      <c r="D1360" s="621"/>
      <c r="E1360" s="376"/>
      <c r="F1360" s="273"/>
      <c r="G1360" s="232"/>
      <c r="H1360" s="232"/>
      <c r="I1360" s="155"/>
      <c r="J1360" s="270"/>
      <c r="K1360" s="311">
        <f t="shared" ref="K1360:K1369" si="356">J1360/$K$11</f>
        <v>0</v>
      </c>
      <c r="L1360" s="312">
        <f t="shared" ref="L1360:L1369" si="357">J1360/$L$11</f>
        <v>0</v>
      </c>
      <c r="M1360" s="313">
        <f t="shared" ref="M1360:M1369" si="358">ROUND((L1360/$M$11),0)</f>
        <v>0</v>
      </c>
      <c r="N1360" s="320">
        <f>SUM(L1357:L1360)</f>
        <v>0</v>
      </c>
      <c r="O1360" s="315">
        <f t="shared" si="352"/>
        <v>0</v>
      </c>
      <c r="P1360" s="315">
        <f t="shared" si="353"/>
        <v>0</v>
      </c>
      <c r="Q1360" s="320"/>
      <c r="R1360" s="315">
        <f t="shared" si="354"/>
        <v>0</v>
      </c>
      <c r="S1360" s="315">
        <f t="shared" si="355"/>
        <v>0</v>
      </c>
      <c r="T1360" s="213"/>
      <c r="U1360" s="213"/>
      <c r="V1360" s="213"/>
      <c r="W1360" s="213"/>
      <c r="X1360" s="591"/>
      <c r="Y1360" s="591"/>
    </row>
    <row r="1361" spans="1:25" ht="14.85" customHeight="1">
      <c r="A1361" s="619"/>
      <c r="B1361" s="586"/>
      <c r="C1361" s="259"/>
      <c r="D1361" s="621"/>
      <c r="E1361" s="371"/>
      <c r="F1361" s="273"/>
      <c r="G1361" s="254"/>
      <c r="H1361" s="154"/>
      <c r="I1361" s="155"/>
      <c r="J1361" s="270"/>
      <c r="K1361" s="311">
        <f t="shared" si="356"/>
        <v>0</v>
      </c>
      <c r="L1361" s="312">
        <f t="shared" si="357"/>
        <v>0</v>
      </c>
      <c r="M1361" s="313">
        <f t="shared" si="358"/>
        <v>0</v>
      </c>
      <c r="N1361" s="320"/>
      <c r="O1361" s="315">
        <f t="shared" si="352"/>
        <v>0</v>
      </c>
      <c r="P1361" s="315">
        <f t="shared" si="353"/>
        <v>0</v>
      </c>
      <c r="Q1361" s="320"/>
      <c r="R1361" s="315">
        <f t="shared" si="354"/>
        <v>0</v>
      </c>
      <c r="S1361" s="315">
        <f t="shared" si="355"/>
        <v>0</v>
      </c>
      <c r="T1361" s="213"/>
      <c r="U1361" s="213"/>
      <c r="V1361" s="213"/>
      <c r="W1361" s="213"/>
      <c r="X1361" s="591"/>
      <c r="Y1361" s="591"/>
    </row>
    <row r="1362" spans="1:25" ht="14.85" customHeight="1">
      <c r="A1362" s="619"/>
      <c r="B1362" s="586"/>
      <c r="C1362" s="259"/>
      <c r="D1362" s="621"/>
      <c r="E1362" s="371"/>
      <c r="F1362" s="273"/>
      <c r="G1362" s="254"/>
      <c r="H1362" s="154"/>
      <c r="I1362" s="155"/>
      <c r="J1362" s="270"/>
      <c r="K1362" s="311">
        <f t="shared" si="356"/>
        <v>0</v>
      </c>
      <c r="L1362" s="312">
        <f t="shared" si="357"/>
        <v>0</v>
      </c>
      <c r="M1362" s="313">
        <f t="shared" si="358"/>
        <v>0</v>
      </c>
      <c r="N1362" s="320"/>
      <c r="O1362" s="315">
        <f t="shared" si="352"/>
        <v>0</v>
      </c>
      <c r="P1362" s="315">
        <f t="shared" si="353"/>
        <v>0</v>
      </c>
      <c r="Q1362" s="320"/>
      <c r="R1362" s="315">
        <f t="shared" si="326"/>
        <v>0</v>
      </c>
      <c r="S1362" s="315">
        <f t="shared" si="327"/>
        <v>0</v>
      </c>
      <c r="T1362" s="213"/>
      <c r="U1362" s="213"/>
      <c r="V1362" s="213"/>
      <c r="W1362" s="213"/>
      <c r="X1362" s="591"/>
      <c r="Y1362" s="591"/>
    </row>
    <row r="1363" spans="1:25" ht="14.85" customHeight="1">
      <c r="A1363" s="619"/>
      <c r="B1363" s="586"/>
      <c r="C1363" s="259"/>
      <c r="D1363" s="621"/>
      <c r="E1363" s="371"/>
      <c r="F1363" s="273"/>
      <c r="G1363" s="254"/>
      <c r="H1363" s="154"/>
      <c r="I1363" s="155"/>
      <c r="J1363" s="270"/>
      <c r="K1363" s="311">
        <f t="shared" si="356"/>
        <v>0</v>
      </c>
      <c r="L1363" s="312">
        <f t="shared" si="357"/>
        <v>0</v>
      </c>
      <c r="M1363" s="313">
        <f t="shared" si="358"/>
        <v>0</v>
      </c>
      <c r="N1363" s="320"/>
      <c r="O1363" s="315">
        <f t="shared" si="352"/>
        <v>0</v>
      </c>
      <c r="P1363" s="315">
        <f t="shared" si="353"/>
        <v>0</v>
      </c>
      <c r="Q1363" s="320"/>
      <c r="R1363" s="315">
        <f t="shared" si="326"/>
        <v>0</v>
      </c>
      <c r="S1363" s="315">
        <f t="shared" si="327"/>
        <v>0</v>
      </c>
      <c r="T1363" s="213"/>
      <c r="U1363" s="213"/>
      <c r="V1363" s="213"/>
      <c r="W1363" s="213"/>
      <c r="X1363" s="591"/>
      <c r="Y1363" s="591"/>
    </row>
    <row r="1364" spans="1:25" ht="14.85" customHeight="1">
      <c r="A1364" s="619"/>
      <c r="B1364" s="586"/>
      <c r="C1364" s="259"/>
      <c r="D1364" s="621"/>
      <c r="E1364" s="371"/>
      <c r="F1364" s="273"/>
      <c r="G1364" s="254"/>
      <c r="H1364" s="154"/>
      <c r="I1364" s="155"/>
      <c r="J1364" s="270"/>
      <c r="K1364" s="311">
        <f t="shared" si="356"/>
        <v>0</v>
      </c>
      <c r="L1364" s="312">
        <f t="shared" si="357"/>
        <v>0</v>
      </c>
      <c r="M1364" s="313">
        <f t="shared" si="358"/>
        <v>0</v>
      </c>
      <c r="N1364" s="320"/>
      <c r="O1364" s="315">
        <f t="shared" ref="O1364:O1369" si="359">ROUNDDOWN((N1364/$O$11),0)</f>
        <v>0</v>
      </c>
      <c r="P1364" s="315">
        <f t="shared" ref="P1364:P1369" si="360">ROUND((N1364-(O1364*$P$11)),0)</f>
        <v>0</v>
      </c>
      <c r="Q1364" s="320"/>
      <c r="R1364" s="315">
        <f t="shared" si="326"/>
        <v>0</v>
      </c>
      <c r="S1364" s="315">
        <f t="shared" si="327"/>
        <v>0</v>
      </c>
      <c r="T1364" s="213"/>
      <c r="U1364" s="213"/>
      <c r="V1364" s="213"/>
      <c r="W1364" s="213"/>
      <c r="X1364" s="591"/>
      <c r="Y1364" s="591"/>
    </row>
    <row r="1365" spans="1:25" ht="14.85" customHeight="1">
      <c r="A1365" s="619"/>
      <c r="B1365" s="586"/>
      <c r="C1365" s="259"/>
      <c r="D1365" s="621"/>
      <c r="E1365" s="371"/>
      <c r="F1365" s="273"/>
      <c r="G1365" s="254"/>
      <c r="H1365" s="154"/>
      <c r="I1365" s="155"/>
      <c r="J1365" s="270"/>
      <c r="K1365" s="311">
        <f t="shared" si="356"/>
        <v>0</v>
      </c>
      <c r="L1365" s="312">
        <f t="shared" si="357"/>
        <v>0</v>
      </c>
      <c r="M1365" s="313">
        <f t="shared" si="358"/>
        <v>0</v>
      </c>
      <c r="N1365" s="320">
        <f>SUM(L1361:L1365)</f>
        <v>0</v>
      </c>
      <c r="O1365" s="315">
        <f t="shared" si="359"/>
        <v>0</v>
      </c>
      <c r="P1365" s="315">
        <f t="shared" si="360"/>
        <v>0</v>
      </c>
      <c r="Q1365" s="320"/>
      <c r="R1365" s="315">
        <f t="shared" si="326"/>
        <v>0</v>
      </c>
      <c r="S1365" s="315">
        <f t="shared" si="327"/>
        <v>0</v>
      </c>
      <c r="T1365" s="213"/>
      <c r="U1365" s="213"/>
      <c r="V1365" s="213"/>
      <c r="W1365" s="213"/>
      <c r="X1365" s="591"/>
      <c r="Y1365" s="591"/>
    </row>
    <row r="1366" spans="1:25" ht="14.85" customHeight="1">
      <c r="A1366" s="619"/>
      <c r="B1366" s="586"/>
      <c r="C1366" s="259"/>
      <c r="D1366" s="621"/>
      <c r="E1366" s="371"/>
      <c r="F1366" s="273"/>
      <c r="G1366" s="254"/>
      <c r="H1366" s="154"/>
      <c r="I1366" s="155"/>
      <c r="J1366" s="270"/>
      <c r="K1366" s="311">
        <f t="shared" si="356"/>
        <v>0</v>
      </c>
      <c r="L1366" s="312">
        <f t="shared" si="357"/>
        <v>0</v>
      </c>
      <c r="M1366" s="313">
        <f t="shared" si="358"/>
        <v>0</v>
      </c>
      <c r="N1366" s="320"/>
      <c r="O1366" s="315">
        <f t="shared" si="359"/>
        <v>0</v>
      </c>
      <c r="P1366" s="315">
        <f t="shared" si="360"/>
        <v>0</v>
      </c>
      <c r="Q1366" s="320"/>
      <c r="R1366" s="315">
        <f t="shared" si="326"/>
        <v>0</v>
      </c>
      <c r="S1366" s="315">
        <f t="shared" si="327"/>
        <v>0</v>
      </c>
      <c r="T1366" s="213"/>
      <c r="U1366" s="213"/>
      <c r="V1366" s="213"/>
      <c r="W1366" s="213"/>
      <c r="X1366" s="591"/>
      <c r="Y1366" s="591"/>
    </row>
    <row r="1367" spans="1:25" ht="14.85" customHeight="1">
      <c r="A1367" s="619"/>
      <c r="B1367" s="586"/>
      <c r="C1367" s="259"/>
      <c r="D1367" s="621"/>
      <c r="E1367" s="371"/>
      <c r="F1367" s="273"/>
      <c r="G1367" s="254"/>
      <c r="H1367" s="154"/>
      <c r="I1367" s="155"/>
      <c r="J1367" s="279"/>
      <c r="K1367" s="311">
        <f t="shared" si="356"/>
        <v>0</v>
      </c>
      <c r="L1367" s="312">
        <f t="shared" si="357"/>
        <v>0</v>
      </c>
      <c r="M1367" s="313">
        <f t="shared" si="358"/>
        <v>0</v>
      </c>
      <c r="N1367" s="320"/>
      <c r="O1367" s="315">
        <f t="shared" si="359"/>
        <v>0</v>
      </c>
      <c r="P1367" s="315">
        <f t="shared" si="360"/>
        <v>0</v>
      </c>
      <c r="Q1367" s="320"/>
      <c r="R1367" s="315">
        <f t="shared" si="326"/>
        <v>0</v>
      </c>
      <c r="S1367" s="315">
        <f t="shared" si="327"/>
        <v>0</v>
      </c>
      <c r="T1367" s="213"/>
      <c r="U1367" s="213"/>
      <c r="V1367" s="213"/>
      <c r="W1367" s="213"/>
      <c r="X1367" s="591"/>
      <c r="Y1367" s="591"/>
    </row>
    <row r="1368" spans="1:25" ht="14.85" customHeight="1">
      <c r="A1368" s="619"/>
      <c r="B1368" s="586"/>
      <c r="C1368" s="259"/>
      <c r="D1368" s="621"/>
      <c r="E1368" s="156"/>
      <c r="F1368" s="254"/>
      <c r="G1368" s="254"/>
      <c r="H1368" s="154"/>
      <c r="I1368" s="155"/>
      <c r="J1368" s="279"/>
      <c r="K1368" s="311">
        <f t="shared" si="356"/>
        <v>0</v>
      </c>
      <c r="L1368" s="312">
        <f t="shared" si="357"/>
        <v>0</v>
      </c>
      <c r="M1368" s="313">
        <f t="shared" si="358"/>
        <v>0</v>
      </c>
      <c r="N1368" s="320"/>
      <c r="O1368" s="315">
        <f t="shared" si="359"/>
        <v>0</v>
      </c>
      <c r="P1368" s="315">
        <f t="shared" si="360"/>
        <v>0</v>
      </c>
      <c r="Q1368" s="320"/>
      <c r="R1368" s="315">
        <f t="shared" si="326"/>
        <v>0</v>
      </c>
      <c r="S1368" s="315">
        <f t="shared" si="327"/>
        <v>0</v>
      </c>
      <c r="T1368" s="213"/>
      <c r="U1368" s="213"/>
      <c r="V1368" s="213"/>
      <c r="W1368" s="213"/>
      <c r="X1368" s="591"/>
      <c r="Y1368" s="591"/>
    </row>
    <row r="1369" spans="1:25" ht="14.85" customHeight="1">
      <c r="A1369" s="619"/>
      <c r="B1369" s="586"/>
      <c r="C1369" s="259"/>
      <c r="D1369" s="621"/>
      <c r="E1369" s="156"/>
      <c r="F1369" s="254"/>
      <c r="G1369" s="254"/>
      <c r="H1369" s="154"/>
      <c r="I1369" s="155"/>
      <c r="J1369" s="279"/>
      <c r="K1369" s="311">
        <f t="shared" si="356"/>
        <v>0</v>
      </c>
      <c r="L1369" s="312">
        <f t="shared" si="357"/>
        <v>0</v>
      </c>
      <c r="M1369" s="313">
        <f t="shared" si="358"/>
        <v>0</v>
      </c>
      <c r="N1369" s="320">
        <f>SUM(L1365:L1369)</f>
        <v>0</v>
      </c>
      <c r="O1369" s="315">
        <f t="shared" si="359"/>
        <v>0</v>
      </c>
      <c r="P1369" s="315">
        <f t="shared" si="360"/>
        <v>0</v>
      </c>
      <c r="Q1369" s="320">
        <f>N1360+N1365+N1369</f>
        <v>0</v>
      </c>
      <c r="R1369" s="315">
        <f t="shared" si="326"/>
        <v>0</v>
      </c>
      <c r="S1369" s="315">
        <f t="shared" si="327"/>
        <v>0</v>
      </c>
      <c r="T1369" s="213"/>
      <c r="U1369" s="213"/>
      <c r="V1369" s="213"/>
      <c r="W1369" s="213"/>
      <c r="X1369" s="591"/>
      <c r="Y1369" s="591"/>
    </row>
    <row r="1370" spans="1:25" s="287" customFormat="1">
      <c r="A1370" s="211" t="s">
        <v>129</v>
      </c>
      <c r="B1370" s="211">
        <f>COUNTA(B1294:B1369)</f>
        <v>0</v>
      </c>
      <c r="C1370" s="211">
        <f t="shared" ref="C1370:E1370" si="361">COUNTA(C1294:C1369)</f>
        <v>0</v>
      </c>
      <c r="D1370" s="211">
        <f t="shared" si="361"/>
        <v>0</v>
      </c>
      <c r="E1370" s="211">
        <f t="shared" si="361"/>
        <v>0</v>
      </c>
      <c r="F1370" s="211">
        <f>COUNTA(F1294:F1369)</f>
        <v>0</v>
      </c>
      <c r="G1370" s="211">
        <f>COUNTA(G1294:G1369)</f>
        <v>0</v>
      </c>
      <c r="H1370" s="211"/>
      <c r="I1370" s="211">
        <f t="shared" ref="I1370" si="362">COUNTA(I1294:I1369)</f>
        <v>0</v>
      </c>
      <c r="J1370" s="280">
        <f>SUM(J1294:J1369)</f>
        <v>0</v>
      </c>
      <c r="K1370" s="161">
        <f>SUM(K1308:K1369)</f>
        <v>0</v>
      </c>
      <c r="L1370" s="161">
        <f>SUM(L1308:L1369)</f>
        <v>0</v>
      </c>
      <c r="M1370" s="161">
        <f>SUM(M1308:M1369)</f>
        <v>0</v>
      </c>
      <c r="N1370" s="161">
        <f>SUM(N1308:N1369)</f>
        <v>0</v>
      </c>
      <c r="O1370" s="161">
        <f t="shared" ref="O1370" si="363">ROUNDDOWN((N1370/$O$11),0)</f>
        <v>0</v>
      </c>
      <c r="P1370" s="161">
        <f t="shared" ref="P1370" si="364">ROUND((N1370-(O1370*$P$11)),0)</f>
        <v>0</v>
      </c>
      <c r="Q1370" s="161">
        <f>SUM(Q1308:Q1369)</f>
        <v>0</v>
      </c>
      <c r="R1370" s="161">
        <f t="shared" ref="R1370" si="365">ROUNDDOWN((Q1370/$O$11),0)</f>
        <v>0</v>
      </c>
      <c r="S1370" s="161">
        <f t="shared" ref="S1370" si="366">ROUND((Q1370-(R1370*$P$11)),0)</f>
        <v>0</v>
      </c>
      <c r="T1370" s="211"/>
      <c r="U1370" s="211"/>
      <c r="V1370" s="211"/>
      <c r="W1370" s="211"/>
      <c r="X1370" s="161" t="str">
        <f>IF(X1294&lt;1.4,"1",IF(X1294&lt;=2.3,"2",IF(X1294&gt;2.3, ROUND(X1294,0))))</f>
        <v>1</v>
      </c>
      <c r="Y1370" s="161">
        <f>$Y$11*F1370</f>
        <v>0</v>
      </c>
    </row>
    <row r="1371" spans="1:25" s="287" customFormat="1">
      <c r="A1371" s="330" t="s">
        <v>130</v>
      </c>
      <c r="B1371" s="331">
        <f t="shared" ref="B1371:N1371" si="367">SUM(B83+B133+B177+B258+B326+B395+B427+B522+B594+B698+B800+B952+B1038+B1073+B1118+B1293+B1370)</f>
        <v>0</v>
      </c>
      <c r="C1371" s="331">
        <f t="shared" si="367"/>
        <v>0</v>
      </c>
      <c r="D1371" s="331">
        <f t="shared" si="367"/>
        <v>0</v>
      </c>
      <c r="E1371" s="331">
        <f t="shared" si="367"/>
        <v>2</v>
      </c>
      <c r="F1371" s="331">
        <f t="shared" si="367"/>
        <v>0</v>
      </c>
      <c r="G1371" s="332">
        <f t="shared" si="367"/>
        <v>0</v>
      </c>
      <c r="H1371" s="331">
        <f t="shared" si="367"/>
        <v>0</v>
      </c>
      <c r="I1371" s="331">
        <f t="shared" si="367"/>
        <v>1</v>
      </c>
      <c r="J1371" s="332">
        <f t="shared" si="367"/>
        <v>0</v>
      </c>
      <c r="K1371" s="331">
        <f t="shared" si="367"/>
        <v>0</v>
      </c>
      <c r="L1371" s="331">
        <f t="shared" si="367"/>
        <v>0</v>
      </c>
      <c r="M1371" s="331">
        <f t="shared" si="367"/>
        <v>0</v>
      </c>
      <c r="N1371" s="331">
        <f t="shared" si="367"/>
        <v>0</v>
      </c>
      <c r="O1371" s="333">
        <f t="shared" ref="O1371" si="368">ROUNDDOWN((N1371/$O$11),0)</f>
        <v>0</v>
      </c>
      <c r="P1371" s="333">
        <f t="shared" ref="P1371" si="369">ROUND((N1371-(O1371*$P$11)),0)</f>
        <v>0</v>
      </c>
      <c r="Q1371" s="331">
        <f>SUM(Q83+Q133+Q177+Q258+Q326+Q395+Q427+Q522+Q594+Q698+Q800+Q952+Q1038+Q1073+Q1118+Q1293+Q1370)</f>
        <v>0</v>
      </c>
      <c r="R1371" s="333">
        <f t="shared" ref="R1371" si="370">ROUNDDOWN((Q1371/$O$11),0)</f>
        <v>0</v>
      </c>
      <c r="S1371" s="333">
        <f t="shared" ref="S1371" si="371">ROUND((Q1371-(R1371*$P$11)),0)</f>
        <v>0</v>
      </c>
      <c r="T1371" s="330"/>
      <c r="U1371" s="330"/>
      <c r="V1371" s="330"/>
      <c r="W1371" s="330"/>
      <c r="X1371" s="331">
        <f>SUM(X83+X133+X177+X258+X326+X395+X427+X522+X594+X698+X800+X952+X1038+X1073+X1118+X1293+X1370)</f>
        <v>17</v>
      </c>
      <c r="Y1371" s="331">
        <f>SUM(Y83+Y133+Y177+Y258+Y326+Y395+Y427+Y522+Y594+Y698+Y800+Y952+Y1038+Y1073+Y1118+Y1293+Y1370)</f>
        <v>0</v>
      </c>
    </row>
  </sheetData>
  <sheetProtection insertRows="0"/>
  <mergeCells count="202">
    <mergeCell ref="F233:F235"/>
    <mergeCell ref="F178:F181"/>
    <mergeCell ref="F223:F224"/>
    <mergeCell ref="F220:F221"/>
    <mergeCell ref="F217:F219"/>
    <mergeCell ref="F213:F214"/>
    <mergeCell ref="F210:F212"/>
    <mergeCell ref="F206:F209"/>
    <mergeCell ref="F202:F204"/>
    <mergeCell ref="F200:F201"/>
    <mergeCell ref="F196:F198"/>
    <mergeCell ref="F192:F193"/>
    <mergeCell ref="F189:F191"/>
    <mergeCell ref="A1294:A1369"/>
    <mergeCell ref="B1294:B1369"/>
    <mergeCell ref="D1294:D1369"/>
    <mergeCell ref="X1294:X1369"/>
    <mergeCell ref="Y1294:Y1369"/>
    <mergeCell ref="F231:F232"/>
    <mergeCell ref="F225:F229"/>
    <mergeCell ref="F186:F188"/>
    <mergeCell ref="F183:F184"/>
    <mergeCell ref="E284:E296"/>
    <mergeCell ref="F322:F324"/>
    <mergeCell ref="F317:F319"/>
    <mergeCell ref="F313:F314"/>
    <mergeCell ref="F291:F296"/>
    <mergeCell ref="F287:F290"/>
    <mergeCell ref="F284:F286"/>
    <mergeCell ref="E195:E198"/>
    <mergeCell ref="E200:E204"/>
    <mergeCell ref="E206:E214"/>
    <mergeCell ref="E216:E221"/>
    <mergeCell ref="E223:E229"/>
    <mergeCell ref="E231:E237"/>
    <mergeCell ref="E239:E249"/>
    <mergeCell ref="E251:E256"/>
    <mergeCell ref="A1074:A1117"/>
    <mergeCell ref="B1074:B1117"/>
    <mergeCell ref="D1074:D1117"/>
    <mergeCell ref="X1074:X1117"/>
    <mergeCell ref="Y1074:Y1117"/>
    <mergeCell ref="A1119:A1291"/>
    <mergeCell ref="B1119:B1291"/>
    <mergeCell ref="D1119:D1291"/>
    <mergeCell ref="X1119:X1291"/>
    <mergeCell ref="Y1119:Y1291"/>
    <mergeCell ref="A953:A1037"/>
    <mergeCell ref="B953:B1037"/>
    <mergeCell ref="D953:D1037"/>
    <mergeCell ref="X953:X1037"/>
    <mergeCell ref="Y953:Y1037"/>
    <mergeCell ref="A1039:A1072"/>
    <mergeCell ref="B1039:B1072"/>
    <mergeCell ref="D1039:D1072"/>
    <mergeCell ref="X1039:X1072"/>
    <mergeCell ref="Y1039:Y1072"/>
    <mergeCell ref="A699:A798"/>
    <mergeCell ref="B699:B798"/>
    <mergeCell ref="D699:D798"/>
    <mergeCell ref="X699:X798"/>
    <mergeCell ref="Y699:Y798"/>
    <mergeCell ref="A801:A951"/>
    <mergeCell ref="B801:B951"/>
    <mergeCell ref="D801:D951"/>
    <mergeCell ref="X801:X951"/>
    <mergeCell ref="Y801:Y951"/>
    <mergeCell ref="E186:E193"/>
    <mergeCell ref="F266:F268"/>
    <mergeCell ref="F269:F271"/>
    <mergeCell ref="A523:A593"/>
    <mergeCell ref="B523:B593"/>
    <mergeCell ref="D523:D593"/>
    <mergeCell ref="X523:X593"/>
    <mergeCell ref="Y523:Y593"/>
    <mergeCell ref="A396:A425"/>
    <mergeCell ref="B396:B425"/>
    <mergeCell ref="D396:D425"/>
    <mergeCell ref="X396:X425"/>
    <mergeCell ref="Y396:Y425"/>
    <mergeCell ref="A428:A520"/>
    <mergeCell ref="B428:B520"/>
    <mergeCell ref="D428:D520"/>
    <mergeCell ref="X428:X520"/>
    <mergeCell ref="Y428:Y520"/>
    <mergeCell ref="F251:F252"/>
    <mergeCell ref="F253:F256"/>
    <mergeCell ref="F246:F249"/>
    <mergeCell ref="F242:F245"/>
    <mergeCell ref="F239:F241"/>
    <mergeCell ref="F236:F237"/>
    <mergeCell ref="A259:A324"/>
    <mergeCell ref="B259:B324"/>
    <mergeCell ref="D259:D324"/>
    <mergeCell ref="X259:X324"/>
    <mergeCell ref="Y259:Y324"/>
    <mergeCell ref="A327:A393"/>
    <mergeCell ref="B327:B393"/>
    <mergeCell ref="D327:D393"/>
    <mergeCell ref="X327:X393"/>
    <mergeCell ref="Y327:Y393"/>
    <mergeCell ref="E259:E262"/>
    <mergeCell ref="E266:E271"/>
    <mergeCell ref="E273:E275"/>
    <mergeCell ref="E277:E282"/>
    <mergeCell ref="E298:E303"/>
    <mergeCell ref="E305:E307"/>
    <mergeCell ref="E309:E311"/>
    <mergeCell ref="E313:E314"/>
    <mergeCell ref="E316:E319"/>
    <mergeCell ref="E321:E324"/>
    <mergeCell ref="A134:A175"/>
    <mergeCell ref="B134:B175"/>
    <mergeCell ref="D134:D175"/>
    <mergeCell ref="X134:X175"/>
    <mergeCell ref="Y134:Y175"/>
    <mergeCell ref="A178:A256"/>
    <mergeCell ref="B178:B256"/>
    <mergeCell ref="D178:D256"/>
    <mergeCell ref="X178:X256"/>
    <mergeCell ref="Y178:Y256"/>
    <mergeCell ref="E134:E137"/>
    <mergeCell ref="E139:E144"/>
    <mergeCell ref="E146:E148"/>
    <mergeCell ref="E150:E152"/>
    <mergeCell ref="E154:E160"/>
    <mergeCell ref="E162:E164"/>
    <mergeCell ref="E166:E170"/>
    <mergeCell ref="E172:E175"/>
    <mergeCell ref="F135:F137"/>
    <mergeCell ref="F139:F141"/>
    <mergeCell ref="F142:F144"/>
    <mergeCell ref="F146:F147"/>
    <mergeCell ref="F154:F155"/>
    <mergeCell ref="E178:E184"/>
    <mergeCell ref="Y13:Y82"/>
    <mergeCell ref="A84:A129"/>
    <mergeCell ref="B84:B129"/>
    <mergeCell ref="D84:D129"/>
    <mergeCell ref="X84:X129"/>
    <mergeCell ref="Y84:Y129"/>
    <mergeCell ref="G5:G10"/>
    <mergeCell ref="N6:N11"/>
    <mergeCell ref="Q6:Q11"/>
    <mergeCell ref="A13:A82"/>
    <mergeCell ref="B13:B82"/>
    <mergeCell ref="D13:D82"/>
    <mergeCell ref="F20:F21"/>
    <mergeCell ref="F25:F27"/>
    <mergeCell ref="I29:I31"/>
    <mergeCell ref="F34:F35"/>
    <mergeCell ref="F37:F38"/>
    <mergeCell ref="F40:F43"/>
    <mergeCell ref="E18:E21"/>
    <mergeCell ref="E23:E27"/>
    <mergeCell ref="E13:E16"/>
    <mergeCell ref="F44:F46"/>
    <mergeCell ref="E29:E32"/>
    <mergeCell ref="E34:E38"/>
    <mergeCell ref="F128:F129"/>
    <mergeCell ref="F52:F54"/>
    <mergeCell ref="F61:F63"/>
    <mergeCell ref="F64:F65"/>
    <mergeCell ref="F66:F68"/>
    <mergeCell ref="F72:F74"/>
    <mergeCell ref="F75:F77"/>
    <mergeCell ref="F79:F82"/>
    <mergeCell ref="F118:F120"/>
    <mergeCell ref="F121:F122"/>
    <mergeCell ref="F113:F115"/>
    <mergeCell ref="F88:F89"/>
    <mergeCell ref="F90:F91"/>
    <mergeCell ref="F93:F96"/>
    <mergeCell ref="F98:F99"/>
    <mergeCell ref="F100:F101"/>
    <mergeCell ref="F103:F104"/>
    <mergeCell ref="F105:F106"/>
    <mergeCell ref="F108:F112"/>
    <mergeCell ref="E40:E46"/>
    <mergeCell ref="E48:E54"/>
    <mergeCell ref="E56:E59"/>
    <mergeCell ref="E61:E68"/>
    <mergeCell ref="E72:E77"/>
    <mergeCell ref="E79:E82"/>
    <mergeCell ref="F48:F51"/>
    <mergeCell ref="X13:X82"/>
    <mergeCell ref="X595:X697"/>
    <mergeCell ref="F156:F158"/>
    <mergeCell ref="F124:F127"/>
    <mergeCell ref="G25:G27"/>
    <mergeCell ref="F159:F160"/>
    <mergeCell ref="F162:F164"/>
    <mergeCell ref="F166:F167"/>
    <mergeCell ref="F168:F169"/>
    <mergeCell ref="E84:E91"/>
    <mergeCell ref="E93:E96"/>
    <mergeCell ref="E98:E101"/>
    <mergeCell ref="E103:E106"/>
    <mergeCell ref="E108:E115"/>
    <mergeCell ref="E117:E122"/>
    <mergeCell ref="E124:E129"/>
    <mergeCell ref="F84:F87"/>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N10"/>
  <sheetViews>
    <sheetView workbookViewId="0"/>
  </sheetViews>
  <sheetFormatPr defaultColWidth="8.5703125" defaultRowHeight="15"/>
  <cols>
    <col min="1" max="1" width="3.42578125" style="20" customWidth="1"/>
    <col min="2" max="2" width="9.42578125" style="20" customWidth="1"/>
    <col min="3" max="3" width="14.5703125" style="20" customWidth="1"/>
    <col min="4" max="5" width="15.42578125" style="20" customWidth="1"/>
    <col min="6" max="6" width="15.5703125" style="20" customWidth="1"/>
    <col min="7" max="8" width="12.42578125" style="20" customWidth="1"/>
    <col min="9" max="10" width="14.42578125" style="20" customWidth="1"/>
    <col min="11" max="11" width="13.140625" style="20" customWidth="1"/>
    <col min="12" max="14" width="13.5703125" style="20" customWidth="1"/>
    <col min="15" max="16384" width="8.5703125" style="20"/>
  </cols>
  <sheetData>
    <row r="1" spans="2:14" ht="20.85" customHeight="1" thickBot="1"/>
    <row r="2" spans="2:14" ht="24">
      <c r="B2" s="21" t="s">
        <v>13</v>
      </c>
      <c r="G2" s="22"/>
      <c r="M2" s="23"/>
      <c r="N2" s="24"/>
    </row>
    <row r="3" spans="2:14" ht="75">
      <c r="B3" s="25" t="s">
        <v>131</v>
      </c>
      <c r="C3" s="25" t="s">
        <v>37</v>
      </c>
      <c r="D3" s="26"/>
      <c r="E3" s="26"/>
      <c r="F3" s="27"/>
      <c r="G3" s="26"/>
      <c r="H3" s="26"/>
      <c r="I3" s="26"/>
      <c r="J3" s="26"/>
      <c r="K3" s="26"/>
      <c r="L3" s="26" t="s">
        <v>132</v>
      </c>
      <c r="M3" s="27" t="s">
        <v>92</v>
      </c>
      <c r="N3" s="27" t="s">
        <v>133</v>
      </c>
    </row>
    <row r="4" spans="2:14">
      <c r="B4" s="28">
        <f>'MP (To Be Filled) Rural'!F3</f>
        <v>0</v>
      </c>
      <c r="C4" s="163">
        <f>'MP (To Be Filled) Rural'!I3</f>
        <v>0</v>
      </c>
      <c r="D4" s="163">
        <f>'MP (To Be Filled) Rural'!F5</f>
        <v>0</v>
      </c>
      <c r="E4" s="163">
        <f>'MP (To Be Filled) Rural'!F6</f>
        <v>0</v>
      </c>
      <c r="F4" s="164">
        <f>('MP (To Be Filled) Rural'!F7*50)+'MP (To Be Filled) Rural'!F8</f>
        <v>0</v>
      </c>
      <c r="G4" s="165">
        <f>'MP (To Be Filled) Rural'!F7</f>
        <v>0</v>
      </c>
      <c r="H4" s="166">
        <f>'MP (To Be Filled) Rural'!J6</f>
        <v>0</v>
      </c>
      <c r="I4" s="166">
        <f>'MP (To Be Filled) Rural'!J7</f>
        <v>17</v>
      </c>
      <c r="J4" s="166">
        <f>'MP (To Be Filled) Rural'!J5</f>
        <v>0</v>
      </c>
      <c r="K4" s="166">
        <f>'MP (To Be Filled) Rural'!J8</f>
        <v>0</v>
      </c>
      <c r="L4" s="166">
        <f>'MP (To Be Filled) Rural'!J9</f>
        <v>2</v>
      </c>
      <c r="M4" s="165">
        <f>'MP (To Be Filled) Rural'!J4</f>
        <v>0</v>
      </c>
      <c r="N4" s="29">
        <f>'MP (To Be Filled) Rural'!F4</f>
        <v>0</v>
      </c>
    </row>
    <row r="5" spans="2:14" ht="14.85" customHeight="1">
      <c r="B5" s="30"/>
      <c r="C5" s="31"/>
      <c r="D5" s="32"/>
      <c r="E5" s="32"/>
      <c r="F5" s="32"/>
      <c r="G5" s="33"/>
      <c r="H5" s="34"/>
      <c r="I5" s="34"/>
      <c r="J5" s="34"/>
      <c r="K5" s="34"/>
      <c r="L5" s="33"/>
      <c r="M5" s="33"/>
      <c r="N5" s="33"/>
    </row>
    <row r="7" spans="2:14">
      <c r="H7" s="35"/>
    </row>
    <row r="10" spans="2:14">
      <c r="E10" s="36"/>
      <c r="J10" s="3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6"/>
  <sheetViews>
    <sheetView workbookViewId="0"/>
  </sheetViews>
  <sheetFormatPr defaultColWidth="8.5703125" defaultRowHeight="15"/>
  <cols>
    <col min="1" max="1" width="2.85546875" style="38" customWidth="1"/>
    <col min="2" max="2" width="7.85546875" style="38" customWidth="1"/>
    <col min="3" max="3" width="9.5703125" style="38" customWidth="1"/>
    <col min="4" max="6" width="11.42578125" style="38" customWidth="1"/>
    <col min="7" max="7" width="11.140625" style="38" customWidth="1"/>
    <col min="8" max="8" width="12" style="38" customWidth="1"/>
    <col min="9" max="9" width="15.5703125" style="38" customWidth="1"/>
    <col min="10" max="10" width="15.5703125" style="67" customWidth="1"/>
    <col min="11" max="16384" width="8.5703125" style="38"/>
  </cols>
  <sheetData>
    <row r="1" spans="1:10" ht="25.35" customHeight="1">
      <c r="H1" s="39"/>
      <c r="I1" s="40"/>
      <c r="J1" s="41"/>
    </row>
    <row r="2" spans="1:10" ht="24">
      <c r="A2" s="42"/>
      <c r="B2" s="21" t="s">
        <v>134</v>
      </c>
      <c r="C2" s="42"/>
      <c r="D2" s="42"/>
      <c r="E2" s="42"/>
      <c r="F2" s="42"/>
      <c r="G2" s="43"/>
      <c r="H2" s="44"/>
      <c r="I2" s="39"/>
      <c r="J2" s="45"/>
    </row>
    <row r="3" spans="1:10" s="46" customFormat="1" ht="48">
      <c r="B3" s="47" t="s">
        <v>131</v>
      </c>
      <c r="C3" s="48" t="s">
        <v>37</v>
      </c>
      <c r="D3" s="49" t="s">
        <v>135</v>
      </c>
      <c r="E3" s="49" t="s">
        <v>136</v>
      </c>
      <c r="F3" s="49" t="s">
        <v>137</v>
      </c>
      <c r="G3" s="49" t="s">
        <v>138</v>
      </c>
      <c r="H3" s="49" t="s">
        <v>139</v>
      </c>
      <c r="I3" s="50" t="s">
        <v>140</v>
      </c>
      <c r="J3" s="51" t="s">
        <v>141</v>
      </c>
    </row>
    <row r="4" spans="1:10" ht="40.5" customHeight="1">
      <c r="B4" s="28">
        <f>'MP (To Be Filled) Rural'!F3</f>
        <v>0</v>
      </c>
      <c r="C4" s="163">
        <f>'MP (To Be Filled) Rural'!I3</f>
        <v>0</v>
      </c>
      <c r="D4" s="163">
        <f>'MP (To Be Filled) Rural'!F5</f>
        <v>0</v>
      </c>
      <c r="E4" s="163">
        <f>'MP (To Be Filled) Rural'!F6</f>
        <v>0</v>
      </c>
      <c r="F4" s="164">
        <f>('MP (To Be Filled) Rural'!F7*50)+'MP (To Be Filled) Rural'!F8</f>
        <v>0</v>
      </c>
      <c r="G4" s="52">
        <f>'MP (To Be Filled) Rural'!F7</f>
        <v>0</v>
      </c>
      <c r="H4" s="53">
        <f>G4*2*$H$2</f>
        <v>0</v>
      </c>
      <c r="I4" s="54">
        <f>2*1*$I$2</f>
        <v>0</v>
      </c>
      <c r="J4" s="55">
        <f>SUM(H4:I4)</f>
        <v>0</v>
      </c>
    </row>
    <row r="5" spans="1:10">
      <c r="B5" s="56"/>
      <c r="C5" s="57"/>
      <c r="D5" s="58"/>
      <c r="E5" s="59"/>
      <c r="F5" s="60"/>
      <c r="G5" s="60"/>
      <c r="H5" s="60"/>
      <c r="I5" s="60"/>
      <c r="J5" s="61"/>
    </row>
    <row r="6" spans="1:10">
      <c r="B6" s="62"/>
      <c r="C6" s="62"/>
      <c r="D6" s="63"/>
      <c r="E6" s="63"/>
      <c r="F6" s="63"/>
      <c r="G6" s="64"/>
      <c r="H6" s="64"/>
      <c r="I6" s="65"/>
      <c r="J6" s="6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S169"/>
  <sheetViews>
    <sheetView zoomScale="80" zoomScaleNormal="80" workbookViewId="0"/>
  </sheetViews>
  <sheetFormatPr defaultColWidth="13.5703125" defaultRowHeight="15"/>
  <cols>
    <col min="1" max="1" width="3.42578125" style="20" customWidth="1"/>
    <col min="2" max="2" width="13.5703125" style="20"/>
    <col min="3" max="3" width="15.5703125" style="20" customWidth="1"/>
    <col min="4" max="12" width="13.5703125" style="69"/>
    <col min="13" max="13" width="15.42578125" style="69" customWidth="1"/>
    <col min="14" max="14" width="13.5703125" style="69"/>
    <col min="15" max="15" width="17.42578125" style="69" customWidth="1"/>
    <col min="16" max="16" width="13.5703125" style="20"/>
    <col min="17" max="17" width="13.5703125" style="69"/>
    <col min="18" max="18" width="17.42578125" style="69" customWidth="1"/>
    <col min="19" max="19" width="15.5703125" style="20" customWidth="1"/>
    <col min="20" max="16384" width="13.5703125" style="20"/>
  </cols>
  <sheetData>
    <row r="1" spans="2:19" ht="17.100000000000001" customHeight="1" thickBot="1">
      <c r="B1" s="68" t="s">
        <v>142</v>
      </c>
    </row>
    <row r="2" spans="2:19" ht="28.35" customHeight="1">
      <c r="B2" s="70"/>
      <c r="F2" s="71">
        <v>40</v>
      </c>
      <c r="G2" s="72">
        <v>2</v>
      </c>
      <c r="H2" s="72">
        <v>3</v>
      </c>
      <c r="I2" s="73">
        <f>'Unit Cost'!C9</f>
        <v>0</v>
      </c>
      <c r="J2" s="73">
        <f>'Unit Cost'!C6</f>
        <v>0</v>
      </c>
      <c r="K2" s="73">
        <v>3</v>
      </c>
      <c r="L2" s="73">
        <v>3</v>
      </c>
      <c r="M2" s="74">
        <f>'Unit Cost'!C11</f>
        <v>0</v>
      </c>
      <c r="N2" s="74">
        <f>'Unit Cost'!C13</f>
        <v>0</v>
      </c>
      <c r="O2" s="74">
        <f>'Unit Cost'!C6</f>
        <v>0</v>
      </c>
      <c r="P2" s="74">
        <f>'Unit Cost'!C8</f>
        <v>0</v>
      </c>
      <c r="Q2" s="74">
        <f>'Unit Cost'!C5</f>
        <v>0</v>
      </c>
      <c r="R2" s="75">
        <f>'Unit Cost'!C36</f>
        <v>0</v>
      </c>
    </row>
    <row r="3" spans="2:19" s="78" customFormat="1" ht="102.95" customHeight="1">
      <c r="B3" s="25" t="s">
        <v>131</v>
      </c>
      <c r="C3" s="25" t="s">
        <v>37</v>
      </c>
      <c r="D3" s="76" t="s">
        <v>143</v>
      </c>
      <c r="E3" s="76" t="s">
        <v>144</v>
      </c>
      <c r="F3" s="76" t="s">
        <v>145</v>
      </c>
      <c r="G3" s="76" t="s">
        <v>146</v>
      </c>
      <c r="H3" s="76" t="s">
        <v>147</v>
      </c>
      <c r="I3" s="76" t="s">
        <v>148</v>
      </c>
      <c r="J3" s="76" t="s">
        <v>149</v>
      </c>
      <c r="K3" s="76" t="s">
        <v>150</v>
      </c>
      <c r="L3" s="76" t="s">
        <v>151</v>
      </c>
      <c r="M3" s="77" t="s">
        <v>152</v>
      </c>
      <c r="N3" s="77" t="s">
        <v>153</v>
      </c>
      <c r="O3" s="77" t="s">
        <v>154</v>
      </c>
      <c r="P3" s="77" t="s">
        <v>155</v>
      </c>
      <c r="Q3" s="77" t="s">
        <v>234</v>
      </c>
      <c r="R3" s="77" t="s">
        <v>156</v>
      </c>
      <c r="S3" s="77" t="s">
        <v>157</v>
      </c>
    </row>
    <row r="4" spans="2:19" ht="50.1" customHeight="1">
      <c r="B4" s="28">
        <f>'MP (To Be Filled) Rural'!F3</f>
        <v>0</v>
      </c>
      <c r="C4" s="163">
        <f>'MP (To Be Filled) Rural'!I3</f>
        <v>0</v>
      </c>
      <c r="D4" s="29">
        <f>'MP (To Be Filled) Rural'!J10</f>
        <v>0</v>
      </c>
      <c r="E4" s="29">
        <f>'MP (To Be Filled) Rural'!J7</f>
        <v>17</v>
      </c>
      <c r="F4" s="29">
        <f>ROUNDUP((D4+E4)/$F$2,0)</f>
        <v>1</v>
      </c>
      <c r="G4" s="29">
        <f>F4*$G$2</f>
        <v>2</v>
      </c>
      <c r="H4" s="29">
        <f>H2</f>
        <v>3</v>
      </c>
      <c r="I4" s="29">
        <f>G4*H4*$I$2</f>
        <v>0</v>
      </c>
      <c r="J4" s="29">
        <f>G4*H4*$J$2</f>
        <v>0</v>
      </c>
      <c r="K4" s="80">
        <f>K2</f>
        <v>3</v>
      </c>
      <c r="L4" s="80">
        <f>L2</f>
        <v>3</v>
      </c>
      <c r="M4" s="29">
        <f>D4*$M$2</f>
        <v>0</v>
      </c>
      <c r="N4" s="29">
        <f>F4*H4*$N$2</f>
        <v>0</v>
      </c>
      <c r="O4" s="29">
        <f>(D4+E4+G4)*K4*$O$2</f>
        <v>0</v>
      </c>
      <c r="P4" s="29">
        <f>E4*$P$2</f>
        <v>0</v>
      </c>
      <c r="Q4" s="29">
        <f>E4*L4*$Q$2</f>
        <v>0</v>
      </c>
      <c r="R4" s="29">
        <f>(D4+E4)*$R$2</f>
        <v>0</v>
      </c>
      <c r="S4" s="81">
        <f>I4+J4+M4+N4+O4+P4+Q4+R4</f>
        <v>0</v>
      </c>
    </row>
    <row r="5" spans="2:19" ht="20.100000000000001" customHeight="1">
      <c r="B5" s="82"/>
      <c r="C5" s="83"/>
      <c r="D5" s="84"/>
      <c r="E5" s="84"/>
      <c r="F5" s="84"/>
      <c r="G5" s="84"/>
      <c r="H5" s="84"/>
      <c r="I5" s="84"/>
      <c r="J5" s="84"/>
      <c r="K5" s="84"/>
      <c r="L5" s="84"/>
      <c r="M5" s="85"/>
      <c r="N5" s="85"/>
      <c r="O5" s="85"/>
      <c r="P5" s="86"/>
      <c r="Q5" s="85"/>
      <c r="R5" s="85"/>
      <c r="S5" s="87"/>
    </row>
    <row r="7" spans="2:19">
      <c r="S7" s="35"/>
    </row>
    <row r="8" spans="2:19">
      <c r="B8" s="88"/>
      <c r="C8" s="88"/>
      <c r="G8" s="89"/>
    </row>
    <row r="9" spans="2:19">
      <c r="B9" s="90"/>
      <c r="C9" s="90"/>
    </row>
    <row r="10" spans="2:19">
      <c r="B10" s="91"/>
      <c r="C10" s="92"/>
    </row>
    <row r="11" spans="2:19">
      <c r="B11" s="93"/>
      <c r="C11" s="94"/>
    </row>
    <row r="12" spans="2:19">
      <c r="B12" s="93"/>
      <c r="C12" s="93"/>
    </row>
    <row r="13" spans="2:19">
      <c r="B13" s="93"/>
      <c r="C13" s="93"/>
    </row>
    <row r="14" spans="2:19">
      <c r="B14" s="93"/>
      <c r="C14" s="93"/>
    </row>
    <row r="15" spans="2:19">
      <c r="B15" s="95"/>
      <c r="C15" s="95"/>
    </row>
    <row r="16" spans="2:19">
      <c r="B16" s="96"/>
      <c r="C16" s="96"/>
    </row>
    <row r="17" spans="2:3" ht="15.75">
      <c r="B17" s="97"/>
      <c r="C17" s="98"/>
    </row>
    <row r="18" spans="2:3" ht="15.75">
      <c r="B18" s="97"/>
      <c r="C18" s="98"/>
    </row>
    <row r="19" spans="2:3" ht="15.75">
      <c r="B19" s="97"/>
      <c r="C19" s="98"/>
    </row>
    <row r="20" spans="2:3" ht="15.75">
      <c r="B20" s="97"/>
      <c r="C20" s="98"/>
    </row>
    <row r="21" spans="2:3" ht="15.75">
      <c r="B21" s="99"/>
      <c r="C21" s="100"/>
    </row>
    <row r="22" spans="2:3" ht="15.75">
      <c r="B22" s="97"/>
      <c r="C22" s="98"/>
    </row>
    <row r="23" spans="2:3" ht="15.75">
      <c r="B23" s="97"/>
      <c r="C23" s="98"/>
    </row>
    <row r="24" spans="2:3" ht="15.75">
      <c r="B24" s="97"/>
      <c r="C24" s="98"/>
    </row>
    <row r="25" spans="2:3" ht="15.75">
      <c r="B25" s="97"/>
      <c r="C25" s="98"/>
    </row>
    <row r="26" spans="2:3" ht="15.75">
      <c r="B26" s="97"/>
      <c r="C26" s="98"/>
    </row>
    <row r="27" spans="2:3" ht="15.75">
      <c r="B27" s="99"/>
      <c r="C27" s="100"/>
    </row>
    <row r="28" spans="2:3" ht="15.75">
      <c r="B28" s="101"/>
      <c r="C28" s="102"/>
    </row>
    <row r="29" spans="2:3" ht="15.75">
      <c r="B29" s="97"/>
      <c r="C29" s="98"/>
    </row>
    <row r="30" spans="2:3" ht="15.75">
      <c r="B30" s="97"/>
      <c r="C30" s="98"/>
    </row>
    <row r="31" spans="2:3" ht="15.75">
      <c r="B31" s="97"/>
      <c r="C31" s="98"/>
    </row>
    <row r="32" spans="2:3" ht="15.75">
      <c r="B32" s="97"/>
      <c r="C32" s="98"/>
    </row>
    <row r="33" spans="2:3" ht="15.75">
      <c r="B33" s="97"/>
      <c r="C33" s="98"/>
    </row>
    <row r="34" spans="2:3" ht="15.75">
      <c r="B34" s="101"/>
      <c r="C34" s="102"/>
    </row>
    <row r="35" spans="2:3" ht="15.75">
      <c r="B35" s="97"/>
      <c r="C35" s="98"/>
    </row>
    <row r="36" spans="2:3" ht="15.75">
      <c r="B36" s="97"/>
      <c r="C36" s="98"/>
    </row>
    <row r="37" spans="2:3" ht="15.75">
      <c r="B37" s="97"/>
      <c r="C37" s="98"/>
    </row>
    <row r="38" spans="2:3" ht="15.75">
      <c r="B38" s="97"/>
      <c r="C38" s="98"/>
    </row>
    <row r="39" spans="2:3" ht="15.75">
      <c r="B39" s="97"/>
      <c r="C39" s="98"/>
    </row>
    <row r="40" spans="2:3" ht="15.75">
      <c r="B40" s="99"/>
      <c r="C40" s="100"/>
    </row>
    <row r="41" spans="2:3" ht="15.75">
      <c r="B41" s="97"/>
      <c r="C41" s="98"/>
    </row>
    <row r="42" spans="2:3" ht="15.75">
      <c r="B42" s="97"/>
      <c r="C42" s="98"/>
    </row>
    <row r="43" spans="2:3" ht="15.75">
      <c r="B43" s="97"/>
      <c r="C43" s="98"/>
    </row>
    <row r="44" spans="2:3" ht="15.75">
      <c r="B44" s="103"/>
      <c r="C44" s="104"/>
    </row>
    <row r="45" spans="2:3" ht="15.75">
      <c r="B45" s="97"/>
      <c r="C45" s="98"/>
    </row>
    <row r="46" spans="2:3" ht="15.75">
      <c r="B46" s="97"/>
      <c r="C46" s="98"/>
    </row>
    <row r="47" spans="2:3" ht="15.75">
      <c r="B47" s="97"/>
      <c r="C47" s="98"/>
    </row>
    <row r="48" spans="2:3" ht="15.75">
      <c r="B48" s="97"/>
      <c r="C48" s="98"/>
    </row>
    <row r="49" spans="2:3" ht="15.75">
      <c r="B49" s="97"/>
      <c r="C49" s="98"/>
    </row>
    <row r="50" spans="2:3" ht="15.75">
      <c r="B50" s="103"/>
      <c r="C50" s="104"/>
    </row>
    <row r="51" spans="2:3" ht="15.75">
      <c r="B51" s="97"/>
      <c r="C51" s="98"/>
    </row>
    <row r="52" spans="2:3" ht="15.75">
      <c r="B52" s="97"/>
      <c r="C52" s="98"/>
    </row>
    <row r="53" spans="2:3" ht="15.75">
      <c r="B53" s="97"/>
      <c r="C53" s="98"/>
    </row>
    <row r="54" spans="2:3" ht="15.75">
      <c r="B54" s="99"/>
      <c r="C54" s="100"/>
    </row>
    <row r="55" spans="2:3" ht="15.75">
      <c r="B55" s="101"/>
      <c r="C55" s="102"/>
    </row>
    <row r="56" spans="2:3" ht="15.75">
      <c r="B56" s="97"/>
      <c r="C56" s="98"/>
    </row>
    <row r="57" spans="2:3" ht="15.75">
      <c r="B57" s="97"/>
      <c r="C57" s="98"/>
    </row>
    <row r="58" spans="2:3" ht="15.75">
      <c r="B58" s="97"/>
      <c r="C58" s="98"/>
    </row>
    <row r="59" spans="2:3" ht="15.75">
      <c r="B59" s="97"/>
      <c r="C59" s="98"/>
    </row>
    <row r="60" spans="2:3" ht="15.75">
      <c r="B60" s="97"/>
      <c r="C60" s="98"/>
    </row>
    <row r="61" spans="2:3" ht="15.75">
      <c r="B61" s="97"/>
      <c r="C61" s="98"/>
    </row>
    <row r="62" spans="2:3" ht="15.75">
      <c r="B62" s="97"/>
      <c r="C62" s="98"/>
    </row>
    <row r="63" spans="2:3" ht="15.75">
      <c r="B63" s="105"/>
      <c r="C63" s="106"/>
    </row>
    <row r="64" spans="2:3" ht="15.75">
      <c r="B64" s="101"/>
      <c r="C64" s="102"/>
    </row>
    <row r="65" spans="2:3" ht="15.75">
      <c r="B65" s="97"/>
      <c r="C65" s="98"/>
    </row>
    <row r="66" spans="2:3" ht="15.75">
      <c r="B66" s="97"/>
      <c r="C66" s="98"/>
    </row>
    <row r="67" spans="2:3" ht="15.75">
      <c r="B67" s="97"/>
      <c r="C67" s="98"/>
    </row>
    <row r="68" spans="2:3" ht="15.75">
      <c r="B68" s="97"/>
      <c r="C68" s="98"/>
    </row>
    <row r="69" spans="2:3" ht="15.75">
      <c r="B69" s="97"/>
      <c r="C69" s="98"/>
    </row>
    <row r="70" spans="2:3" ht="15.75">
      <c r="B70" s="97"/>
      <c r="C70" s="98"/>
    </row>
    <row r="71" spans="2:3" ht="15.75">
      <c r="B71" s="103"/>
      <c r="C71" s="104"/>
    </row>
    <row r="72" spans="2:3" ht="15.75">
      <c r="B72" s="101"/>
      <c r="C72" s="102"/>
    </row>
    <row r="73" spans="2:3" ht="15.75">
      <c r="B73" s="97"/>
      <c r="C73" s="98"/>
    </row>
    <row r="74" spans="2:3" ht="15.75">
      <c r="B74" s="97"/>
      <c r="C74" s="98"/>
    </row>
    <row r="75" spans="2:3" ht="15.75">
      <c r="B75" s="97"/>
      <c r="C75" s="98"/>
    </row>
    <row r="76" spans="2:3" ht="15.75">
      <c r="B76" s="97"/>
      <c r="C76" s="98"/>
    </row>
    <row r="77" spans="2:3" ht="15.75">
      <c r="B77" s="97"/>
      <c r="C77" s="98"/>
    </row>
    <row r="78" spans="2:3" ht="15.75">
      <c r="B78" s="103"/>
      <c r="C78" s="104"/>
    </row>
    <row r="79" spans="2:3" ht="15.75">
      <c r="B79" s="101"/>
      <c r="C79" s="102"/>
    </row>
    <row r="80" spans="2:3" ht="15.75">
      <c r="B80" s="97"/>
      <c r="C80" s="98"/>
    </row>
    <row r="81" spans="2:3" ht="15.75">
      <c r="B81" s="107"/>
      <c r="C81" s="98"/>
    </row>
    <row r="82" spans="2:3" ht="15.75">
      <c r="B82" s="97"/>
      <c r="C82" s="98"/>
    </row>
    <row r="83" spans="2:3" ht="15.75">
      <c r="B83" s="97"/>
      <c r="C83" s="98"/>
    </row>
    <row r="84" spans="2:3" ht="15.75">
      <c r="B84" s="97"/>
      <c r="C84" s="98"/>
    </row>
    <row r="85" spans="2:3" ht="15.75">
      <c r="B85" s="97"/>
      <c r="C85" s="98"/>
    </row>
    <row r="86" spans="2:3" ht="15.75">
      <c r="B86" s="97"/>
      <c r="C86" s="98"/>
    </row>
    <row r="87" spans="2:3" ht="15.75">
      <c r="B87" s="97"/>
      <c r="C87" s="98"/>
    </row>
    <row r="88" spans="2:3" ht="15.75">
      <c r="B88" s="101"/>
      <c r="C88" s="102"/>
    </row>
    <row r="89" spans="2:3" ht="15.75">
      <c r="B89" s="97"/>
      <c r="C89" s="98"/>
    </row>
    <row r="90" spans="2:3" ht="15.75">
      <c r="B90" s="101"/>
      <c r="C90" s="102"/>
    </row>
    <row r="91" spans="2:3" ht="15.75">
      <c r="B91" s="97"/>
      <c r="C91" s="98"/>
    </row>
    <row r="92" spans="2:3" ht="15.75">
      <c r="B92" s="97"/>
      <c r="C92" s="98"/>
    </row>
    <row r="93" spans="2:3" ht="15.75">
      <c r="B93" s="97"/>
      <c r="C93" s="98"/>
    </row>
    <row r="94" spans="2:3" ht="15.75">
      <c r="B94" s="101"/>
      <c r="C94" s="102"/>
    </row>
    <row r="95" spans="2:3" ht="15.75">
      <c r="B95" s="101"/>
      <c r="C95" s="102"/>
    </row>
    <row r="96" spans="2:3" ht="15.75">
      <c r="B96" s="97"/>
      <c r="C96" s="98"/>
    </row>
    <row r="97" spans="2:3" ht="15.75">
      <c r="B97" s="97"/>
      <c r="C97" s="98"/>
    </row>
    <row r="98" spans="2:3" ht="15.75">
      <c r="B98" s="97"/>
      <c r="C98" s="98"/>
    </row>
    <row r="99" spans="2:3" ht="15.75">
      <c r="B99" s="101"/>
      <c r="C99" s="102"/>
    </row>
    <row r="100" spans="2:3" ht="15.75">
      <c r="B100" s="101"/>
      <c r="C100" s="102"/>
    </row>
    <row r="101" spans="2:3" ht="15.75">
      <c r="B101" s="97"/>
      <c r="C101" s="98"/>
    </row>
    <row r="102" spans="2:3" ht="15.75">
      <c r="B102" s="97"/>
      <c r="C102" s="98"/>
    </row>
    <row r="103" spans="2:3" ht="15.75">
      <c r="B103" s="97"/>
      <c r="C103" s="98"/>
    </row>
    <row r="104" spans="2:3" ht="15.75">
      <c r="B104" s="97"/>
      <c r="C104" s="98"/>
    </row>
    <row r="105" spans="2:3" ht="15.75">
      <c r="B105" s="97"/>
      <c r="C105" s="98"/>
    </row>
    <row r="106" spans="2:3" ht="15.75">
      <c r="B106" s="97"/>
      <c r="C106" s="98"/>
    </row>
    <row r="107" spans="2:3" ht="15.75">
      <c r="B107" s="101"/>
      <c r="C107" s="102"/>
    </row>
    <row r="108" spans="2:3">
      <c r="B108" s="93"/>
      <c r="C108" s="93"/>
    </row>
    <row r="109" spans="2:3">
      <c r="B109" s="93"/>
      <c r="C109" s="93"/>
    </row>
    <row r="110" spans="2:3">
      <c r="B110" s="93"/>
      <c r="C110" s="93"/>
    </row>
    <row r="111" spans="2:3">
      <c r="B111" s="90"/>
      <c r="C111" s="90"/>
    </row>
    <row r="112" spans="2:3">
      <c r="B112" s="93"/>
      <c r="C112" s="93"/>
    </row>
    <row r="113" spans="2:3">
      <c r="B113" s="93"/>
      <c r="C113" s="93"/>
    </row>
    <row r="114" spans="2:3">
      <c r="B114" s="91"/>
      <c r="C114" s="92"/>
    </row>
    <row r="115" spans="2:3">
      <c r="B115" s="90"/>
      <c r="C115" s="90"/>
    </row>
    <row r="116" spans="2:3">
      <c r="B116" s="90"/>
      <c r="C116" s="90"/>
    </row>
    <row r="117" spans="2:3">
      <c r="B117" s="91"/>
      <c r="C117" s="92"/>
    </row>
    <row r="118" spans="2:3">
      <c r="B118" s="93"/>
      <c r="C118" s="93"/>
    </row>
    <row r="119" spans="2:3">
      <c r="B119" s="93"/>
      <c r="C119" s="93"/>
    </row>
    <row r="120" spans="2:3">
      <c r="B120" s="91"/>
      <c r="C120" s="93"/>
    </row>
    <row r="121" spans="2:3">
      <c r="B121" s="93"/>
      <c r="C121" s="94"/>
    </row>
    <row r="122" spans="2:3">
      <c r="B122" s="93"/>
      <c r="C122" s="93"/>
    </row>
    <row r="123" spans="2:3">
      <c r="B123" s="95"/>
      <c r="C123" s="95"/>
    </row>
    <row r="124" spans="2:3">
      <c r="B124" s="96"/>
      <c r="C124" s="96"/>
    </row>
    <row r="125" spans="2:3">
      <c r="B125" s="93"/>
      <c r="C125" s="93"/>
    </row>
    <row r="126" spans="2:3">
      <c r="B126" s="93"/>
      <c r="C126" s="93"/>
    </row>
    <row r="127" spans="2:3">
      <c r="B127" s="93"/>
      <c r="C127" s="93"/>
    </row>
    <row r="128" spans="2:3">
      <c r="B128" s="93"/>
      <c r="C128" s="93"/>
    </row>
    <row r="129" spans="2:3">
      <c r="B129" s="91"/>
      <c r="C129" s="92"/>
    </row>
    <row r="130" spans="2:3">
      <c r="B130" s="93"/>
      <c r="C130" s="94"/>
    </row>
    <row r="131" spans="2:3">
      <c r="B131" s="93"/>
      <c r="C131" s="93"/>
    </row>
    <row r="132" spans="2:3">
      <c r="B132" s="93"/>
      <c r="C132" s="93"/>
    </row>
    <row r="133" spans="2:3">
      <c r="B133" s="93"/>
      <c r="C133" s="93"/>
    </row>
    <row r="134" spans="2:3">
      <c r="B134" s="93"/>
      <c r="C134" s="93"/>
    </row>
    <row r="135" spans="2:3">
      <c r="B135" s="96"/>
      <c r="C135" s="96"/>
    </row>
    <row r="136" spans="2:3">
      <c r="B136" s="93"/>
      <c r="C136" s="93"/>
    </row>
    <row r="137" spans="2:3">
      <c r="B137" s="93"/>
      <c r="C137" s="93"/>
    </row>
    <row r="138" spans="2:3">
      <c r="B138" s="93"/>
      <c r="C138" s="93"/>
    </row>
    <row r="139" spans="2:3">
      <c r="B139" s="93"/>
      <c r="C139" s="93"/>
    </row>
    <row r="140" spans="2:3">
      <c r="B140" s="108"/>
      <c r="C140" s="109"/>
    </row>
    <row r="141" spans="2:3">
      <c r="B141" s="108"/>
      <c r="C141" s="109"/>
    </row>
    <row r="142" spans="2:3">
      <c r="B142" s="108"/>
      <c r="C142" s="109"/>
    </row>
    <row r="143" spans="2:3">
      <c r="B143" s="108"/>
      <c r="C143" s="93"/>
    </row>
    <row r="144" spans="2:3" ht="18.75">
      <c r="B144" s="110"/>
      <c r="C144" s="91"/>
    </row>
    <row r="145" spans="2:3" ht="18.75">
      <c r="B145" s="110"/>
      <c r="C145" s="91"/>
    </row>
    <row r="146" spans="2:3">
      <c r="B146" s="108"/>
      <c r="C146" s="111"/>
    </row>
    <row r="147" spans="2:3" ht="18.75">
      <c r="B147" s="110"/>
      <c r="C147" s="91"/>
    </row>
    <row r="148" spans="2:3">
      <c r="B148" s="93"/>
      <c r="C148" s="93"/>
    </row>
    <row r="149" spans="2:3">
      <c r="B149" s="93"/>
      <c r="C149" s="93"/>
    </row>
    <row r="150" spans="2:3">
      <c r="B150" s="93"/>
      <c r="C150" s="93"/>
    </row>
    <row r="151" spans="2:3">
      <c r="B151" s="93"/>
      <c r="C151" s="93"/>
    </row>
    <row r="152" spans="2:3">
      <c r="B152" s="93"/>
      <c r="C152" s="93"/>
    </row>
    <row r="153" spans="2:3">
      <c r="B153" s="112"/>
      <c r="C153" s="109"/>
    </row>
    <row r="154" spans="2:3">
      <c r="B154" s="109"/>
      <c r="C154" s="109"/>
    </row>
    <row r="155" spans="2:3">
      <c r="B155" s="109"/>
      <c r="C155" s="109"/>
    </row>
    <row r="156" spans="2:3">
      <c r="B156" s="91"/>
      <c r="C156" s="93"/>
    </row>
    <row r="157" spans="2:3">
      <c r="B157" s="93"/>
      <c r="C157" s="93"/>
    </row>
    <row r="158" spans="2:3">
      <c r="B158" s="93"/>
      <c r="C158" s="93"/>
    </row>
    <row r="159" spans="2:3">
      <c r="B159" s="93"/>
      <c r="C159" s="93"/>
    </row>
    <row r="160" spans="2:3">
      <c r="B160" s="93"/>
      <c r="C160" s="93"/>
    </row>
    <row r="161" spans="2:3">
      <c r="B161" s="91"/>
      <c r="C161" s="92"/>
    </row>
    <row r="162" spans="2:3">
      <c r="B162" s="93"/>
      <c r="C162" s="94"/>
    </row>
    <row r="163" spans="2:3">
      <c r="B163" s="93"/>
      <c r="C163" s="93"/>
    </row>
    <row r="164" spans="2:3">
      <c r="B164" s="93"/>
      <c r="C164" s="93"/>
    </row>
    <row r="165" spans="2:3">
      <c r="B165" s="93"/>
      <c r="C165" s="93"/>
    </row>
    <row r="166" spans="2:3">
      <c r="B166" s="93"/>
      <c r="C166" s="93"/>
    </row>
    <row r="167" spans="2:3">
      <c r="B167" s="96"/>
      <c r="C167" s="96"/>
    </row>
    <row r="168" spans="2:3">
      <c r="B168" s="96"/>
      <c r="C168" s="96"/>
    </row>
    <row r="169" spans="2:3">
      <c r="B169" s="96"/>
      <c r="C169" s="9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P169"/>
  <sheetViews>
    <sheetView workbookViewId="0"/>
  </sheetViews>
  <sheetFormatPr defaultColWidth="13.5703125" defaultRowHeight="15"/>
  <cols>
    <col min="1" max="1" width="9.42578125" style="20" customWidth="1"/>
    <col min="2" max="2" width="9.140625" style="20" customWidth="1"/>
    <col min="3" max="3" width="13.5703125" style="20"/>
    <col min="4" max="7" width="13.5703125" style="69"/>
    <col min="8" max="9" width="17.42578125" style="69" customWidth="1"/>
    <col min="10" max="10" width="13.5703125" style="20"/>
    <col min="11" max="11" width="13.5703125" style="69"/>
    <col min="12" max="12" width="17.42578125" style="69" customWidth="1"/>
    <col min="13" max="13" width="13.5703125" style="20"/>
    <col min="14" max="14" width="13.5703125" style="69"/>
    <col min="15" max="15" width="15.140625" style="69" customWidth="1"/>
    <col min="16" max="16" width="15.5703125" style="20" customWidth="1"/>
    <col min="17" max="16384" width="13.5703125" style="20"/>
  </cols>
  <sheetData>
    <row r="1" spans="2:16" ht="17.100000000000001" customHeight="1" thickBot="1"/>
    <row r="2" spans="2:16" ht="28.35" customHeight="1">
      <c r="B2" s="70" t="s">
        <v>158</v>
      </c>
      <c r="G2" s="113">
        <v>7</v>
      </c>
      <c r="H2" s="74">
        <f>'Unit Cost'!C22</f>
        <v>0</v>
      </c>
      <c r="I2" s="74">
        <v>7</v>
      </c>
      <c r="J2" s="74">
        <f>'Unit Cost'!C8</f>
        <v>0</v>
      </c>
      <c r="K2" s="74">
        <f>'Unit Cost'!C18</f>
        <v>0</v>
      </c>
      <c r="L2" s="74">
        <v>8</v>
      </c>
      <c r="M2" s="114">
        <v>140</v>
      </c>
      <c r="N2" s="115">
        <f>'Unit Cost'!C19</f>
        <v>0</v>
      </c>
      <c r="O2" s="116"/>
    </row>
    <row r="3" spans="2:16" s="78" customFormat="1" ht="90">
      <c r="B3" s="25" t="s">
        <v>131</v>
      </c>
      <c r="C3" s="25" t="s">
        <v>37</v>
      </c>
      <c r="D3" s="76" t="s">
        <v>143</v>
      </c>
      <c r="E3" s="76" t="s">
        <v>159</v>
      </c>
      <c r="F3" s="76" t="s">
        <v>92</v>
      </c>
      <c r="G3" s="76" t="s">
        <v>160</v>
      </c>
      <c r="H3" s="77" t="s">
        <v>161</v>
      </c>
      <c r="I3" s="77" t="s">
        <v>162</v>
      </c>
      <c r="J3" s="77" t="s">
        <v>163</v>
      </c>
      <c r="K3" s="77" t="s">
        <v>58</v>
      </c>
      <c r="L3" s="77" t="s">
        <v>164</v>
      </c>
      <c r="M3" s="77" t="s">
        <v>165</v>
      </c>
      <c r="N3" s="77" t="s">
        <v>59</v>
      </c>
      <c r="O3" s="77" t="s">
        <v>166</v>
      </c>
      <c r="P3" s="77" t="s">
        <v>157</v>
      </c>
    </row>
    <row r="4" spans="2:16" ht="50.1" customHeight="1">
      <c r="B4" s="28">
        <f>'MP (To Be Filled) Rural'!F3</f>
        <v>0</v>
      </c>
      <c r="C4" s="163">
        <f>'MP (To Be Filled) Rural'!I3</f>
        <v>0</v>
      </c>
      <c r="D4" s="165">
        <f>'MP (To Be Filled) Rural'!J10</f>
        <v>0</v>
      </c>
      <c r="E4" s="165">
        <f>'MP (To Be Filled) Rural'!J7</f>
        <v>17</v>
      </c>
      <c r="F4" s="165">
        <f>'MP (To Be Filled) Rural'!J4</f>
        <v>0</v>
      </c>
      <c r="G4" s="80">
        <f>G2</f>
        <v>7</v>
      </c>
      <c r="H4" s="165">
        <f>D4*G4*$H$2</f>
        <v>0</v>
      </c>
      <c r="I4" s="165">
        <f>I2</f>
        <v>7</v>
      </c>
      <c r="J4" s="165">
        <f>E4*I4*$J$2</f>
        <v>0</v>
      </c>
      <c r="K4" s="165">
        <f>E4*I4*$K$2</f>
        <v>0</v>
      </c>
      <c r="L4" s="165">
        <f>L2</f>
        <v>8</v>
      </c>
      <c r="M4" s="167">
        <f>F4*'Unit Cost'!C10*'Implementation of HH Registrati'!M2</f>
        <v>0</v>
      </c>
      <c r="N4" s="165">
        <f>F4*L4*$N$2</f>
        <v>0</v>
      </c>
      <c r="O4" s="165">
        <f>(E4+F4)*'Unit Cost'!C4</f>
        <v>0</v>
      </c>
      <c r="P4" s="168">
        <f>H4+J4+K4+M4+N4+O4</f>
        <v>0</v>
      </c>
    </row>
    <row r="5" spans="2:16" ht="20.100000000000001" customHeight="1">
      <c r="B5" s="82"/>
      <c r="C5" s="83"/>
      <c r="D5" s="84"/>
      <c r="E5" s="84"/>
      <c r="F5" s="84"/>
      <c r="G5" s="84"/>
      <c r="H5" s="85"/>
      <c r="I5" s="85"/>
      <c r="J5" s="86"/>
      <c r="K5" s="85"/>
      <c r="L5" s="85"/>
      <c r="M5" s="86"/>
      <c r="N5" s="85"/>
      <c r="O5" s="85"/>
      <c r="P5" s="87"/>
    </row>
    <row r="7" spans="2:16">
      <c r="P7" s="35"/>
    </row>
    <row r="8" spans="2:16">
      <c r="B8" s="88"/>
      <c r="C8" s="88"/>
    </row>
    <row r="9" spans="2:16">
      <c r="B9" s="90"/>
      <c r="C9" s="90"/>
    </row>
    <row r="10" spans="2:16">
      <c r="B10" s="91"/>
      <c r="C10" s="92"/>
    </row>
    <row r="11" spans="2:16">
      <c r="B11" s="93"/>
      <c r="C11" s="94"/>
    </row>
    <row r="12" spans="2:16">
      <c r="B12" s="93"/>
      <c r="C12" s="93"/>
    </row>
    <row r="13" spans="2:16">
      <c r="B13" s="93"/>
      <c r="C13" s="93"/>
    </row>
    <row r="14" spans="2:16">
      <c r="B14" s="93"/>
      <c r="C14" s="93"/>
    </row>
    <row r="15" spans="2:16">
      <c r="B15" s="95"/>
      <c r="C15" s="95"/>
    </row>
    <row r="16" spans="2:16">
      <c r="B16" s="96"/>
      <c r="C16" s="96"/>
    </row>
    <row r="17" spans="2:3" ht="15.75">
      <c r="B17" s="97"/>
      <c r="C17" s="98"/>
    </row>
    <row r="18" spans="2:3" ht="15.75">
      <c r="B18" s="97"/>
      <c r="C18" s="98"/>
    </row>
    <row r="19" spans="2:3" ht="15.75">
      <c r="B19" s="97"/>
      <c r="C19" s="98"/>
    </row>
    <row r="20" spans="2:3" ht="15.75">
      <c r="B20" s="97"/>
      <c r="C20" s="98"/>
    </row>
    <row r="21" spans="2:3" ht="15.75">
      <c r="B21" s="99"/>
      <c r="C21" s="100"/>
    </row>
    <row r="22" spans="2:3" ht="15.75">
      <c r="B22" s="97"/>
      <c r="C22" s="98"/>
    </row>
    <row r="23" spans="2:3" ht="15.75">
      <c r="B23" s="97"/>
      <c r="C23" s="98"/>
    </row>
    <row r="24" spans="2:3" ht="15.75">
      <c r="B24" s="97"/>
      <c r="C24" s="98"/>
    </row>
    <row r="25" spans="2:3" ht="15.75">
      <c r="B25" s="97"/>
      <c r="C25" s="98"/>
    </row>
    <row r="26" spans="2:3" ht="15.75">
      <c r="B26" s="97"/>
      <c r="C26" s="98"/>
    </row>
    <row r="27" spans="2:3" ht="15.75">
      <c r="B27" s="99"/>
      <c r="C27" s="100"/>
    </row>
    <row r="28" spans="2:3" ht="15.75">
      <c r="B28" s="101"/>
      <c r="C28" s="102"/>
    </row>
    <row r="29" spans="2:3" ht="15.75">
      <c r="B29" s="97"/>
      <c r="C29" s="98"/>
    </row>
    <row r="30" spans="2:3" ht="15.75">
      <c r="B30" s="97"/>
      <c r="C30" s="98"/>
    </row>
    <row r="31" spans="2:3" ht="15.75">
      <c r="B31" s="97"/>
      <c r="C31" s="98"/>
    </row>
    <row r="32" spans="2:3" ht="15.75">
      <c r="B32" s="97"/>
      <c r="C32" s="98"/>
    </row>
    <row r="33" spans="2:3" ht="15.75">
      <c r="B33" s="97"/>
      <c r="C33" s="98"/>
    </row>
    <row r="34" spans="2:3" ht="15.75">
      <c r="B34" s="101"/>
      <c r="C34" s="102"/>
    </row>
    <row r="35" spans="2:3" ht="15.75">
      <c r="B35" s="97"/>
      <c r="C35" s="98"/>
    </row>
    <row r="36" spans="2:3" ht="15.75">
      <c r="B36" s="97"/>
      <c r="C36" s="98"/>
    </row>
    <row r="37" spans="2:3" ht="15.75">
      <c r="B37" s="97"/>
      <c r="C37" s="98"/>
    </row>
    <row r="38" spans="2:3" ht="15.75">
      <c r="B38" s="97"/>
      <c r="C38" s="98"/>
    </row>
    <row r="39" spans="2:3" ht="15.75">
      <c r="B39" s="97"/>
      <c r="C39" s="98"/>
    </row>
    <row r="40" spans="2:3" ht="15.75">
      <c r="B40" s="99"/>
      <c r="C40" s="100"/>
    </row>
    <row r="41" spans="2:3" ht="15.75">
      <c r="B41" s="97"/>
      <c r="C41" s="98"/>
    </row>
    <row r="42" spans="2:3" ht="15.75">
      <c r="B42" s="97"/>
      <c r="C42" s="98"/>
    </row>
    <row r="43" spans="2:3" ht="15.75">
      <c r="B43" s="97"/>
      <c r="C43" s="98"/>
    </row>
    <row r="44" spans="2:3" ht="15.75">
      <c r="B44" s="103"/>
      <c r="C44" s="104"/>
    </row>
    <row r="45" spans="2:3" ht="15.75">
      <c r="B45" s="97"/>
      <c r="C45" s="98"/>
    </row>
    <row r="46" spans="2:3" ht="15.75">
      <c r="B46" s="97"/>
      <c r="C46" s="98"/>
    </row>
    <row r="47" spans="2:3" ht="15.75">
      <c r="B47" s="97"/>
      <c r="C47" s="98"/>
    </row>
    <row r="48" spans="2:3" ht="15.75">
      <c r="B48" s="97"/>
      <c r="C48" s="98"/>
    </row>
    <row r="49" spans="2:3" ht="15.75">
      <c r="B49" s="97"/>
      <c r="C49" s="98"/>
    </row>
    <row r="50" spans="2:3" ht="15.75">
      <c r="B50" s="103"/>
      <c r="C50" s="104"/>
    </row>
    <row r="51" spans="2:3" ht="15.75">
      <c r="B51" s="97"/>
      <c r="C51" s="98"/>
    </row>
    <row r="52" spans="2:3" ht="15.75">
      <c r="B52" s="97"/>
      <c r="C52" s="98"/>
    </row>
    <row r="53" spans="2:3" ht="15.75">
      <c r="B53" s="97"/>
      <c r="C53" s="98"/>
    </row>
    <row r="54" spans="2:3" ht="15.75">
      <c r="B54" s="99"/>
      <c r="C54" s="100"/>
    </row>
    <row r="55" spans="2:3" ht="15.75">
      <c r="B55" s="101"/>
      <c r="C55" s="102"/>
    </row>
    <row r="56" spans="2:3" ht="15.75">
      <c r="B56" s="97"/>
      <c r="C56" s="98"/>
    </row>
    <row r="57" spans="2:3" ht="15.75">
      <c r="B57" s="97"/>
      <c r="C57" s="98"/>
    </row>
    <row r="58" spans="2:3" ht="15.75">
      <c r="B58" s="97"/>
      <c r="C58" s="98"/>
    </row>
    <row r="59" spans="2:3" ht="15.75">
      <c r="B59" s="97"/>
      <c r="C59" s="98"/>
    </row>
    <row r="60" spans="2:3" ht="15.75">
      <c r="B60" s="97"/>
      <c r="C60" s="98"/>
    </row>
    <row r="61" spans="2:3" ht="15.75">
      <c r="B61" s="97"/>
      <c r="C61" s="98"/>
    </row>
    <row r="62" spans="2:3" ht="15.75">
      <c r="B62" s="97"/>
      <c r="C62" s="98"/>
    </row>
    <row r="63" spans="2:3" ht="15.75">
      <c r="B63" s="105"/>
      <c r="C63" s="106"/>
    </row>
    <row r="64" spans="2:3" ht="15.75">
      <c r="B64" s="101"/>
      <c r="C64" s="102"/>
    </row>
    <row r="65" spans="2:3" ht="15.75">
      <c r="B65" s="97"/>
      <c r="C65" s="98"/>
    </row>
    <row r="66" spans="2:3" ht="15.75">
      <c r="B66" s="97"/>
      <c r="C66" s="98"/>
    </row>
    <row r="67" spans="2:3" ht="15.75">
      <c r="B67" s="97"/>
      <c r="C67" s="98"/>
    </row>
    <row r="68" spans="2:3" ht="15.75">
      <c r="B68" s="97"/>
      <c r="C68" s="98"/>
    </row>
    <row r="69" spans="2:3" ht="15.75">
      <c r="B69" s="97"/>
      <c r="C69" s="98"/>
    </row>
    <row r="70" spans="2:3" ht="15.75">
      <c r="B70" s="97"/>
      <c r="C70" s="98"/>
    </row>
    <row r="71" spans="2:3" ht="15.75">
      <c r="B71" s="103"/>
      <c r="C71" s="104"/>
    </row>
    <row r="72" spans="2:3" ht="15.75">
      <c r="B72" s="101"/>
      <c r="C72" s="102"/>
    </row>
    <row r="73" spans="2:3" ht="15.75">
      <c r="B73" s="97"/>
      <c r="C73" s="98"/>
    </row>
    <row r="74" spans="2:3" ht="15.75">
      <c r="B74" s="97"/>
      <c r="C74" s="98"/>
    </row>
    <row r="75" spans="2:3" ht="15.75">
      <c r="B75" s="97"/>
      <c r="C75" s="98"/>
    </row>
    <row r="76" spans="2:3" ht="15.75">
      <c r="B76" s="97"/>
      <c r="C76" s="98"/>
    </row>
    <row r="77" spans="2:3" ht="15.75">
      <c r="B77" s="97"/>
      <c r="C77" s="98"/>
    </row>
    <row r="78" spans="2:3" ht="15.75">
      <c r="B78" s="103"/>
      <c r="C78" s="104"/>
    </row>
    <row r="79" spans="2:3" ht="15.75">
      <c r="B79" s="101"/>
      <c r="C79" s="102"/>
    </row>
    <row r="80" spans="2:3" ht="15.75">
      <c r="B80" s="97"/>
      <c r="C80" s="98"/>
    </row>
    <row r="81" spans="2:3" ht="15.75">
      <c r="B81" s="107"/>
      <c r="C81" s="98"/>
    </row>
    <row r="82" spans="2:3" ht="15.75">
      <c r="B82" s="97"/>
      <c r="C82" s="98"/>
    </row>
    <row r="83" spans="2:3" ht="15.75">
      <c r="B83" s="97"/>
      <c r="C83" s="98"/>
    </row>
    <row r="84" spans="2:3" ht="15.75">
      <c r="B84" s="97"/>
      <c r="C84" s="98"/>
    </row>
    <row r="85" spans="2:3" ht="15.75">
      <c r="B85" s="97"/>
      <c r="C85" s="98"/>
    </row>
    <row r="86" spans="2:3" ht="15.75">
      <c r="B86" s="97"/>
      <c r="C86" s="98"/>
    </row>
    <row r="87" spans="2:3" ht="15.75">
      <c r="B87" s="97"/>
      <c r="C87" s="98"/>
    </row>
    <row r="88" spans="2:3" ht="15.75">
      <c r="B88" s="101"/>
      <c r="C88" s="102"/>
    </row>
    <row r="89" spans="2:3" ht="15.75">
      <c r="B89" s="97"/>
      <c r="C89" s="98"/>
    </row>
    <row r="90" spans="2:3" ht="15.75">
      <c r="B90" s="101"/>
      <c r="C90" s="102"/>
    </row>
    <row r="91" spans="2:3" ht="15.75">
      <c r="B91" s="97"/>
      <c r="C91" s="98"/>
    </row>
    <row r="92" spans="2:3" ht="15.75">
      <c r="B92" s="97"/>
      <c r="C92" s="98"/>
    </row>
    <row r="93" spans="2:3" ht="15.75">
      <c r="B93" s="97"/>
      <c r="C93" s="98"/>
    </row>
    <row r="94" spans="2:3" ht="15.75">
      <c r="B94" s="101"/>
      <c r="C94" s="102"/>
    </row>
    <row r="95" spans="2:3" ht="15.75">
      <c r="B95" s="101"/>
      <c r="C95" s="102"/>
    </row>
    <row r="96" spans="2:3" ht="15.75">
      <c r="B96" s="97"/>
      <c r="C96" s="98"/>
    </row>
    <row r="97" spans="2:3" ht="15.75">
      <c r="B97" s="97"/>
      <c r="C97" s="98"/>
    </row>
    <row r="98" spans="2:3" ht="15.75">
      <c r="B98" s="97"/>
      <c r="C98" s="98"/>
    </row>
    <row r="99" spans="2:3" ht="15.75">
      <c r="B99" s="101"/>
      <c r="C99" s="102"/>
    </row>
    <row r="100" spans="2:3" ht="15.75">
      <c r="B100" s="101"/>
      <c r="C100" s="102"/>
    </row>
    <row r="101" spans="2:3" ht="15.75">
      <c r="B101" s="97"/>
      <c r="C101" s="98"/>
    </row>
    <row r="102" spans="2:3" ht="15.75">
      <c r="B102" s="97"/>
      <c r="C102" s="98"/>
    </row>
    <row r="103" spans="2:3" ht="15.75">
      <c r="B103" s="97"/>
      <c r="C103" s="98"/>
    </row>
    <row r="104" spans="2:3" ht="15.75">
      <c r="B104" s="97"/>
      <c r="C104" s="98"/>
    </row>
    <row r="105" spans="2:3" ht="15.75">
      <c r="B105" s="97"/>
      <c r="C105" s="98"/>
    </row>
    <row r="106" spans="2:3" ht="15.75">
      <c r="B106" s="97"/>
      <c r="C106" s="98"/>
    </row>
    <row r="107" spans="2:3" ht="15.75">
      <c r="B107" s="101"/>
      <c r="C107" s="102"/>
    </row>
    <row r="108" spans="2:3">
      <c r="B108" s="93"/>
      <c r="C108" s="93"/>
    </row>
    <row r="109" spans="2:3">
      <c r="B109" s="93"/>
      <c r="C109" s="93"/>
    </row>
    <row r="110" spans="2:3">
      <c r="B110" s="93"/>
      <c r="C110" s="93"/>
    </row>
    <row r="111" spans="2:3">
      <c r="B111" s="90"/>
      <c r="C111" s="90"/>
    </row>
    <row r="112" spans="2:3">
      <c r="B112" s="93"/>
      <c r="C112" s="93"/>
    </row>
    <row r="113" spans="2:3">
      <c r="B113" s="93"/>
      <c r="C113" s="93"/>
    </row>
    <row r="114" spans="2:3">
      <c r="B114" s="91"/>
      <c r="C114" s="92"/>
    </row>
    <row r="115" spans="2:3">
      <c r="B115" s="90"/>
      <c r="C115" s="90"/>
    </row>
    <row r="116" spans="2:3">
      <c r="B116" s="90"/>
      <c r="C116" s="90"/>
    </row>
    <row r="117" spans="2:3">
      <c r="B117" s="91"/>
      <c r="C117" s="92"/>
    </row>
    <row r="118" spans="2:3">
      <c r="B118" s="93"/>
      <c r="C118" s="93"/>
    </row>
    <row r="119" spans="2:3">
      <c r="B119" s="93"/>
      <c r="C119" s="93"/>
    </row>
    <row r="120" spans="2:3">
      <c r="B120" s="91"/>
      <c r="C120" s="93"/>
    </row>
    <row r="121" spans="2:3">
      <c r="B121" s="93"/>
      <c r="C121" s="94"/>
    </row>
    <row r="122" spans="2:3">
      <c r="B122" s="93"/>
      <c r="C122" s="93"/>
    </row>
    <row r="123" spans="2:3">
      <c r="B123" s="95"/>
      <c r="C123" s="95"/>
    </row>
    <row r="124" spans="2:3">
      <c r="B124" s="96"/>
      <c r="C124" s="96"/>
    </row>
    <row r="125" spans="2:3">
      <c r="B125" s="93"/>
      <c r="C125" s="93"/>
    </row>
    <row r="126" spans="2:3">
      <c r="B126" s="93"/>
      <c r="C126" s="93"/>
    </row>
    <row r="127" spans="2:3">
      <c r="B127" s="93"/>
      <c r="C127" s="93"/>
    </row>
    <row r="128" spans="2:3">
      <c r="B128" s="93"/>
      <c r="C128" s="93"/>
    </row>
    <row r="129" spans="2:3">
      <c r="B129" s="91"/>
      <c r="C129" s="92"/>
    </row>
    <row r="130" spans="2:3">
      <c r="B130" s="93"/>
      <c r="C130" s="94"/>
    </row>
    <row r="131" spans="2:3">
      <c r="B131" s="93"/>
      <c r="C131" s="93"/>
    </row>
    <row r="132" spans="2:3">
      <c r="B132" s="93"/>
      <c r="C132" s="93"/>
    </row>
    <row r="133" spans="2:3">
      <c r="B133" s="93"/>
      <c r="C133" s="93"/>
    </row>
    <row r="134" spans="2:3">
      <c r="B134" s="93"/>
      <c r="C134" s="93"/>
    </row>
    <row r="135" spans="2:3">
      <c r="B135" s="96"/>
      <c r="C135" s="96"/>
    </row>
    <row r="136" spans="2:3">
      <c r="B136" s="93"/>
      <c r="C136" s="93"/>
    </row>
    <row r="137" spans="2:3">
      <c r="B137" s="93"/>
      <c r="C137" s="93"/>
    </row>
    <row r="138" spans="2:3">
      <c r="B138" s="93"/>
      <c r="C138" s="93"/>
    </row>
    <row r="139" spans="2:3">
      <c r="B139" s="93"/>
      <c r="C139" s="93"/>
    </row>
    <row r="140" spans="2:3">
      <c r="B140" s="108"/>
      <c r="C140" s="109"/>
    </row>
    <row r="141" spans="2:3">
      <c r="B141" s="108"/>
      <c r="C141" s="109"/>
    </row>
    <row r="142" spans="2:3">
      <c r="B142" s="108"/>
      <c r="C142" s="109"/>
    </row>
    <row r="143" spans="2:3">
      <c r="B143" s="108"/>
      <c r="C143" s="93"/>
    </row>
    <row r="144" spans="2:3" ht="18.75">
      <c r="B144" s="110"/>
      <c r="C144" s="91"/>
    </row>
    <row r="145" spans="2:3" ht="18.75">
      <c r="B145" s="110"/>
      <c r="C145" s="91"/>
    </row>
    <row r="146" spans="2:3">
      <c r="B146" s="108"/>
      <c r="C146" s="111"/>
    </row>
    <row r="147" spans="2:3" ht="18.75">
      <c r="B147" s="110"/>
      <c r="C147" s="91"/>
    </row>
    <row r="148" spans="2:3">
      <c r="B148" s="93"/>
      <c r="C148" s="93"/>
    </row>
    <row r="149" spans="2:3">
      <c r="B149" s="93"/>
      <c r="C149" s="93"/>
    </row>
    <row r="150" spans="2:3">
      <c r="B150" s="93"/>
      <c r="C150" s="93"/>
    </row>
    <row r="151" spans="2:3">
      <c r="B151" s="93"/>
      <c r="C151" s="93"/>
    </row>
    <row r="152" spans="2:3">
      <c r="B152" s="93"/>
      <c r="C152" s="93"/>
    </row>
    <row r="153" spans="2:3">
      <c r="B153" s="112"/>
      <c r="C153" s="109"/>
    </row>
    <row r="154" spans="2:3">
      <c r="B154" s="109"/>
      <c r="C154" s="109"/>
    </row>
    <row r="155" spans="2:3">
      <c r="B155" s="109"/>
      <c r="C155" s="109"/>
    </row>
    <row r="156" spans="2:3">
      <c r="B156" s="91"/>
      <c r="C156" s="93"/>
    </row>
    <row r="157" spans="2:3">
      <c r="B157" s="93"/>
      <c r="C157" s="93"/>
    </row>
    <row r="158" spans="2:3">
      <c r="B158" s="93"/>
      <c r="C158" s="93"/>
    </row>
    <row r="159" spans="2:3">
      <c r="B159" s="93"/>
      <c r="C159" s="93"/>
    </row>
    <row r="160" spans="2:3">
      <c r="B160" s="93"/>
      <c r="C160" s="93"/>
    </row>
    <row r="161" spans="2:3">
      <c r="B161" s="91"/>
      <c r="C161" s="92"/>
    </row>
    <row r="162" spans="2:3">
      <c r="B162" s="93"/>
      <c r="C162" s="94"/>
    </row>
    <row r="163" spans="2:3">
      <c r="B163" s="93"/>
      <c r="C163" s="93"/>
    </row>
    <row r="164" spans="2:3">
      <c r="B164" s="93"/>
      <c r="C164" s="93"/>
    </row>
    <row r="165" spans="2:3">
      <c r="B165" s="93"/>
      <c r="C165" s="93"/>
    </row>
    <row r="166" spans="2:3">
      <c r="B166" s="93"/>
      <c r="C166" s="93"/>
    </row>
    <row r="167" spans="2:3">
      <c r="B167" s="96"/>
      <c r="C167" s="96"/>
    </row>
    <row r="168" spans="2:3">
      <c r="B168" s="96"/>
      <c r="C168" s="96"/>
    </row>
    <row r="169" spans="2:3">
      <c r="B169" s="96"/>
      <c r="C169" s="9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Q169"/>
  <sheetViews>
    <sheetView workbookViewId="0"/>
  </sheetViews>
  <sheetFormatPr defaultColWidth="13.5703125" defaultRowHeight="15"/>
  <cols>
    <col min="1" max="1" width="3.42578125" style="20" customWidth="1"/>
    <col min="2" max="2" width="14.5703125" style="20" customWidth="1"/>
    <col min="3" max="3" width="15.5703125" style="20" customWidth="1"/>
    <col min="4" max="6" width="13.5703125" style="69"/>
    <col min="7" max="9" width="15.42578125" style="69" customWidth="1"/>
    <col min="10" max="12" width="13.5703125" style="69"/>
    <col min="13" max="13" width="13.5703125" style="20"/>
    <col min="14" max="15" width="13.5703125" style="69"/>
    <col min="16" max="16" width="14.5703125" style="69" customWidth="1"/>
    <col min="17" max="16384" width="13.5703125" style="20"/>
  </cols>
  <sheetData>
    <row r="1" spans="2:17" ht="17.100000000000001" customHeight="1" thickBot="1">
      <c r="B1" s="117" t="s">
        <v>167</v>
      </c>
    </row>
    <row r="2" spans="2:17" ht="28.35" customHeight="1">
      <c r="B2" s="70"/>
      <c r="H2" s="71">
        <v>40</v>
      </c>
      <c r="I2" s="72">
        <v>2</v>
      </c>
      <c r="J2" s="72">
        <v>2</v>
      </c>
      <c r="K2" s="118">
        <f>'[1]Unit cost'!C17</f>
        <v>3000</v>
      </c>
      <c r="L2" s="118">
        <v>150</v>
      </c>
      <c r="M2" s="74">
        <f>'[1]Unit cost'!C8</f>
        <v>7000</v>
      </c>
      <c r="N2" s="74">
        <f>'[1]Unit cost'!C17</f>
        <v>3000</v>
      </c>
      <c r="O2" s="75">
        <f>'[1]Unit cost'!C8</f>
        <v>7000</v>
      </c>
      <c r="P2" s="119">
        <f>'[1]Unit cost'!C6</f>
        <v>3000</v>
      </c>
    </row>
    <row r="3" spans="2:17" s="78" customFormat="1" ht="90">
      <c r="B3" s="25" t="s">
        <v>131</v>
      </c>
      <c r="C3" s="25" t="s">
        <v>37</v>
      </c>
      <c r="D3" s="76" t="s">
        <v>168</v>
      </c>
      <c r="E3" s="76" t="s">
        <v>169</v>
      </c>
      <c r="F3" s="76" t="s">
        <v>170</v>
      </c>
      <c r="G3" s="76" t="s">
        <v>171</v>
      </c>
      <c r="H3" s="76" t="s">
        <v>172</v>
      </c>
      <c r="I3" s="76" t="s">
        <v>146</v>
      </c>
      <c r="J3" s="76" t="s">
        <v>147</v>
      </c>
      <c r="K3" s="76" t="s">
        <v>173</v>
      </c>
      <c r="L3" s="76" t="s">
        <v>174</v>
      </c>
      <c r="M3" s="77" t="s">
        <v>175</v>
      </c>
      <c r="N3" s="77" t="s">
        <v>176</v>
      </c>
      <c r="O3" s="77" t="s">
        <v>177</v>
      </c>
      <c r="P3" s="77" t="s">
        <v>178</v>
      </c>
      <c r="Q3" s="77" t="s">
        <v>179</v>
      </c>
    </row>
    <row r="4" spans="2:17" ht="50.1" customHeight="1">
      <c r="B4" s="79" t="str">
        <f>'[1]MP (To be filled) Rural'!F3</f>
        <v>LILONGWE</v>
      </c>
      <c r="C4" s="79">
        <f>'[1]MP (To be filled) Rural'!H3</f>
        <v>0</v>
      </c>
      <c r="D4" s="29">
        <f>'[1]MP (To be filled) Rural'!I8</f>
        <v>0</v>
      </c>
      <c r="E4" s="29">
        <f>'[1]MP (To be filled) Rural'!I5</f>
        <v>0</v>
      </c>
      <c r="F4" s="80">
        <v>2</v>
      </c>
      <c r="G4" s="80">
        <v>1</v>
      </c>
      <c r="H4" s="80">
        <f>(D4+E4)/$H$2</f>
        <v>0</v>
      </c>
      <c r="I4" s="80">
        <f>H4*$I$2</f>
        <v>0</v>
      </c>
      <c r="J4" s="29">
        <f>J2</f>
        <v>2</v>
      </c>
      <c r="K4" s="29">
        <f>I4*J4*$K$2</f>
        <v>0</v>
      </c>
      <c r="L4" s="29">
        <f>(I4/2)*'[1]Unit cost'!C10*J4*H4</f>
        <v>0</v>
      </c>
      <c r="M4" s="29">
        <f>E4*F4*$M$2</f>
        <v>0</v>
      </c>
      <c r="N4" s="29">
        <f>E4*N2*F4</f>
        <v>0</v>
      </c>
      <c r="O4" s="29">
        <f>D4*$O$2</f>
        <v>0</v>
      </c>
      <c r="P4" s="29">
        <f>D4*G4*$P$2</f>
        <v>0</v>
      </c>
      <c r="Q4" s="81">
        <f>K4+M4+N4+O4+P4</f>
        <v>0</v>
      </c>
    </row>
    <row r="5" spans="2:17" ht="20.100000000000001" customHeight="1">
      <c r="B5" s="82"/>
      <c r="C5" s="83"/>
      <c r="D5" s="84"/>
      <c r="E5" s="84"/>
      <c r="F5" s="84"/>
      <c r="G5" s="84"/>
      <c r="H5" s="84"/>
      <c r="I5" s="84"/>
      <c r="J5" s="84"/>
      <c r="K5" s="84"/>
      <c r="L5" s="84"/>
      <c r="M5" s="86"/>
      <c r="N5" s="85"/>
      <c r="O5" s="85"/>
      <c r="P5" s="85"/>
      <c r="Q5" s="87"/>
    </row>
    <row r="7" spans="2:17">
      <c r="Q7" s="35"/>
    </row>
    <row r="8" spans="2:17">
      <c r="B8" s="88"/>
      <c r="C8" s="88"/>
    </row>
    <row r="9" spans="2:17">
      <c r="B9" s="90"/>
      <c r="C9" s="90"/>
    </row>
    <row r="10" spans="2:17">
      <c r="B10" s="91"/>
      <c r="C10" s="92"/>
    </row>
    <row r="11" spans="2:17">
      <c r="B11" s="93"/>
      <c r="C11" s="94"/>
    </row>
    <row r="12" spans="2:17">
      <c r="B12" s="93"/>
      <c r="C12" s="93"/>
    </row>
    <row r="13" spans="2:17">
      <c r="B13" s="93"/>
      <c r="C13" s="93"/>
    </row>
    <row r="14" spans="2:17">
      <c r="B14" s="93"/>
      <c r="C14" s="93"/>
    </row>
    <row r="15" spans="2:17">
      <c r="B15" s="95"/>
      <c r="C15" s="95"/>
    </row>
    <row r="16" spans="2:17">
      <c r="B16" s="96"/>
      <c r="C16" s="96"/>
    </row>
    <row r="17" spans="2:3" ht="15.75">
      <c r="B17" s="97"/>
      <c r="C17" s="98"/>
    </row>
    <row r="18" spans="2:3" ht="15.75">
      <c r="B18" s="97"/>
      <c r="C18" s="98"/>
    </row>
    <row r="19" spans="2:3" ht="15.75">
      <c r="B19" s="97"/>
      <c r="C19" s="98"/>
    </row>
    <row r="20" spans="2:3" ht="15.75">
      <c r="B20" s="97"/>
      <c r="C20" s="98"/>
    </row>
    <row r="21" spans="2:3" ht="15.75">
      <c r="B21" s="99"/>
      <c r="C21" s="100"/>
    </row>
    <row r="22" spans="2:3" ht="15.75">
      <c r="B22" s="97"/>
      <c r="C22" s="98"/>
    </row>
    <row r="23" spans="2:3" ht="15.75">
      <c r="B23" s="97"/>
      <c r="C23" s="98"/>
    </row>
    <row r="24" spans="2:3" ht="15.75">
      <c r="B24" s="97"/>
      <c r="C24" s="98"/>
    </row>
    <row r="25" spans="2:3" ht="15.75">
      <c r="B25" s="97"/>
      <c r="C25" s="98"/>
    </row>
    <row r="26" spans="2:3" ht="15.75">
      <c r="B26" s="97"/>
      <c r="C26" s="98"/>
    </row>
    <row r="27" spans="2:3" ht="15.75">
      <c r="B27" s="99"/>
      <c r="C27" s="100"/>
    </row>
    <row r="28" spans="2:3" ht="15.75">
      <c r="B28" s="101"/>
      <c r="C28" s="102"/>
    </row>
    <row r="29" spans="2:3" ht="15.75">
      <c r="B29" s="97"/>
      <c r="C29" s="98"/>
    </row>
    <row r="30" spans="2:3" ht="15.75">
      <c r="B30" s="97"/>
      <c r="C30" s="98"/>
    </row>
    <row r="31" spans="2:3" ht="15.75">
      <c r="B31" s="97"/>
      <c r="C31" s="98"/>
    </row>
    <row r="32" spans="2:3" ht="15.75">
      <c r="B32" s="97"/>
      <c r="C32" s="98"/>
    </row>
    <row r="33" spans="2:3" ht="15.75">
      <c r="B33" s="97"/>
      <c r="C33" s="98"/>
    </row>
    <row r="34" spans="2:3" ht="15.75">
      <c r="B34" s="101"/>
      <c r="C34" s="102"/>
    </row>
    <row r="35" spans="2:3" ht="15.75">
      <c r="B35" s="97"/>
      <c r="C35" s="98"/>
    </row>
    <row r="36" spans="2:3" ht="15.75">
      <c r="B36" s="97"/>
      <c r="C36" s="98"/>
    </row>
    <row r="37" spans="2:3" ht="15.75">
      <c r="B37" s="97"/>
      <c r="C37" s="98"/>
    </row>
    <row r="38" spans="2:3" ht="15.75">
      <c r="B38" s="97"/>
      <c r="C38" s="98"/>
    </row>
    <row r="39" spans="2:3" ht="15.75">
      <c r="B39" s="97"/>
      <c r="C39" s="98"/>
    </row>
    <row r="40" spans="2:3" ht="15.75">
      <c r="B40" s="99"/>
      <c r="C40" s="100"/>
    </row>
    <row r="41" spans="2:3" ht="15.75">
      <c r="B41" s="97"/>
      <c r="C41" s="98"/>
    </row>
    <row r="42" spans="2:3" ht="15.75">
      <c r="B42" s="97"/>
      <c r="C42" s="98"/>
    </row>
    <row r="43" spans="2:3" ht="15.75">
      <c r="B43" s="97"/>
      <c r="C43" s="98"/>
    </row>
    <row r="44" spans="2:3" ht="15.75">
      <c r="B44" s="103"/>
      <c r="C44" s="104"/>
    </row>
    <row r="45" spans="2:3" ht="15.75">
      <c r="B45" s="97"/>
      <c r="C45" s="98"/>
    </row>
    <row r="46" spans="2:3" ht="15.75">
      <c r="B46" s="97"/>
      <c r="C46" s="98"/>
    </row>
    <row r="47" spans="2:3" ht="15.75">
      <c r="B47" s="97"/>
      <c r="C47" s="98"/>
    </row>
    <row r="48" spans="2:3" ht="15.75">
      <c r="B48" s="97"/>
      <c r="C48" s="98"/>
    </row>
    <row r="49" spans="2:3" ht="15.75">
      <c r="B49" s="97"/>
      <c r="C49" s="98"/>
    </row>
    <row r="50" spans="2:3" ht="15.75">
      <c r="B50" s="103"/>
      <c r="C50" s="104"/>
    </row>
    <row r="51" spans="2:3" ht="15.75">
      <c r="B51" s="97"/>
      <c r="C51" s="98"/>
    </row>
    <row r="52" spans="2:3" ht="15.75">
      <c r="B52" s="97"/>
      <c r="C52" s="98"/>
    </row>
    <row r="53" spans="2:3" ht="15.75">
      <c r="B53" s="97"/>
      <c r="C53" s="98"/>
    </row>
    <row r="54" spans="2:3" ht="15.75">
      <c r="B54" s="99"/>
      <c r="C54" s="100"/>
    </row>
    <row r="55" spans="2:3" ht="15.75">
      <c r="B55" s="101"/>
      <c r="C55" s="102"/>
    </row>
    <row r="56" spans="2:3" ht="15.75">
      <c r="B56" s="97"/>
      <c r="C56" s="98"/>
    </row>
    <row r="57" spans="2:3" ht="15.75">
      <c r="B57" s="97"/>
      <c r="C57" s="98"/>
    </row>
    <row r="58" spans="2:3" ht="15.75">
      <c r="B58" s="97"/>
      <c r="C58" s="98"/>
    </row>
    <row r="59" spans="2:3" ht="15.75">
      <c r="B59" s="97"/>
      <c r="C59" s="98"/>
    </row>
    <row r="60" spans="2:3" ht="15.75">
      <c r="B60" s="97"/>
      <c r="C60" s="98"/>
    </row>
    <row r="61" spans="2:3" ht="15.75">
      <c r="B61" s="97"/>
      <c r="C61" s="98"/>
    </row>
    <row r="62" spans="2:3" ht="15.75">
      <c r="B62" s="97"/>
      <c r="C62" s="98"/>
    </row>
    <row r="63" spans="2:3" ht="15.75">
      <c r="B63" s="105"/>
      <c r="C63" s="106"/>
    </row>
    <row r="64" spans="2:3" ht="15.75">
      <c r="B64" s="101"/>
      <c r="C64" s="102"/>
    </row>
    <row r="65" spans="2:3" ht="15.75">
      <c r="B65" s="97"/>
      <c r="C65" s="98"/>
    </row>
    <row r="66" spans="2:3" ht="15.75">
      <c r="B66" s="97"/>
      <c r="C66" s="98"/>
    </row>
    <row r="67" spans="2:3" ht="15.75">
      <c r="B67" s="97"/>
      <c r="C67" s="98"/>
    </row>
    <row r="68" spans="2:3" ht="15.75">
      <c r="B68" s="97"/>
      <c r="C68" s="98"/>
    </row>
    <row r="69" spans="2:3" ht="15.75">
      <c r="B69" s="97"/>
      <c r="C69" s="98"/>
    </row>
    <row r="70" spans="2:3" ht="15.75">
      <c r="B70" s="97"/>
      <c r="C70" s="98"/>
    </row>
    <row r="71" spans="2:3" ht="15.75">
      <c r="B71" s="103"/>
      <c r="C71" s="104"/>
    </row>
    <row r="72" spans="2:3" ht="15.75">
      <c r="B72" s="101"/>
      <c r="C72" s="102"/>
    </row>
    <row r="73" spans="2:3" ht="15.75">
      <c r="B73" s="97"/>
      <c r="C73" s="98"/>
    </row>
    <row r="74" spans="2:3" ht="15.75">
      <c r="B74" s="97"/>
      <c r="C74" s="98"/>
    </row>
    <row r="75" spans="2:3" ht="15.75">
      <c r="B75" s="97"/>
      <c r="C75" s="98"/>
    </row>
    <row r="76" spans="2:3" ht="15.75">
      <c r="B76" s="97"/>
      <c r="C76" s="98"/>
    </row>
    <row r="77" spans="2:3" ht="15.75">
      <c r="B77" s="97"/>
      <c r="C77" s="98"/>
    </row>
    <row r="78" spans="2:3" ht="15.75">
      <c r="B78" s="103"/>
      <c r="C78" s="104"/>
    </row>
    <row r="79" spans="2:3" ht="15.75">
      <c r="B79" s="101"/>
      <c r="C79" s="102"/>
    </row>
    <row r="80" spans="2:3" ht="15.75">
      <c r="B80" s="97"/>
      <c r="C80" s="98"/>
    </row>
    <row r="81" spans="2:3" ht="15.75">
      <c r="B81" s="107"/>
      <c r="C81" s="98"/>
    </row>
    <row r="82" spans="2:3" ht="15.75">
      <c r="B82" s="97"/>
      <c r="C82" s="98"/>
    </row>
    <row r="83" spans="2:3" ht="15.75">
      <c r="B83" s="97"/>
      <c r="C83" s="98"/>
    </row>
    <row r="84" spans="2:3" ht="15.75">
      <c r="B84" s="97"/>
      <c r="C84" s="98"/>
    </row>
    <row r="85" spans="2:3" ht="15.75">
      <c r="B85" s="97"/>
      <c r="C85" s="98"/>
    </row>
    <row r="86" spans="2:3" ht="15.75">
      <c r="B86" s="97"/>
      <c r="C86" s="98"/>
    </row>
    <row r="87" spans="2:3" ht="15.75">
      <c r="B87" s="97"/>
      <c r="C87" s="98"/>
    </row>
    <row r="88" spans="2:3" ht="15.75">
      <c r="B88" s="101"/>
      <c r="C88" s="102"/>
    </row>
    <row r="89" spans="2:3" ht="15.75">
      <c r="B89" s="97"/>
      <c r="C89" s="98"/>
    </row>
    <row r="90" spans="2:3" ht="15.75">
      <c r="B90" s="101"/>
      <c r="C90" s="102"/>
    </row>
    <row r="91" spans="2:3" ht="15.75">
      <c r="B91" s="97"/>
      <c r="C91" s="98"/>
    </row>
    <row r="92" spans="2:3" ht="15.75">
      <c r="B92" s="97"/>
      <c r="C92" s="98"/>
    </row>
    <row r="93" spans="2:3" ht="15.75">
      <c r="B93" s="97"/>
      <c r="C93" s="98"/>
    </row>
    <row r="94" spans="2:3" ht="15.75">
      <c r="B94" s="101"/>
      <c r="C94" s="102"/>
    </row>
    <row r="95" spans="2:3" ht="15.75">
      <c r="B95" s="101"/>
      <c r="C95" s="102"/>
    </row>
    <row r="96" spans="2:3" ht="15.75">
      <c r="B96" s="97"/>
      <c r="C96" s="98"/>
    </row>
    <row r="97" spans="2:3" ht="15.75">
      <c r="B97" s="97"/>
      <c r="C97" s="98"/>
    </row>
    <row r="98" spans="2:3" ht="15.75">
      <c r="B98" s="97"/>
      <c r="C98" s="98"/>
    </row>
    <row r="99" spans="2:3" ht="15.75">
      <c r="B99" s="101"/>
      <c r="C99" s="102"/>
    </row>
    <row r="100" spans="2:3" ht="15.75">
      <c r="B100" s="101"/>
      <c r="C100" s="102"/>
    </row>
    <row r="101" spans="2:3" ht="15.75">
      <c r="B101" s="97"/>
      <c r="C101" s="98"/>
    </row>
    <row r="102" spans="2:3" ht="15.75">
      <c r="B102" s="97"/>
      <c r="C102" s="98"/>
    </row>
    <row r="103" spans="2:3" ht="15.75">
      <c r="B103" s="97"/>
      <c r="C103" s="98"/>
    </row>
    <row r="104" spans="2:3" ht="15.75">
      <c r="B104" s="97"/>
      <c r="C104" s="98"/>
    </row>
    <row r="105" spans="2:3" ht="15.75">
      <c r="B105" s="97"/>
      <c r="C105" s="98"/>
    </row>
    <row r="106" spans="2:3" ht="15.75">
      <c r="B106" s="97"/>
      <c r="C106" s="98"/>
    </row>
    <row r="107" spans="2:3" ht="15.75">
      <c r="B107" s="101"/>
      <c r="C107" s="102"/>
    </row>
    <row r="108" spans="2:3">
      <c r="B108" s="93"/>
      <c r="C108" s="93"/>
    </row>
    <row r="109" spans="2:3">
      <c r="B109" s="93"/>
      <c r="C109" s="93"/>
    </row>
    <row r="110" spans="2:3">
      <c r="B110" s="93"/>
      <c r="C110" s="93"/>
    </row>
    <row r="111" spans="2:3">
      <c r="B111" s="90"/>
      <c r="C111" s="90"/>
    </row>
    <row r="112" spans="2:3">
      <c r="B112" s="93"/>
      <c r="C112" s="93"/>
    </row>
    <row r="113" spans="2:3">
      <c r="B113" s="93"/>
      <c r="C113" s="93"/>
    </row>
    <row r="114" spans="2:3">
      <c r="B114" s="91"/>
      <c r="C114" s="92"/>
    </row>
    <row r="115" spans="2:3">
      <c r="B115" s="90"/>
      <c r="C115" s="90"/>
    </row>
    <row r="116" spans="2:3">
      <c r="B116" s="90"/>
      <c r="C116" s="90"/>
    </row>
    <row r="117" spans="2:3">
      <c r="B117" s="91"/>
      <c r="C117" s="92"/>
    </row>
    <row r="118" spans="2:3">
      <c r="B118" s="93"/>
      <c r="C118" s="93"/>
    </row>
    <row r="119" spans="2:3">
      <c r="B119" s="93"/>
      <c r="C119" s="93"/>
    </row>
    <row r="120" spans="2:3">
      <c r="B120" s="91"/>
      <c r="C120" s="93"/>
    </row>
    <row r="121" spans="2:3">
      <c r="B121" s="93"/>
      <c r="C121" s="94"/>
    </row>
    <row r="122" spans="2:3">
      <c r="B122" s="93"/>
      <c r="C122" s="93"/>
    </row>
    <row r="123" spans="2:3">
      <c r="B123" s="95"/>
      <c r="C123" s="95"/>
    </row>
    <row r="124" spans="2:3">
      <c r="B124" s="96"/>
      <c r="C124" s="96"/>
    </row>
    <row r="125" spans="2:3">
      <c r="B125" s="93"/>
      <c r="C125" s="93"/>
    </row>
    <row r="126" spans="2:3">
      <c r="B126" s="93"/>
      <c r="C126" s="93"/>
    </row>
    <row r="127" spans="2:3">
      <c r="B127" s="93"/>
      <c r="C127" s="93"/>
    </row>
    <row r="128" spans="2:3">
      <c r="B128" s="93"/>
      <c r="C128" s="93"/>
    </row>
    <row r="129" spans="2:3">
      <c r="B129" s="91"/>
      <c r="C129" s="92"/>
    </row>
    <row r="130" spans="2:3">
      <c r="B130" s="93"/>
      <c r="C130" s="94"/>
    </row>
    <row r="131" spans="2:3">
      <c r="B131" s="93"/>
      <c r="C131" s="93"/>
    </row>
    <row r="132" spans="2:3">
      <c r="B132" s="93"/>
      <c r="C132" s="93"/>
    </row>
    <row r="133" spans="2:3">
      <c r="B133" s="93"/>
      <c r="C133" s="93"/>
    </row>
    <row r="134" spans="2:3">
      <c r="B134" s="93"/>
      <c r="C134" s="93"/>
    </row>
    <row r="135" spans="2:3">
      <c r="B135" s="96"/>
      <c r="C135" s="96"/>
    </row>
    <row r="136" spans="2:3">
      <c r="B136" s="93"/>
      <c r="C136" s="93"/>
    </row>
    <row r="137" spans="2:3">
      <c r="B137" s="93"/>
      <c r="C137" s="93"/>
    </row>
    <row r="138" spans="2:3">
      <c r="B138" s="93"/>
      <c r="C138" s="93"/>
    </row>
    <row r="139" spans="2:3">
      <c r="B139" s="93"/>
      <c r="C139" s="93"/>
    </row>
    <row r="140" spans="2:3">
      <c r="B140" s="108"/>
      <c r="C140" s="109"/>
    </row>
    <row r="141" spans="2:3">
      <c r="B141" s="108"/>
      <c r="C141" s="109"/>
    </row>
    <row r="142" spans="2:3">
      <c r="B142" s="108"/>
      <c r="C142" s="109"/>
    </row>
    <row r="143" spans="2:3">
      <c r="B143" s="108"/>
      <c r="C143" s="93"/>
    </row>
    <row r="144" spans="2:3" ht="18.75">
      <c r="B144" s="110"/>
      <c r="C144" s="91"/>
    </row>
    <row r="145" spans="2:3" ht="18.75">
      <c r="B145" s="110"/>
      <c r="C145" s="91"/>
    </row>
    <row r="146" spans="2:3">
      <c r="B146" s="108"/>
      <c r="C146" s="111"/>
    </row>
    <row r="147" spans="2:3" ht="18.75">
      <c r="B147" s="110"/>
      <c r="C147" s="91"/>
    </row>
    <row r="148" spans="2:3">
      <c r="B148" s="93"/>
      <c r="C148" s="93"/>
    </row>
    <row r="149" spans="2:3">
      <c r="B149" s="93"/>
      <c r="C149" s="93"/>
    </row>
    <row r="150" spans="2:3">
      <c r="B150" s="93"/>
      <c r="C150" s="93"/>
    </row>
    <row r="151" spans="2:3">
      <c r="B151" s="93"/>
      <c r="C151" s="93"/>
    </row>
    <row r="152" spans="2:3">
      <c r="B152" s="93"/>
      <c r="C152" s="93"/>
    </row>
    <row r="153" spans="2:3">
      <c r="B153" s="112"/>
      <c r="C153" s="109"/>
    </row>
    <row r="154" spans="2:3">
      <c r="B154" s="109"/>
      <c r="C154" s="109"/>
    </row>
    <row r="155" spans="2:3">
      <c r="B155" s="109"/>
      <c r="C155" s="109"/>
    </row>
    <row r="156" spans="2:3">
      <c r="B156" s="91"/>
      <c r="C156" s="93"/>
    </row>
    <row r="157" spans="2:3">
      <c r="B157" s="93"/>
      <c r="C157" s="93"/>
    </row>
    <row r="158" spans="2:3">
      <c r="B158" s="93"/>
      <c r="C158" s="93"/>
    </row>
    <row r="159" spans="2:3">
      <c r="B159" s="93"/>
      <c r="C159" s="93"/>
    </row>
    <row r="160" spans="2:3">
      <c r="B160" s="93"/>
      <c r="C160" s="93"/>
    </row>
    <row r="161" spans="2:3">
      <c r="B161" s="91"/>
      <c r="C161" s="92"/>
    </row>
    <row r="162" spans="2:3">
      <c r="B162" s="93"/>
      <c r="C162" s="94"/>
    </row>
    <row r="163" spans="2:3">
      <c r="B163" s="93"/>
      <c r="C163" s="93"/>
    </row>
    <row r="164" spans="2:3">
      <c r="B164" s="93"/>
      <c r="C164" s="93"/>
    </row>
    <row r="165" spans="2:3">
      <c r="B165" s="93"/>
      <c r="C165" s="93"/>
    </row>
    <row r="166" spans="2:3">
      <c r="B166" s="93"/>
      <c r="C166" s="93"/>
    </row>
    <row r="167" spans="2:3">
      <c r="B167" s="96"/>
      <c r="C167" s="96"/>
    </row>
    <row r="168" spans="2:3">
      <c r="B168" s="96"/>
      <c r="C168" s="96"/>
    </row>
    <row r="169" spans="2:3">
      <c r="B169" s="96"/>
      <c r="C169" s="96"/>
    </row>
  </sheetData>
  <sheetProtection algorithmName="SHA-512" hashValue="c3bwzTN13bw0TTs3galc8Yo6KWL2OFTIV26dKvvr0Fa/vuv3djVM2oe7jzebNDaL5Pgfwbc5W1HHOveGD/T6Fw==" saltValue="eGIJgy2VlNNV8SB+3DOYPw==" spinCount="100000"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O169"/>
  <sheetViews>
    <sheetView workbookViewId="0"/>
  </sheetViews>
  <sheetFormatPr defaultColWidth="13.5703125" defaultRowHeight="15"/>
  <cols>
    <col min="1" max="1" width="9.42578125" style="20" customWidth="1"/>
    <col min="2" max="2" width="14.42578125" style="20" customWidth="1"/>
    <col min="3" max="3" width="13.5703125" style="20"/>
    <col min="4" max="9" width="13.5703125" style="69"/>
    <col min="10" max="10" width="17.42578125" style="69" customWidth="1"/>
    <col min="11" max="11" width="17.5703125" style="69" customWidth="1"/>
    <col min="12" max="14" width="13.5703125" style="69"/>
    <col min="15" max="16384" width="13.5703125" style="20"/>
  </cols>
  <sheetData>
    <row r="1" spans="2:15" ht="17.100000000000001" customHeight="1" thickBot="1">
      <c r="G1" s="120"/>
      <c r="H1" s="120"/>
      <c r="I1" s="120"/>
      <c r="J1" s="120"/>
      <c r="K1" s="120"/>
      <c r="L1" s="120"/>
      <c r="M1" s="120"/>
      <c r="N1" s="120"/>
    </row>
    <row r="2" spans="2:15" ht="28.35" customHeight="1">
      <c r="B2" s="70" t="s">
        <v>180</v>
      </c>
      <c r="F2" s="121"/>
      <c r="G2" s="120"/>
      <c r="H2" s="122">
        <v>1</v>
      </c>
      <c r="I2" s="123">
        <v>1</v>
      </c>
      <c r="J2" s="114">
        <f>'Unit Cost'!C22</f>
        <v>0</v>
      </c>
      <c r="K2" s="114">
        <f>'Unit Cost'!C19</f>
        <v>0</v>
      </c>
      <c r="L2" s="114">
        <f>'Unit Cost'!C8</f>
        <v>0</v>
      </c>
      <c r="M2" s="114">
        <f>'Unit Cost'!C19</f>
        <v>0</v>
      </c>
      <c r="N2" s="124">
        <f>'Unit Cost'!C7</f>
        <v>0</v>
      </c>
    </row>
    <row r="3" spans="2:15" s="78" customFormat="1" ht="105">
      <c r="B3" s="25" t="s">
        <v>131</v>
      </c>
      <c r="C3" s="25" t="s">
        <v>37</v>
      </c>
      <c r="D3" s="76" t="s">
        <v>168</v>
      </c>
      <c r="E3" s="76" t="s">
        <v>181</v>
      </c>
      <c r="F3" s="76" t="s">
        <v>182</v>
      </c>
      <c r="G3" s="76" t="s">
        <v>183</v>
      </c>
      <c r="H3" s="76" t="s">
        <v>184</v>
      </c>
      <c r="I3" s="76" t="s">
        <v>185</v>
      </c>
      <c r="J3" s="77" t="s">
        <v>186</v>
      </c>
      <c r="K3" s="77" t="s">
        <v>187</v>
      </c>
      <c r="L3" s="77" t="s">
        <v>188</v>
      </c>
      <c r="M3" s="77" t="s">
        <v>59</v>
      </c>
      <c r="N3" s="77" t="s">
        <v>189</v>
      </c>
      <c r="O3" s="77" t="s">
        <v>190</v>
      </c>
    </row>
    <row r="4" spans="2:15" ht="50.1" customHeight="1">
      <c r="B4" s="28">
        <f>'MP (To Be Filled) Rural'!F3</f>
        <v>0</v>
      </c>
      <c r="C4" s="163">
        <f>'MP (To Be Filled) Rural'!I3</f>
        <v>0</v>
      </c>
      <c r="D4" s="29">
        <f>'MP (To Be Filled) Rural'!J8</f>
        <v>0</v>
      </c>
      <c r="E4" s="29">
        <f>'MP (To Be Filled) Rural'!J9</f>
        <v>2</v>
      </c>
      <c r="F4" s="29">
        <f>'MP (To Be Filled) Rural'!J7</f>
        <v>17</v>
      </c>
      <c r="G4" s="29">
        <f>'MP (To Be Filled) Rural'!J4</f>
        <v>0</v>
      </c>
      <c r="H4" s="29">
        <f>H2</f>
        <v>1</v>
      </c>
      <c r="I4" s="29">
        <f>I2</f>
        <v>1</v>
      </c>
      <c r="J4" s="29">
        <f>D4*H4*$J$2</f>
        <v>0</v>
      </c>
      <c r="K4" s="29">
        <f>E4*I4*$K$2</f>
        <v>0</v>
      </c>
      <c r="L4" s="29">
        <f>E4*I4*$L$2</f>
        <v>0</v>
      </c>
      <c r="M4" s="29">
        <f>G4*I4*$M$2</f>
        <v>0</v>
      </c>
      <c r="N4" s="29">
        <f>G4*I4*$N$2</f>
        <v>0</v>
      </c>
      <c r="O4" s="125">
        <f>J4+K4+L4+M4+N4</f>
        <v>0</v>
      </c>
    </row>
    <row r="5" spans="2:15" ht="20.100000000000001" customHeight="1">
      <c r="B5" s="82"/>
      <c r="C5" s="83"/>
      <c r="D5" s="84"/>
      <c r="E5" s="84"/>
      <c r="F5" s="84"/>
      <c r="G5" s="84"/>
      <c r="H5" s="84"/>
      <c r="I5" s="84"/>
      <c r="J5" s="85"/>
      <c r="K5" s="85"/>
      <c r="L5" s="85"/>
      <c r="M5" s="85"/>
      <c r="N5" s="85"/>
      <c r="O5" s="87"/>
    </row>
    <row r="7" spans="2:15">
      <c r="O7" s="35"/>
    </row>
    <row r="8" spans="2:15">
      <c r="B8" s="88"/>
      <c r="C8" s="88"/>
    </row>
    <row r="9" spans="2:15">
      <c r="B9" s="90"/>
      <c r="C9" s="90"/>
    </row>
    <row r="10" spans="2:15">
      <c r="B10" s="91"/>
      <c r="C10" s="92"/>
    </row>
    <row r="11" spans="2:15">
      <c r="B11" s="93"/>
      <c r="C11" s="94"/>
    </row>
    <row r="12" spans="2:15">
      <c r="B12" s="93"/>
      <c r="C12" s="93"/>
    </row>
    <row r="13" spans="2:15">
      <c r="B13" s="93"/>
      <c r="C13" s="93"/>
    </row>
    <row r="14" spans="2:15">
      <c r="B14" s="93"/>
      <c r="C14" s="93"/>
    </row>
    <row r="15" spans="2:15">
      <c r="B15" s="95"/>
      <c r="C15" s="95"/>
    </row>
    <row r="16" spans="2:15">
      <c r="B16" s="96"/>
      <c r="C16" s="96"/>
    </row>
    <row r="17" spans="2:3" ht="15.75">
      <c r="B17" s="97"/>
      <c r="C17" s="98"/>
    </row>
    <row r="18" spans="2:3" ht="15.75">
      <c r="B18" s="97"/>
      <c r="C18" s="98"/>
    </row>
    <row r="19" spans="2:3" ht="15.75">
      <c r="B19" s="97"/>
      <c r="C19" s="98"/>
    </row>
    <row r="20" spans="2:3" ht="15.75">
      <c r="B20" s="97"/>
      <c r="C20" s="98"/>
    </row>
    <row r="21" spans="2:3" ht="15.75">
      <c r="B21" s="99"/>
      <c r="C21" s="100"/>
    </row>
    <row r="22" spans="2:3" ht="15.75">
      <c r="B22" s="97"/>
      <c r="C22" s="98"/>
    </row>
    <row r="23" spans="2:3" ht="15.75">
      <c r="B23" s="97"/>
      <c r="C23" s="98"/>
    </row>
    <row r="24" spans="2:3" ht="15.75">
      <c r="B24" s="97"/>
      <c r="C24" s="98"/>
    </row>
    <row r="25" spans="2:3" ht="15.75">
      <c r="B25" s="97"/>
      <c r="C25" s="98"/>
    </row>
    <row r="26" spans="2:3" ht="15.75">
      <c r="B26" s="97"/>
      <c r="C26" s="98"/>
    </row>
    <row r="27" spans="2:3" ht="15.75">
      <c r="B27" s="99"/>
      <c r="C27" s="100"/>
    </row>
    <row r="28" spans="2:3" ht="15.75">
      <c r="B28" s="101"/>
      <c r="C28" s="102"/>
    </row>
    <row r="29" spans="2:3" ht="15.75">
      <c r="B29" s="97"/>
      <c r="C29" s="98"/>
    </row>
    <row r="30" spans="2:3" ht="15.75">
      <c r="B30" s="97"/>
      <c r="C30" s="98"/>
    </row>
    <row r="31" spans="2:3" ht="15.75">
      <c r="B31" s="97"/>
      <c r="C31" s="98"/>
    </row>
    <row r="32" spans="2:3" ht="15.75">
      <c r="B32" s="97"/>
      <c r="C32" s="98"/>
    </row>
    <row r="33" spans="2:3" ht="15.75">
      <c r="B33" s="97"/>
      <c r="C33" s="98"/>
    </row>
    <row r="34" spans="2:3" ht="15.75">
      <c r="B34" s="101"/>
      <c r="C34" s="102"/>
    </row>
    <row r="35" spans="2:3" ht="15.75">
      <c r="B35" s="97"/>
      <c r="C35" s="98"/>
    </row>
    <row r="36" spans="2:3" ht="15.75">
      <c r="B36" s="97"/>
      <c r="C36" s="98"/>
    </row>
    <row r="37" spans="2:3" ht="15.75">
      <c r="B37" s="97"/>
      <c r="C37" s="98"/>
    </row>
    <row r="38" spans="2:3" ht="15.75">
      <c r="B38" s="97"/>
      <c r="C38" s="98"/>
    </row>
    <row r="39" spans="2:3" ht="15.75">
      <c r="B39" s="97"/>
      <c r="C39" s="98"/>
    </row>
    <row r="40" spans="2:3" ht="15.75">
      <c r="B40" s="99"/>
      <c r="C40" s="100"/>
    </row>
    <row r="41" spans="2:3" ht="15.75">
      <c r="B41" s="97"/>
      <c r="C41" s="98"/>
    </row>
    <row r="42" spans="2:3" ht="15.75">
      <c r="B42" s="97"/>
      <c r="C42" s="98"/>
    </row>
    <row r="43" spans="2:3" ht="15.75">
      <c r="B43" s="97"/>
      <c r="C43" s="98"/>
    </row>
    <row r="44" spans="2:3" ht="15.75">
      <c r="B44" s="103"/>
      <c r="C44" s="104"/>
    </row>
    <row r="45" spans="2:3" ht="15.75">
      <c r="B45" s="97"/>
      <c r="C45" s="98"/>
    </row>
    <row r="46" spans="2:3" ht="15.75">
      <c r="B46" s="97"/>
      <c r="C46" s="98"/>
    </row>
    <row r="47" spans="2:3" ht="15.75">
      <c r="B47" s="97"/>
      <c r="C47" s="98"/>
    </row>
    <row r="48" spans="2:3" ht="15.75">
      <c r="B48" s="97"/>
      <c r="C48" s="98"/>
    </row>
    <row r="49" spans="2:3" ht="15.75">
      <c r="B49" s="97"/>
      <c r="C49" s="98"/>
    </row>
    <row r="50" spans="2:3" ht="15.75">
      <c r="B50" s="103"/>
      <c r="C50" s="104"/>
    </row>
    <row r="51" spans="2:3" ht="15.75">
      <c r="B51" s="97"/>
      <c r="C51" s="98"/>
    </row>
    <row r="52" spans="2:3" ht="15.75">
      <c r="B52" s="97"/>
      <c r="C52" s="98"/>
    </row>
    <row r="53" spans="2:3" ht="15.75">
      <c r="B53" s="97"/>
      <c r="C53" s="98"/>
    </row>
    <row r="54" spans="2:3" ht="15.75">
      <c r="B54" s="99"/>
      <c r="C54" s="100"/>
    </row>
    <row r="55" spans="2:3" ht="15.75">
      <c r="B55" s="101"/>
      <c r="C55" s="102"/>
    </row>
    <row r="56" spans="2:3" ht="15.75">
      <c r="B56" s="97"/>
      <c r="C56" s="98"/>
    </row>
    <row r="57" spans="2:3" ht="15.75">
      <c r="B57" s="97"/>
      <c r="C57" s="98"/>
    </row>
    <row r="58" spans="2:3" ht="15.75">
      <c r="B58" s="97"/>
      <c r="C58" s="98"/>
    </row>
    <row r="59" spans="2:3" ht="15.75">
      <c r="B59" s="97"/>
      <c r="C59" s="98"/>
    </row>
    <row r="60" spans="2:3" ht="15.75">
      <c r="B60" s="97"/>
      <c r="C60" s="98"/>
    </row>
    <row r="61" spans="2:3" ht="15.75">
      <c r="B61" s="97"/>
      <c r="C61" s="98"/>
    </row>
    <row r="62" spans="2:3" ht="15.75">
      <c r="B62" s="97"/>
      <c r="C62" s="98"/>
    </row>
    <row r="63" spans="2:3" ht="15.75">
      <c r="B63" s="105"/>
      <c r="C63" s="106"/>
    </row>
    <row r="64" spans="2:3" ht="15.75">
      <c r="B64" s="101"/>
      <c r="C64" s="102"/>
    </row>
    <row r="65" spans="2:3" ht="15.75">
      <c r="B65" s="97"/>
      <c r="C65" s="98"/>
    </row>
    <row r="66" spans="2:3" ht="15.75">
      <c r="B66" s="97"/>
      <c r="C66" s="98"/>
    </row>
    <row r="67" spans="2:3" ht="15.75">
      <c r="B67" s="97"/>
      <c r="C67" s="98"/>
    </row>
    <row r="68" spans="2:3" ht="15.75">
      <c r="B68" s="97"/>
      <c r="C68" s="98"/>
    </row>
    <row r="69" spans="2:3" ht="15.75">
      <c r="B69" s="97"/>
      <c r="C69" s="98"/>
    </row>
    <row r="70" spans="2:3" ht="15.75">
      <c r="B70" s="97"/>
      <c r="C70" s="98"/>
    </row>
    <row r="71" spans="2:3" ht="15.75">
      <c r="B71" s="103"/>
      <c r="C71" s="104"/>
    </row>
    <row r="72" spans="2:3" ht="15.75">
      <c r="B72" s="101"/>
      <c r="C72" s="102"/>
    </row>
    <row r="73" spans="2:3" ht="15.75">
      <c r="B73" s="97"/>
      <c r="C73" s="98"/>
    </row>
    <row r="74" spans="2:3" ht="15.75">
      <c r="B74" s="97"/>
      <c r="C74" s="98"/>
    </row>
    <row r="75" spans="2:3" ht="15.75">
      <c r="B75" s="97"/>
      <c r="C75" s="98"/>
    </row>
    <row r="76" spans="2:3" ht="15.75">
      <c r="B76" s="97"/>
      <c r="C76" s="98"/>
    </row>
    <row r="77" spans="2:3" ht="15.75">
      <c r="B77" s="97"/>
      <c r="C77" s="98"/>
    </row>
    <row r="78" spans="2:3" ht="15.75">
      <c r="B78" s="103"/>
      <c r="C78" s="104"/>
    </row>
    <row r="79" spans="2:3" ht="15.75">
      <c r="B79" s="101"/>
      <c r="C79" s="102"/>
    </row>
    <row r="80" spans="2:3" ht="15.75">
      <c r="B80" s="97"/>
      <c r="C80" s="98"/>
    </row>
    <row r="81" spans="2:3" ht="15.75">
      <c r="B81" s="107"/>
      <c r="C81" s="98"/>
    </row>
    <row r="82" spans="2:3" ht="15.75">
      <c r="B82" s="97"/>
      <c r="C82" s="98"/>
    </row>
    <row r="83" spans="2:3" ht="15.75">
      <c r="B83" s="97"/>
      <c r="C83" s="98"/>
    </row>
    <row r="84" spans="2:3" ht="15.75">
      <c r="B84" s="97"/>
      <c r="C84" s="98"/>
    </row>
    <row r="85" spans="2:3" ht="15.75">
      <c r="B85" s="97"/>
      <c r="C85" s="98"/>
    </row>
    <row r="86" spans="2:3" ht="15.75">
      <c r="B86" s="97"/>
      <c r="C86" s="98"/>
    </row>
    <row r="87" spans="2:3" ht="15.75">
      <c r="B87" s="97"/>
      <c r="C87" s="98"/>
    </row>
    <row r="88" spans="2:3" ht="15.75">
      <c r="B88" s="101"/>
      <c r="C88" s="102"/>
    </row>
    <row r="89" spans="2:3" ht="15.75">
      <c r="B89" s="97"/>
      <c r="C89" s="98"/>
    </row>
    <row r="90" spans="2:3" ht="15.75">
      <c r="B90" s="101"/>
      <c r="C90" s="102"/>
    </row>
    <row r="91" spans="2:3" ht="15.75">
      <c r="B91" s="97"/>
      <c r="C91" s="98"/>
    </row>
    <row r="92" spans="2:3" ht="15.75">
      <c r="B92" s="97"/>
      <c r="C92" s="98"/>
    </row>
    <row r="93" spans="2:3" ht="15.75">
      <c r="B93" s="97"/>
      <c r="C93" s="98"/>
    </row>
    <row r="94" spans="2:3" ht="15.75">
      <c r="B94" s="101"/>
      <c r="C94" s="102"/>
    </row>
    <row r="95" spans="2:3" ht="15.75">
      <c r="B95" s="101"/>
      <c r="C95" s="102"/>
    </row>
    <row r="96" spans="2:3" ht="15.75">
      <c r="B96" s="97"/>
      <c r="C96" s="98"/>
    </row>
    <row r="97" spans="2:3" ht="15.75">
      <c r="B97" s="97"/>
      <c r="C97" s="98"/>
    </row>
    <row r="98" spans="2:3" ht="15.75">
      <c r="B98" s="97"/>
      <c r="C98" s="98"/>
    </row>
    <row r="99" spans="2:3" ht="15.75">
      <c r="B99" s="101"/>
      <c r="C99" s="102"/>
    </row>
    <row r="100" spans="2:3" ht="15.75">
      <c r="B100" s="101"/>
      <c r="C100" s="102"/>
    </row>
    <row r="101" spans="2:3" ht="15.75">
      <c r="B101" s="97"/>
      <c r="C101" s="98"/>
    </row>
    <row r="102" spans="2:3" ht="15.75">
      <c r="B102" s="97"/>
      <c r="C102" s="98"/>
    </row>
    <row r="103" spans="2:3" ht="15.75">
      <c r="B103" s="97"/>
      <c r="C103" s="98"/>
    </row>
    <row r="104" spans="2:3" ht="15.75">
      <c r="B104" s="97"/>
      <c r="C104" s="98"/>
    </row>
    <row r="105" spans="2:3" ht="15.75">
      <c r="B105" s="97"/>
      <c r="C105" s="98"/>
    </row>
    <row r="106" spans="2:3" ht="15.75">
      <c r="B106" s="97"/>
      <c r="C106" s="98"/>
    </row>
    <row r="107" spans="2:3" ht="15.75">
      <c r="B107" s="101"/>
      <c r="C107" s="102"/>
    </row>
    <row r="108" spans="2:3">
      <c r="B108" s="93"/>
      <c r="C108" s="93"/>
    </row>
    <row r="109" spans="2:3">
      <c r="B109" s="93"/>
      <c r="C109" s="93"/>
    </row>
    <row r="110" spans="2:3">
      <c r="B110" s="93"/>
      <c r="C110" s="93"/>
    </row>
    <row r="111" spans="2:3">
      <c r="B111" s="90"/>
      <c r="C111" s="90"/>
    </row>
    <row r="112" spans="2:3">
      <c r="B112" s="93"/>
      <c r="C112" s="93"/>
    </row>
    <row r="113" spans="2:3">
      <c r="B113" s="93"/>
      <c r="C113" s="93"/>
    </row>
    <row r="114" spans="2:3">
      <c r="B114" s="91"/>
      <c r="C114" s="92"/>
    </row>
    <row r="115" spans="2:3">
      <c r="B115" s="90"/>
      <c r="C115" s="90"/>
    </row>
    <row r="116" spans="2:3">
      <c r="B116" s="90"/>
      <c r="C116" s="90"/>
    </row>
    <row r="117" spans="2:3">
      <c r="B117" s="91"/>
      <c r="C117" s="92"/>
    </row>
    <row r="118" spans="2:3">
      <c r="B118" s="93"/>
      <c r="C118" s="93"/>
    </row>
    <row r="119" spans="2:3">
      <c r="B119" s="93"/>
      <c r="C119" s="93"/>
    </row>
    <row r="120" spans="2:3">
      <c r="B120" s="91"/>
      <c r="C120" s="93"/>
    </row>
    <row r="121" spans="2:3">
      <c r="B121" s="93"/>
      <c r="C121" s="94"/>
    </row>
    <row r="122" spans="2:3">
      <c r="B122" s="93"/>
      <c r="C122" s="93"/>
    </row>
    <row r="123" spans="2:3">
      <c r="B123" s="95"/>
      <c r="C123" s="95"/>
    </row>
    <row r="124" spans="2:3">
      <c r="B124" s="96"/>
      <c r="C124" s="96"/>
    </row>
    <row r="125" spans="2:3">
      <c r="B125" s="93"/>
      <c r="C125" s="93"/>
    </row>
    <row r="126" spans="2:3">
      <c r="B126" s="93"/>
      <c r="C126" s="93"/>
    </row>
    <row r="127" spans="2:3">
      <c r="B127" s="93"/>
      <c r="C127" s="93"/>
    </row>
    <row r="128" spans="2:3">
      <c r="B128" s="93"/>
      <c r="C128" s="93"/>
    </row>
    <row r="129" spans="2:3">
      <c r="B129" s="91"/>
      <c r="C129" s="92"/>
    </row>
    <row r="130" spans="2:3">
      <c r="B130" s="93"/>
      <c r="C130" s="94"/>
    </row>
    <row r="131" spans="2:3">
      <c r="B131" s="93"/>
      <c r="C131" s="93"/>
    </row>
    <row r="132" spans="2:3">
      <c r="B132" s="93"/>
      <c r="C132" s="93"/>
    </row>
    <row r="133" spans="2:3">
      <c r="B133" s="93"/>
      <c r="C133" s="93"/>
    </row>
    <row r="134" spans="2:3">
      <c r="B134" s="93"/>
      <c r="C134" s="93"/>
    </row>
    <row r="135" spans="2:3">
      <c r="B135" s="96"/>
      <c r="C135" s="96"/>
    </row>
    <row r="136" spans="2:3">
      <c r="B136" s="93"/>
      <c r="C136" s="93"/>
    </row>
    <row r="137" spans="2:3">
      <c r="B137" s="93"/>
      <c r="C137" s="93"/>
    </row>
    <row r="138" spans="2:3">
      <c r="B138" s="93"/>
      <c r="C138" s="93"/>
    </row>
    <row r="139" spans="2:3">
      <c r="B139" s="93"/>
      <c r="C139" s="93"/>
    </row>
    <row r="140" spans="2:3">
      <c r="B140" s="108"/>
      <c r="C140" s="109"/>
    </row>
    <row r="141" spans="2:3">
      <c r="B141" s="108"/>
      <c r="C141" s="109"/>
    </row>
    <row r="142" spans="2:3">
      <c r="B142" s="108"/>
      <c r="C142" s="109"/>
    </row>
    <row r="143" spans="2:3">
      <c r="B143" s="108"/>
      <c r="C143" s="93"/>
    </row>
    <row r="144" spans="2:3" ht="18.75">
      <c r="B144" s="110"/>
      <c r="C144" s="91"/>
    </row>
    <row r="145" spans="2:3" ht="18.75">
      <c r="B145" s="110"/>
      <c r="C145" s="91"/>
    </row>
    <row r="146" spans="2:3">
      <c r="B146" s="108"/>
      <c r="C146" s="111"/>
    </row>
    <row r="147" spans="2:3" ht="18.75">
      <c r="B147" s="110"/>
      <c r="C147" s="91"/>
    </row>
    <row r="148" spans="2:3">
      <c r="B148" s="93"/>
      <c r="C148" s="93"/>
    </row>
    <row r="149" spans="2:3">
      <c r="B149" s="93"/>
      <c r="C149" s="93"/>
    </row>
    <row r="150" spans="2:3">
      <c r="B150" s="93"/>
      <c r="C150" s="93"/>
    </row>
    <row r="151" spans="2:3">
      <c r="B151" s="93"/>
      <c r="C151" s="93"/>
    </row>
    <row r="152" spans="2:3">
      <c r="B152" s="93"/>
      <c r="C152" s="93"/>
    </row>
    <row r="153" spans="2:3">
      <c r="B153" s="112"/>
      <c r="C153" s="109"/>
    </row>
    <row r="154" spans="2:3">
      <c r="B154" s="109"/>
      <c r="C154" s="109"/>
    </row>
    <row r="155" spans="2:3">
      <c r="B155" s="109"/>
      <c r="C155" s="109"/>
    </row>
    <row r="156" spans="2:3">
      <c r="B156" s="91"/>
      <c r="C156" s="93"/>
    </row>
    <row r="157" spans="2:3">
      <c r="B157" s="93"/>
      <c r="C157" s="93"/>
    </row>
    <row r="158" spans="2:3">
      <c r="B158" s="93"/>
      <c r="C158" s="93"/>
    </row>
    <row r="159" spans="2:3">
      <c r="B159" s="93"/>
      <c r="C159" s="93"/>
    </row>
    <row r="160" spans="2:3">
      <c r="B160" s="93"/>
      <c r="C160" s="93"/>
    </row>
    <row r="161" spans="2:3">
      <c r="B161" s="91"/>
      <c r="C161" s="92"/>
    </row>
    <row r="162" spans="2:3">
      <c r="B162" s="93"/>
      <c r="C162" s="94"/>
    </row>
    <row r="163" spans="2:3">
      <c r="B163" s="93"/>
      <c r="C163" s="93"/>
    </row>
    <row r="164" spans="2:3">
      <c r="B164" s="93"/>
      <c r="C164" s="93"/>
    </row>
    <row r="165" spans="2:3">
      <c r="B165" s="93"/>
      <c r="C165" s="93"/>
    </row>
    <row r="166" spans="2:3">
      <c r="B166" s="93"/>
      <c r="C166" s="93"/>
    </row>
    <row r="167" spans="2:3">
      <c r="B167" s="96"/>
      <c r="C167" s="96"/>
    </row>
    <row r="168" spans="2:3">
      <c r="B168" s="96"/>
      <c r="C168" s="96"/>
    </row>
    <row r="169" spans="2:3">
      <c r="B169" s="96"/>
      <c r="C169" s="96"/>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6"/>
  <sheetViews>
    <sheetView workbookViewId="0"/>
  </sheetViews>
  <sheetFormatPr defaultColWidth="8.5703125" defaultRowHeight="15"/>
  <cols>
    <col min="1" max="1" width="2.85546875" style="38" customWidth="1"/>
    <col min="2" max="2" width="7.85546875" style="38" customWidth="1"/>
    <col min="3" max="3" width="9.5703125" style="38" customWidth="1"/>
    <col min="4" max="6" width="11.42578125" style="38" customWidth="1"/>
    <col min="7" max="7" width="11.140625" style="38" customWidth="1"/>
    <col min="8" max="8" width="12" style="38" customWidth="1"/>
    <col min="9" max="11" width="15.5703125" style="38" customWidth="1"/>
    <col min="12" max="12" width="15.5703125" style="67" customWidth="1"/>
    <col min="13" max="16384" width="8.5703125" style="38"/>
  </cols>
  <sheetData>
    <row r="1" spans="1:12" ht="19.5" thickBot="1">
      <c r="B1" s="126" t="s">
        <v>191</v>
      </c>
      <c r="H1" s="39"/>
      <c r="I1" s="40"/>
      <c r="J1" s="40"/>
      <c r="K1" s="40"/>
      <c r="L1" s="41"/>
    </row>
    <row r="2" spans="1:12" ht="24">
      <c r="A2" s="42"/>
      <c r="B2" s="21"/>
      <c r="C2" s="42"/>
      <c r="D2" s="42"/>
      <c r="E2" s="42"/>
      <c r="F2" s="42"/>
      <c r="G2" s="43"/>
      <c r="H2" s="127">
        <f>'MP (To Be Filled) Rural'!F4</f>
        <v>0</v>
      </c>
      <c r="I2" s="128">
        <v>10</v>
      </c>
      <c r="J2" s="128">
        <f>'Unit Cost'!C4</f>
        <v>0</v>
      </c>
      <c r="K2" s="129">
        <f>'Unit Cost'!C5</f>
        <v>0</v>
      </c>
      <c r="L2" s="45"/>
    </row>
    <row r="3" spans="1:12" s="46" customFormat="1" ht="60">
      <c r="B3" s="47" t="s">
        <v>131</v>
      </c>
      <c r="C3" s="48" t="s">
        <v>192</v>
      </c>
      <c r="D3" s="49" t="s">
        <v>135</v>
      </c>
      <c r="E3" s="49" t="s">
        <v>136</v>
      </c>
      <c r="F3" s="49" t="s">
        <v>137</v>
      </c>
      <c r="G3" s="49" t="s">
        <v>138</v>
      </c>
      <c r="H3" s="49" t="s">
        <v>193</v>
      </c>
      <c r="I3" s="50" t="s">
        <v>194</v>
      </c>
      <c r="J3" s="130" t="s">
        <v>195</v>
      </c>
      <c r="K3" s="131" t="s">
        <v>196</v>
      </c>
      <c r="L3" s="51" t="s">
        <v>197</v>
      </c>
    </row>
    <row r="4" spans="1:12">
      <c r="B4" s="28">
        <f>'MP (To Be Filled) Rural'!F3</f>
        <v>0</v>
      </c>
      <c r="C4" s="163">
        <f>'MP (To Be Filled) Rural'!I3</f>
        <v>0</v>
      </c>
      <c r="D4" s="163">
        <f>'MP (To Be Filled) Rural'!F5</f>
        <v>0</v>
      </c>
      <c r="E4" s="163">
        <f>'MP (To Be Filled) Rural'!F6</f>
        <v>0</v>
      </c>
      <c r="F4" s="164">
        <f>('MP (To Be Filled) Rural'!F7*50)+'MP (To Be Filled) Rural'!F8</f>
        <v>0</v>
      </c>
      <c r="G4" s="165">
        <f>'MP (To Be Filled) Rural'!F7</f>
        <v>0</v>
      </c>
      <c r="H4" s="132">
        <f>H2</f>
        <v>0</v>
      </c>
      <c r="I4" s="133">
        <f>I2</f>
        <v>10</v>
      </c>
      <c r="J4" s="133">
        <f>J2*I2*H4</f>
        <v>0</v>
      </c>
      <c r="K4" s="133">
        <f>H2*I2*K2</f>
        <v>0</v>
      </c>
      <c r="L4" s="134">
        <f>J4+K4</f>
        <v>0</v>
      </c>
    </row>
    <row r="5" spans="1:12">
      <c r="B5" s="56"/>
      <c r="C5" s="57"/>
      <c r="D5" s="58"/>
      <c r="E5" s="59"/>
      <c r="F5" s="60"/>
      <c r="G5" s="60"/>
      <c r="H5" s="60"/>
      <c r="I5" s="60"/>
      <c r="J5" s="135"/>
      <c r="K5" s="135"/>
      <c r="L5" s="61"/>
    </row>
    <row r="6" spans="1:12">
      <c r="B6" s="62"/>
      <c r="C6" s="62"/>
      <c r="D6" s="63"/>
      <c r="E6" s="63"/>
      <c r="F6" s="63"/>
      <c r="G6" s="64"/>
      <c r="H6" s="64"/>
      <c r="I6" s="65"/>
      <c r="J6" s="65"/>
      <c r="K6" s="65"/>
      <c r="L6" s="6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D25"/>
  <sheetViews>
    <sheetView workbookViewId="0"/>
  </sheetViews>
  <sheetFormatPr defaultColWidth="10.5703125" defaultRowHeight="15.75"/>
  <cols>
    <col min="1" max="1" width="7.5703125" style="138" customWidth="1"/>
    <col min="2" max="2" width="53.85546875" style="138" customWidth="1"/>
    <col min="3" max="3" width="23.5703125" style="138" customWidth="1"/>
    <col min="4" max="4" width="17.5703125" style="138" customWidth="1"/>
    <col min="5" max="5" width="18.140625" style="138" customWidth="1"/>
    <col min="6" max="16384" width="10.5703125" style="138"/>
  </cols>
  <sheetData>
    <row r="2" spans="2:4" ht="18.75">
      <c r="B2" s="136" t="s">
        <v>131</v>
      </c>
      <c r="C2" s="137"/>
    </row>
    <row r="3" spans="2:4" ht="18.75">
      <c r="B3" s="139" t="s">
        <v>37</v>
      </c>
      <c r="C3" s="137"/>
    </row>
    <row r="6" spans="2:4" ht="24">
      <c r="B6" s="140" t="s">
        <v>198</v>
      </c>
      <c r="C6" s="140"/>
    </row>
    <row r="7" spans="2:4">
      <c r="B7" s="141" t="s">
        <v>41</v>
      </c>
      <c r="C7" s="141" t="s">
        <v>199</v>
      </c>
    </row>
    <row r="8" spans="2:4">
      <c r="B8" s="142" t="s">
        <v>200</v>
      </c>
      <c r="C8" s="143">
        <f>'Training HH registration team'!S4</f>
        <v>0</v>
      </c>
      <c r="D8" s="144"/>
    </row>
    <row r="9" spans="2:4">
      <c r="B9" s="145" t="s">
        <v>16</v>
      </c>
      <c r="C9" s="146">
        <f>'Implementation of HH Registrati'!P4</f>
        <v>0</v>
      </c>
      <c r="D9" s="147"/>
    </row>
    <row r="10" spans="2:4">
      <c r="B10" s="145" t="s">
        <v>201</v>
      </c>
      <c r="C10" s="146"/>
      <c r="D10" s="147"/>
    </row>
    <row r="11" spans="2:4">
      <c r="B11" s="145" t="s">
        <v>202</v>
      </c>
      <c r="C11" s="146"/>
      <c r="D11" s="147"/>
    </row>
    <row r="12" spans="2:4">
      <c r="B12" s="142" t="s">
        <v>203</v>
      </c>
      <c r="C12" s="148">
        <f>'LLIN Distribution'!O4</f>
        <v>0</v>
      </c>
    </row>
    <row r="13" spans="2:4">
      <c r="B13" s="142"/>
      <c r="C13" s="148">
        <f>'Data Management'!L4</f>
        <v>0</v>
      </c>
    </row>
    <row r="14" spans="2:4">
      <c r="B14" s="142"/>
      <c r="C14" s="148"/>
    </row>
    <row r="15" spans="2:4">
      <c r="B15" s="142"/>
      <c r="C15" s="148"/>
    </row>
    <row r="16" spans="2:4">
      <c r="B16" s="142"/>
      <c r="C16" s="148"/>
    </row>
    <row r="17" spans="2:3">
      <c r="B17" s="142"/>
      <c r="C17" s="148"/>
    </row>
    <row r="18" spans="2:3">
      <c r="B18" s="149" t="s">
        <v>204</v>
      </c>
      <c r="C18" s="150">
        <f>SUM(C8:C17)</f>
        <v>0</v>
      </c>
    </row>
    <row r="19" spans="2:3">
      <c r="C19" s="151"/>
    </row>
    <row r="20" spans="2:3">
      <c r="C20" s="151"/>
    </row>
    <row r="21" spans="2:3">
      <c r="B21" s="152" t="s">
        <v>205</v>
      </c>
      <c r="C21" s="153">
        <f>'Data Management'!F4</f>
        <v>0</v>
      </c>
    </row>
    <row r="22" spans="2:3">
      <c r="B22" s="152" t="s">
        <v>206</v>
      </c>
      <c r="C22" s="153" t="e">
        <f>C18/C21</f>
        <v>#DIV/0!</v>
      </c>
    </row>
    <row r="24" spans="2:3">
      <c r="C24" s="151"/>
    </row>
    <row r="25" spans="2:3">
      <c r="C25" s="15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33"/>
  <sheetViews>
    <sheetView workbookViewId="0"/>
  </sheetViews>
  <sheetFormatPr defaultColWidth="11.42578125" defaultRowHeight="15"/>
  <cols>
    <col min="1" max="1" width="112.42578125" style="169" customWidth="1"/>
    <col min="16" max="16384" width="11.42578125" style="169"/>
  </cols>
  <sheetData>
    <row r="1" spans="1:1">
      <c r="A1" s="172" t="s">
        <v>207</v>
      </c>
    </row>
    <row r="2" spans="1:1">
      <c r="A2" s="170"/>
    </row>
    <row r="3" spans="1:1">
      <c r="A3" s="170"/>
    </row>
    <row r="4" spans="1:1">
      <c r="A4" s="170"/>
    </row>
    <row r="5" spans="1:1">
      <c r="A5" s="170"/>
    </row>
    <row r="6" spans="1:1">
      <c r="A6" s="170"/>
    </row>
    <row r="7" spans="1:1">
      <c r="A7" s="170"/>
    </row>
    <row r="8" spans="1:1">
      <c r="A8" s="170"/>
    </row>
    <row r="9" spans="1:1">
      <c r="A9" s="170"/>
    </row>
    <row r="10" spans="1:1">
      <c r="A10" s="170"/>
    </row>
    <row r="11" spans="1:1">
      <c r="A11" s="170"/>
    </row>
    <row r="12" spans="1:1">
      <c r="A12" s="170"/>
    </row>
    <row r="13" spans="1:1">
      <c r="A13" s="170"/>
    </row>
    <row r="14" spans="1:1">
      <c r="A14" s="170"/>
    </row>
    <row r="15" spans="1:1">
      <c r="A15" s="170"/>
    </row>
    <row r="16" spans="1:1">
      <c r="A16" s="170"/>
    </row>
    <row r="17" spans="1:1">
      <c r="A17" s="170"/>
    </row>
    <row r="18" spans="1:1">
      <c r="A18" s="170"/>
    </row>
    <row r="19" spans="1:1">
      <c r="A19" s="170"/>
    </row>
    <row r="20" spans="1:1">
      <c r="A20" s="170"/>
    </row>
    <row r="21" spans="1:1">
      <c r="A21" s="170"/>
    </row>
    <row r="22" spans="1:1">
      <c r="A22" s="170"/>
    </row>
    <row r="23" spans="1:1">
      <c r="A23" s="170"/>
    </row>
    <row r="24" spans="1:1">
      <c r="A24" s="170"/>
    </row>
    <row r="25" spans="1:1">
      <c r="A25" s="170"/>
    </row>
    <row r="26" spans="1:1">
      <c r="A26" s="170"/>
    </row>
    <row r="27" spans="1:1">
      <c r="A27" s="170"/>
    </row>
    <row r="28" spans="1:1">
      <c r="A28" s="170"/>
    </row>
    <row r="29" spans="1:1">
      <c r="A29" s="170"/>
    </row>
    <row r="30" spans="1:1">
      <c r="A30" s="170"/>
    </row>
    <row r="31" spans="1:1">
      <c r="A31" s="170"/>
    </row>
    <row r="32" spans="1:1">
      <c r="A32" s="170"/>
    </row>
    <row r="33" spans="1:1" ht="15.75" thickBot="1">
      <c r="A33" s="171"/>
    </row>
  </sheetData>
  <sheetProtection algorithmName="SHA-512" hashValue="72rKXZUhH3lSmylHxoyJw+GneoZfr8kzScZmZUVmFnfz+1dMqOvid2x93ptFT1sdTj8M2YV1pRXivvGaaYO7Dw==" saltValue="DyvsOyqEes8D24pHaoICG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Guidelines</vt:lpstr>
      <vt:lpstr>Unit Cost</vt:lpstr>
      <vt:lpstr>Stafflist</vt:lpstr>
      <vt:lpstr>Transport plan</vt:lpstr>
      <vt:lpstr>MP (To Be Filled) Rural</vt:lpstr>
      <vt:lpstr>Quantification</vt:lpstr>
      <vt:lpstr>Log Costs</vt:lpstr>
      <vt:lpstr>Training HH registration team</vt:lpstr>
      <vt:lpstr>Implementation of HH Registrati</vt:lpstr>
      <vt:lpstr>Training Distribution Teams</vt:lpstr>
      <vt:lpstr>LLIN Distribution</vt:lpstr>
      <vt:lpstr>Data Management</vt:lpstr>
      <vt:lpstr>Summary Budget</vt:lpstr>
      <vt:lpstr>Comments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2024-06-18T11:13:41Z</dcterms:created>
  <dcterms:modified xsi:type="dcterms:W3CDTF">2026-07-10T11:43:43Z</dcterms:modified>
</cp:coreProperties>
</file>