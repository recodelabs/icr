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updateLinks="never"/>
  <xr:revisionPtr revIDLastSave="0" documentId="13_ncr:1_{DA225669-CDBB-432E-9C22-08A2C5094888}" xr6:coauthVersionLast="47" xr6:coauthVersionMax="47" xr10:uidLastSave="{00000000-0000-0000-0000-000000000000}"/>
  <bookViews>
    <workbookView xWindow="-120" yWindow="-120" windowWidth="29040" windowHeight="15720" tabRatio="0" xr2:uid="{00000000-000D-0000-FFFF-FFFF00000000}"/>
  </bookViews>
  <sheets>
    <sheet name="Index" sheetId="8" r:id="rId1"/>
    <sheet name="Var" sheetId="6" r:id="rId2"/>
    <sheet name="CHMTCmTm" sheetId="2" r:id="rId3"/>
    <sheet name="CoChMn" sheetId="3" r:id="rId4"/>
    <sheet name="VacDelHQ" sheetId="5" r:id="rId5"/>
    <sheet name="CHMTCmTmforFac" sheetId="12" r:id="rId6"/>
    <sheet name="SumCncl" sheetId="10" r:id="rId7"/>
    <sheet name="SumFcl" sheetId="11" r:id="rId8"/>
    <sheet name="HFPlTm" sheetId="1" r:id="rId9"/>
    <sheet name="SupPl" sheetId="15" r:id="rId10"/>
    <sheet name="C for c" sheetId="9" r:id="rId11"/>
    <sheet name="C for f" sheetId="13" r:id="rId12"/>
  </sheets>
  <definedNames>
    <definedName name="_xlnm._FilterDatabase" localSheetId="2" hidden="1">CHMTCmTm!$B$11:$H$264</definedName>
    <definedName name="_xlnm._FilterDatabase" localSheetId="5" hidden="1">CHMTCmTmforFac!$B$12:$E$265</definedName>
    <definedName name="_xlnm._FilterDatabase" localSheetId="3" hidden="1">CoChMn!$B$13:$K$70</definedName>
    <definedName name="_xlnm._FilterDatabase" localSheetId="4" hidden="1">VacDelHQ!$B$10:$D$10</definedName>
    <definedName name="_xlnm.Print_Area" localSheetId="10">'C for c'!$A$54:$B$54</definedName>
    <definedName name="_xlnm.Print_Area" localSheetId="11">'C for f'!$A$52:$C$52</definedName>
    <definedName name="_xlnm.Print_Area" localSheetId="2">CHMTCmTm!$B$3:$Y$3</definedName>
    <definedName name="_xlnm.Print_Area" localSheetId="5">CHMTCmTmforFac!$B$4:$AY$265</definedName>
    <definedName name="_xlnm.Print_Area" localSheetId="3">CoChMn!$B$3:$O$63</definedName>
    <definedName name="_xlnm.Print_Area" localSheetId="8">HFPlTm!$B$3:$Z$31</definedName>
    <definedName name="_xlnm.Print_Area" localSheetId="0">Index!$B$2:$Q$26</definedName>
    <definedName name="_xlnm.Print_Area" localSheetId="6">SumCncl!$A$3:$Z$81</definedName>
    <definedName name="_xlnm.Print_Area" localSheetId="7">SumFcl!$A$4:$Z$84</definedName>
    <definedName name="_xlnm.Print_Area" localSheetId="9">SupPl!$B$2:$P$522</definedName>
    <definedName name="_xlnm.Print_Area" localSheetId="4">VacDelHQ!$A$3:$S$26</definedName>
    <definedName name="_xlnm.Print_Area" localSheetId="1">Var!$A$3:$P$69</definedName>
    <definedName name="_xlnm.Print_Titles" localSheetId="2">CHMTCmTm!$B:$H,CHMTCmTm!$5:$11</definedName>
    <definedName name="_xlnm.Print_Titles" localSheetId="5">CHMTCmTmforFac!$B:$H,CHMTCmTmforFac!$9:$12</definedName>
    <definedName name="_xlnm.Print_Titles" localSheetId="6">SumCncl!$3:$12</definedName>
    <definedName name="_xlnm.Print_Titles" localSheetId="7">SumFcl!$4:$15</definedName>
    <definedName name="_xlnm.Print_Titles" localSheetId="9">SupPl!$7:$9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3" l="1"/>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36" i="13" l="1"/>
  <c r="E35" i="13"/>
  <c r="E34" i="13"/>
  <c r="E33" i="13"/>
  <c r="E32" i="13"/>
  <c r="E31" i="13"/>
  <c r="E30" i="13"/>
  <c r="E29" i="13"/>
  <c r="E28" i="13"/>
  <c r="E36" i="9" l="1"/>
  <c r="E35" i="9"/>
  <c r="E34" i="9"/>
  <c r="E33" i="9"/>
  <c r="E32" i="9"/>
  <c r="E31" i="9"/>
  <c r="E30" i="9"/>
  <c r="E29" i="9"/>
  <c r="E28" i="9"/>
  <c r="B149" i="12" l="1"/>
  <c r="Q12" i="2" l="1"/>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O5" i="15" l="1"/>
  <c r="J5" i="15"/>
  <c r="E5" i="15"/>
  <c r="B13" i="12" l="1"/>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T13"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261" i="12"/>
  <c r="V262" i="12"/>
  <c r="V263" i="12"/>
  <c r="V264" i="12"/>
  <c r="V265"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192" i="12"/>
  <c r="AP193" i="12"/>
  <c r="AP194" i="12"/>
  <c r="AP195" i="12"/>
  <c r="AP196" i="12"/>
  <c r="AP197" i="12"/>
  <c r="AP198" i="12"/>
  <c r="AP199" i="12"/>
  <c r="AP200" i="12"/>
  <c r="AP201" i="12"/>
  <c r="AP202" i="12"/>
  <c r="AP203" i="12"/>
  <c r="AP204" i="12"/>
  <c r="AP205" i="12"/>
  <c r="AP206" i="12"/>
  <c r="AP207" i="12"/>
  <c r="AP208" i="12"/>
  <c r="AP209" i="12"/>
  <c r="AP210" i="12"/>
  <c r="AP211" i="12"/>
  <c r="AP212" i="12"/>
  <c r="AP213" i="12"/>
  <c r="AP214" i="12"/>
  <c r="AP215" i="12"/>
  <c r="AP216" i="12"/>
  <c r="AP217" i="12"/>
  <c r="AP218" i="12"/>
  <c r="AP219" i="12"/>
  <c r="AP220" i="12"/>
  <c r="AP221" i="12"/>
  <c r="AP222" i="12"/>
  <c r="AP223" i="12"/>
  <c r="AP224" i="12"/>
  <c r="AP225" i="12"/>
  <c r="AP226" i="12"/>
  <c r="AP227" i="12"/>
  <c r="AP228" i="12"/>
  <c r="AP229" i="12"/>
  <c r="AP230" i="12"/>
  <c r="AP231" i="12"/>
  <c r="AP232" i="12"/>
  <c r="AP233" i="12"/>
  <c r="AP234" i="12"/>
  <c r="AP235" i="12"/>
  <c r="AP236" i="12"/>
  <c r="AP237" i="12"/>
  <c r="AP238" i="12"/>
  <c r="AP239" i="12"/>
  <c r="AP240" i="12"/>
  <c r="AP241" i="12"/>
  <c r="AP242" i="12"/>
  <c r="AP243" i="12"/>
  <c r="AP244" i="12"/>
  <c r="AP245" i="12"/>
  <c r="AP246" i="12"/>
  <c r="AP247" i="12"/>
  <c r="AP248" i="12"/>
  <c r="AP249" i="12"/>
  <c r="AP250" i="12"/>
  <c r="AP251" i="12"/>
  <c r="AP252" i="12"/>
  <c r="AP253" i="12"/>
  <c r="AP254" i="12"/>
  <c r="AP255" i="12"/>
  <c r="AP256" i="12"/>
  <c r="AP257" i="12"/>
  <c r="AP258" i="12"/>
  <c r="AP259" i="12"/>
  <c r="AP260" i="12"/>
  <c r="AP261" i="12"/>
  <c r="AP262" i="12"/>
  <c r="AP263" i="12"/>
  <c r="AP264" i="12"/>
  <c r="AP265" i="12"/>
  <c r="AT13" i="12"/>
  <c r="AT14" i="12"/>
  <c r="AT15" i="12"/>
  <c r="AT16" i="12"/>
  <c r="AT17" i="12"/>
  <c r="AT18" i="12"/>
  <c r="AT19" i="12"/>
  <c r="AT20" i="12"/>
  <c r="AT21" i="12"/>
  <c r="AT22" i="12"/>
  <c r="AT23" i="12"/>
  <c r="AT24" i="12"/>
  <c r="AT25" i="12"/>
  <c r="AT26" i="12"/>
  <c r="AT27" i="12"/>
  <c r="AT28" i="12"/>
  <c r="AT29" i="12"/>
  <c r="AT30" i="12"/>
  <c r="AT31" i="12"/>
  <c r="AT32" i="12"/>
  <c r="AT33" i="12"/>
  <c r="AT34" i="12"/>
  <c r="AT35" i="12"/>
  <c r="AT36" i="12"/>
  <c r="AT37" i="12"/>
  <c r="AT38" i="12"/>
  <c r="AT39" i="12"/>
  <c r="AT40" i="12"/>
  <c r="AT41" i="12"/>
  <c r="AT42" i="12"/>
  <c r="AT43" i="12"/>
  <c r="AT44" i="12"/>
  <c r="AT45" i="12"/>
  <c r="AT46" i="12"/>
  <c r="AT47" i="12"/>
  <c r="AT48" i="12"/>
  <c r="AT49" i="12"/>
  <c r="AT50" i="12"/>
  <c r="AT51" i="12"/>
  <c r="AT52" i="12"/>
  <c r="AT53" i="12"/>
  <c r="AT54" i="12"/>
  <c r="AT55" i="12"/>
  <c r="AT56" i="12"/>
  <c r="AT57" i="12"/>
  <c r="AT58" i="12"/>
  <c r="AT59" i="12"/>
  <c r="AT60" i="12"/>
  <c r="AT61"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5" i="12"/>
  <c r="AT116" i="12"/>
  <c r="AT117" i="12"/>
  <c r="AT118" i="12"/>
  <c r="AT119" i="12"/>
  <c r="AT120" i="12"/>
  <c r="AT121" i="12"/>
  <c r="AT122" i="12"/>
  <c r="AT123" i="12"/>
  <c r="AT124" i="12"/>
  <c r="AT125" i="12"/>
  <c r="AT126" i="12"/>
  <c r="AT127" i="12"/>
  <c r="AT128" i="12"/>
  <c r="AT129" i="12"/>
  <c r="AT130" i="12"/>
  <c r="AT131" i="12"/>
  <c r="AT132" i="12"/>
  <c r="AT133" i="12"/>
  <c r="AT134" i="12"/>
  <c r="AT135" i="12"/>
  <c r="AT136" i="12"/>
  <c r="AT137" i="12"/>
  <c r="AT138" i="12"/>
  <c r="AT139" i="12"/>
  <c r="AT140" i="12"/>
  <c r="AT141" i="12"/>
  <c r="AT142" i="12"/>
  <c r="AT143" i="12"/>
  <c r="AT144" i="12"/>
  <c r="AT145" i="12"/>
  <c r="AT146" i="12"/>
  <c r="AT147" i="12"/>
  <c r="AT148" i="12"/>
  <c r="AT149" i="12"/>
  <c r="AT150" i="12"/>
  <c r="AT151" i="12"/>
  <c r="AT152" i="12"/>
  <c r="AT153" i="12"/>
  <c r="AT154" i="12"/>
  <c r="AT155" i="12"/>
  <c r="AT156" i="12"/>
  <c r="AT157" i="12"/>
  <c r="AT158" i="12"/>
  <c r="AT159" i="12"/>
  <c r="AT160" i="12"/>
  <c r="AT161" i="12"/>
  <c r="AT162" i="12"/>
  <c r="AT163" i="12"/>
  <c r="AT164" i="12"/>
  <c r="AT165" i="12"/>
  <c r="AT166" i="12"/>
  <c r="AT167" i="12"/>
  <c r="AT168" i="12"/>
  <c r="AT169" i="12"/>
  <c r="AT170" i="12"/>
  <c r="AT171" i="12"/>
  <c r="AT172" i="12"/>
  <c r="AT173" i="12"/>
  <c r="AT174" i="12"/>
  <c r="AT175" i="12"/>
  <c r="AT176" i="12"/>
  <c r="AT177" i="12"/>
  <c r="AT178" i="12"/>
  <c r="AT179" i="12"/>
  <c r="AT180" i="12"/>
  <c r="AT181" i="12"/>
  <c r="AT182" i="12"/>
  <c r="AT183" i="12"/>
  <c r="AT184" i="12"/>
  <c r="AT185" i="12"/>
  <c r="AT186" i="12"/>
  <c r="AT187" i="12"/>
  <c r="AT188" i="12"/>
  <c r="AT189" i="12"/>
  <c r="AT190" i="12"/>
  <c r="AT191" i="12"/>
  <c r="AT192" i="12"/>
  <c r="AT193" i="12"/>
  <c r="AT194" i="12"/>
  <c r="AT195" i="12"/>
  <c r="AT196" i="12"/>
  <c r="AT197" i="12"/>
  <c r="AT198" i="12"/>
  <c r="AT199" i="12"/>
  <c r="AT200" i="12"/>
  <c r="AT201" i="12"/>
  <c r="AT202" i="12"/>
  <c r="AT203" i="12"/>
  <c r="AT204" i="12"/>
  <c r="AT205" i="12"/>
  <c r="AT206" i="12"/>
  <c r="AT207" i="12"/>
  <c r="AT208" i="12"/>
  <c r="AT209" i="12"/>
  <c r="AT210" i="12"/>
  <c r="AT211" i="12"/>
  <c r="AT212" i="12"/>
  <c r="AT213" i="12"/>
  <c r="AT214" i="12"/>
  <c r="AT215" i="12"/>
  <c r="AT216" i="12"/>
  <c r="AT217" i="12"/>
  <c r="AT218" i="12"/>
  <c r="AT219" i="12"/>
  <c r="AT220" i="12"/>
  <c r="AT221" i="12"/>
  <c r="AT222" i="12"/>
  <c r="AT223" i="12"/>
  <c r="AT224" i="12"/>
  <c r="AT225" i="12"/>
  <c r="AT226" i="12"/>
  <c r="AT227" i="12"/>
  <c r="AT228" i="12"/>
  <c r="AT229" i="12"/>
  <c r="AT230" i="12"/>
  <c r="AT231" i="12"/>
  <c r="AT232" i="12"/>
  <c r="AT233" i="12"/>
  <c r="AT234" i="12"/>
  <c r="AT235" i="12"/>
  <c r="AT236" i="12"/>
  <c r="AT237" i="12"/>
  <c r="AT238" i="12"/>
  <c r="AT239" i="12"/>
  <c r="AT240" i="12"/>
  <c r="AT241" i="12"/>
  <c r="AT242" i="12"/>
  <c r="AT243" i="12"/>
  <c r="AT244" i="12"/>
  <c r="AT245" i="12"/>
  <c r="AT246" i="12"/>
  <c r="AT247" i="12"/>
  <c r="AT248" i="12"/>
  <c r="AT249" i="12"/>
  <c r="AT250" i="12"/>
  <c r="AT251" i="12"/>
  <c r="AT252" i="12"/>
  <c r="AT253" i="12"/>
  <c r="AT254" i="12"/>
  <c r="AT255" i="12"/>
  <c r="AT256" i="12"/>
  <c r="AT257" i="12"/>
  <c r="AT258" i="12"/>
  <c r="AT259" i="12"/>
  <c r="AT260" i="12"/>
  <c r="AT261" i="12"/>
  <c r="AT262" i="12"/>
  <c r="AT263" i="12"/>
  <c r="AT264" i="12"/>
  <c r="AT265" i="12"/>
  <c r="BB11" i="2"/>
  <c r="K4" i="9" s="1"/>
  <c r="BB10" i="2"/>
  <c r="K3" i="9" s="1"/>
  <c r="BB9" i="2"/>
  <c r="K2" i="9" s="1"/>
  <c r="BC13" i="12"/>
  <c r="BD13" i="12"/>
  <c r="BE13" i="12"/>
  <c r="BC14" i="12"/>
  <c r="BD14" i="12"/>
  <c r="BE14" i="12"/>
  <c r="BC15" i="12"/>
  <c r="BD15" i="12"/>
  <c r="BE15" i="12"/>
  <c r="BC16" i="12"/>
  <c r="BD16" i="12"/>
  <c r="BE16" i="12"/>
  <c r="BC17" i="12"/>
  <c r="BD17" i="12"/>
  <c r="BE17" i="12"/>
  <c r="BC18" i="12"/>
  <c r="BD18" i="12"/>
  <c r="BE18" i="12"/>
  <c r="BC19" i="12"/>
  <c r="BD19" i="12"/>
  <c r="BE19" i="12"/>
  <c r="BC20" i="12"/>
  <c r="BD20" i="12"/>
  <c r="BE20" i="12"/>
  <c r="BC21" i="12"/>
  <c r="BD21" i="12"/>
  <c r="BE21" i="12"/>
  <c r="BC22" i="12"/>
  <c r="BD22" i="12"/>
  <c r="BE22" i="12"/>
  <c r="BC23" i="12"/>
  <c r="BD23" i="12"/>
  <c r="BE23" i="12"/>
  <c r="BC24" i="12"/>
  <c r="BD24" i="12"/>
  <c r="BE24" i="12"/>
  <c r="BC25" i="12"/>
  <c r="BD25" i="12"/>
  <c r="BE25" i="12"/>
  <c r="BC26" i="12"/>
  <c r="BD26" i="12"/>
  <c r="BE26" i="12"/>
  <c r="BC27" i="12"/>
  <c r="BD27" i="12"/>
  <c r="BE27" i="12"/>
  <c r="BC28" i="12"/>
  <c r="BD28" i="12"/>
  <c r="BE28" i="12"/>
  <c r="BC29" i="12"/>
  <c r="BD29" i="12"/>
  <c r="BE29" i="12"/>
  <c r="BC30" i="12"/>
  <c r="BD30" i="12"/>
  <c r="BE30" i="12"/>
  <c r="BC31" i="12"/>
  <c r="BD31" i="12"/>
  <c r="BE31" i="12"/>
  <c r="BC32" i="12"/>
  <c r="BD32" i="12"/>
  <c r="BE32" i="12"/>
  <c r="BC33" i="12"/>
  <c r="BD33" i="12"/>
  <c r="BE33" i="12"/>
  <c r="BC34" i="12"/>
  <c r="BD34" i="12"/>
  <c r="BE34" i="12"/>
  <c r="BC35" i="12"/>
  <c r="BD35" i="12"/>
  <c r="BE35" i="12"/>
  <c r="BC36" i="12"/>
  <c r="BD36" i="12"/>
  <c r="BE36" i="12"/>
  <c r="BC37" i="12"/>
  <c r="BD37" i="12"/>
  <c r="BE37" i="12"/>
  <c r="BC38" i="12"/>
  <c r="BD38" i="12"/>
  <c r="BE38" i="12"/>
  <c r="BC39" i="12"/>
  <c r="BD39" i="12"/>
  <c r="BE39" i="12"/>
  <c r="BC40" i="12"/>
  <c r="BD40" i="12"/>
  <c r="BE40" i="12"/>
  <c r="BC41" i="12"/>
  <c r="BD41" i="12"/>
  <c r="BE41" i="12"/>
  <c r="BC42" i="12"/>
  <c r="BD42" i="12"/>
  <c r="BE42" i="12"/>
  <c r="BC43" i="12"/>
  <c r="BD43" i="12"/>
  <c r="BE43" i="12"/>
  <c r="BC44" i="12"/>
  <c r="BD44" i="12"/>
  <c r="BE44" i="12"/>
  <c r="BC45" i="12"/>
  <c r="BD45" i="12"/>
  <c r="BE45" i="12"/>
  <c r="BC46" i="12"/>
  <c r="BD46" i="12"/>
  <c r="BE46" i="12"/>
  <c r="BC47" i="12"/>
  <c r="BD47" i="12"/>
  <c r="BE47" i="12"/>
  <c r="BC48" i="12"/>
  <c r="BD48" i="12"/>
  <c r="BE48" i="12"/>
  <c r="BC49" i="12"/>
  <c r="BD49" i="12"/>
  <c r="BE49" i="12"/>
  <c r="BC50" i="12"/>
  <c r="BD50" i="12"/>
  <c r="BE50" i="12"/>
  <c r="BC51" i="12"/>
  <c r="BD51" i="12"/>
  <c r="BE51" i="12"/>
  <c r="BC52" i="12"/>
  <c r="BD52" i="12"/>
  <c r="BE52" i="12"/>
  <c r="BC53" i="12"/>
  <c r="BD53" i="12"/>
  <c r="BE53" i="12"/>
  <c r="BC54" i="12"/>
  <c r="BD54" i="12"/>
  <c r="BE54" i="12"/>
  <c r="BC55" i="12"/>
  <c r="BD55" i="12"/>
  <c r="BE55" i="12"/>
  <c r="BC56" i="12"/>
  <c r="BD56" i="12"/>
  <c r="BE56" i="12"/>
  <c r="BC57" i="12"/>
  <c r="BD57" i="12"/>
  <c r="BE57" i="12"/>
  <c r="BC58" i="12"/>
  <c r="BD58" i="12"/>
  <c r="BE58" i="12"/>
  <c r="BC59" i="12"/>
  <c r="BD59" i="12"/>
  <c r="BE59" i="12"/>
  <c r="BC60" i="12"/>
  <c r="BD60" i="12"/>
  <c r="BE60" i="12"/>
  <c r="BC61" i="12"/>
  <c r="BD61" i="12"/>
  <c r="BE61" i="12"/>
  <c r="BC62" i="12"/>
  <c r="BD62" i="12"/>
  <c r="BE62" i="12"/>
  <c r="BC63" i="12"/>
  <c r="BD63" i="12"/>
  <c r="BE63" i="12"/>
  <c r="BC64" i="12"/>
  <c r="BD64" i="12"/>
  <c r="BE64" i="12"/>
  <c r="BC65" i="12"/>
  <c r="BD65" i="12"/>
  <c r="BE65" i="12"/>
  <c r="BC66" i="12"/>
  <c r="BD66" i="12"/>
  <c r="BE66" i="12"/>
  <c r="BC67" i="12"/>
  <c r="BD67" i="12"/>
  <c r="BE67" i="12"/>
  <c r="BC68" i="12"/>
  <c r="BD68" i="12"/>
  <c r="BE68" i="12"/>
  <c r="BC69" i="12"/>
  <c r="BD69" i="12"/>
  <c r="BE69" i="12"/>
  <c r="BC70" i="12"/>
  <c r="BD70" i="12"/>
  <c r="BE70" i="12"/>
  <c r="BC71" i="12"/>
  <c r="BD71" i="12"/>
  <c r="BE71" i="12"/>
  <c r="BC72" i="12"/>
  <c r="BD72" i="12"/>
  <c r="BE72" i="12"/>
  <c r="BC73" i="12"/>
  <c r="BD73" i="12"/>
  <c r="BE73" i="12"/>
  <c r="BC74" i="12"/>
  <c r="BD74" i="12"/>
  <c r="BE74" i="12"/>
  <c r="BC75" i="12"/>
  <c r="BD75" i="12"/>
  <c r="BE75" i="12"/>
  <c r="BC76" i="12"/>
  <c r="BD76" i="12"/>
  <c r="BE76" i="12"/>
  <c r="BC77" i="12"/>
  <c r="BD77" i="12"/>
  <c r="BE77" i="12"/>
  <c r="BC78" i="12"/>
  <c r="BD78" i="12"/>
  <c r="BE78" i="12"/>
  <c r="BC79" i="12"/>
  <c r="BD79" i="12"/>
  <c r="BE79" i="12"/>
  <c r="BC80" i="12"/>
  <c r="BD80" i="12"/>
  <c r="BE80" i="12"/>
  <c r="BC81" i="12"/>
  <c r="BD81" i="12"/>
  <c r="BE81" i="12"/>
  <c r="BC82" i="12"/>
  <c r="BD82" i="12"/>
  <c r="BE82" i="12"/>
  <c r="BC83" i="12"/>
  <c r="BD83" i="12"/>
  <c r="BE83" i="12"/>
  <c r="BC84" i="12"/>
  <c r="BD84" i="12"/>
  <c r="BE84" i="12"/>
  <c r="BC85" i="12"/>
  <c r="BD85" i="12"/>
  <c r="BE85" i="12"/>
  <c r="BC86" i="12"/>
  <c r="BD86" i="12"/>
  <c r="BE86" i="12"/>
  <c r="BC87" i="12"/>
  <c r="BD87" i="12"/>
  <c r="BE87" i="12"/>
  <c r="BC88" i="12"/>
  <c r="BD88" i="12"/>
  <c r="BE88" i="12"/>
  <c r="BC89" i="12"/>
  <c r="BD89" i="12"/>
  <c r="BE89" i="12"/>
  <c r="BC90" i="12"/>
  <c r="BD90" i="12"/>
  <c r="BE90" i="12"/>
  <c r="BC91" i="12"/>
  <c r="BD91" i="12"/>
  <c r="BE91" i="12"/>
  <c r="BC92" i="12"/>
  <c r="BD92" i="12"/>
  <c r="BE92" i="12"/>
  <c r="BC93" i="12"/>
  <c r="BD93" i="12"/>
  <c r="BE93" i="12"/>
  <c r="BC94" i="12"/>
  <c r="BD94" i="12"/>
  <c r="BE94" i="12"/>
  <c r="BC95" i="12"/>
  <c r="BD95" i="12"/>
  <c r="BE95" i="12"/>
  <c r="BC96" i="12"/>
  <c r="BD96" i="12"/>
  <c r="BE96" i="12"/>
  <c r="BC97" i="12"/>
  <c r="BD97" i="12"/>
  <c r="BE97" i="12"/>
  <c r="BC98" i="12"/>
  <c r="BD98" i="12"/>
  <c r="BE98" i="12"/>
  <c r="BC99" i="12"/>
  <c r="BD99" i="12"/>
  <c r="BE99" i="12"/>
  <c r="BC100" i="12"/>
  <c r="BD100" i="12"/>
  <c r="BE100" i="12"/>
  <c r="BC101" i="12"/>
  <c r="BD101" i="12"/>
  <c r="BE101" i="12"/>
  <c r="BC102" i="12"/>
  <c r="BD102" i="12"/>
  <c r="BE102" i="12"/>
  <c r="BC103" i="12"/>
  <c r="BD103" i="12"/>
  <c r="BE103" i="12"/>
  <c r="BC104" i="12"/>
  <c r="BD104" i="12"/>
  <c r="BE104" i="12"/>
  <c r="BC105" i="12"/>
  <c r="BD105" i="12"/>
  <c r="BE105" i="12"/>
  <c r="BC106" i="12"/>
  <c r="BD106" i="12"/>
  <c r="BE106" i="12"/>
  <c r="BC107" i="12"/>
  <c r="BD107" i="12"/>
  <c r="BE107" i="12"/>
  <c r="BC108" i="12"/>
  <c r="BD108" i="12"/>
  <c r="BE108" i="12"/>
  <c r="BC109" i="12"/>
  <c r="BD109" i="12"/>
  <c r="BE109" i="12"/>
  <c r="BC110" i="12"/>
  <c r="BD110" i="12"/>
  <c r="BE110" i="12"/>
  <c r="BC111" i="12"/>
  <c r="BD111" i="12"/>
  <c r="BE111" i="12"/>
  <c r="BC112" i="12"/>
  <c r="BD112" i="12"/>
  <c r="BE112" i="12"/>
  <c r="BC113" i="12"/>
  <c r="BD113" i="12"/>
  <c r="BE113" i="12"/>
  <c r="BC114" i="12"/>
  <c r="BD114" i="12"/>
  <c r="BE114" i="12"/>
  <c r="BC115" i="12"/>
  <c r="BD115" i="12"/>
  <c r="BE115" i="12"/>
  <c r="BC116" i="12"/>
  <c r="BD116" i="12"/>
  <c r="BE116" i="12"/>
  <c r="BC117" i="12"/>
  <c r="BD117" i="12"/>
  <c r="BE117" i="12"/>
  <c r="BC118" i="12"/>
  <c r="BD118" i="12"/>
  <c r="BE118" i="12"/>
  <c r="BC119" i="12"/>
  <c r="BD119" i="12"/>
  <c r="BE119" i="12"/>
  <c r="BC120" i="12"/>
  <c r="BD120" i="12"/>
  <c r="BE120" i="12"/>
  <c r="BC121" i="12"/>
  <c r="BD121" i="12"/>
  <c r="BE121" i="12"/>
  <c r="BC122" i="12"/>
  <c r="BD122" i="12"/>
  <c r="BE122" i="12"/>
  <c r="BC123" i="12"/>
  <c r="BD123" i="12"/>
  <c r="BE123" i="12"/>
  <c r="BC124" i="12"/>
  <c r="BD124" i="12"/>
  <c r="BE124" i="12"/>
  <c r="BC125" i="12"/>
  <c r="BD125" i="12"/>
  <c r="BE125" i="12"/>
  <c r="BC126" i="12"/>
  <c r="BD126" i="12"/>
  <c r="BE126" i="12"/>
  <c r="BC127" i="12"/>
  <c r="BD127" i="12"/>
  <c r="BE127" i="12"/>
  <c r="BC128" i="12"/>
  <c r="BD128" i="12"/>
  <c r="BE128" i="12"/>
  <c r="BC129" i="12"/>
  <c r="BD129" i="12"/>
  <c r="BE129" i="12"/>
  <c r="BC130" i="12"/>
  <c r="BD130" i="12"/>
  <c r="BE130" i="12"/>
  <c r="BC131" i="12"/>
  <c r="BD131" i="12"/>
  <c r="BE131" i="12"/>
  <c r="BC132" i="12"/>
  <c r="BD132" i="12"/>
  <c r="BE132" i="12"/>
  <c r="BC133" i="12"/>
  <c r="BD133" i="12"/>
  <c r="BE133" i="12"/>
  <c r="BC134" i="12"/>
  <c r="BD134" i="12"/>
  <c r="BE134" i="12"/>
  <c r="BC135" i="12"/>
  <c r="BD135" i="12"/>
  <c r="BE135" i="12"/>
  <c r="BC136" i="12"/>
  <c r="BD136" i="12"/>
  <c r="BE136" i="12"/>
  <c r="BC137" i="12"/>
  <c r="BD137" i="12"/>
  <c r="BE137" i="12"/>
  <c r="BC138" i="12"/>
  <c r="BD138" i="12"/>
  <c r="BE138" i="12"/>
  <c r="BC139" i="12"/>
  <c r="BD139" i="12"/>
  <c r="BE139" i="12"/>
  <c r="BC140" i="12"/>
  <c r="BD140" i="12"/>
  <c r="BE140" i="12"/>
  <c r="BC141" i="12"/>
  <c r="BD141" i="12"/>
  <c r="BE141" i="12"/>
  <c r="BC142" i="12"/>
  <c r="BD142" i="12"/>
  <c r="BE142" i="12"/>
  <c r="BC143" i="12"/>
  <c r="BD143" i="12"/>
  <c r="BE143" i="12"/>
  <c r="BC144" i="12"/>
  <c r="BD144" i="12"/>
  <c r="BE144" i="12"/>
  <c r="BC145" i="12"/>
  <c r="BD145" i="12"/>
  <c r="BE145" i="12"/>
  <c r="BC146" i="12"/>
  <c r="BD146" i="12"/>
  <c r="BE146" i="12"/>
  <c r="BC147" i="12"/>
  <c r="BD147" i="12"/>
  <c r="BE147" i="12"/>
  <c r="BC148" i="12"/>
  <c r="BD148" i="12"/>
  <c r="BE148" i="12"/>
  <c r="BC149" i="12"/>
  <c r="BD149" i="12"/>
  <c r="BE149" i="12"/>
  <c r="BC150" i="12"/>
  <c r="BD150" i="12"/>
  <c r="BE150" i="12"/>
  <c r="BC151" i="12"/>
  <c r="BD151" i="12"/>
  <c r="BE151" i="12"/>
  <c r="BC152" i="12"/>
  <c r="BD152" i="12"/>
  <c r="BE152" i="12"/>
  <c r="BC153" i="12"/>
  <c r="BD153" i="12"/>
  <c r="BE153" i="12"/>
  <c r="BC154" i="12"/>
  <c r="BD154" i="12"/>
  <c r="BE154" i="12"/>
  <c r="BC155" i="12"/>
  <c r="BD155" i="12"/>
  <c r="BE155" i="12"/>
  <c r="BC156" i="12"/>
  <c r="BD156" i="12"/>
  <c r="BE156" i="12"/>
  <c r="BC157" i="12"/>
  <c r="BD157" i="12"/>
  <c r="BE157" i="12"/>
  <c r="BC158" i="12"/>
  <c r="BD158" i="12"/>
  <c r="BE158" i="12"/>
  <c r="BC159" i="12"/>
  <c r="BD159" i="12"/>
  <c r="BE159" i="12"/>
  <c r="BC160" i="12"/>
  <c r="BD160" i="12"/>
  <c r="BE160" i="12"/>
  <c r="BC161" i="12"/>
  <c r="BD161" i="12"/>
  <c r="BE161" i="12"/>
  <c r="BC162" i="12"/>
  <c r="BD162" i="12"/>
  <c r="BE162" i="12"/>
  <c r="BC163" i="12"/>
  <c r="BD163" i="12"/>
  <c r="BE163" i="12"/>
  <c r="BC164" i="12"/>
  <c r="BD164" i="12"/>
  <c r="BE164" i="12"/>
  <c r="BC165" i="12"/>
  <c r="BD165" i="12"/>
  <c r="BE165" i="12"/>
  <c r="BC166" i="12"/>
  <c r="BD166" i="12"/>
  <c r="BE166" i="12"/>
  <c r="BC167" i="12"/>
  <c r="BD167" i="12"/>
  <c r="BE167" i="12"/>
  <c r="BC168" i="12"/>
  <c r="BD168" i="12"/>
  <c r="BE168" i="12"/>
  <c r="BC169" i="12"/>
  <c r="BD169" i="12"/>
  <c r="BE169" i="12"/>
  <c r="BC170" i="12"/>
  <c r="BD170" i="12"/>
  <c r="BE170" i="12"/>
  <c r="BC171" i="12"/>
  <c r="BD171" i="12"/>
  <c r="BE171" i="12"/>
  <c r="BC172" i="12"/>
  <c r="BD172" i="12"/>
  <c r="BE172" i="12"/>
  <c r="BC173" i="12"/>
  <c r="BD173" i="12"/>
  <c r="BE173" i="12"/>
  <c r="BC174" i="12"/>
  <c r="BD174" i="12"/>
  <c r="BE174" i="12"/>
  <c r="BC175" i="12"/>
  <c r="BD175" i="12"/>
  <c r="BE175" i="12"/>
  <c r="BC176" i="12"/>
  <c r="BD176" i="12"/>
  <c r="BE176" i="12"/>
  <c r="BC177" i="12"/>
  <c r="BD177" i="12"/>
  <c r="BE177" i="12"/>
  <c r="BC178" i="12"/>
  <c r="BD178" i="12"/>
  <c r="BE178" i="12"/>
  <c r="BC179" i="12"/>
  <c r="BD179" i="12"/>
  <c r="BE179" i="12"/>
  <c r="BC180" i="12"/>
  <c r="BD180" i="12"/>
  <c r="BE180" i="12"/>
  <c r="BC181" i="12"/>
  <c r="BD181" i="12"/>
  <c r="BE181" i="12"/>
  <c r="BC182" i="12"/>
  <c r="BD182" i="12"/>
  <c r="BE182" i="12"/>
  <c r="BC183" i="12"/>
  <c r="BD183" i="12"/>
  <c r="BE183" i="12"/>
  <c r="BC184" i="12"/>
  <c r="BD184" i="12"/>
  <c r="BE184" i="12"/>
  <c r="BC185" i="12"/>
  <c r="BD185" i="12"/>
  <c r="BE185" i="12"/>
  <c r="BC186" i="12"/>
  <c r="BD186" i="12"/>
  <c r="BE186" i="12"/>
  <c r="BC187" i="12"/>
  <c r="BD187" i="12"/>
  <c r="BE187" i="12"/>
  <c r="BC188" i="12"/>
  <c r="BD188" i="12"/>
  <c r="BE188" i="12"/>
  <c r="BC189" i="12"/>
  <c r="BD189" i="12"/>
  <c r="BE189" i="12"/>
  <c r="BC190" i="12"/>
  <c r="BD190" i="12"/>
  <c r="BE190" i="12"/>
  <c r="BC191" i="12"/>
  <c r="BD191" i="12"/>
  <c r="BE191" i="12"/>
  <c r="BC192" i="12"/>
  <c r="BD192" i="12"/>
  <c r="BE192" i="12"/>
  <c r="BC193" i="12"/>
  <c r="BD193" i="12"/>
  <c r="BE193" i="12"/>
  <c r="BC194" i="12"/>
  <c r="BD194" i="12"/>
  <c r="BE194" i="12"/>
  <c r="BC195" i="12"/>
  <c r="BD195" i="12"/>
  <c r="BE195" i="12"/>
  <c r="BC196" i="12"/>
  <c r="BD196" i="12"/>
  <c r="BE196" i="12"/>
  <c r="BC197" i="12"/>
  <c r="BD197" i="12"/>
  <c r="BE197" i="12"/>
  <c r="BC198" i="12"/>
  <c r="BD198" i="12"/>
  <c r="BE198" i="12"/>
  <c r="BC199" i="12"/>
  <c r="BD199" i="12"/>
  <c r="BE199" i="12"/>
  <c r="BC200" i="12"/>
  <c r="BD200" i="12"/>
  <c r="BE200" i="12"/>
  <c r="BC201" i="12"/>
  <c r="BD201" i="12"/>
  <c r="BE201" i="12"/>
  <c r="BC202" i="12"/>
  <c r="BD202" i="12"/>
  <c r="BE202" i="12"/>
  <c r="BC203" i="12"/>
  <c r="BD203" i="12"/>
  <c r="BE203" i="12"/>
  <c r="BC204" i="12"/>
  <c r="BD204" i="12"/>
  <c r="BE204" i="12"/>
  <c r="BC205" i="12"/>
  <c r="BD205" i="12"/>
  <c r="BE205" i="12"/>
  <c r="BC206" i="12"/>
  <c r="BD206" i="12"/>
  <c r="BE206" i="12"/>
  <c r="BC207" i="12"/>
  <c r="BD207" i="12"/>
  <c r="BE207" i="12"/>
  <c r="BC208" i="12"/>
  <c r="BD208" i="12"/>
  <c r="BE208" i="12"/>
  <c r="BC209" i="12"/>
  <c r="BD209" i="12"/>
  <c r="BE209" i="12"/>
  <c r="BC210" i="12"/>
  <c r="BD210" i="12"/>
  <c r="BE210" i="12"/>
  <c r="BC211" i="12"/>
  <c r="BD211" i="12"/>
  <c r="BE211" i="12"/>
  <c r="BC212" i="12"/>
  <c r="BD212" i="12"/>
  <c r="BE212" i="12"/>
  <c r="BC213" i="12"/>
  <c r="BD213" i="12"/>
  <c r="BE213" i="12"/>
  <c r="BC214" i="12"/>
  <c r="BD214" i="12"/>
  <c r="BE214" i="12"/>
  <c r="BC215" i="12"/>
  <c r="BD215" i="12"/>
  <c r="BE215" i="12"/>
  <c r="BC216" i="12"/>
  <c r="BD216" i="12"/>
  <c r="BE216" i="12"/>
  <c r="BC217" i="12"/>
  <c r="BD217" i="12"/>
  <c r="BE217" i="12"/>
  <c r="BC218" i="12"/>
  <c r="BD218" i="12"/>
  <c r="BE218" i="12"/>
  <c r="BC219" i="12"/>
  <c r="BD219" i="12"/>
  <c r="BE219" i="12"/>
  <c r="BC220" i="12"/>
  <c r="BD220" i="12"/>
  <c r="BE220" i="12"/>
  <c r="BC221" i="12"/>
  <c r="BD221" i="12"/>
  <c r="BE221" i="12"/>
  <c r="BC222" i="12"/>
  <c r="BD222" i="12"/>
  <c r="BE222" i="12"/>
  <c r="BC223" i="12"/>
  <c r="BD223" i="12"/>
  <c r="BE223" i="12"/>
  <c r="BC224" i="12"/>
  <c r="BD224" i="12"/>
  <c r="BE224" i="12"/>
  <c r="BC225" i="12"/>
  <c r="BD225" i="12"/>
  <c r="BE225" i="12"/>
  <c r="BC226" i="12"/>
  <c r="BD226" i="12"/>
  <c r="BE226" i="12"/>
  <c r="BC227" i="12"/>
  <c r="BD227" i="12"/>
  <c r="BE227" i="12"/>
  <c r="BC228" i="12"/>
  <c r="BD228" i="12"/>
  <c r="BE228" i="12"/>
  <c r="BC229" i="12"/>
  <c r="BD229" i="12"/>
  <c r="BE229" i="12"/>
  <c r="BC230" i="12"/>
  <c r="BD230" i="12"/>
  <c r="BE230" i="12"/>
  <c r="BC231" i="12"/>
  <c r="BD231" i="12"/>
  <c r="BE231" i="12"/>
  <c r="BC232" i="12"/>
  <c r="BD232" i="12"/>
  <c r="BE232" i="12"/>
  <c r="BC233" i="12"/>
  <c r="BD233" i="12"/>
  <c r="BE233" i="12"/>
  <c r="BC234" i="12"/>
  <c r="BD234" i="12"/>
  <c r="BE234" i="12"/>
  <c r="BC235" i="12"/>
  <c r="BD235" i="12"/>
  <c r="BE235" i="12"/>
  <c r="BC236" i="12"/>
  <c r="BD236" i="12"/>
  <c r="BE236" i="12"/>
  <c r="BC237" i="12"/>
  <c r="BD237" i="12"/>
  <c r="BE237" i="12"/>
  <c r="BC238" i="12"/>
  <c r="BD238" i="12"/>
  <c r="BE238" i="12"/>
  <c r="BC239" i="12"/>
  <c r="BD239" i="12"/>
  <c r="BE239" i="12"/>
  <c r="BC240" i="12"/>
  <c r="BD240" i="12"/>
  <c r="BE240" i="12"/>
  <c r="BC241" i="12"/>
  <c r="BD241" i="12"/>
  <c r="BE241" i="12"/>
  <c r="BC242" i="12"/>
  <c r="BD242" i="12"/>
  <c r="BE242" i="12"/>
  <c r="BC243" i="12"/>
  <c r="BD243" i="12"/>
  <c r="BE243" i="12"/>
  <c r="BC244" i="12"/>
  <c r="BD244" i="12"/>
  <c r="BE244" i="12"/>
  <c r="BC245" i="12"/>
  <c r="BD245" i="12"/>
  <c r="BE245" i="12"/>
  <c r="BC246" i="12"/>
  <c r="BD246" i="12"/>
  <c r="BE246" i="12"/>
  <c r="BC247" i="12"/>
  <c r="BD247" i="12"/>
  <c r="BE247" i="12"/>
  <c r="BC248" i="12"/>
  <c r="BD248" i="12"/>
  <c r="BE248" i="12"/>
  <c r="BC249" i="12"/>
  <c r="BD249" i="12"/>
  <c r="BE249" i="12"/>
  <c r="BC250" i="12"/>
  <c r="BD250" i="12"/>
  <c r="BE250" i="12"/>
  <c r="BC251" i="12"/>
  <c r="BD251" i="12"/>
  <c r="BE251" i="12"/>
  <c r="BC252" i="12"/>
  <c r="BD252" i="12"/>
  <c r="BE252" i="12"/>
  <c r="BC253" i="12"/>
  <c r="BD253" i="12"/>
  <c r="BE253" i="12"/>
  <c r="BC254" i="12"/>
  <c r="BD254" i="12"/>
  <c r="BE254" i="12"/>
  <c r="BC255" i="12"/>
  <c r="BD255" i="12"/>
  <c r="BE255" i="12"/>
  <c r="BC256" i="12"/>
  <c r="BD256" i="12"/>
  <c r="BE256" i="12"/>
  <c r="BC257" i="12"/>
  <c r="BD257" i="12"/>
  <c r="BE257" i="12"/>
  <c r="BC258" i="12"/>
  <c r="BD258" i="12"/>
  <c r="BE258" i="12"/>
  <c r="BC259" i="12"/>
  <c r="BD259" i="12"/>
  <c r="BE259" i="12"/>
  <c r="BC260" i="12"/>
  <c r="BD260" i="12"/>
  <c r="BE260" i="12"/>
  <c r="BC261" i="12"/>
  <c r="BD261" i="12"/>
  <c r="BE261" i="12"/>
  <c r="BC262" i="12"/>
  <c r="BD262" i="12"/>
  <c r="BE262" i="12"/>
  <c r="BC263" i="12"/>
  <c r="BD263" i="12"/>
  <c r="BE263" i="12"/>
  <c r="BC264" i="12"/>
  <c r="BD264" i="12"/>
  <c r="BE264" i="12"/>
  <c r="BC265" i="12"/>
  <c r="BD265" i="12"/>
  <c r="BE265" i="12"/>
  <c r="W4" i="12"/>
  <c r="R4" i="12"/>
  <c r="L4" i="12"/>
  <c r="M11" i="2"/>
  <c r="G4" i="9" s="1"/>
  <c r="Y8" i="10" s="1"/>
  <c r="BC11" i="12" l="1"/>
  <c r="K2" i="13" s="1"/>
  <c r="T13" i="11" s="1"/>
  <c r="BE11" i="12"/>
  <c r="K4" i="13" s="1"/>
  <c r="P13" i="11" s="1"/>
  <c r="BD11" i="12"/>
  <c r="K3" i="13" s="1"/>
  <c r="Y13" i="11" s="1"/>
  <c r="M12" i="12"/>
  <c r="G4" i="13" s="1"/>
  <c r="Y11" i="11" s="1"/>
  <c r="Q42" i="13"/>
  <c r="G36" i="13"/>
  <c r="P36" i="13" s="1"/>
  <c r="F36" i="13"/>
  <c r="J36" i="13" s="1"/>
  <c r="D36" i="13"/>
  <c r="C36" i="13"/>
  <c r="B36" i="13"/>
  <c r="G35" i="13"/>
  <c r="P35" i="13" s="1"/>
  <c r="F35" i="13"/>
  <c r="J35" i="13" s="1"/>
  <c r="D35" i="13"/>
  <c r="C35" i="13"/>
  <c r="B35" i="13"/>
  <c r="G34" i="13"/>
  <c r="P34" i="13" s="1"/>
  <c r="F34" i="13"/>
  <c r="J34" i="13" s="1"/>
  <c r="D34" i="13"/>
  <c r="C34" i="13"/>
  <c r="B34" i="13"/>
  <c r="G33" i="13"/>
  <c r="P33" i="13" s="1"/>
  <c r="F33" i="13"/>
  <c r="J33" i="13" s="1"/>
  <c r="D33" i="13"/>
  <c r="C33" i="13"/>
  <c r="B33" i="13"/>
  <c r="G32" i="13"/>
  <c r="P32" i="13" s="1"/>
  <c r="F32" i="13"/>
  <c r="J32" i="13" s="1"/>
  <c r="D32" i="13"/>
  <c r="C32" i="13"/>
  <c r="B32" i="13"/>
  <c r="G31" i="13"/>
  <c r="P31" i="13" s="1"/>
  <c r="F31" i="13"/>
  <c r="J31" i="13" s="1"/>
  <c r="D31" i="13"/>
  <c r="C31" i="13"/>
  <c r="B31" i="13"/>
  <c r="G30" i="13"/>
  <c r="P30" i="13" s="1"/>
  <c r="F30" i="13"/>
  <c r="J30" i="13" s="1"/>
  <c r="D30" i="13"/>
  <c r="C30" i="13"/>
  <c r="B30" i="13"/>
  <c r="G29" i="13"/>
  <c r="P29" i="13" s="1"/>
  <c r="F29" i="13"/>
  <c r="J29" i="13" s="1"/>
  <c r="D29" i="13"/>
  <c r="C29" i="13"/>
  <c r="B29" i="13"/>
  <c r="G28" i="13"/>
  <c r="P28" i="13" s="1"/>
  <c r="F28" i="13"/>
  <c r="J28" i="13" s="1"/>
  <c r="D28" i="13"/>
  <c r="C28" i="13"/>
  <c r="B28" i="13"/>
  <c r="C4" i="13"/>
  <c r="C3" i="13"/>
  <c r="C2" i="13"/>
  <c r="F9" i="11" s="1"/>
  <c r="AW13" i="12"/>
  <c r="AW14" i="12"/>
  <c r="AW15" i="12"/>
  <c r="AW16" i="12"/>
  <c r="AW17" i="12"/>
  <c r="AW18" i="12"/>
  <c r="AW19" i="12"/>
  <c r="AW20" i="12"/>
  <c r="AW21" i="12"/>
  <c r="AW22" i="12"/>
  <c r="AW23" i="12"/>
  <c r="AW24" i="12"/>
  <c r="AW25" i="12"/>
  <c r="AW26" i="12"/>
  <c r="AW27" i="12"/>
  <c r="AW28" i="12"/>
  <c r="AW29" i="12"/>
  <c r="AW30" i="12"/>
  <c r="AW31" i="12"/>
  <c r="AW32" i="12"/>
  <c r="AW33" i="12"/>
  <c r="AW34" i="12"/>
  <c r="AW35" i="12"/>
  <c r="AW36" i="12"/>
  <c r="AW37" i="12"/>
  <c r="AW38" i="12"/>
  <c r="AW39" i="12"/>
  <c r="AW40" i="12"/>
  <c r="AW41" i="12"/>
  <c r="AW42" i="12"/>
  <c r="AW43" i="12"/>
  <c r="AW44" i="12"/>
  <c r="AW45" i="12"/>
  <c r="AW46" i="12"/>
  <c r="AW47" i="12"/>
  <c r="AW48" i="12"/>
  <c r="AW49" i="12"/>
  <c r="AW50" i="12"/>
  <c r="AW51" i="12"/>
  <c r="AW52" i="12"/>
  <c r="AW53" i="12"/>
  <c r="AW54" i="12"/>
  <c r="AW55" i="12"/>
  <c r="AW56" i="12"/>
  <c r="AW57" i="12"/>
  <c r="AW58" i="12"/>
  <c r="AW59" i="12"/>
  <c r="AW60" i="12"/>
  <c r="AW61" i="12"/>
  <c r="AW62" i="12"/>
  <c r="AW63" i="12"/>
  <c r="AW64" i="12"/>
  <c r="AW65" i="12"/>
  <c r="AW66" i="12"/>
  <c r="AW67" i="12"/>
  <c r="AW68" i="12"/>
  <c r="AW69" i="12"/>
  <c r="AW70" i="12"/>
  <c r="AW71" i="12"/>
  <c r="AW72" i="12"/>
  <c r="AW73" i="12"/>
  <c r="AW74" i="12"/>
  <c r="AW75" i="12"/>
  <c r="AW76" i="12"/>
  <c r="AW77" i="12"/>
  <c r="AW78" i="12"/>
  <c r="AW79" i="12"/>
  <c r="AW80" i="12"/>
  <c r="AW81" i="12"/>
  <c r="AW82" i="12"/>
  <c r="AW83" i="12"/>
  <c r="AW84" i="12"/>
  <c r="AW85" i="12"/>
  <c r="AW86" i="12"/>
  <c r="AW87" i="12"/>
  <c r="AW88" i="12"/>
  <c r="AW89" i="12"/>
  <c r="AW90" i="12"/>
  <c r="AW91" i="12"/>
  <c r="AW92" i="12"/>
  <c r="AW93" i="12"/>
  <c r="AW94" i="12"/>
  <c r="AW95" i="12"/>
  <c r="AW96" i="12"/>
  <c r="AW97" i="12"/>
  <c r="AW98" i="12"/>
  <c r="AW99" i="12"/>
  <c r="AW100" i="12"/>
  <c r="AW101" i="12"/>
  <c r="AW102" i="12"/>
  <c r="AW103" i="12"/>
  <c r="AW104" i="12"/>
  <c r="AW105" i="12"/>
  <c r="AW106" i="12"/>
  <c r="AW107" i="12"/>
  <c r="AW108" i="12"/>
  <c r="AW109" i="12"/>
  <c r="AW110" i="12"/>
  <c r="AW111" i="12"/>
  <c r="AW112" i="12"/>
  <c r="AW113" i="12"/>
  <c r="AW114" i="12"/>
  <c r="AW115" i="12"/>
  <c r="AW116" i="12"/>
  <c r="AW117" i="12"/>
  <c r="AW118" i="12"/>
  <c r="AW119" i="12"/>
  <c r="AW120" i="12"/>
  <c r="AW121" i="12"/>
  <c r="AW122" i="12"/>
  <c r="AW123" i="12"/>
  <c r="AW124" i="12"/>
  <c r="AW125" i="12"/>
  <c r="AW126" i="12"/>
  <c r="AW127" i="12"/>
  <c r="AW128" i="12"/>
  <c r="AW129" i="12"/>
  <c r="AW130" i="12"/>
  <c r="AW131" i="12"/>
  <c r="AW132" i="12"/>
  <c r="AW133" i="12"/>
  <c r="AW134" i="12"/>
  <c r="AW135" i="12"/>
  <c r="AW136" i="12"/>
  <c r="AW137" i="12"/>
  <c r="AW138" i="12"/>
  <c r="AW139" i="12"/>
  <c r="AW140" i="12"/>
  <c r="AW141" i="12"/>
  <c r="AW142" i="12"/>
  <c r="AW143" i="12"/>
  <c r="AW144" i="12"/>
  <c r="AW145" i="12"/>
  <c r="AW146" i="12"/>
  <c r="AW147" i="12"/>
  <c r="AW148" i="12"/>
  <c r="AW149" i="12"/>
  <c r="AW150" i="12"/>
  <c r="AW151" i="12"/>
  <c r="AW152" i="12"/>
  <c r="AW153" i="12"/>
  <c r="AW154" i="12"/>
  <c r="AW155" i="12"/>
  <c r="AW156" i="12"/>
  <c r="AW157" i="12"/>
  <c r="AW158" i="12"/>
  <c r="AW159" i="12"/>
  <c r="AW160" i="12"/>
  <c r="AW161" i="12"/>
  <c r="AW162" i="12"/>
  <c r="AW163" i="12"/>
  <c r="AW164" i="12"/>
  <c r="AW165" i="12"/>
  <c r="AW166" i="12"/>
  <c r="AW167" i="12"/>
  <c r="AW168" i="12"/>
  <c r="AW169" i="12"/>
  <c r="AW170" i="12"/>
  <c r="AW171" i="12"/>
  <c r="AW172" i="12"/>
  <c r="AW173" i="12"/>
  <c r="AW174" i="12"/>
  <c r="AW175" i="12"/>
  <c r="AW176" i="12"/>
  <c r="AW177" i="12"/>
  <c r="AW178" i="12"/>
  <c r="AW179" i="12"/>
  <c r="AW180" i="12"/>
  <c r="AW181" i="12"/>
  <c r="AW182" i="12"/>
  <c r="AW183" i="12"/>
  <c r="AW184" i="12"/>
  <c r="AW185" i="12"/>
  <c r="AW186" i="12"/>
  <c r="AW187" i="12"/>
  <c r="AW188" i="12"/>
  <c r="AW189" i="12"/>
  <c r="AW190" i="12"/>
  <c r="AW191"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R13" i="12"/>
  <c r="AR14" i="12"/>
  <c r="AR15" i="12"/>
  <c r="AR16" i="12"/>
  <c r="AR17" i="12"/>
  <c r="AR18" i="12"/>
  <c r="AR19" i="12"/>
  <c r="AR20" i="12"/>
  <c r="AR21" i="12"/>
  <c r="AR22" i="12"/>
  <c r="AR23" i="12"/>
  <c r="AR24" i="12"/>
  <c r="AR25" i="12"/>
  <c r="AR26" i="12"/>
  <c r="AR27" i="12"/>
  <c r="AR28" i="12"/>
  <c r="AR29" i="12"/>
  <c r="AR30" i="12"/>
  <c r="AR31" i="12"/>
  <c r="AR32" i="12"/>
  <c r="AR33" i="12"/>
  <c r="AR34" i="12"/>
  <c r="AR35" i="12"/>
  <c r="AR36" i="12"/>
  <c r="AR37" i="12"/>
  <c r="AR38" i="12"/>
  <c r="AR39" i="12"/>
  <c r="AR40" i="12"/>
  <c r="AR41" i="12"/>
  <c r="AR42" i="12"/>
  <c r="AR43" i="12"/>
  <c r="AR44" i="12"/>
  <c r="AR45" i="12"/>
  <c r="AR46" i="12"/>
  <c r="AR47" i="12"/>
  <c r="AR48" i="12"/>
  <c r="AR49" i="12"/>
  <c r="AR50" i="12"/>
  <c r="AR51" i="12"/>
  <c r="AR52" i="12"/>
  <c r="AR53" i="12"/>
  <c r="AR54" i="12"/>
  <c r="AR55" i="12"/>
  <c r="AR56" i="12"/>
  <c r="AR57" i="12"/>
  <c r="AR58" i="12"/>
  <c r="AR59" i="12"/>
  <c r="AR60" i="12"/>
  <c r="AR61" i="12"/>
  <c r="AR62" i="12"/>
  <c r="AR63" i="12"/>
  <c r="AR64" i="12"/>
  <c r="AR65" i="12"/>
  <c r="AR66" i="12"/>
  <c r="AR67" i="12"/>
  <c r="AR68" i="12"/>
  <c r="AR69" i="12"/>
  <c r="AR70" i="12"/>
  <c r="AR71" i="12"/>
  <c r="AR72" i="12"/>
  <c r="AR73" i="12"/>
  <c r="AR74" i="12"/>
  <c r="AR75" i="12"/>
  <c r="AR76" i="12"/>
  <c r="AR77" i="12"/>
  <c r="AR78" i="12"/>
  <c r="AR79" i="12"/>
  <c r="AR80" i="12"/>
  <c r="AR81" i="12"/>
  <c r="AR82" i="12"/>
  <c r="AR83" i="12"/>
  <c r="AR84" i="12"/>
  <c r="AR85" i="12"/>
  <c r="AR86" i="12"/>
  <c r="AR87" i="12"/>
  <c r="AR88" i="12"/>
  <c r="AR89" i="12"/>
  <c r="AR90" i="12"/>
  <c r="AR91" i="12"/>
  <c r="AR92" i="12"/>
  <c r="AR93" i="12"/>
  <c r="AR94" i="12"/>
  <c r="AR95" i="12"/>
  <c r="AR96" i="12"/>
  <c r="AR97" i="12"/>
  <c r="AR98" i="12"/>
  <c r="AR99" i="12"/>
  <c r="AR100" i="12"/>
  <c r="AR101" i="12"/>
  <c r="AR102" i="12"/>
  <c r="AR103" i="12"/>
  <c r="AR104" i="12"/>
  <c r="AR105" i="12"/>
  <c r="AR106" i="12"/>
  <c r="AR107" i="12"/>
  <c r="AR108" i="12"/>
  <c r="AR109" i="12"/>
  <c r="AR110" i="12"/>
  <c r="AR111" i="12"/>
  <c r="AR112" i="12"/>
  <c r="AR113" i="12"/>
  <c r="AR114" i="12"/>
  <c r="AR115" i="12"/>
  <c r="AR116" i="12"/>
  <c r="AR117" i="12"/>
  <c r="AR118" i="12"/>
  <c r="AR119" i="12"/>
  <c r="AR120" i="12"/>
  <c r="AR121" i="12"/>
  <c r="AR122" i="12"/>
  <c r="AR123" i="12"/>
  <c r="AR124" i="12"/>
  <c r="AR125" i="12"/>
  <c r="AR126" i="12"/>
  <c r="AR127" i="12"/>
  <c r="AR128" i="12"/>
  <c r="AR129" i="12"/>
  <c r="AR130" i="12"/>
  <c r="AR131" i="12"/>
  <c r="AR132" i="12"/>
  <c r="AR133" i="12"/>
  <c r="AR134" i="12"/>
  <c r="AR135" i="12"/>
  <c r="AR136" i="12"/>
  <c r="AR137" i="12"/>
  <c r="AR138" i="12"/>
  <c r="AR139" i="12"/>
  <c r="AR140" i="12"/>
  <c r="AR141" i="12"/>
  <c r="AR142" i="12"/>
  <c r="AR143" i="12"/>
  <c r="AR144" i="12"/>
  <c r="AR145" i="12"/>
  <c r="AR146" i="12"/>
  <c r="AR147" i="12"/>
  <c r="AR148" i="12"/>
  <c r="AR149" i="12"/>
  <c r="AR150" i="12"/>
  <c r="AR151" i="12"/>
  <c r="AR152" i="12"/>
  <c r="AR153" i="12"/>
  <c r="AR154" i="12"/>
  <c r="AR155" i="12"/>
  <c r="AR156" i="12"/>
  <c r="AR157" i="12"/>
  <c r="AR158" i="12"/>
  <c r="AR159" i="12"/>
  <c r="AR160" i="12"/>
  <c r="AR161" i="12"/>
  <c r="AR162" i="12"/>
  <c r="AR163" i="12"/>
  <c r="AR164" i="12"/>
  <c r="AR165" i="12"/>
  <c r="AR166" i="12"/>
  <c r="AR167" i="12"/>
  <c r="AR168" i="12"/>
  <c r="AR169" i="12"/>
  <c r="AR170" i="12"/>
  <c r="AR171" i="12"/>
  <c r="AR172" i="12"/>
  <c r="AR173" i="12"/>
  <c r="AR174" i="12"/>
  <c r="AR175" i="12"/>
  <c r="AR176" i="12"/>
  <c r="AR177" i="12"/>
  <c r="AR178" i="12"/>
  <c r="AR179" i="12"/>
  <c r="AR180" i="12"/>
  <c r="AR181" i="12"/>
  <c r="AR182" i="12"/>
  <c r="AR183" i="12"/>
  <c r="AR184" i="12"/>
  <c r="AR185" i="12"/>
  <c r="AR186" i="12"/>
  <c r="AR187" i="12"/>
  <c r="AR188" i="12"/>
  <c r="AR189" i="12"/>
  <c r="AR190" i="12"/>
  <c r="AR191"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M13" i="12"/>
  <c r="AM14" i="12"/>
  <c r="AM15" i="12"/>
  <c r="AM16" i="12"/>
  <c r="AM17" i="12"/>
  <c r="AM18" i="12"/>
  <c r="AM19" i="12"/>
  <c r="AM20" i="12"/>
  <c r="AM21" i="12"/>
  <c r="AM22" i="12"/>
  <c r="AM23" i="12"/>
  <c r="AM24" i="12"/>
  <c r="AM25" i="12"/>
  <c r="AM26" i="12"/>
  <c r="AM27" i="12"/>
  <c r="AM28" i="12"/>
  <c r="AM29" i="12"/>
  <c r="AM30" i="12"/>
  <c r="AM31" i="12"/>
  <c r="AM32" i="12"/>
  <c r="AM33" i="12"/>
  <c r="AM34" i="12"/>
  <c r="AM35" i="12"/>
  <c r="AM36" i="12"/>
  <c r="AM37" i="12"/>
  <c r="AM38" i="12"/>
  <c r="AM39" i="12"/>
  <c r="AM40" i="12"/>
  <c r="AM41" i="12"/>
  <c r="AM42" i="12"/>
  <c r="AM43" i="12"/>
  <c r="AM44" i="12"/>
  <c r="AM45" i="12"/>
  <c r="AM46" i="12"/>
  <c r="AM47" i="12"/>
  <c r="AM48" i="12"/>
  <c r="AM49" i="12"/>
  <c r="AM50" i="12"/>
  <c r="AM51" i="12"/>
  <c r="AM52" i="12"/>
  <c r="AM53" i="12"/>
  <c r="AM54" i="12"/>
  <c r="AM55" i="12"/>
  <c r="AM56" i="12"/>
  <c r="AM57" i="12"/>
  <c r="AM58" i="12"/>
  <c r="AM59" i="12"/>
  <c r="AM60" i="12"/>
  <c r="AM61" i="12"/>
  <c r="AM62" i="12"/>
  <c r="AM63" i="12"/>
  <c r="AM64" i="12"/>
  <c r="AM65" i="12"/>
  <c r="AM66" i="12"/>
  <c r="AM67" i="12"/>
  <c r="AM68" i="12"/>
  <c r="AM69" i="12"/>
  <c r="AM70" i="12"/>
  <c r="AM71" i="12"/>
  <c r="AM72" i="12"/>
  <c r="AM73" i="12"/>
  <c r="AM74" i="12"/>
  <c r="AM75" i="12"/>
  <c r="AM76" i="12"/>
  <c r="AM77" i="12"/>
  <c r="AM78" i="12"/>
  <c r="AM79" i="12"/>
  <c r="AM80" i="12"/>
  <c r="AM81" i="12"/>
  <c r="AM82" i="12"/>
  <c r="AM83" i="12"/>
  <c r="AM84" i="12"/>
  <c r="AM85" i="12"/>
  <c r="AM86" i="12"/>
  <c r="AM87" i="12"/>
  <c r="AM88" i="12"/>
  <c r="AM89" i="12"/>
  <c r="AM90" i="12"/>
  <c r="AM91" i="12"/>
  <c r="AM92" i="12"/>
  <c r="AM93" i="12"/>
  <c r="AM94" i="12"/>
  <c r="AM95" i="12"/>
  <c r="AM96" i="12"/>
  <c r="AM97" i="12"/>
  <c r="AM98" i="12"/>
  <c r="AM99" i="12"/>
  <c r="AM100" i="12"/>
  <c r="AM101" i="12"/>
  <c r="AM102" i="12"/>
  <c r="AM103" i="12"/>
  <c r="AM104" i="12"/>
  <c r="AM105" i="12"/>
  <c r="AM106" i="12"/>
  <c r="AM107" i="12"/>
  <c r="AM108" i="12"/>
  <c r="AM109" i="12"/>
  <c r="AM110" i="12"/>
  <c r="AM111" i="12"/>
  <c r="AM112" i="12"/>
  <c r="AM113" i="12"/>
  <c r="AM114" i="12"/>
  <c r="AM115" i="12"/>
  <c r="AM116" i="12"/>
  <c r="AM117" i="12"/>
  <c r="AM118" i="12"/>
  <c r="AM119" i="12"/>
  <c r="AM120" i="12"/>
  <c r="AM121" i="12"/>
  <c r="AM122" i="12"/>
  <c r="AM123" i="12"/>
  <c r="AM124" i="12"/>
  <c r="AM125" i="12"/>
  <c r="AM126" i="12"/>
  <c r="AM127" i="12"/>
  <c r="AM128" i="12"/>
  <c r="AM129" i="12"/>
  <c r="AM130" i="12"/>
  <c r="AM131" i="12"/>
  <c r="AM132" i="12"/>
  <c r="AM133" i="12"/>
  <c r="AM134" i="12"/>
  <c r="AM135" i="12"/>
  <c r="AM136" i="12"/>
  <c r="AM137" i="12"/>
  <c r="AM138" i="12"/>
  <c r="AM139" i="12"/>
  <c r="AM140" i="12"/>
  <c r="AM141" i="12"/>
  <c r="AM142" i="12"/>
  <c r="AM143" i="12"/>
  <c r="AM144" i="12"/>
  <c r="AM145" i="12"/>
  <c r="AM146" i="12"/>
  <c r="AM147" i="12"/>
  <c r="AM148" i="12"/>
  <c r="AM149" i="12"/>
  <c r="AM150" i="12"/>
  <c r="AM151" i="12"/>
  <c r="AM152" i="12"/>
  <c r="AM153" i="12"/>
  <c r="AM154" i="12"/>
  <c r="AM155" i="12"/>
  <c r="AM156" i="12"/>
  <c r="AM157" i="12"/>
  <c r="AM158" i="12"/>
  <c r="AM159" i="12"/>
  <c r="AM160" i="12"/>
  <c r="AM161" i="12"/>
  <c r="AM162" i="12"/>
  <c r="AM163" i="12"/>
  <c r="AM164" i="12"/>
  <c r="AM165" i="12"/>
  <c r="AM166" i="12"/>
  <c r="AM167" i="12"/>
  <c r="AM168" i="12"/>
  <c r="AM169" i="12"/>
  <c r="AM170" i="12"/>
  <c r="AM171" i="12"/>
  <c r="AM172" i="12"/>
  <c r="AM173" i="12"/>
  <c r="AM174" i="12"/>
  <c r="AM175" i="12"/>
  <c r="AM176" i="12"/>
  <c r="AM177" i="12"/>
  <c r="AM178" i="12"/>
  <c r="AM179" i="12"/>
  <c r="AM180" i="12"/>
  <c r="AM181" i="12"/>
  <c r="AM182" i="12"/>
  <c r="AM183" i="12"/>
  <c r="AM184" i="12"/>
  <c r="AM185" i="12"/>
  <c r="AM186" i="12"/>
  <c r="AM187" i="12"/>
  <c r="AM188" i="12"/>
  <c r="AM189" i="12"/>
  <c r="AM190" i="12"/>
  <c r="AM191"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I13" i="12"/>
  <c r="AI14" i="12"/>
  <c r="AI15" i="12"/>
  <c r="AI16" i="12"/>
  <c r="AI17" i="12"/>
  <c r="AI18" i="12"/>
  <c r="AI19" i="12"/>
  <c r="AI20" i="12"/>
  <c r="AI21" i="12"/>
  <c r="AI22" i="12"/>
  <c r="AI23" i="12"/>
  <c r="AI24" i="12"/>
  <c r="AI25" i="12"/>
  <c r="AI26" i="12"/>
  <c r="AI27" i="12"/>
  <c r="AI28" i="12"/>
  <c r="AI29" i="12"/>
  <c r="AI30" i="12"/>
  <c r="AI31" i="12"/>
  <c r="AI32" i="12"/>
  <c r="AI33" i="12"/>
  <c r="AI34" i="12"/>
  <c r="AI35" i="12"/>
  <c r="AI36" i="12"/>
  <c r="AI37" i="12"/>
  <c r="AI38" i="12"/>
  <c r="AI39" i="12"/>
  <c r="AI40" i="12"/>
  <c r="AI41" i="12"/>
  <c r="AI42" i="12"/>
  <c r="AI43" i="12"/>
  <c r="AI44" i="12"/>
  <c r="AI45" i="12"/>
  <c r="AI46" i="12"/>
  <c r="AI47" i="12"/>
  <c r="AI48" i="12"/>
  <c r="AI49" i="12"/>
  <c r="AI50" i="12"/>
  <c r="AI51" i="12"/>
  <c r="AI52" i="12"/>
  <c r="AI53" i="12"/>
  <c r="AI54" i="12"/>
  <c r="AI55" i="12"/>
  <c r="AI56" i="12"/>
  <c r="AI57" i="12"/>
  <c r="AI58" i="12"/>
  <c r="AI59" i="12"/>
  <c r="AI60" i="12"/>
  <c r="AI61" i="12"/>
  <c r="AI62" i="12"/>
  <c r="AI63" i="12"/>
  <c r="AI64" i="12"/>
  <c r="AI65" i="12"/>
  <c r="AI66" i="12"/>
  <c r="AI67" i="12"/>
  <c r="AI68" i="12"/>
  <c r="AI69" i="12"/>
  <c r="AI70" i="12"/>
  <c r="AI71" i="12"/>
  <c r="AI72" i="12"/>
  <c r="AI73" i="12"/>
  <c r="AI74" i="12"/>
  <c r="AI75" i="12"/>
  <c r="AI76" i="12"/>
  <c r="AI77" i="12"/>
  <c r="AI78" i="12"/>
  <c r="AI79" i="12"/>
  <c r="AI80" i="12"/>
  <c r="AI81" i="12"/>
  <c r="AI82" i="12"/>
  <c r="AI83" i="12"/>
  <c r="AI84" i="12"/>
  <c r="AI85" i="12"/>
  <c r="AI86" i="12"/>
  <c r="AI87" i="12"/>
  <c r="AI88" i="12"/>
  <c r="AI89" i="12"/>
  <c r="AI90" i="12"/>
  <c r="AI91" i="12"/>
  <c r="AI92" i="12"/>
  <c r="AI93" i="12"/>
  <c r="AI94" i="12"/>
  <c r="AI95" i="12"/>
  <c r="AI96" i="12"/>
  <c r="AI97" i="12"/>
  <c r="AI98" i="12"/>
  <c r="AI99" i="12"/>
  <c r="AI100" i="12"/>
  <c r="AI101" i="12"/>
  <c r="AI102" i="12"/>
  <c r="AI103" i="12"/>
  <c r="AI104" i="12"/>
  <c r="AI105" i="12"/>
  <c r="AI106" i="12"/>
  <c r="AI107" i="12"/>
  <c r="AI108" i="12"/>
  <c r="AI109" i="12"/>
  <c r="AI110" i="12"/>
  <c r="AI111" i="12"/>
  <c r="AI112" i="12"/>
  <c r="AI113" i="12"/>
  <c r="AI114" i="12"/>
  <c r="AI115" i="12"/>
  <c r="AI116" i="12"/>
  <c r="AI117" i="12"/>
  <c r="AI118" i="12"/>
  <c r="AI119" i="12"/>
  <c r="AI120" i="12"/>
  <c r="AI121" i="12"/>
  <c r="AI122" i="12"/>
  <c r="AI123" i="12"/>
  <c r="AI124" i="12"/>
  <c r="AI125" i="12"/>
  <c r="AI126" i="12"/>
  <c r="AI127" i="12"/>
  <c r="AI128" i="12"/>
  <c r="AI129" i="12"/>
  <c r="AI130" i="12"/>
  <c r="AI131" i="12"/>
  <c r="AI132" i="12"/>
  <c r="AI133" i="12"/>
  <c r="AI134" i="12"/>
  <c r="AI135" i="12"/>
  <c r="AI136" i="12"/>
  <c r="AI137" i="12"/>
  <c r="AI138" i="12"/>
  <c r="AI139" i="12"/>
  <c r="AI140" i="12"/>
  <c r="AI141" i="12"/>
  <c r="AI142" i="12"/>
  <c r="AI143" i="12"/>
  <c r="AI144" i="12"/>
  <c r="AI145" i="12"/>
  <c r="AI146" i="12"/>
  <c r="AI147" i="12"/>
  <c r="AI148" i="12"/>
  <c r="AI149" i="12"/>
  <c r="AI150" i="12"/>
  <c r="AI151" i="12"/>
  <c r="AI152" i="12"/>
  <c r="AI153" i="12"/>
  <c r="AI154" i="12"/>
  <c r="AI155" i="12"/>
  <c r="AI156" i="12"/>
  <c r="AI157" i="12"/>
  <c r="AI158" i="12"/>
  <c r="AI159" i="12"/>
  <c r="AI160" i="12"/>
  <c r="AI161" i="12"/>
  <c r="AI162" i="12"/>
  <c r="AI163" i="12"/>
  <c r="AI164" i="12"/>
  <c r="AI165" i="12"/>
  <c r="AI166" i="12"/>
  <c r="AI167" i="12"/>
  <c r="AI168" i="12"/>
  <c r="AI169" i="12"/>
  <c r="AI170" i="12"/>
  <c r="AI171" i="12"/>
  <c r="AI172" i="12"/>
  <c r="AI173" i="12"/>
  <c r="AI174" i="12"/>
  <c r="AI175" i="12"/>
  <c r="AI176" i="12"/>
  <c r="AI177" i="12"/>
  <c r="AI178" i="12"/>
  <c r="AI179" i="12"/>
  <c r="AI180" i="12"/>
  <c r="AI181" i="12"/>
  <c r="AI182" i="12"/>
  <c r="AI183" i="12"/>
  <c r="AI184" i="12"/>
  <c r="AI185" i="12"/>
  <c r="AI186" i="12"/>
  <c r="AI187" i="12"/>
  <c r="AI188" i="12"/>
  <c r="AI189" i="12"/>
  <c r="AI190" i="12"/>
  <c r="AI191"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E13" i="12"/>
  <c r="AE14" i="12"/>
  <c r="AE15" i="12"/>
  <c r="AE16" i="12"/>
  <c r="AE17" i="12"/>
  <c r="AE18" i="12"/>
  <c r="AE19" i="12"/>
  <c r="AE20" i="12"/>
  <c r="AE21" i="12"/>
  <c r="AE22" i="12"/>
  <c r="AE23" i="12"/>
  <c r="AE24" i="12"/>
  <c r="AE25" i="12"/>
  <c r="AE26" i="12"/>
  <c r="AE27" i="12"/>
  <c r="AE28" i="12"/>
  <c r="AE29" i="12"/>
  <c r="AE30" i="12"/>
  <c r="AE31" i="12"/>
  <c r="AE32" i="12"/>
  <c r="AE33" i="12"/>
  <c r="AE34" i="12"/>
  <c r="AE35" i="12"/>
  <c r="AE36" i="12"/>
  <c r="AE37" i="12"/>
  <c r="AE38" i="12"/>
  <c r="AE39" i="12"/>
  <c r="AE40" i="12"/>
  <c r="AE41" i="12"/>
  <c r="AE42" i="12"/>
  <c r="AE43" i="12"/>
  <c r="AE44" i="12"/>
  <c r="AE45" i="12"/>
  <c r="AE46" i="12"/>
  <c r="AE47" i="12"/>
  <c r="AE48" i="12"/>
  <c r="AE49" i="12"/>
  <c r="AE50" i="12"/>
  <c r="AE51" i="12"/>
  <c r="AE52" i="12"/>
  <c r="AE53" i="12"/>
  <c r="AE54" i="12"/>
  <c r="AE55" i="12"/>
  <c r="AE56" i="12"/>
  <c r="AE57" i="12"/>
  <c r="AE58" i="12"/>
  <c r="AE59" i="12"/>
  <c r="AE60" i="12"/>
  <c r="AE61" i="12"/>
  <c r="AE62" i="12"/>
  <c r="AE63" i="12"/>
  <c r="AE64" i="12"/>
  <c r="AE65" i="12"/>
  <c r="AE66" i="12"/>
  <c r="AE67" i="12"/>
  <c r="AE68" i="12"/>
  <c r="AE69" i="12"/>
  <c r="AE70" i="12"/>
  <c r="AE71" i="12"/>
  <c r="AE72" i="12"/>
  <c r="AE73" i="12"/>
  <c r="AE74" i="12"/>
  <c r="AE75" i="12"/>
  <c r="AE76" i="12"/>
  <c r="AE77" i="12"/>
  <c r="AE78" i="12"/>
  <c r="AE79" i="12"/>
  <c r="AE80" i="12"/>
  <c r="AE81" i="12"/>
  <c r="AE82" i="12"/>
  <c r="AE83" i="12"/>
  <c r="AE84" i="12"/>
  <c r="AE85" i="12"/>
  <c r="AE86" i="12"/>
  <c r="AE87" i="12"/>
  <c r="AE88" i="12"/>
  <c r="AE89" i="12"/>
  <c r="AE90" i="12"/>
  <c r="AE91" i="12"/>
  <c r="AE92" i="12"/>
  <c r="AE93" i="12"/>
  <c r="AE94" i="12"/>
  <c r="AE95" i="12"/>
  <c r="AE96" i="12"/>
  <c r="AE97" i="12"/>
  <c r="AE98" i="12"/>
  <c r="AE99" i="12"/>
  <c r="AE100" i="12"/>
  <c r="AE101" i="12"/>
  <c r="AE102" i="12"/>
  <c r="AE103" i="12"/>
  <c r="AE104" i="12"/>
  <c r="AE105" i="12"/>
  <c r="AE106" i="12"/>
  <c r="AE107" i="12"/>
  <c r="AE108" i="12"/>
  <c r="AE109" i="12"/>
  <c r="AE110" i="12"/>
  <c r="AE111" i="12"/>
  <c r="AE112" i="12"/>
  <c r="AE113" i="12"/>
  <c r="AE114" i="12"/>
  <c r="AE115" i="12"/>
  <c r="AE116" i="12"/>
  <c r="AE117" i="12"/>
  <c r="AE118" i="12"/>
  <c r="AE119" i="12"/>
  <c r="AE120" i="12"/>
  <c r="AE121" i="12"/>
  <c r="AE122" i="12"/>
  <c r="AE123" i="12"/>
  <c r="AE124" i="12"/>
  <c r="AE125" i="12"/>
  <c r="AE126" i="12"/>
  <c r="AE127" i="12"/>
  <c r="AE128" i="12"/>
  <c r="AE129" i="12"/>
  <c r="AE130" i="12"/>
  <c r="AE131" i="12"/>
  <c r="AE132" i="12"/>
  <c r="AE133" i="12"/>
  <c r="AE134" i="12"/>
  <c r="AE135" i="12"/>
  <c r="AE136" i="12"/>
  <c r="AE137" i="12"/>
  <c r="AE138" i="12"/>
  <c r="AE139" i="12"/>
  <c r="AE140" i="12"/>
  <c r="AE141" i="12"/>
  <c r="AE142" i="12"/>
  <c r="AE143" i="12"/>
  <c r="AE144" i="12"/>
  <c r="AE145" i="12"/>
  <c r="AE146" i="12"/>
  <c r="AE147" i="12"/>
  <c r="AE148" i="12"/>
  <c r="AE149" i="12"/>
  <c r="AE150" i="12"/>
  <c r="AE151" i="12"/>
  <c r="AE152" i="12"/>
  <c r="AE153" i="12"/>
  <c r="AE154" i="12"/>
  <c r="AE155" i="12"/>
  <c r="AE156" i="12"/>
  <c r="AE157" i="12"/>
  <c r="AE158" i="12"/>
  <c r="AE159" i="12"/>
  <c r="AE160" i="12"/>
  <c r="AE161" i="12"/>
  <c r="AE162" i="12"/>
  <c r="AE163" i="12"/>
  <c r="AE164" i="12"/>
  <c r="AE165" i="12"/>
  <c r="AE166" i="12"/>
  <c r="AE167" i="12"/>
  <c r="AE168" i="12"/>
  <c r="AE169" i="12"/>
  <c r="AE170" i="12"/>
  <c r="AE171" i="12"/>
  <c r="AE172" i="12"/>
  <c r="AE173" i="12"/>
  <c r="AE174" i="12"/>
  <c r="AE175" i="12"/>
  <c r="AE176" i="12"/>
  <c r="AE177" i="12"/>
  <c r="AE178" i="12"/>
  <c r="AE179" i="12"/>
  <c r="AE180" i="12"/>
  <c r="AE181" i="12"/>
  <c r="AE182" i="12"/>
  <c r="AE183" i="12"/>
  <c r="AE184" i="12"/>
  <c r="AE185" i="12"/>
  <c r="AE186" i="12"/>
  <c r="AE187" i="12"/>
  <c r="AE188" i="12"/>
  <c r="AE189" i="12"/>
  <c r="AE190" i="12"/>
  <c r="AE191" i="12"/>
  <c r="AE192" i="12"/>
  <c r="AE193" i="12"/>
  <c r="AE194" i="12"/>
  <c r="AE195" i="12"/>
  <c r="AE196" i="12"/>
  <c r="AE197" i="12"/>
  <c r="AE198" i="12"/>
  <c r="AE199" i="12"/>
  <c r="AE200" i="12"/>
  <c r="AE201" i="12"/>
  <c r="AE202" i="12"/>
  <c r="AE203" i="12"/>
  <c r="AE204" i="12"/>
  <c r="AE205" i="12"/>
  <c r="AE206" i="12"/>
  <c r="AE207" i="12"/>
  <c r="AE208" i="12"/>
  <c r="AE209" i="12"/>
  <c r="AE210" i="12"/>
  <c r="AE211" i="12"/>
  <c r="AE212" i="12"/>
  <c r="AE213" i="12"/>
  <c r="AE214" i="12"/>
  <c r="AE215" i="12"/>
  <c r="AE216" i="12"/>
  <c r="AE217" i="12"/>
  <c r="AE218" i="12"/>
  <c r="AE219" i="12"/>
  <c r="AE220" i="12"/>
  <c r="AE221" i="12"/>
  <c r="AE222" i="12"/>
  <c r="AE223" i="12"/>
  <c r="AE224" i="12"/>
  <c r="AE225" i="12"/>
  <c r="AE226" i="12"/>
  <c r="AE227" i="12"/>
  <c r="AE228" i="12"/>
  <c r="AE229" i="12"/>
  <c r="AE230" i="12"/>
  <c r="AE231" i="12"/>
  <c r="AE232" i="12"/>
  <c r="AE233" i="12"/>
  <c r="AE234" i="12"/>
  <c r="AE235" i="12"/>
  <c r="AE236" i="12"/>
  <c r="AE237" i="12"/>
  <c r="AE238" i="12"/>
  <c r="AE239" i="12"/>
  <c r="AE240" i="12"/>
  <c r="AE241" i="12"/>
  <c r="AE242" i="12"/>
  <c r="AE243" i="12"/>
  <c r="AE244" i="12"/>
  <c r="AE245" i="12"/>
  <c r="AE246" i="12"/>
  <c r="AE247" i="12"/>
  <c r="AE248" i="12"/>
  <c r="AE249" i="12"/>
  <c r="AE250" i="12"/>
  <c r="AE251" i="12"/>
  <c r="AE252" i="12"/>
  <c r="AE253" i="12"/>
  <c r="AE254" i="12"/>
  <c r="AE255" i="12"/>
  <c r="AE256" i="12"/>
  <c r="AE257" i="12"/>
  <c r="AE258" i="12"/>
  <c r="AE259" i="12"/>
  <c r="AE260" i="12"/>
  <c r="AE261" i="12"/>
  <c r="AE262" i="12"/>
  <c r="AE263" i="12"/>
  <c r="AE264" i="12"/>
  <c r="AE265"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192" i="12"/>
  <c r="AA193" i="12"/>
  <c r="AA194" i="12"/>
  <c r="AA195" i="12"/>
  <c r="AA196" i="12"/>
  <c r="AA197" i="12"/>
  <c r="AA198" i="12"/>
  <c r="AA199" i="12"/>
  <c r="AA200" i="12"/>
  <c r="AA201" i="12"/>
  <c r="AA202" i="12"/>
  <c r="AA203" i="12"/>
  <c r="AA204" i="12"/>
  <c r="AA205" i="12"/>
  <c r="AA206" i="12"/>
  <c r="AA207" i="12"/>
  <c r="AA208" i="12"/>
  <c r="AA209" i="12"/>
  <c r="AA210" i="12"/>
  <c r="AA211" i="12"/>
  <c r="AA212" i="12"/>
  <c r="AA213" i="12"/>
  <c r="AA214" i="12"/>
  <c r="AA215" i="12"/>
  <c r="AA216" i="12"/>
  <c r="AA217" i="12"/>
  <c r="AA218" i="12"/>
  <c r="AA219" i="12"/>
  <c r="AA220" i="12"/>
  <c r="AA221" i="12"/>
  <c r="AA222" i="12"/>
  <c r="AA223" i="12"/>
  <c r="AA224" i="12"/>
  <c r="AA225" i="12"/>
  <c r="AA226" i="12"/>
  <c r="AA227" i="12"/>
  <c r="AA228" i="12"/>
  <c r="AA229" i="12"/>
  <c r="AA230" i="12"/>
  <c r="AA231" i="12"/>
  <c r="AA232" i="12"/>
  <c r="AA233" i="12"/>
  <c r="AA234" i="12"/>
  <c r="AA235" i="12"/>
  <c r="AA236" i="12"/>
  <c r="AA237" i="12"/>
  <c r="AA238" i="12"/>
  <c r="AA239" i="12"/>
  <c r="AA240" i="12"/>
  <c r="AA241" i="12"/>
  <c r="AA242" i="12"/>
  <c r="AA243" i="12"/>
  <c r="AA244" i="12"/>
  <c r="AA245" i="12"/>
  <c r="AA246" i="12"/>
  <c r="AA247" i="12"/>
  <c r="AA248" i="12"/>
  <c r="AA249" i="12"/>
  <c r="AA250" i="12"/>
  <c r="AA251" i="12"/>
  <c r="AA252" i="12"/>
  <c r="AA253" i="12"/>
  <c r="AA254" i="12"/>
  <c r="AA255" i="12"/>
  <c r="AA256" i="12"/>
  <c r="AA257" i="12"/>
  <c r="AA258" i="12"/>
  <c r="AA259" i="12"/>
  <c r="AA260" i="12"/>
  <c r="AA261" i="12"/>
  <c r="AA262" i="12"/>
  <c r="AA263" i="12"/>
  <c r="AA264" i="12"/>
  <c r="AA265" i="12"/>
  <c r="Q28" i="12"/>
  <c r="Q30" i="12"/>
  <c r="Q31" i="12"/>
  <c r="Q32" i="12"/>
  <c r="Q34" i="12"/>
  <c r="Q35" i="12"/>
  <c r="Q36" i="12"/>
  <c r="Q38" i="12"/>
  <c r="Q39" i="12"/>
  <c r="Q40" i="12"/>
  <c r="Q42" i="12"/>
  <c r="Q43" i="12"/>
  <c r="Q44" i="12"/>
  <c r="Q46" i="12"/>
  <c r="Q47" i="12"/>
  <c r="Q48" i="12"/>
  <c r="Q50" i="12"/>
  <c r="Q52" i="12"/>
  <c r="Q54" i="12"/>
  <c r="Q55" i="12"/>
  <c r="Q56" i="12"/>
  <c r="Q58" i="12"/>
  <c r="Q59" i="12"/>
  <c r="Q60" i="12"/>
  <c r="Q62" i="12"/>
  <c r="Q63" i="12"/>
  <c r="Q64" i="12"/>
  <c r="Q66" i="12"/>
  <c r="Q67" i="12"/>
  <c r="Q68" i="12"/>
  <c r="Q70" i="12"/>
  <c r="Q71" i="12"/>
  <c r="Q72" i="12"/>
  <c r="Q74" i="12"/>
  <c r="Q75" i="12"/>
  <c r="Q76" i="12"/>
  <c r="Q78" i="12"/>
  <c r="Q79" i="12"/>
  <c r="Q80" i="12"/>
  <c r="Q82" i="12"/>
  <c r="Q83" i="12"/>
  <c r="Q84" i="12"/>
  <c r="Q86" i="12"/>
  <c r="Q87" i="12"/>
  <c r="Q88" i="12"/>
  <c r="Q90" i="12"/>
  <c r="Q91" i="12"/>
  <c r="Q92" i="12"/>
  <c r="Q94" i="12"/>
  <c r="Q95" i="12"/>
  <c r="Q96" i="12"/>
  <c r="Q98" i="12"/>
  <c r="Q99" i="12"/>
  <c r="Q100" i="12"/>
  <c r="Q102" i="12"/>
  <c r="Q103" i="12"/>
  <c r="Q104" i="12"/>
  <c r="Q106" i="12"/>
  <c r="Q107" i="12"/>
  <c r="Q108" i="12"/>
  <c r="Q110" i="12"/>
  <c r="Q111" i="12"/>
  <c r="Q112" i="12"/>
  <c r="Q114" i="12"/>
  <c r="Q115" i="12"/>
  <c r="Q116" i="12"/>
  <c r="Q118" i="12"/>
  <c r="Q119" i="12"/>
  <c r="Q120" i="12"/>
  <c r="Q122" i="12"/>
  <c r="Q123" i="12"/>
  <c r="Q124" i="12"/>
  <c r="Q126" i="12"/>
  <c r="Q127" i="12"/>
  <c r="Q128" i="12"/>
  <c r="Q130" i="12"/>
  <c r="Q131" i="12"/>
  <c r="Q132" i="12"/>
  <c r="Q134" i="12"/>
  <c r="Q135" i="12"/>
  <c r="Q136" i="12"/>
  <c r="Q138" i="12"/>
  <c r="Q139" i="12"/>
  <c r="Q140" i="12"/>
  <c r="Q142" i="12"/>
  <c r="Q143" i="12"/>
  <c r="Q144" i="12"/>
  <c r="Q146" i="12"/>
  <c r="Q147" i="12"/>
  <c r="Q148" i="12"/>
  <c r="Q150" i="12"/>
  <c r="Q151" i="12"/>
  <c r="Q152" i="12"/>
  <c r="Q154" i="12"/>
  <c r="Q155" i="12"/>
  <c r="Q156" i="12"/>
  <c r="Q158" i="12"/>
  <c r="Q159" i="12"/>
  <c r="Q160" i="12"/>
  <c r="Q162" i="12"/>
  <c r="Q163" i="12"/>
  <c r="Q164" i="12"/>
  <c r="Q166" i="12"/>
  <c r="Q167" i="12"/>
  <c r="Q168" i="12"/>
  <c r="Q170" i="12"/>
  <c r="Q171" i="12"/>
  <c r="Q172" i="12"/>
  <c r="Q174" i="12"/>
  <c r="Q175" i="12"/>
  <c r="Q176" i="12"/>
  <c r="Q178" i="12"/>
  <c r="Q179" i="12"/>
  <c r="Q180" i="12"/>
  <c r="Q182" i="12"/>
  <c r="Q183" i="12"/>
  <c r="Q184" i="12"/>
  <c r="Q186" i="12"/>
  <c r="Q187" i="12"/>
  <c r="Q188" i="12"/>
  <c r="Q190" i="12"/>
  <c r="Q191" i="12"/>
  <c r="Q192" i="12"/>
  <c r="Q194" i="12"/>
  <c r="Q195" i="12"/>
  <c r="Q196" i="12"/>
  <c r="Q198" i="12"/>
  <c r="Q199" i="12"/>
  <c r="Q200" i="12"/>
  <c r="Q202" i="12"/>
  <c r="Q203" i="12"/>
  <c r="Q204" i="12"/>
  <c r="Q206" i="12"/>
  <c r="Q207" i="12"/>
  <c r="Q208" i="12"/>
  <c r="Q210" i="12"/>
  <c r="Q211" i="12"/>
  <c r="Q212" i="12"/>
  <c r="Q214" i="12"/>
  <c r="Q215" i="12"/>
  <c r="Q216" i="12"/>
  <c r="Q218" i="12"/>
  <c r="Q219" i="12"/>
  <c r="Q220" i="12"/>
  <c r="Q222" i="12"/>
  <c r="Q223" i="12"/>
  <c r="Q224" i="12"/>
  <c r="Q226" i="12"/>
  <c r="Q227" i="12"/>
  <c r="Q228" i="12"/>
  <c r="Q230" i="12"/>
  <c r="Q231" i="12"/>
  <c r="Q232" i="12"/>
  <c r="Q234" i="12"/>
  <c r="Q235" i="12"/>
  <c r="Q236" i="12"/>
  <c r="Q238" i="12"/>
  <c r="Q239" i="12"/>
  <c r="Q240" i="12"/>
  <c r="Q242" i="12"/>
  <c r="Q243" i="12"/>
  <c r="Q244" i="12"/>
  <c r="Q246" i="12"/>
  <c r="Q247" i="12"/>
  <c r="Q248" i="12"/>
  <c r="Q250" i="12"/>
  <c r="Q251" i="12"/>
  <c r="Q252" i="12"/>
  <c r="Q254" i="12"/>
  <c r="Q255" i="12"/>
  <c r="Q256" i="12"/>
  <c r="Q258" i="12"/>
  <c r="Q259" i="12"/>
  <c r="Q260" i="12"/>
  <c r="Q262" i="12"/>
  <c r="Q263" i="12"/>
  <c r="Q264" i="12"/>
  <c r="F18" i="12"/>
  <c r="F19" i="12"/>
  <c r="F20" i="12"/>
  <c r="F21" i="12"/>
  <c r="F22" i="12"/>
  <c r="F23" i="12"/>
  <c r="F24" i="12"/>
  <c r="F25" i="12"/>
  <c r="F26" i="12"/>
  <c r="F27" i="12"/>
  <c r="F28" i="12"/>
  <c r="E28" i="12" s="1"/>
  <c r="F29" i="12"/>
  <c r="E29" i="12" s="1"/>
  <c r="F30" i="12"/>
  <c r="E30" i="12" s="1"/>
  <c r="F31" i="12"/>
  <c r="E31" i="12" s="1"/>
  <c r="F32" i="12"/>
  <c r="E32" i="12" s="1"/>
  <c r="F33" i="12"/>
  <c r="E33" i="12" s="1"/>
  <c r="F34" i="12"/>
  <c r="E34" i="12" s="1"/>
  <c r="F35" i="12"/>
  <c r="E35" i="12" s="1"/>
  <c r="F36" i="12"/>
  <c r="E36" i="12" s="1"/>
  <c r="F37" i="12"/>
  <c r="E37" i="12" s="1"/>
  <c r="F38" i="12"/>
  <c r="E38" i="12" s="1"/>
  <c r="F39" i="12"/>
  <c r="E39" i="12" s="1"/>
  <c r="F40" i="12"/>
  <c r="E40" i="12" s="1"/>
  <c r="F41" i="12"/>
  <c r="E41" i="12" s="1"/>
  <c r="F42" i="12"/>
  <c r="E42" i="12" s="1"/>
  <c r="F43" i="12"/>
  <c r="E43" i="12" s="1"/>
  <c r="F44" i="12"/>
  <c r="E44" i="12" s="1"/>
  <c r="F45" i="12"/>
  <c r="E45" i="12" s="1"/>
  <c r="F46" i="12"/>
  <c r="E46" i="12" s="1"/>
  <c r="F47" i="12"/>
  <c r="E47" i="12" s="1"/>
  <c r="F48" i="12"/>
  <c r="E48" i="12" s="1"/>
  <c r="F49" i="12"/>
  <c r="E49" i="12" s="1"/>
  <c r="F50" i="12"/>
  <c r="E50" i="12" s="1"/>
  <c r="F51" i="12"/>
  <c r="E51" i="12" s="1"/>
  <c r="F52" i="12"/>
  <c r="E52" i="12" s="1"/>
  <c r="F53" i="12"/>
  <c r="E53" i="12" s="1"/>
  <c r="F54" i="12"/>
  <c r="E54" i="12" s="1"/>
  <c r="F55" i="12"/>
  <c r="E55" i="12" s="1"/>
  <c r="F56" i="12"/>
  <c r="E56" i="12" s="1"/>
  <c r="F57" i="12"/>
  <c r="E57" i="12" s="1"/>
  <c r="F58" i="12"/>
  <c r="E58" i="12" s="1"/>
  <c r="F59" i="12"/>
  <c r="E59" i="12" s="1"/>
  <c r="F60" i="12"/>
  <c r="E60" i="12" s="1"/>
  <c r="F61" i="12"/>
  <c r="E61" i="12" s="1"/>
  <c r="F62" i="12"/>
  <c r="E62" i="12" s="1"/>
  <c r="F63" i="12"/>
  <c r="E63" i="12" s="1"/>
  <c r="F64" i="12"/>
  <c r="E64" i="12" s="1"/>
  <c r="F65" i="12"/>
  <c r="E65" i="12" s="1"/>
  <c r="F66" i="12"/>
  <c r="E66" i="12" s="1"/>
  <c r="F67" i="12"/>
  <c r="E67" i="12" s="1"/>
  <c r="F68" i="12"/>
  <c r="E68" i="12" s="1"/>
  <c r="F69" i="12"/>
  <c r="E69" i="12" s="1"/>
  <c r="F70" i="12"/>
  <c r="E70" i="12" s="1"/>
  <c r="F71" i="12"/>
  <c r="E71" i="12" s="1"/>
  <c r="F72" i="12"/>
  <c r="E72" i="12" s="1"/>
  <c r="F73" i="12"/>
  <c r="E73" i="12" s="1"/>
  <c r="F74" i="12"/>
  <c r="E74" i="12" s="1"/>
  <c r="F75" i="12"/>
  <c r="E75" i="12" s="1"/>
  <c r="F76" i="12"/>
  <c r="E76" i="12" s="1"/>
  <c r="F77" i="12"/>
  <c r="E77" i="12" s="1"/>
  <c r="F78" i="12"/>
  <c r="E78" i="12" s="1"/>
  <c r="F79" i="12"/>
  <c r="E79" i="12" s="1"/>
  <c r="F80" i="12"/>
  <c r="E80" i="12" s="1"/>
  <c r="F81" i="12"/>
  <c r="E81" i="12" s="1"/>
  <c r="F82" i="12"/>
  <c r="E82" i="12" s="1"/>
  <c r="F83" i="12"/>
  <c r="E83" i="12" s="1"/>
  <c r="F84" i="12"/>
  <c r="E84" i="12" s="1"/>
  <c r="F85" i="12"/>
  <c r="E85" i="12" s="1"/>
  <c r="F86" i="12"/>
  <c r="E86" i="12" s="1"/>
  <c r="F87" i="12"/>
  <c r="E87" i="12" s="1"/>
  <c r="F88" i="12"/>
  <c r="E88" i="12" s="1"/>
  <c r="F89" i="12"/>
  <c r="E89" i="12" s="1"/>
  <c r="F90" i="12"/>
  <c r="E90" i="12" s="1"/>
  <c r="F91" i="12"/>
  <c r="E91" i="12" s="1"/>
  <c r="F92" i="12"/>
  <c r="E92" i="12" s="1"/>
  <c r="F93" i="12"/>
  <c r="E93" i="12" s="1"/>
  <c r="F94" i="12"/>
  <c r="E94" i="12" s="1"/>
  <c r="F95" i="12"/>
  <c r="E95" i="12" s="1"/>
  <c r="F96" i="12"/>
  <c r="E96" i="12" s="1"/>
  <c r="F97" i="12"/>
  <c r="E97" i="12" s="1"/>
  <c r="F98" i="12"/>
  <c r="E98" i="12" s="1"/>
  <c r="F99" i="12"/>
  <c r="E99" i="12" s="1"/>
  <c r="F100" i="12"/>
  <c r="E100" i="12" s="1"/>
  <c r="F101" i="12"/>
  <c r="E101" i="12" s="1"/>
  <c r="F102" i="12"/>
  <c r="E102" i="12" s="1"/>
  <c r="F103" i="12"/>
  <c r="E103" i="12" s="1"/>
  <c r="F104" i="12"/>
  <c r="E104" i="12" s="1"/>
  <c r="F105" i="12"/>
  <c r="E105" i="12" s="1"/>
  <c r="F106" i="12"/>
  <c r="E106" i="12" s="1"/>
  <c r="F107" i="12"/>
  <c r="E107" i="12" s="1"/>
  <c r="F108" i="12"/>
  <c r="E108" i="12" s="1"/>
  <c r="F109" i="12"/>
  <c r="E109" i="12" s="1"/>
  <c r="F110" i="12"/>
  <c r="E110" i="12" s="1"/>
  <c r="F111" i="12"/>
  <c r="E111" i="12" s="1"/>
  <c r="F112" i="12"/>
  <c r="E112" i="12" s="1"/>
  <c r="F113" i="12"/>
  <c r="E113" i="12" s="1"/>
  <c r="F114" i="12"/>
  <c r="E114" i="12" s="1"/>
  <c r="F115" i="12"/>
  <c r="E115" i="12" s="1"/>
  <c r="F116" i="12"/>
  <c r="E116" i="12" s="1"/>
  <c r="F117" i="12"/>
  <c r="E117" i="12" s="1"/>
  <c r="F118" i="12"/>
  <c r="E118" i="12" s="1"/>
  <c r="F119" i="12"/>
  <c r="E119" i="12" s="1"/>
  <c r="F120" i="12"/>
  <c r="E120" i="12" s="1"/>
  <c r="F121" i="12"/>
  <c r="E121" i="12" s="1"/>
  <c r="F122" i="12"/>
  <c r="E122" i="12" s="1"/>
  <c r="F123" i="12"/>
  <c r="E123" i="12" s="1"/>
  <c r="F124" i="12"/>
  <c r="E124" i="12" s="1"/>
  <c r="F125" i="12"/>
  <c r="E125" i="12" s="1"/>
  <c r="F126" i="12"/>
  <c r="E126" i="12" s="1"/>
  <c r="F127" i="12"/>
  <c r="E127" i="12" s="1"/>
  <c r="F128" i="12"/>
  <c r="E128" i="12" s="1"/>
  <c r="F129" i="12"/>
  <c r="E129" i="12" s="1"/>
  <c r="F130" i="12"/>
  <c r="E130" i="12" s="1"/>
  <c r="F131" i="12"/>
  <c r="E131" i="12" s="1"/>
  <c r="F132" i="12"/>
  <c r="E132" i="12" s="1"/>
  <c r="F133" i="12"/>
  <c r="E133" i="12" s="1"/>
  <c r="F134" i="12"/>
  <c r="E134" i="12" s="1"/>
  <c r="F135" i="12"/>
  <c r="E135" i="12" s="1"/>
  <c r="F136" i="12"/>
  <c r="E136" i="12" s="1"/>
  <c r="F137" i="12"/>
  <c r="E137" i="12" s="1"/>
  <c r="F138" i="12"/>
  <c r="E138" i="12" s="1"/>
  <c r="F139" i="12"/>
  <c r="E139" i="12" s="1"/>
  <c r="F140" i="12"/>
  <c r="E140" i="12" s="1"/>
  <c r="F141" i="12"/>
  <c r="E141" i="12" s="1"/>
  <c r="F142" i="12"/>
  <c r="E142" i="12" s="1"/>
  <c r="F143" i="12"/>
  <c r="E143" i="12" s="1"/>
  <c r="F144" i="12"/>
  <c r="E144" i="12" s="1"/>
  <c r="F145" i="12"/>
  <c r="E145" i="12" s="1"/>
  <c r="F146" i="12"/>
  <c r="E146" i="12" s="1"/>
  <c r="F147" i="12"/>
  <c r="E147" i="12" s="1"/>
  <c r="F148" i="12"/>
  <c r="E148" i="12" s="1"/>
  <c r="F149" i="12"/>
  <c r="E149" i="12" s="1"/>
  <c r="F150" i="12"/>
  <c r="E150" i="12" s="1"/>
  <c r="F151" i="12"/>
  <c r="E151" i="12" s="1"/>
  <c r="F152" i="12"/>
  <c r="E152" i="12" s="1"/>
  <c r="F153" i="12"/>
  <c r="E153" i="12" s="1"/>
  <c r="F154" i="12"/>
  <c r="E154" i="12" s="1"/>
  <c r="F155" i="12"/>
  <c r="E155" i="12" s="1"/>
  <c r="F156" i="12"/>
  <c r="E156" i="12" s="1"/>
  <c r="F157" i="12"/>
  <c r="E157" i="12" s="1"/>
  <c r="F158" i="12"/>
  <c r="E158" i="12" s="1"/>
  <c r="F159" i="12"/>
  <c r="E159" i="12" s="1"/>
  <c r="F160" i="12"/>
  <c r="E160" i="12" s="1"/>
  <c r="F161" i="12"/>
  <c r="E161" i="12" s="1"/>
  <c r="F162" i="12"/>
  <c r="E162" i="12" s="1"/>
  <c r="F163" i="12"/>
  <c r="E163" i="12" s="1"/>
  <c r="F164" i="12"/>
  <c r="E164" i="12" s="1"/>
  <c r="F165" i="12"/>
  <c r="E165" i="12" s="1"/>
  <c r="F166" i="12"/>
  <c r="E166" i="12" s="1"/>
  <c r="F167" i="12"/>
  <c r="E167" i="12" s="1"/>
  <c r="F168" i="12"/>
  <c r="E168" i="12" s="1"/>
  <c r="F169" i="12"/>
  <c r="E169" i="12" s="1"/>
  <c r="F170" i="12"/>
  <c r="E170" i="12" s="1"/>
  <c r="F171" i="12"/>
  <c r="E171" i="12" s="1"/>
  <c r="F172" i="12"/>
  <c r="E172" i="12" s="1"/>
  <c r="F173" i="12"/>
  <c r="E173" i="12" s="1"/>
  <c r="F174" i="12"/>
  <c r="E174" i="12" s="1"/>
  <c r="F175" i="12"/>
  <c r="E175" i="12" s="1"/>
  <c r="F176" i="12"/>
  <c r="E176" i="12" s="1"/>
  <c r="F177" i="12"/>
  <c r="E177" i="12" s="1"/>
  <c r="F178" i="12"/>
  <c r="E178" i="12" s="1"/>
  <c r="F179" i="12"/>
  <c r="E179" i="12" s="1"/>
  <c r="F180" i="12"/>
  <c r="E180" i="12" s="1"/>
  <c r="F181" i="12"/>
  <c r="E181" i="12" s="1"/>
  <c r="F182" i="12"/>
  <c r="E182" i="12" s="1"/>
  <c r="F183" i="12"/>
  <c r="E183" i="12" s="1"/>
  <c r="F184" i="12"/>
  <c r="E184" i="12" s="1"/>
  <c r="F185" i="12"/>
  <c r="E185" i="12" s="1"/>
  <c r="F186" i="12"/>
  <c r="E186" i="12" s="1"/>
  <c r="F187" i="12"/>
  <c r="E187" i="12" s="1"/>
  <c r="F188" i="12"/>
  <c r="E188" i="12" s="1"/>
  <c r="F189" i="12"/>
  <c r="E189" i="12" s="1"/>
  <c r="F190" i="12"/>
  <c r="E190" i="12" s="1"/>
  <c r="F191" i="12"/>
  <c r="E191" i="12" s="1"/>
  <c r="F192" i="12"/>
  <c r="E192" i="12" s="1"/>
  <c r="F193" i="12"/>
  <c r="E193" i="12" s="1"/>
  <c r="F194" i="12"/>
  <c r="E194" i="12" s="1"/>
  <c r="F195" i="12"/>
  <c r="E195" i="12" s="1"/>
  <c r="F196" i="12"/>
  <c r="E196" i="12" s="1"/>
  <c r="F197" i="12"/>
  <c r="E197" i="12" s="1"/>
  <c r="F198" i="12"/>
  <c r="E198" i="12" s="1"/>
  <c r="F199" i="12"/>
  <c r="E199" i="12" s="1"/>
  <c r="F200" i="12"/>
  <c r="E200" i="12" s="1"/>
  <c r="F201" i="12"/>
  <c r="E201" i="12" s="1"/>
  <c r="F202" i="12"/>
  <c r="E202" i="12" s="1"/>
  <c r="F203" i="12"/>
  <c r="E203" i="12" s="1"/>
  <c r="F204" i="12"/>
  <c r="E204" i="12" s="1"/>
  <c r="F205" i="12"/>
  <c r="E205" i="12" s="1"/>
  <c r="F206" i="12"/>
  <c r="E206" i="12" s="1"/>
  <c r="F207" i="12"/>
  <c r="E207" i="12" s="1"/>
  <c r="F208" i="12"/>
  <c r="E208" i="12" s="1"/>
  <c r="F209" i="12"/>
  <c r="E209" i="12" s="1"/>
  <c r="F210" i="12"/>
  <c r="E210" i="12" s="1"/>
  <c r="F211" i="12"/>
  <c r="E211" i="12" s="1"/>
  <c r="F212" i="12"/>
  <c r="E212" i="12" s="1"/>
  <c r="F213" i="12"/>
  <c r="E213" i="12" s="1"/>
  <c r="F214" i="12"/>
  <c r="E214" i="12" s="1"/>
  <c r="F215" i="12"/>
  <c r="E215" i="12" s="1"/>
  <c r="F216" i="12"/>
  <c r="E216" i="12" s="1"/>
  <c r="F217" i="12"/>
  <c r="E217" i="12" s="1"/>
  <c r="F218" i="12"/>
  <c r="E218" i="12" s="1"/>
  <c r="F219" i="12"/>
  <c r="E219" i="12" s="1"/>
  <c r="F220" i="12"/>
  <c r="E220" i="12" s="1"/>
  <c r="F221" i="12"/>
  <c r="E221" i="12" s="1"/>
  <c r="F222" i="12"/>
  <c r="E222" i="12" s="1"/>
  <c r="F223" i="12"/>
  <c r="E223" i="12" s="1"/>
  <c r="F224" i="12"/>
  <c r="E224" i="12" s="1"/>
  <c r="F225" i="12"/>
  <c r="E225" i="12" s="1"/>
  <c r="F226" i="12"/>
  <c r="E226" i="12" s="1"/>
  <c r="F227" i="12"/>
  <c r="E227" i="12" s="1"/>
  <c r="F228" i="12"/>
  <c r="E228" i="12" s="1"/>
  <c r="F229" i="12"/>
  <c r="E229" i="12" s="1"/>
  <c r="F230" i="12"/>
  <c r="E230" i="12" s="1"/>
  <c r="F231" i="12"/>
  <c r="E231" i="12" s="1"/>
  <c r="F232" i="12"/>
  <c r="E232" i="12" s="1"/>
  <c r="F233" i="12"/>
  <c r="E233" i="12" s="1"/>
  <c r="F234" i="12"/>
  <c r="E234" i="12" s="1"/>
  <c r="F235" i="12"/>
  <c r="E235" i="12" s="1"/>
  <c r="F236" i="12"/>
  <c r="E236" i="12" s="1"/>
  <c r="F237" i="12"/>
  <c r="E237" i="12" s="1"/>
  <c r="F238" i="12"/>
  <c r="E238" i="12" s="1"/>
  <c r="F239" i="12"/>
  <c r="E239" i="12" s="1"/>
  <c r="F240" i="12"/>
  <c r="E240" i="12" s="1"/>
  <c r="F241" i="12"/>
  <c r="E241" i="12" s="1"/>
  <c r="F242" i="12"/>
  <c r="E242" i="12" s="1"/>
  <c r="F243" i="12"/>
  <c r="E243" i="12" s="1"/>
  <c r="F244" i="12"/>
  <c r="E244" i="12" s="1"/>
  <c r="F245" i="12"/>
  <c r="E245" i="12" s="1"/>
  <c r="F246" i="12"/>
  <c r="E246" i="12" s="1"/>
  <c r="F247" i="12"/>
  <c r="E247" i="12" s="1"/>
  <c r="F248" i="12"/>
  <c r="E248" i="12" s="1"/>
  <c r="F249" i="12"/>
  <c r="E249" i="12" s="1"/>
  <c r="F250" i="12"/>
  <c r="E250" i="12" s="1"/>
  <c r="F251" i="12"/>
  <c r="E251" i="12" s="1"/>
  <c r="F252" i="12"/>
  <c r="E252" i="12" s="1"/>
  <c r="F253" i="12"/>
  <c r="E253" i="12" s="1"/>
  <c r="F254" i="12"/>
  <c r="E254" i="12" s="1"/>
  <c r="F255" i="12"/>
  <c r="E255" i="12" s="1"/>
  <c r="F256" i="12"/>
  <c r="E256" i="12" s="1"/>
  <c r="F257" i="12"/>
  <c r="E257" i="12" s="1"/>
  <c r="F258" i="12"/>
  <c r="E258" i="12" s="1"/>
  <c r="F259" i="12"/>
  <c r="E259" i="12" s="1"/>
  <c r="F260" i="12"/>
  <c r="E260" i="12" s="1"/>
  <c r="F261" i="12"/>
  <c r="E261" i="12" s="1"/>
  <c r="F262" i="12"/>
  <c r="E262" i="12" s="1"/>
  <c r="F263" i="12"/>
  <c r="E263" i="12" s="1"/>
  <c r="F264" i="12"/>
  <c r="E264" i="12" s="1"/>
  <c r="F265" i="12"/>
  <c r="E265" i="12" s="1"/>
  <c r="F13" i="12"/>
  <c r="F14" i="12"/>
  <c r="F15" i="12"/>
  <c r="F16" i="12"/>
  <c r="F17" i="12"/>
  <c r="Q29" i="12"/>
  <c r="Q33" i="12"/>
  <c r="Q37" i="12"/>
  <c r="Q41" i="12"/>
  <c r="Q45" i="12"/>
  <c r="Q49" i="12"/>
  <c r="Q51" i="12"/>
  <c r="Q53" i="12"/>
  <c r="Q57" i="12"/>
  <c r="Q61" i="12"/>
  <c r="Q65" i="12"/>
  <c r="Q69" i="12"/>
  <c r="Q73" i="12"/>
  <c r="Q77" i="12"/>
  <c r="Q81" i="12"/>
  <c r="Q85" i="12"/>
  <c r="Q89" i="12"/>
  <c r="Q93" i="12"/>
  <c r="Q97" i="12"/>
  <c r="Q101" i="12"/>
  <c r="Q105" i="12"/>
  <c r="Q109" i="12"/>
  <c r="Q113" i="12"/>
  <c r="Q117" i="12"/>
  <c r="Q121" i="12"/>
  <c r="Q125" i="12"/>
  <c r="Q129" i="12"/>
  <c r="Q133" i="12"/>
  <c r="Q137" i="12"/>
  <c r="Q141" i="12"/>
  <c r="Q145" i="12"/>
  <c r="Q149" i="12"/>
  <c r="Q153" i="12"/>
  <c r="Q157" i="12"/>
  <c r="Q161" i="12"/>
  <c r="Q165" i="12"/>
  <c r="Q169" i="12"/>
  <c r="Q173" i="12"/>
  <c r="Q177" i="12"/>
  <c r="Q181" i="12"/>
  <c r="Q185" i="12"/>
  <c r="Q189" i="12"/>
  <c r="Q193" i="12"/>
  <c r="Q197" i="12"/>
  <c r="Q201" i="12"/>
  <c r="Q205" i="12"/>
  <c r="Q209" i="12"/>
  <c r="Q213" i="12"/>
  <c r="Q217" i="12"/>
  <c r="Q221" i="12"/>
  <c r="Q225" i="12"/>
  <c r="Q229" i="12"/>
  <c r="Q233" i="12"/>
  <c r="Q237" i="12"/>
  <c r="Q241" i="12"/>
  <c r="Q245" i="12"/>
  <c r="Q249" i="12"/>
  <c r="Q253" i="12"/>
  <c r="Q257" i="12"/>
  <c r="Q261" i="12"/>
  <c r="Q265" i="12"/>
  <c r="K35" i="13" l="1"/>
  <c r="K31" i="13"/>
  <c r="K29" i="13"/>
  <c r="K33" i="13"/>
  <c r="K28" i="13"/>
  <c r="K32" i="13"/>
  <c r="K36" i="13"/>
  <c r="K30" i="13"/>
  <c r="K34" i="13"/>
  <c r="H28" i="13"/>
  <c r="I28" i="13" s="1"/>
  <c r="H29" i="13"/>
  <c r="I29" i="13" s="1"/>
  <c r="H30" i="13"/>
  <c r="I30" i="13" s="1"/>
  <c r="H31" i="13"/>
  <c r="I31" i="13" s="1"/>
  <c r="H32" i="13"/>
  <c r="I32" i="13" s="1"/>
  <c r="H33" i="13"/>
  <c r="I33" i="13" s="1"/>
  <c r="H34" i="13"/>
  <c r="I34" i="13" s="1"/>
  <c r="H35" i="13"/>
  <c r="I35" i="13" s="1"/>
  <c r="H36" i="13"/>
  <c r="I36" i="13" s="1"/>
  <c r="I12" i="12"/>
  <c r="G2" i="13" s="1"/>
  <c r="AR12" i="12"/>
  <c r="N11" i="13" s="1"/>
  <c r="AA5" i="13" s="1"/>
  <c r="T44" i="11" s="1"/>
  <c r="K12" i="12"/>
  <c r="G3" i="13" s="1"/>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C2" i="9"/>
  <c r="F6" i="10" s="1"/>
  <c r="E6" i="5" l="1"/>
  <c r="M35" i="13"/>
  <c r="R35" i="13" s="1"/>
  <c r="R11" i="11"/>
  <c r="N50" i="13"/>
  <c r="K11" i="11"/>
  <c r="M36" i="13"/>
  <c r="Q36" i="13" s="1"/>
  <c r="M33" i="13"/>
  <c r="N33" i="13" s="1"/>
  <c r="T33" i="13" s="1"/>
  <c r="M31" i="13"/>
  <c r="N31" i="13" s="1"/>
  <c r="M29" i="13"/>
  <c r="Q29" i="13" s="1"/>
  <c r="M34" i="13"/>
  <c r="N34" i="13" s="1"/>
  <c r="M32" i="13"/>
  <c r="N32" i="13" s="1"/>
  <c r="M30" i="13"/>
  <c r="Q30" i="13" s="1"/>
  <c r="M28" i="13"/>
  <c r="R28" i="13" s="1"/>
  <c r="Q42" i="9"/>
  <c r="G36" i="9"/>
  <c r="P36" i="9" s="1"/>
  <c r="G35" i="9"/>
  <c r="P35" i="9" s="1"/>
  <c r="G34" i="9"/>
  <c r="P34" i="9" s="1"/>
  <c r="G33" i="9"/>
  <c r="P33" i="9" s="1"/>
  <c r="G32" i="9"/>
  <c r="P32" i="9" s="1"/>
  <c r="G31" i="9"/>
  <c r="P31" i="9" s="1"/>
  <c r="G30" i="9"/>
  <c r="P30" i="9" s="1"/>
  <c r="G29" i="9"/>
  <c r="P29" i="9" s="1"/>
  <c r="G28" i="9"/>
  <c r="P28" i="9" s="1"/>
  <c r="F36" i="9"/>
  <c r="H36" i="9" s="1"/>
  <c r="F35" i="9"/>
  <c r="J35" i="9" s="1"/>
  <c r="F34" i="9"/>
  <c r="J34" i="9" s="1"/>
  <c r="F33" i="9"/>
  <c r="H33" i="9" s="1"/>
  <c r="F32" i="9"/>
  <c r="H32" i="9" s="1"/>
  <c r="F31" i="9"/>
  <c r="J31" i="9" s="1"/>
  <c r="F30" i="9"/>
  <c r="J30" i="9" s="1"/>
  <c r="F29" i="9"/>
  <c r="H29" i="9" s="1"/>
  <c r="F28" i="9"/>
  <c r="H28" i="9" s="1"/>
  <c r="D36" i="9"/>
  <c r="D35" i="9"/>
  <c r="D34" i="9"/>
  <c r="D33" i="9"/>
  <c r="D32" i="9"/>
  <c r="D31" i="9"/>
  <c r="D30" i="9"/>
  <c r="D29" i="9"/>
  <c r="D28" i="9"/>
  <c r="C36" i="9"/>
  <c r="C35" i="9"/>
  <c r="C34" i="9"/>
  <c r="C33" i="9"/>
  <c r="C32" i="9"/>
  <c r="C31" i="9"/>
  <c r="C30" i="9"/>
  <c r="C29" i="9"/>
  <c r="C28" i="9"/>
  <c r="B36" i="9"/>
  <c r="B35" i="9"/>
  <c r="B34" i="9"/>
  <c r="B33" i="9"/>
  <c r="B32" i="9"/>
  <c r="B31" i="9"/>
  <c r="B30" i="9"/>
  <c r="B29" i="9"/>
  <c r="B28" i="9"/>
  <c r="E10" i="5"/>
  <c r="O10" i="5"/>
  <c r="G18" i="9" s="1"/>
  <c r="F13" i="3"/>
  <c r="G13" i="13" s="1"/>
  <c r="E22" i="3"/>
  <c r="E21" i="3"/>
  <c r="E20" i="3"/>
  <c r="E19" i="3"/>
  <c r="E18" i="3"/>
  <c r="E17" i="3"/>
  <c r="E16" i="3"/>
  <c r="E15" i="3"/>
  <c r="E14" i="3"/>
  <c r="AL265" i="12"/>
  <c r="AL264" i="12"/>
  <c r="AL263" i="12"/>
  <c r="AL262" i="12"/>
  <c r="AL261" i="12"/>
  <c r="AL260" i="12"/>
  <c r="AL259" i="12"/>
  <c r="AL258" i="12"/>
  <c r="AL257" i="12"/>
  <c r="AL256" i="12"/>
  <c r="AL255" i="12"/>
  <c r="AL254" i="12"/>
  <c r="AL253" i="12"/>
  <c r="AL252" i="12"/>
  <c r="AL251" i="12"/>
  <c r="AL250" i="12"/>
  <c r="AL249" i="12"/>
  <c r="AL248" i="12"/>
  <c r="AL247" i="12"/>
  <c r="AL246" i="12"/>
  <c r="AL245" i="12"/>
  <c r="AL244" i="12"/>
  <c r="AL243" i="12"/>
  <c r="AL242" i="12"/>
  <c r="AL241" i="12"/>
  <c r="AL240" i="12"/>
  <c r="AL239" i="12"/>
  <c r="AL238" i="12"/>
  <c r="AL237" i="12"/>
  <c r="AL236" i="12"/>
  <c r="AL235" i="12"/>
  <c r="AL234" i="12"/>
  <c r="AL233" i="12"/>
  <c r="AL232" i="12"/>
  <c r="AL231" i="12"/>
  <c r="AL230" i="12"/>
  <c r="AL229" i="12"/>
  <c r="AL228" i="12"/>
  <c r="AL227" i="12"/>
  <c r="AL226" i="12"/>
  <c r="AL225" i="12"/>
  <c r="AL224" i="12"/>
  <c r="AL223" i="12"/>
  <c r="AL222" i="12"/>
  <c r="AL221" i="12"/>
  <c r="AL220" i="12"/>
  <c r="AL219" i="12"/>
  <c r="AL218" i="12"/>
  <c r="AL217" i="12"/>
  <c r="AL216" i="12"/>
  <c r="AL215" i="12"/>
  <c r="AL214" i="12"/>
  <c r="AL213" i="12"/>
  <c r="AL212" i="12"/>
  <c r="AL211" i="12"/>
  <c r="AL210" i="12"/>
  <c r="AL209" i="12"/>
  <c r="AL208" i="12"/>
  <c r="AL207" i="12"/>
  <c r="AL206" i="12"/>
  <c r="AL205" i="12"/>
  <c r="AL204" i="12"/>
  <c r="AL203" i="12"/>
  <c r="AL202" i="12"/>
  <c r="AL201" i="12"/>
  <c r="AL200" i="12"/>
  <c r="AL199" i="12"/>
  <c r="AL198" i="12"/>
  <c r="AL197" i="12"/>
  <c r="AL196" i="12"/>
  <c r="AL195" i="12"/>
  <c r="AL194" i="12"/>
  <c r="AL193" i="12"/>
  <c r="AL192" i="12"/>
  <c r="AL191" i="12"/>
  <c r="AL190" i="12"/>
  <c r="AL189" i="12"/>
  <c r="AL188" i="12"/>
  <c r="AL187" i="12"/>
  <c r="AL186" i="12"/>
  <c r="AL185" i="12"/>
  <c r="AL184" i="12"/>
  <c r="AL183" i="12"/>
  <c r="AL182" i="12"/>
  <c r="AL181" i="12"/>
  <c r="AL180" i="12"/>
  <c r="AL179" i="12"/>
  <c r="AL178" i="12"/>
  <c r="AL177" i="12"/>
  <c r="AL176" i="12"/>
  <c r="AL175" i="12"/>
  <c r="AL174" i="12"/>
  <c r="AL173" i="12"/>
  <c r="AL172" i="12"/>
  <c r="AL171" i="12"/>
  <c r="AL170" i="12"/>
  <c r="AL169" i="12"/>
  <c r="AL168" i="12"/>
  <c r="AL167" i="12"/>
  <c r="AL166" i="12"/>
  <c r="AL165" i="12"/>
  <c r="AL164" i="12"/>
  <c r="AL163" i="12"/>
  <c r="AL162" i="12"/>
  <c r="AL161" i="12"/>
  <c r="AL160" i="12"/>
  <c r="AL159" i="12"/>
  <c r="AL158" i="12"/>
  <c r="AL157" i="12"/>
  <c r="AL156" i="12"/>
  <c r="AL155" i="12"/>
  <c r="AL154" i="12"/>
  <c r="AL153" i="12"/>
  <c r="AL152" i="12"/>
  <c r="AL151" i="12"/>
  <c r="AL150" i="12"/>
  <c r="AL149" i="12"/>
  <c r="AL148" i="12"/>
  <c r="AL147" i="12"/>
  <c r="AL146" i="12"/>
  <c r="AL145" i="12"/>
  <c r="AL144" i="12"/>
  <c r="AL143" i="12"/>
  <c r="AL142" i="12"/>
  <c r="AL141" i="12"/>
  <c r="AL140" i="12"/>
  <c r="AL139" i="12"/>
  <c r="AL138" i="12"/>
  <c r="AL137" i="12"/>
  <c r="AL136" i="12"/>
  <c r="AL135" i="12"/>
  <c r="AL134" i="12"/>
  <c r="AL133" i="12"/>
  <c r="AL132" i="12"/>
  <c r="AL131" i="12"/>
  <c r="AL130" i="12"/>
  <c r="AL129" i="12"/>
  <c r="AL128" i="12"/>
  <c r="AL127" i="12"/>
  <c r="AL126" i="12"/>
  <c r="AL125" i="12"/>
  <c r="AL124" i="12"/>
  <c r="AL123" i="12"/>
  <c r="AL122" i="12"/>
  <c r="AL121" i="12"/>
  <c r="AL120" i="12"/>
  <c r="AL119" i="12"/>
  <c r="AL118" i="12"/>
  <c r="AL117" i="12"/>
  <c r="AL116" i="12"/>
  <c r="AL115" i="12"/>
  <c r="AL114" i="12"/>
  <c r="AL113" i="12"/>
  <c r="AL112" i="12"/>
  <c r="AL111" i="12"/>
  <c r="AL110" i="12"/>
  <c r="AL109" i="12"/>
  <c r="AL108" i="12"/>
  <c r="AL107" i="12"/>
  <c r="AL106" i="12"/>
  <c r="AL105" i="12"/>
  <c r="AL104" i="12"/>
  <c r="AL103" i="12"/>
  <c r="AL102" i="12"/>
  <c r="AL101" i="12"/>
  <c r="AL100" i="12"/>
  <c r="AL99" i="12"/>
  <c r="AL98" i="12"/>
  <c r="AL97" i="12"/>
  <c r="AL96" i="12"/>
  <c r="AL95" i="12"/>
  <c r="AL94" i="12"/>
  <c r="AL93" i="12"/>
  <c r="AL92" i="12"/>
  <c r="AL91" i="12"/>
  <c r="AL90" i="12"/>
  <c r="AL89" i="12"/>
  <c r="AL88" i="12"/>
  <c r="AL87" i="12"/>
  <c r="AL86" i="12"/>
  <c r="AL85" i="12"/>
  <c r="AL84" i="12"/>
  <c r="AL83" i="12"/>
  <c r="AL82" i="12"/>
  <c r="AL81" i="12"/>
  <c r="AL80" i="12"/>
  <c r="AL79" i="12"/>
  <c r="AL78" i="12"/>
  <c r="AL77" i="12"/>
  <c r="AL76" i="12"/>
  <c r="AL75" i="12"/>
  <c r="AL74" i="12"/>
  <c r="AL73" i="12"/>
  <c r="AL72" i="12"/>
  <c r="AL71" i="12"/>
  <c r="AL70" i="12"/>
  <c r="AL69" i="12"/>
  <c r="AL68" i="12"/>
  <c r="AL67" i="12"/>
  <c r="AL66" i="12"/>
  <c r="AL65" i="12"/>
  <c r="AL64" i="12"/>
  <c r="AL63" i="12"/>
  <c r="AL62" i="12"/>
  <c r="AL61" i="12"/>
  <c r="AL60" i="12"/>
  <c r="AL59" i="12"/>
  <c r="AL58" i="12"/>
  <c r="AL57" i="12"/>
  <c r="AL56" i="12"/>
  <c r="AL55" i="12"/>
  <c r="AL54" i="12"/>
  <c r="AL53" i="12"/>
  <c r="AL52" i="12"/>
  <c r="AL51" i="12"/>
  <c r="AL50" i="12"/>
  <c r="AL49" i="12"/>
  <c r="AL48" i="12"/>
  <c r="AL47" i="12"/>
  <c r="AL46" i="12"/>
  <c r="AL45" i="12"/>
  <c r="AL44" i="12"/>
  <c r="AL43" i="12"/>
  <c r="AL42" i="12"/>
  <c r="AL41" i="12"/>
  <c r="AL40" i="12"/>
  <c r="AL39" i="12"/>
  <c r="AL38" i="12"/>
  <c r="AL37" i="12"/>
  <c r="AL36" i="12"/>
  <c r="AL35" i="12"/>
  <c r="AL34" i="12"/>
  <c r="AL33" i="12"/>
  <c r="AL32" i="12"/>
  <c r="AL31" i="12"/>
  <c r="AL30" i="12"/>
  <c r="AL29" i="12"/>
  <c r="AL28" i="12"/>
  <c r="AL27" i="12"/>
  <c r="AL26" i="12"/>
  <c r="AL25" i="12"/>
  <c r="AL24" i="12"/>
  <c r="AL23" i="12"/>
  <c r="AL22" i="12"/>
  <c r="AL21" i="12"/>
  <c r="AL20" i="12"/>
  <c r="AL19" i="12"/>
  <c r="AL18" i="12"/>
  <c r="AL17" i="12"/>
  <c r="AL16" i="12"/>
  <c r="AL15" i="12"/>
  <c r="AL14" i="12"/>
  <c r="AL13" i="12"/>
  <c r="AH265" i="12"/>
  <c r="AH264" i="12"/>
  <c r="AH263" i="12"/>
  <c r="AH262" i="12"/>
  <c r="AH261" i="12"/>
  <c r="AH260" i="12"/>
  <c r="AH259" i="12"/>
  <c r="AH258" i="12"/>
  <c r="AH257" i="12"/>
  <c r="AH256" i="12"/>
  <c r="AH255" i="12"/>
  <c r="AH254" i="12"/>
  <c r="AH253" i="12"/>
  <c r="AH252" i="12"/>
  <c r="AH251" i="12"/>
  <c r="AH250" i="12"/>
  <c r="AH249" i="12"/>
  <c r="AH248" i="12"/>
  <c r="AH247" i="12"/>
  <c r="AH246" i="12"/>
  <c r="AH245" i="12"/>
  <c r="AH244" i="12"/>
  <c r="AH243" i="12"/>
  <c r="AH242" i="12"/>
  <c r="AH241" i="12"/>
  <c r="AH240" i="12"/>
  <c r="AH239" i="12"/>
  <c r="AH238" i="12"/>
  <c r="AH237" i="12"/>
  <c r="AH236" i="12"/>
  <c r="AH235" i="12"/>
  <c r="AH234" i="12"/>
  <c r="AH233" i="12"/>
  <c r="AH232" i="12"/>
  <c r="AH231" i="12"/>
  <c r="AH230" i="12"/>
  <c r="AH229" i="12"/>
  <c r="AH228" i="12"/>
  <c r="AH227" i="12"/>
  <c r="AH226" i="12"/>
  <c r="AH225" i="12"/>
  <c r="AH224" i="12"/>
  <c r="AH223" i="12"/>
  <c r="AH222" i="12"/>
  <c r="AH221" i="12"/>
  <c r="AH220" i="12"/>
  <c r="AH219" i="12"/>
  <c r="AH218" i="12"/>
  <c r="AH217" i="12"/>
  <c r="AH216" i="12"/>
  <c r="AH215" i="12"/>
  <c r="AH214" i="12"/>
  <c r="AH213" i="12"/>
  <c r="AH212" i="12"/>
  <c r="AH211" i="12"/>
  <c r="AH210" i="12"/>
  <c r="AH209" i="12"/>
  <c r="AH208" i="12"/>
  <c r="AH207" i="12"/>
  <c r="AH206" i="12"/>
  <c r="AH205" i="12"/>
  <c r="AH204" i="12"/>
  <c r="AH203" i="12"/>
  <c r="AH202" i="12"/>
  <c r="AH201" i="12"/>
  <c r="AH200" i="12"/>
  <c r="AH199" i="12"/>
  <c r="AH198" i="12"/>
  <c r="AH197" i="12"/>
  <c r="AH196" i="12"/>
  <c r="AH195" i="12"/>
  <c r="AH194" i="12"/>
  <c r="AH193" i="12"/>
  <c r="AH192" i="12"/>
  <c r="AH191" i="12"/>
  <c r="AH190" i="12"/>
  <c r="AH189" i="12"/>
  <c r="AH188" i="12"/>
  <c r="AH187" i="12"/>
  <c r="AH186" i="12"/>
  <c r="AH185" i="12"/>
  <c r="AH184" i="12"/>
  <c r="AH183" i="12"/>
  <c r="AH182" i="12"/>
  <c r="AH181" i="12"/>
  <c r="AH180" i="12"/>
  <c r="AH179" i="12"/>
  <c r="AH178" i="12"/>
  <c r="AH177" i="12"/>
  <c r="AH176" i="12"/>
  <c r="AH175" i="12"/>
  <c r="AH174" i="12"/>
  <c r="AH173" i="12"/>
  <c r="AH172" i="12"/>
  <c r="AH171" i="12"/>
  <c r="AH170" i="12"/>
  <c r="AH169" i="12"/>
  <c r="AH168" i="12"/>
  <c r="AH167" i="12"/>
  <c r="AH166" i="12"/>
  <c r="AH165" i="12"/>
  <c r="AH164" i="12"/>
  <c r="AH163" i="12"/>
  <c r="AH162" i="12"/>
  <c r="AH161" i="12"/>
  <c r="AH160" i="12"/>
  <c r="AH159" i="12"/>
  <c r="AH158" i="12"/>
  <c r="AH157" i="12"/>
  <c r="AH156" i="12"/>
  <c r="AH155" i="12"/>
  <c r="AH154" i="12"/>
  <c r="AH153" i="12"/>
  <c r="AH152" i="12"/>
  <c r="AH151" i="12"/>
  <c r="AH150" i="12"/>
  <c r="AH149" i="12"/>
  <c r="AH148" i="12"/>
  <c r="AH147" i="12"/>
  <c r="AH146" i="12"/>
  <c r="AH145" i="12"/>
  <c r="AH144" i="12"/>
  <c r="AH143" i="12"/>
  <c r="AH142" i="12"/>
  <c r="AH141" i="12"/>
  <c r="AH140" i="12"/>
  <c r="AH139" i="12"/>
  <c r="AH138" i="12"/>
  <c r="AH137" i="12"/>
  <c r="AH136" i="12"/>
  <c r="AH135" i="12"/>
  <c r="AH134" i="12"/>
  <c r="AH133" i="12"/>
  <c r="AH132" i="12"/>
  <c r="AH131" i="12"/>
  <c r="AH130" i="12"/>
  <c r="AH129" i="12"/>
  <c r="AH128" i="12"/>
  <c r="AH127" i="12"/>
  <c r="AH126" i="12"/>
  <c r="AH125" i="12"/>
  <c r="AH124" i="12"/>
  <c r="AH123" i="12"/>
  <c r="AH122" i="12"/>
  <c r="AH121" i="12"/>
  <c r="AH120" i="12"/>
  <c r="AH119" i="12"/>
  <c r="AH118" i="12"/>
  <c r="AH117" i="12"/>
  <c r="AH116" i="12"/>
  <c r="AH115" i="12"/>
  <c r="AH114" i="12"/>
  <c r="AH113" i="12"/>
  <c r="AH112" i="12"/>
  <c r="AH111" i="12"/>
  <c r="AH110" i="12"/>
  <c r="AH109" i="12"/>
  <c r="AH108" i="12"/>
  <c r="AH107" i="12"/>
  <c r="AH106" i="12"/>
  <c r="AH105" i="12"/>
  <c r="AH104" i="12"/>
  <c r="AH103" i="12"/>
  <c r="AH102" i="12"/>
  <c r="AH101" i="12"/>
  <c r="AH100" i="12"/>
  <c r="AH99" i="12"/>
  <c r="AH98" i="12"/>
  <c r="AH97" i="12"/>
  <c r="AH96" i="12"/>
  <c r="AH95" i="12"/>
  <c r="AH94" i="12"/>
  <c r="AH93" i="12"/>
  <c r="AH92" i="12"/>
  <c r="AH91" i="12"/>
  <c r="AH90" i="12"/>
  <c r="AH89" i="12"/>
  <c r="AH88" i="12"/>
  <c r="AH87" i="12"/>
  <c r="AH86" i="12"/>
  <c r="AH85" i="12"/>
  <c r="AH84" i="12"/>
  <c r="AH83" i="12"/>
  <c r="AH82" i="12"/>
  <c r="AH81" i="12"/>
  <c r="AH80" i="12"/>
  <c r="AH79" i="12"/>
  <c r="AH78" i="12"/>
  <c r="AH77" i="12"/>
  <c r="AH76" i="12"/>
  <c r="AH75" i="12"/>
  <c r="AH74" i="12"/>
  <c r="AH73" i="12"/>
  <c r="AH72" i="12"/>
  <c r="AH71" i="12"/>
  <c r="AH70" i="12"/>
  <c r="AH69" i="12"/>
  <c r="AH68" i="12"/>
  <c r="AH67" i="12"/>
  <c r="AH66" i="12"/>
  <c r="AH65" i="12"/>
  <c r="AH64" i="12"/>
  <c r="AH63" i="12"/>
  <c r="AH62" i="12"/>
  <c r="AH61" i="12"/>
  <c r="AH60" i="12"/>
  <c r="AH59" i="12"/>
  <c r="AH58" i="12"/>
  <c r="AH57" i="12"/>
  <c r="AH56" i="12"/>
  <c r="AH55" i="12"/>
  <c r="AH54" i="12"/>
  <c r="AH53" i="12"/>
  <c r="AH52" i="12"/>
  <c r="AH51" i="12"/>
  <c r="AH50" i="12"/>
  <c r="AH49" i="12"/>
  <c r="AH48" i="12"/>
  <c r="AH47" i="12"/>
  <c r="AH46" i="12"/>
  <c r="AH45" i="12"/>
  <c r="AH44" i="12"/>
  <c r="AH43" i="12"/>
  <c r="AH42" i="12"/>
  <c r="AH41" i="12"/>
  <c r="AH40" i="12"/>
  <c r="AH39" i="12"/>
  <c r="AH38" i="12"/>
  <c r="AH37" i="12"/>
  <c r="AH36" i="12"/>
  <c r="AH35" i="12"/>
  <c r="AH34" i="12"/>
  <c r="AH33" i="12"/>
  <c r="AH32" i="12"/>
  <c r="AH31" i="12"/>
  <c r="AH30" i="12"/>
  <c r="AH29" i="12"/>
  <c r="AH28" i="12"/>
  <c r="AH27" i="12"/>
  <c r="AH26" i="12"/>
  <c r="AH25" i="12"/>
  <c r="AH24" i="12"/>
  <c r="AH23" i="12"/>
  <c r="AH22" i="12"/>
  <c r="AH21" i="12"/>
  <c r="AH20" i="12"/>
  <c r="AH19" i="12"/>
  <c r="AH18" i="12"/>
  <c r="AH17" i="12"/>
  <c r="AH16" i="12"/>
  <c r="AH15" i="12"/>
  <c r="AH14" i="12"/>
  <c r="AH13" i="12"/>
  <c r="AD265" i="12"/>
  <c r="AD264" i="12"/>
  <c r="AD263" i="12"/>
  <c r="AD262" i="12"/>
  <c r="AD261" i="12"/>
  <c r="AD260" i="12"/>
  <c r="AD259" i="12"/>
  <c r="AD258" i="12"/>
  <c r="AD257" i="12"/>
  <c r="AD256" i="12"/>
  <c r="AD255" i="12"/>
  <c r="AD254" i="12"/>
  <c r="AD253" i="12"/>
  <c r="AD252" i="12"/>
  <c r="AD251" i="12"/>
  <c r="AD250" i="12"/>
  <c r="AD249" i="12"/>
  <c r="AD248" i="12"/>
  <c r="AD247" i="12"/>
  <c r="AD246" i="12"/>
  <c r="AD245" i="12"/>
  <c r="AD244" i="12"/>
  <c r="AD243" i="12"/>
  <c r="AD242" i="12"/>
  <c r="AD241" i="12"/>
  <c r="AD240" i="12"/>
  <c r="AD239" i="12"/>
  <c r="AD238" i="12"/>
  <c r="AD237" i="12"/>
  <c r="AD236" i="12"/>
  <c r="AD235" i="12"/>
  <c r="AD234" i="12"/>
  <c r="AD233" i="12"/>
  <c r="AD232" i="12"/>
  <c r="AD231" i="12"/>
  <c r="AD230" i="12"/>
  <c r="AD229" i="12"/>
  <c r="AD228" i="12"/>
  <c r="AD227" i="12"/>
  <c r="AD226" i="12"/>
  <c r="AD225" i="12"/>
  <c r="AD224" i="12"/>
  <c r="AD223" i="12"/>
  <c r="AD222" i="12"/>
  <c r="AD221" i="12"/>
  <c r="AD220" i="12"/>
  <c r="AD219" i="12"/>
  <c r="AD218" i="12"/>
  <c r="AD217" i="12"/>
  <c r="AD216" i="12"/>
  <c r="AD215" i="12"/>
  <c r="AD214" i="12"/>
  <c r="AD213" i="12"/>
  <c r="AD212" i="12"/>
  <c r="AD211" i="12"/>
  <c r="AD210" i="12"/>
  <c r="AD209" i="12"/>
  <c r="AD208" i="12"/>
  <c r="AD207" i="12"/>
  <c r="AD206" i="12"/>
  <c r="AD205" i="12"/>
  <c r="AD204" i="12"/>
  <c r="AD203" i="12"/>
  <c r="AD202" i="12"/>
  <c r="AD201" i="12"/>
  <c r="AD200" i="12"/>
  <c r="AD199" i="12"/>
  <c r="AD198" i="12"/>
  <c r="AD197" i="12"/>
  <c r="AD196" i="12"/>
  <c r="AD195" i="12"/>
  <c r="AD194" i="12"/>
  <c r="AD193" i="12"/>
  <c r="AD192" i="12"/>
  <c r="AD191" i="12"/>
  <c r="AD190" i="12"/>
  <c r="AD189" i="12"/>
  <c r="AD188" i="12"/>
  <c r="AD187" i="12"/>
  <c r="AD186" i="12"/>
  <c r="AD185" i="12"/>
  <c r="AD184" i="12"/>
  <c r="AD183" i="12"/>
  <c r="AD182" i="12"/>
  <c r="AD181" i="12"/>
  <c r="AD180" i="12"/>
  <c r="AD179" i="12"/>
  <c r="AD178" i="12"/>
  <c r="AD177" i="12"/>
  <c r="AD176" i="12"/>
  <c r="AD175" i="12"/>
  <c r="AD174" i="12"/>
  <c r="AD173" i="12"/>
  <c r="AD172" i="12"/>
  <c r="AD171" i="12"/>
  <c r="AD170" i="12"/>
  <c r="AD169" i="12"/>
  <c r="AD168" i="12"/>
  <c r="AD167" i="12"/>
  <c r="AD166" i="12"/>
  <c r="AD165" i="12"/>
  <c r="AD164" i="12"/>
  <c r="AD163" i="12"/>
  <c r="AD162" i="12"/>
  <c r="AD161" i="12"/>
  <c r="AD160" i="12"/>
  <c r="AD159" i="12"/>
  <c r="AD158" i="12"/>
  <c r="AD157" i="12"/>
  <c r="AD156" i="12"/>
  <c r="AD155" i="12"/>
  <c r="AD154" i="12"/>
  <c r="AD153" i="12"/>
  <c r="AD152" i="12"/>
  <c r="AD151" i="12"/>
  <c r="AD150" i="12"/>
  <c r="AD149" i="12"/>
  <c r="AD148" i="12"/>
  <c r="AD147" i="12"/>
  <c r="AD146" i="12"/>
  <c r="AD145" i="12"/>
  <c r="AD144" i="12"/>
  <c r="AD143" i="12"/>
  <c r="AD142" i="12"/>
  <c r="AD141" i="12"/>
  <c r="AD140" i="12"/>
  <c r="AD139" i="12"/>
  <c r="AD138" i="12"/>
  <c r="AD137" i="12"/>
  <c r="AD136" i="12"/>
  <c r="AD135" i="12"/>
  <c r="AD134" i="12"/>
  <c r="AD133" i="12"/>
  <c r="AD132" i="12"/>
  <c r="AD131" i="12"/>
  <c r="AD130" i="12"/>
  <c r="AD129" i="12"/>
  <c r="AD128" i="12"/>
  <c r="AD127" i="12"/>
  <c r="AD126" i="12"/>
  <c r="AD125" i="12"/>
  <c r="AD124" i="12"/>
  <c r="AD123" i="12"/>
  <c r="AD122" i="12"/>
  <c r="AD121" i="12"/>
  <c r="AD120" i="12"/>
  <c r="AD119" i="12"/>
  <c r="AD118" i="12"/>
  <c r="AD117" i="12"/>
  <c r="AD116" i="12"/>
  <c r="AD115" i="12"/>
  <c r="AD114" i="12"/>
  <c r="AD113" i="12"/>
  <c r="AD112" i="12"/>
  <c r="AD111" i="12"/>
  <c r="AD110" i="12"/>
  <c r="AD109" i="12"/>
  <c r="AD108" i="12"/>
  <c r="AD107" i="12"/>
  <c r="AD106" i="12"/>
  <c r="AD105" i="12"/>
  <c r="AD104" i="12"/>
  <c r="AD103" i="12"/>
  <c r="AD102" i="12"/>
  <c r="AD101" i="12"/>
  <c r="AD100" i="12"/>
  <c r="AD99" i="12"/>
  <c r="AD98" i="12"/>
  <c r="AD97" i="12"/>
  <c r="AD96" i="12"/>
  <c r="AD95" i="12"/>
  <c r="AD94" i="12"/>
  <c r="AD93" i="12"/>
  <c r="AD92" i="12"/>
  <c r="AD91" i="12"/>
  <c r="AD90" i="12"/>
  <c r="AD89" i="12"/>
  <c r="AD88" i="12"/>
  <c r="AD87" i="12"/>
  <c r="AD86" i="12"/>
  <c r="AD85" i="12"/>
  <c r="AD84" i="12"/>
  <c r="AD83" i="12"/>
  <c r="AD82" i="12"/>
  <c r="AD81" i="12"/>
  <c r="AD80" i="12"/>
  <c r="AD79" i="12"/>
  <c r="AD78" i="12"/>
  <c r="AD77" i="12"/>
  <c r="AD76" i="12"/>
  <c r="AD75" i="12"/>
  <c r="AD74" i="12"/>
  <c r="AD73" i="12"/>
  <c r="AD72" i="12"/>
  <c r="AD71" i="12"/>
  <c r="AD70" i="12"/>
  <c r="AD69" i="12"/>
  <c r="AD68" i="12"/>
  <c r="AD67" i="12"/>
  <c r="AD66" i="12"/>
  <c r="AD65" i="12"/>
  <c r="AD64" i="12"/>
  <c r="AD63" i="12"/>
  <c r="AD62" i="12"/>
  <c r="AD61" i="12"/>
  <c r="AD60" i="12"/>
  <c r="AD59" i="12"/>
  <c r="AD58" i="12"/>
  <c r="AD57" i="12"/>
  <c r="AD56" i="12"/>
  <c r="AD55" i="12"/>
  <c r="AD54" i="12"/>
  <c r="AD53" i="12"/>
  <c r="AD52" i="12"/>
  <c r="AD51" i="12"/>
  <c r="AD50" i="12"/>
  <c r="AD49" i="12"/>
  <c r="AD48" i="12"/>
  <c r="AD47" i="12"/>
  <c r="AD46" i="12"/>
  <c r="AD45" i="12"/>
  <c r="AD44" i="12"/>
  <c r="AD43" i="12"/>
  <c r="AD42" i="12"/>
  <c r="AD41" i="12"/>
  <c r="AD40" i="12"/>
  <c r="AD39" i="12"/>
  <c r="AD38" i="12"/>
  <c r="AD37" i="12"/>
  <c r="AD36" i="12"/>
  <c r="AD35" i="12"/>
  <c r="AD34" i="12"/>
  <c r="AD33" i="12"/>
  <c r="AD32" i="12"/>
  <c r="AD31" i="12"/>
  <c r="AD30" i="12"/>
  <c r="AD29" i="12"/>
  <c r="AD28" i="12"/>
  <c r="AD27" i="12"/>
  <c r="AD26" i="12"/>
  <c r="AD25" i="12"/>
  <c r="AD24" i="12"/>
  <c r="AD23" i="12"/>
  <c r="AD22" i="12"/>
  <c r="AD21" i="12"/>
  <c r="AD20" i="12"/>
  <c r="AD19" i="12"/>
  <c r="AD18" i="12"/>
  <c r="AD17" i="12"/>
  <c r="AD16" i="12"/>
  <c r="AD15" i="12"/>
  <c r="AD14" i="12"/>
  <c r="AD13" i="12"/>
  <c r="Z265" i="12"/>
  <c r="Z264" i="12"/>
  <c r="Z263" i="12"/>
  <c r="Z262" i="12"/>
  <c r="Z261" i="12"/>
  <c r="Z260" i="12"/>
  <c r="Z259" i="12"/>
  <c r="Z258" i="12"/>
  <c r="Z257" i="12"/>
  <c r="Z256" i="12"/>
  <c r="Z255" i="12"/>
  <c r="Z254" i="12"/>
  <c r="Z253" i="12"/>
  <c r="Z252" i="12"/>
  <c r="Z251" i="12"/>
  <c r="Z250" i="12"/>
  <c r="Z249" i="12"/>
  <c r="Z248" i="12"/>
  <c r="Z247" i="12"/>
  <c r="Z246" i="12"/>
  <c r="Z245" i="12"/>
  <c r="Z244" i="12"/>
  <c r="Z243" i="12"/>
  <c r="Z242" i="12"/>
  <c r="Z241" i="12"/>
  <c r="Z240" i="12"/>
  <c r="Z239" i="12"/>
  <c r="Z238" i="12"/>
  <c r="Z237" i="12"/>
  <c r="Z236" i="12"/>
  <c r="Z235" i="12"/>
  <c r="Z234" i="12"/>
  <c r="Z233" i="12"/>
  <c r="Z232" i="12"/>
  <c r="Z231" i="12"/>
  <c r="Z230" i="12"/>
  <c r="Z229" i="12"/>
  <c r="Z228" i="12"/>
  <c r="Z227" i="12"/>
  <c r="Z226" i="12"/>
  <c r="Z225" i="12"/>
  <c r="Z224" i="12"/>
  <c r="Z223" i="12"/>
  <c r="Z222" i="12"/>
  <c r="Z221" i="12"/>
  <c r="Z220" i="12"/>
  <c r="Z219" i="12"/>
  <c r="Z218" i="12"/>
  <c r="Z217" i="12"/>
  <c r="Z216" i="12"/>
  <c r="Z215" i="12"/>
  <c r="Z214" i="12"/>
  <c r="Z213" i="12"/>
  <c r="Z212" i="12"/>
  <c r="Z211" i="12"/>
  <c r="Z210" i="12"/>
  <c r="Z209" i="12"/>
  <c r="Z208" i="12"/>
  <c r="Z207" i="12"/>
  <c r="Z206" i="12"/>
  <c r="Z205" i="12"/>
  <c r="Z204" i="12"/>
  <c r="Z203" i="12"/>
  <c r="Z202" i="12"/>
  <c r="Z201" i="12"/>
  <c r="Z200" i="12"/>
  <c r="Z199" i="12"/>
  <c r="Z198" i="12"/>
  <c r="Z197" i="12"/>
  <c r="Z196" i="12"/>
  <c r="Z195" i="12"/>
  <c r="Z194" i="12"/>
  <c r="Z193" i="12"/>
  <c r="Z192" i="12"/>
  <c r="Z191" i="12"/>
  <c r="Z190" i="12"/>
  <c r="Z189" i="12"/>
  <c r="Z188" i="12"/>
  <c r="Z187" i="12"/>
  <c r="Z186" i="12"/>
  <c r="Z185" i="12"/>
  <c r="Z184" i="12"/>
  <c r="Z183" i="12"/>
  <c r="Z182" i="12"/>
  <c r="Z181" i="12"/>
  <c r="Z180" i="12"/>
  <c r="Z179" i="12"/>
  <c r="Z178" i="12"/>
  <c r="Z177" i="12"/>
  <c r="Z176" i="12"/>
  <c r="Z175" i="12"/>
  <c r="Z174" i="12"/>
  <c r="Z173" i="12"/>
  <c r="Z172" i="12"/>
  <c r="Z171" i="12"/>
  <c r="Z170" i="12"/>
  <c r="Z169" i="12"/>
  <c r="Z168" i="12"/>
  <c r="Z167" i="12"/>
  <c r="Z166" i="12"/>
  <c r="Z165" i="12"/>
  <c r="Z164" i="12"/>
  <c r="Z163" i="12"/>
  <c r="Z162" i="12"/>
  <c r="Z161" i="12"/>
  <c r="Z160" i="12"/>
  <c r="Z159" i="12"/>
  <c r="Z158" i="12"/>
  <c r="Z157" i="12"/>
  <c r="Z156" i="12"/>
  <c r="Z155" i="12"/>
  <c r="Z154" i="12"/>
  <c r="Z153" i="12"/>
  <c r="Z152" i="12"/>
  <c r="Z151" i="12"/>
  <c r="Z150" i="12"/>
  <c r="Z149" i="12"/>
  <c r="Z148" i="12"/>
  <c r="Z147" i="12"/>
  <c r="Z146" i="12"/>
  <c r="Z145" i="12"/>
  <c r="Z144" i="12"/>
  <c r="Z143" i="12"/>
  <c r="Z142" i="12"/>
  <c r="Z141" i="12"/>
  <c r="Z140" i="12"/>
  <c r="Z139" i="12"/>
  <c r="Z138" i="12"/>
  <c r="Z137" i="12"/>
  <c r="Z136" i="12"/>
  <c r="Z135" i="12"/>
  <c r="Z134" i="12"/>
  <c r="Z133" i="12"/>
  <c r="Z132" i="12"/>
  <c r="Z131" i="12"/>
  <c r="Z130" i="12"/>
  <c r="Z129" i="12"/>
  <c r="Z128" i="12"/>
  <c r="Z127" i="12"/>
  <c r="Z126" i="12"/>
  <c r="Z125" i="12"/>
  <c r="Z124" i="12"/>
  <c r="Z123" i="12"/>
  <c r="Z122" i="12"/>
  <c r="Z121" i="12"/>
  <c r="Z120" i="12"/>
  <c r="Z119" i="12"/>
  <c r="Z118" i="12"/>
  <c r="Z117" i="12"/>
  <c r="Z116" i="12"/>
  <c r="Z115" i="12"/>
  <c r="Z114" i="12"/>
  <c r="Z113" i="12"/>
  <c r="Z112" i="12"/>
  <c r="Z111" i="12"/>
  <c r="Z110" i="12"/>
  <c r="Z109" i="12"/>
  <c r="Z108" i="12"/>
  <c r="Z107" i="12"/>
  <c r="Z106" i="12"/>
  <c r="Z105" i="12"/>
  <c r="Z104" i="12"/>
  <c r="Z103" i="12"/>
  <c r="Z102" i="12"/>
  <c r="Z101" i="12"/>
  <c r="Z100" i="12"/>
  <c r="Z99" i="12"/>
  <c r="Z98" i="12"/>
  <c r="Z97" i="12"/>
  <c r="Z96" i="12"/>
  <c r="Z95" i="12"/>
  <c r="Z94" i="12"/>
  <c r="Z93" i="12"/>
  <c r="Z92" i="12"/>
  <c r="Z91" i="12"/>
  <c r="Z90" i="12"/>
  <c r="Z89" i="12"/>
  <c r="Z88" i="12"/>
  <c r="Z87" i="12"/>
  <c r="Z86" i="12"/>
  <c r="Z85" i="12"/>
  <c r="Z84" i="12"/>
  <c r="Z83" i="12"/>
  <c r="Z82" i="12"/>
  <c r="Z81" i="12"/>
  <c r="Z80" i="12"/>
  <c r="Z79" i="12"/>
  <c r="Z78" i="12"/>
  <c r="Z77" i="12"/>
  <c r="Z76" i="12"/>
  <c r="Z75" i="12"/>
  <c r="Z74" i="12"/>
  <c r="Z73" i="12"/>
  <c r="Z72" i="12"/>
  <c r="Z71" i="12"/>
  <c r="Z70" i="12"/>
  <c r="Z69" i="12"/>
  <c r="Z68" i="12"/>
  <c r="Z67" i="12"/>
  <c r="Z66" i="12"/>
  <c r="Z65" i="12"/>
  <c r="Z64" i="12"/>
  <c r="Z63" i="12"/>
  <c r="Z62" i="12"/>
  <c r="Z61" i="12"/>
  <c r="Z60" i="12"/>
  <c r="Z59" i="12"/>
  <c r="Z58" i="12"/>
  <c r="Z57" i="12"/>
  <c r="Z56" i="12"/>
  <c r="Z55" i="12"/>
  <c r="Z54" i="12"/>
  <c r="Z53" i="12"/>
  <c r="Z52" i="12"/>
  <c r="Z51" i="12"/>
  <c r="Z50" i="12"/>
  <c r="Z49" i="12"/>
  <c r="Z48" i="12"/>
  <c r="Z47" i="12"/>
  <c r="Z46" i="12"/>
  <c r="Z45" i="12"/>
  <c r="Z44" i="12"/>
  <c r="Z43" i="12"/>
  <c r="Z42" i="12"/>
  <c r="Z41" i="12"/>
  <c r="Z40" i="12"/>
  <c r="Z39" i="12"/>
  <c r="Z38" i="12"/>
  <c r="Z37" i="12"/>
  <c r="Z36" i="12"/>
  <c r="Z35" i="12"/>
  <c r="Z34" i="12"/>
  <c r="Z33" i="12"/>
  <c r="Z32" i="12"/>
  <c r="Z31" i="12"/>
  <c r="Z30" i="12"/>
  <c r="Z29" i="12"/>
  <c r="Z28" i="12"/>
  <c r="Z27" i="12"/>
  <c r="Z26" i="12"/>
  <c r="Z25" i="12"/>
  <c r="Z24" i="12"/>
  <c r="Z23" i="12"/>
  <c r="Z22" i="12"/>
  <c r="Z21" i="12"/>
  <c r="Z20" i="12"/>
  <c r="Z19" i="12"/>
  <c r="Z18" i="12"/>
  <c r="Z17" i="12"/>
  <c r="Z16" i="12"/>
  <c r="Z15" i="12"/>
  <c r="Z14" i="12"/>
  <c r="Z13" i="12"/>
  <c r="I11" i="2"/>
  <c r="G2" i="9" s="1"/>
  <c r="E27" i="12"/>
  <c r="E26" i="12"/>
  <c r="E25" i="12"/>
  <c r="E24" i="12"/>
  <c r="E23" i="12"/>
  <c r="E22" i="12"/>
  <c r="E21" i="12"/>
  <c r="E20" i="12"/>
  <c r="E19" i="12"/>
  <c r="E18" i="12"/>
  <c r="E17" i="12"/>
  <c r="E16" i="12"/>
  <c r="E15" i="12"/>
  <c r="E14" i="12"/>
  <c r="E13" i="12"/>
  <c r="G15" i="9"/>
  <c r="K11" i="2"/>
  <c r="G3" i="9" s="1"/>
  <c r="AR11" i="2"/>
  <c r="N11" i="9" s="1"/>
  <c r="AA5" i="9" s="1"/>
  <c r="T41" i="10" s="1"/>
  <c r="AZ264" i="2"/>
  <c r="AZ265" i="12" s="1"/>
  <c r="AZ263" i="2"/>
  <c r="AZ264" i="12" s="1"/>
  <c r="AZ262" i="2"/>
  <c r="AZ263" i="12" s="1"/>
  <c r="AZ261" i="2"/>
  <c r="AZ262" i="12" s="1"/>
  <c r="AZ260" i="2"/>
  <c r="AZ261" i="12" s="1"/>
  <c r="AZ259" i="2"/>
  <c r="AZ260" i="12" s="1"/>
  <c r="AZ258" i="2"/>
  <c r="AZ259" i="12" s="1"/>
  <c r="AZ257" i="2"/>
  <c r="AZ258" i="12" s="1"/>
  <c r="AZ256" i="2"/>
  <c r="AZ257" i="12" s="1"/>
  <c r="AZ255" i="2"/>
  <c r="AZ256" i="12" s="1"/>
  <c r="AZ254" i="2"/>
  <c r="AZ255" i="12" s="1"/>
  <c r="AZ253" i="2"/>
  <c r="AZ254" i="12" s="1"/>
  <c r="AZ252" i="2"/>
  <c r="AZ253" i="12" s="1"/>
  <c r="AZ251" i="2"/>
  <c r="AZ252" i="12" s="1"/>
  <c r="AZ250" i="2"/>
  <c r="AZ251" i="12" s="1"/>
  <c r="AZ249" i="2"/>
  <c r="AZ250" i="12" s="1"/>
  <c r="AZ248" i="2"/>
  <c r="AZ249" i="12" s="1"/>
  <c r="AZ247" i="2"/>
  <c r="AZ248" i="12" s="1"/>
  <c r="AZ246" i="2"/>
  <c r="AZ247" i="12" s="1"/>
  <c r="AZ245" i="2"/>
  <c r="AZ246" i="12" s="1"/>
  <c r="AZ244" i="2"/>
  <c r="AZ245" i="12" s="1"/>
  <c r="AZ243" i="2"/>
  <c r="AZ244" i="12" s="1"/>
  <c r="AZ242" i="2"/>
  <c r="AZ243" i="12" s="1"/>
  <c r="AZ241" i="2"/>
  <c r="AZ242" i="12" s="1"/>
  <c r="AZ240" i="2"/>
  <c r="AZ241" i="12" s="1"/>
  <c r="AZ239" i="2"/>
  <c r="AZ240" i="12" s="1"/>
  <c r="AZ238" i="2"/>
  <c r="AZ239" i="12" s="1"/>
  <c r="AZ237" i="2"/>
  <c r="AZ238" i="12" s="1"/>
  <c r="AZ236" i="2"/>
  <c r="AZ237" i="12" s="1"/>
  <c r="AZ235" i="2"/>
  <c r="AZ236" i="12" s="1"/>
  <c r="AZ234" i="2"/>
  <c r="AZ235" i="12" s="1"/>
  <c r="AZ233" i="2"/>
  <c r="AZ234" i="12" s="1"/>
  <c r="AZ232" i="2"/>
  <c r="AZ233" i="12" s="1"/>
  <c r="AZ231" i="2"/>
  <c r="AZ232" i="12" s="1"/>
  <c r="AZ230" i="2"/>
  <c r="AZ231" i="12" s="1"/>
  <c r="AZ229" i="2"/>
  <c r="AZ230" i="12" s="1"/>
  <c r="AZ228" i="2"/>
  <c r="AZ229" i="12" s="1"/>
  <c r="AZ227" i="2"/>
  <c r="AZ228" i="12" s="1"/>
  <c r="AZ226" i="2"/>
  <c r="AZ227" i="12" s="1"/>
  <c r="AZ225" i="2"/>
  <c r="AZ226" i="12" s="1"/>
  <c r="AZ224" i="2"/>
  <c r="AZ225" i="12" s="1"/>
  <c r="AZ223" i="2"/>
  <c r="AZ224" i="12" s="1"/>
  <c r="AZ222" i="2"/>
  <c r="AZ223" i="12" s="1"/>
  <c r="AZ221" i="2"/>
  <c r="AZ222" i="12" s="1"/>
  <c r="AZ220" i="2"/>
  <c r="AZ221" i="12" s="1"/>
  <c r="AZ219" i="2"/>
  <c r="AZ220" i="12" s="1"/>
  <c r="AZ218" i="2"/>
  <c r="AZ219" i="12" s="1"/>
  <c r="AZ217" i="2"/>
  <c r="AZ218" i="12" s="1"/>
  <c r="AZ216" i="2"/>
  <c r="AZ217" i="12" s="1"/>
  <c r="AZ215" i="2"/>
  <c r="AZ216" i="12" s="1"/>
  <c r="AZ214" i="2"/>
  <c r="AZ215" i="12" s="1"/>
  <c r="AZ213" i="2"/>
  <c r="AZ214" i="12" s="1"/>
  <c r="AZ212" i="2"/>
  <c r="AZ213" i="12" s="1"/>
  <c r="AZ211" i="2"/>
  <c r="AZ212" i="12" s="1"/>
  <c r="AZ210" i="2"/>
  <c r="AZ211" i="12" s="1"/>
  <c r="AZ209" i="2"/>
  <c r="AZ210" i="12" s="1"/>
  <c r="AZ208" i="2"/>
  <c r="AZ209" i="12" s="1"/>
  <c r="AZ207" i="2"/>
  <c r="AZ208" i="12" s="1"/>
  <c r="AZ206" i="2"/>
  <c r="AZ207" i="12" s="1"/>
  <c r="AZ205" i="2"/>
  <c r="AZ206" i="12" s="1"/>
  <c r="AZ204" i="2"/>
  <c r="AZ205" i="12" s="1"/>
  <c r="AZ203" i="2"/>
  <c r="AZ204" i="12" s="1"/>
  <c r="AZ202" i="2"/>
  <c r="AZ203" i="12" s="1"/>
  <c r="AZ201" i="2"/>
  <c r="AZ202" i="12" s="1"/>
  <c r="AZ200" i="2"/>
  <c r="AZ201" i="12" s="1"/>
  <c r="AZ199" i="2"/>
  <c r="AZ200" i="12" s="1"/>
  <c r="AZ198" i="2"/>
  <c r="AZ199" i="12" s="1"/>
  <c r="AZ197" i="2"/>
  <c r="AZ198" i="12" s="1"/>
  <c r="AZ196" i="2"/>
  <c r="AZ197" i="12" s="1"/>
  <c r="AZ195" i="2"/>
  <c r="AZ196" i="12" s="1"/>
  <c r="AZ194" i="2"/>
  <c r="AZ195" i="12" s="1"/>
  <c r="AZ193" i="2"/>
  <c r="AZ194" i="12" s="1"/>
  <c r="AZ192" i="2"/>
  <c r="AZ193" i="12" s="1"/>
  <c r="AZ191" i="2"/>
  <c r="AZ192" i="12" s="1"/>
  <c r="AZ190" i="2"/>
  <c r="AZ191" i="12" s="1"/>
  <c r="AZ189" i="2"/>
  <c r="AZ190" i="12" s="1"/>
  <c r="AZ188" i="2"/>
  <c r="AZ189" i="12" s="1"/>
  <c r="AZ187" i="2"/>
  <c r="AZ188" i="12" s="1"/>
  <c r="AZ186" i="2"/>
  <c r="AZ187" i="12" s="1"/>
  <c r="AZ185" i="2"/>
  <c r="AZ186" i="12" s="1"/>
  <c r="AZ184" i="2"/>
  <c r="AZ185" i="12" s="1"/>
  <c r="AZ183" i="2"/>
  <c r="AZ184" i="12" s="1"/>
  <c r="AZ182" i="2"/>
  <c r="AZ183" i="12" s="1"/>
  <c r="AZ181" i="2"/>
  <c r="AZ182" i="12" s="1"/>
  <c r="AZ180" i="2"/>
  <c r="AZ181" i="12" s="1"/>
  <c r="AZ179" i="2"/>
  <c r="AZ180" i="12" s="1"/>
  <c r="AZ178" i="2"/>
  <c r="AZ179" i="12" s="1"/>
  <c r="AZ177" i="2"/>
  <c r="AZ178" i="12" s="1"/>
  <c r="AZ176" i="2"/>
  <c r="AZ177" i="12" s="1"/>
  <c r="AZ175" i="2"/>
  <c r="AZ176" i="12" s="1"/>
  <c r="AZ174" i="2"/>
  <c r="AZ175" i="12" s="1"/>
  <c r="AZ173" i="2"/>
  <c r="AZ174" i="12" s="1"/>
  <c r="AZ172" i="2"/>
  <c r="AZ173" i="12" s="1"/>
  <c r="AZ171" i="2"/>
  <c r="AZ172" i="12" s="1"/>
  <c r="AZ170" i="2"/>
  <c r="AZ171" i="12" s="1"/>
  <c r="AZ169" i="2"/>
  <c r="AZ170" i="12" s="1"/>
  <c r="AZ168" i="2"/>
  <c r="AZ169" i="12" s="1"/>
  <c r="AZ167" i="2"/>
  <c r="AZ168" i="12" s="1"/>
  <c r="AZ166" i="2"/>
  <c r="AZ167" i="12" s="1"/>
  <c r="AZ165" i="2"/>
  <c r="AZ166" i="12" s="1"/>
  <c r="AZ164" i="2"/>
  <c r="AZ165" i="12" s="1"/>
  <c r="AZ163" i="2"/>
  <c r="AZ164" i="12" s="1"/>
  <c r="AZ162" i="2"/>
  <c r="AZ163" i="12" s="1"/>
  <c r="AZ161" i="2"/>
  <c r="AZ162" i="12" s="1"/>
  <c r="AZ160" i="2"/>
  <c r="AZ161" i="12" s="1"/>
  <c r="AZ159" i="2"/>
  <c r="AZ160" i="12" s="1"/>
  <c r="AZ158" i="2"/>
  <c r="AZ159" i="12" s="1"/>
  <c r="AZ157" i="2"/>
  <c r="AZ158" i="12" s="1"/>
  <c r="AZ156" i="2"/>
  <c r="AZ157" i="12" s="1"/>
  <c r="AZ155" i="2"/>
  <c r="AZ156" i="12" s="1"/>
  <c r="AZ154" i="2"/>
  <c r="AZ155" i="12" s="1"/>
  <c r="AZ153" i="2"/>
  <c r="AZ154" i="12" s="1"/>
  <c r="AZ152" i="2"/>
  <c r="AZ153" i="12" s="1"/>
  <c r="AZ151" i="2"/>
  <c r="AZ152" i="12" s="1"/>
  <c r="AZ150" i="2"/>
  <c r="AZ151" i="12" s="1"/>
  <c r="AZ149" i="2"/>
  <c r="AZ150" i="12" s="1"/>
  <c r="AZ148" i="2"/>
  <c r="AZ149" i="12" s="1"/>
  <c r="AZ147" i="2"/>
  <c r="AZ148" i="12" s="1"/>
  <c r="AZ146" i="2"/>
  <c r="AZ147" i="12" s="1"/>
  <c r="AZ145" i="2"/>
  <c r="AZ146" i="12" s="1"/>
  <c r="AZ144" i="2"/>
  <c r="AZ145" i="12" s="1"/>
  <c r="AZ143" i="2"/>
  <c r="AZ144" i="12" s="1"/>
  <c r="AZ142" i="2"/>
  <c r="AZ143" i="12" s="1"/>
  <c r="AZ141" i="2"/>
  <c r="AZ142" i="12" s="1"/>
  <c r="AZ140" i="2"/>
  <c r="AZ141" i="12" s="1"/>
  <c r="AZ139" i="2"/>
  <c r="AZ140" i="12" s="1"/>
  <c r="AZ138" i="2"/>
  <c r="AZ139" i="12" s="1"/>
  <c r="AZ137" i="2"/>
  <c r="AZ138" i="12" s="1"/>
  <c r="AZ136" i="2"/>
  <c r="AZ137" i="12" s="1"/>
  <c r="AZ135" i="2"/>
  <c r="AZ136" i="12" s="1"/>
  <c r="AZ134" i="2"/>
  <c r="AZ135" i="12" s="1"/>
  <c r="AZ133" i="2"/>
  <c r="AZ134" i="12" s="1"/>
  <c r="AZ132" i="2"/>
  <c r="AZ133" i="12" s="1"/>
  <c r="AZ131" i="2"/>
  <c r="AZ132" i="12" s="1"/>
  <c r="AZ130" i="2"/>
  <c r="AZ131" i="12" s="1"/>
  <c r="AZ129" i="2"/>
  <c r="AZ130" i="12" s="1"/>
  <c r="AZ128" i="2"/>
  <c r="AZ129" i="12" s="1"/>
  <c r="AZ127" i="2"/>
  <c r="AZ128" i="12" s="1"/>
  <c r="AZ126" i="2"/>
  <c r="AZ127" i="12" s="1"/>
  <c r="AZ125" i="2"/>
  <c r="AZ126" i="12" s="1"/>
  <c r="AZ124" i="2"/>
  <c r="AZ125" i="12" s="1"/>
  <c r="AZ123" i="2"/>
  <c r="AZ124" i="12" s="1"/>
  <c r="AZ122" i="2"/>
  <c r="AZ123" i="12" s="1"/>
  <c r="AZ121" i="2"/>
  <c r="AZ122" i="12" s="1"/>
  <c r="AZ120" i="2"/>
  <c r="AZ121" i="12" s="1"/>
  <c r="AZ119" i="2"/>
  <c r="AZ120" i="12" s="1"/>
  <c r="AZ118" i="2"/>
  <c r="AZ119" i="12" s="1"/>
  <c r="AZ117" i="2"/>
  <c r="AZ118" i="12" s="1"/>
  <c r="AZ116" i="2"/>
  <c r="AZ117" i="12" s="1"/>
  <c r="AZ115" i="2"/>
  <c r="AZ116" i="12" s="1"/>
  <c r="AZ114" i="2"/>
  <c r="AZ115" i="12" s="1"/>
  <c r="AZ113" i="2"/>
  <c r="AZ114" i="12" s="1"/>
  <c r="AZ112" i="2"/>
  <c r="AZ113" i="12" s="1"/>
  <c r="AZ111" i="2"/>
  <c r="AZ112" i="12" s="1"/>
  <c r="AZ110" i="2"/>
  <c r="AZ111" i="12" s="1"/>
  <c r="AZ109" i="2"/>
  <c r="AZ110" i="12" s="1"/>
  <c r="AZ108" i="2"/>
  <c r="AZ109" i="12" s="1"/>
  <c r="AZ107" i="2"/>
  <c r="AZ108" i="12" s="1"/>
  <c r="AZ106" i="2"/>
  <c r="AZ107" i="12" s="1"/>
  <c r="AZ105" i="2"/>
  <c r="AZ106" i="12" s="1"/>
  <c r="AZ104" i="2"/>
  <c r="AZ105" i="12" s="1"/>
  <c r="AZ103" i="2"/>
  <c r="AZ104" i="12" s="1"/>
  <c r="AZ102" i="2"/>
  <c r="AZ103" i="12" s="1"/>
  <c r="AZ101" i="2"/>
  <c r="AZ102" i="12" s="1"/>
  <c r="AZ100" i="2"/>
  <c r="AZ101" i="12" s="1"/>
  <c r="AZ99" i="2"/>
  <c r="AZ100" i="12" s="1"/>
  <c r="AZ98" i="2"/>
  <c r="AZ99" i="12" s="1"/>
  <c r="AZ97" i="2"/>
  <c r="AZ98" i="12" s="1"/>
  <c r="AZ96" i="2"/>
  <c r="AZ97" i="12" s="1"/>
  <c r="AZ95" i="2"/>
  <c r="AZ96" i="12" s="1"/>
  <c r="AZ94" i="2"/>
  <c r="AZ95" i="12" s="1"/>
  <c r="AZ93" i="2"/>
  <c r="AZ94" i="12" s="1"/>
  <c r="AZ92" i="2"/>
  <c r="AZ93" i="12" s="1"/>
  <c r="AZ91" i="2"/>
  <c r="AZ92" i="12" s="1"/>
  <c r="AZ90" i="2"/>
  <c r="AZ91" i="12" s="1"/>
  <c r="AZ89" i="2"/>
  <c r="AZ90" i="12" s="1"/>
  <c r="AZ88" i="2"/>
  <c r="AZ89" i="12" s="1"/>
  <c r="AZ87" i="2"/>
  <c r="AZ88" i="12" s="1"/>
  <c r="AZ86" i="2"/>
  <c r="AZ87" i="12" s="1"/>
  <c r="AZ85" i="2"/>
  <c r="AZ86" i="12" s="1"/>
  <c r="AZ84" i="2"/>
  <c r="AZ85" i="12" s="1"/>
  <c r="AZ83" i="2"/>
  <c r="AZ84" i="12" s="1"/>
  <c r="AZ82" i="2"/>
  <c r="AZ83" i="12" s="1"/>
  <c r="AZ81" i="2"/>
  <c r="AZ82" i="12" s="1"/>
  <c r="AZ80" i="2"/>
  <c r="AZ81" i="12" s="1"/>
  <c r="AZ79" i="2"/>
  <c r="AZ80" i="12" s="1"/>
  <c r="AZ78" i="2"/>
  <c r="AZ79" i="12" s="1"/>
  <c r="AZ77" i="2"/>
  <c r="AZ78" i="12" s="1"/>
  <c r="AZ76" i="2"/>
  <c r="AZ77" i="12" s="1"/>
  <c r="AZ75" i="2"/>
  <c r="AZ76" i="12" s="1"/>
  <c r="AZ74" i="2"/>
  <c r="AZ75" i="12" s="1"/>
  <c r="AZ73" i="2"/>
  <c r="AZ74" i="12" s="1"/>
  <c r="AZ72" i="2"/>
  <c r="AZ73" i="12" s="1"/>
  <c r="AZ71" i="2"/>
  <c r="AZ72" i="12" s="1"/>
  <c r="AZ70" i="2"/>
  <c r="AZ71" i="12" s="1"/>
  <c r="AZ69" i="2"/>
  <c r="AZ70" i="12" s="1"/>
  <c r="AZ68" i="2"/>
  <c r="AZ69" i="12" s="1"/>
  <c r="AZ67" i="2"/>
  <c r="AZ68" i="12" s="1"/>
  <c r="AZ66" i="2"/>
  <c r="AZ67" i="12" s="1"/>
  <c r="AZ65" i="2"/>
  <c r="AZ66" i="12" s="1"/>
  <c r="AZ64" i="2"/>
  <c r="AZ65" i="12" s="1"/>
  <c r="AZ63" i="2"/>
  <c r="AZ64" i="12" s="1"/>
  <c r="AZ62" i="2"/>
  <c r="AZ63" i="12" s="1"/>
  <c r="AZ61" i="2"/>
  <c r="AZ62" i="12" s="1"/>
  <c r="AZ60" i="2"/>
  <c r="AZ61" i="12" s="1"/>
  <c r="AZ59" i="2"/>
  <c r="AZ60" i="12" s="1"/>
  <c r="AZ58" i="2"/>
  <c r="AZ59" i="12" s="1"/>
  <c r="AZ57" i="2"/>
  <c r="AZ58" i="12" s="1"/>
  <c r="AZ56" i="2"/>
  <c r="AZ57" i="12" s="1"/>
  <c r="AZ55" i="2"/>
  <c r="AZ56" i="12" s="1"/>
  <c r="AZ54" i="2"/>
  <c r="AZ55" i="12" s="1"/>
  <c r="AZ53" i="2"/>
  <c r="AZ54" i="12" s="1"/>
  <c r="AZ52" i="2"/>
  <c r="AZ53" i="12" s="1"/>
  <c r="AZ51" i="2"/>
  <c r="AZ52" i="12" s="1"/>
  <c r="AZ50" i="2"/>
  <c r="AZ51" i="12" s="1"/>
  <c r="AZ49" i="2"/>
  <c r="AZ50" i="12" s="1"/>
  <c r="AZ48" i="2"/>
  <c r="AZ49" i="12" s="1"/>
  <c r="AZ47" i="2"/>
  <c r="AZ48" i="12" s="1"/>
  <c r="AZ46" i="2"/>
  <c r="AZ47" i="12" s="1"/>
  <c r="AZ45" i="2"/>
  <c r="AZ46" i="12" s="1"/>
  <c r="AZ44" i="2"/>
  <c r="AZ45" i="12" s="1"/>
  <c r="AZ43" i="2"/>
  <c r="AZ44" i="12" s="1"/>
  <c r="AZ42" i="2"/>
  <c r="AZ43" i="12" s="1"/>
  <c r="AZ41" i="2"/>
  <c r="AZ42" i="12" s="1"/>
  <c r="AZ40" i="2"/>
  <c r="AZ41" i="12" s="1"/>
  <c r="AZ39" i="2"/>
  <c r="AZ40" i="12" s="1"/>
  <c r="AZ38" i="2"/>
  <c r="AZ39" i="12" s="1"/>
  <c r="AZ37" i="2"/>
  <c r="AZ38" i="12" s="1"/>
  <c r="AZ36" i="2"/>
  <c r="AZ37" i="12" s="1"/>
  <c r="AZ35" i="2"/>
  <c r="AZ36" i="12" s="1"/>
  <c r="AZ34" i="2"/>
  <c r="AZ35" i="12" s="1"/>
  <c r="AZ33" i="2"/>
  <c r="AZ34" i="12" s="1"/>
  <c r="AZ32" i="2"/>
  <c r="AZ33" i="12" s="1"/>
  <c r="AZ31" i="2"/>
  <c r="AZ32" i="12" s="1"/>
  <c r="AZ30" i="2"/>
  <c r="AZ31" i="12" s="1"/>
  <c r="AZ29" i="2"/>
  <c r="AZ30" i="12" s="1"/>
  <c r="AZ28" i="2"/>
  <c r="AZ29" i="12" s="1"/>
  <c r="AZ27" i="2"/>
  <c r="AZ28" i="12" s="1"/>
  <c r="AZ26" i="2"/>
  <c r="AZ27" i="12" s="1"/>
  <c r="AZ25" i="2"/>
  <c r="AZ26" i="12" s="1"/>
  <c r="AZ24" i="2"/>
  <c r="AZ25" i="12" s="1"/>
  <c r="AZ23" i="2"/>
  <c r="AZ24" i="12" s="1"/>
  <c r="AZ22" i="2"/>
  <c r="AZ23" i="12" s="1"/>
  <c r="AZ21" i="2"/>
  <c r="AZ22" i="12" s="1"/>
  <c r="AZ20" i="2"/>
  <c r="AZ21" i="12" s="1"/>
  <c r="AZ19" i="2"/>
  <c r="AZ20" i="12" s="1"/>
  <c r="AZ18" i="2"/>
  <c r="AZ19" i="12" s="1"/>
  <c r="AZ17" i="2"/>
  <c r="AZ18" i="12" s="1"/>
  <c r="AZ16" i="2"/>
  <c r="AZ17" i="12" s="1"/>
  <c r="AZ15" i="2"/>
  <c r="AZ16" i="12" s="1"/>
  <c r="AZ14" i="2"/>
  <c r="AZ15" i="12" s="1"/>
  <c r="AZ13" i="2"/>
  <c r="AZ14" i="12" s="1"/>
  <c r="AZ12" i="2"/>
  <c r="AZ13" i="12" s="1"/>
  <c r="Q27" i="12"/>
  <c r="Q26" i="12"/>
  <c r="Q25" i="12"/>
  <c r="Q24" i="12"/>
  <c r="Q23" i="12"/>
  <c r="Q22" i="12"/>
  <c r="Q21" i="12"/>
  <c r="Q20" i="12"/>
  <c r="Q19" i="12"/>
  <c r="Q18" i="12"/>
  <c r="Q17" i="12"/>
  <c r="Q16" i="12"/>
  <c r="Q15" i="12"/>
  <c r="Q14" i="12"/>
  <c r="Q13" i="12"/>
  <c r="C4" i="9"/>
  <c r="C3" i="9"/>
  <c r="V12" i="5"/>
  <c r="V13" i="5"/>
  <c r="V14" i="5"/>
  <c r="V15" i="5"/>
  <c r="V16" i="5"/>
  <c r="V17" i="5"/>
  <c r="V18" i="5"/>
  <c r="V19" i="5"/>
  <c r="V20" i="5"/>
  <c r="V21" i="5"/>
  <c r="V22" i="5"/>
  <c r="V23" i="5"/>
  <c r="V24" i="5"/>
  <c r="V25" i="5"/>
  <c r="V26" i="5"/>
  <c r="V11" i="5"/>
  <c r="U12" i="5"/>
  <c r="U13" i="5"/>
  <c r="U14" i="5"/>
  <c r="U15" i="5"/>
  <c r="U16" i="5"/>
  <c r="U17" i="5"/>
  <c r="U18" i="5"/>
  <c r="U19" i="5"/>
  <c r="U20" i="5"/>
  <c r="U21" i="5"/>
  <c r="U22" i="5"/>
  <c r="U23" i="5"/>
  <c r="U24" i="5"/>
  <c r="U25" i="5"/>
  <c r="U26" i="5"/>
  <c r="U11" i="5"/>
  <c r="T26" i="5"/>
  <c r="T25" i="5"/>
  <c r="T24" i="5"/>
  <c r="T23" i="5"/>
  <c r="T22" i="5"/>
  <c r="T21" i="5"/>
  <c r="T20" i="5"/>
  <c r="T19" i="5"/>
  <c r="T18" i="5"/>
  <c r="T17" i="5"/>
  <c r="T16" i="5"/>
  <c r="T15" i="5"/>
  <c r="T14" i="5"/>
  <c r="T13" i="5"/>
  <c r="T12" i="5"/>
  <c r="T11" i="5"/>
  <c r="N36" i="6"/>
  <c r="J29" i="9" l="1"/>
  <c r="Q35" i="13"/>
  <c r="D64" i="10"/>
  <c r="D67" i="11"/>
  <c r="D68" i="10"/>
  <c r="D71" i="11"/>
  <c r="D68" i="11"/>
  <c r="D65" i="10"/>
  <c r="D72" i="11"/>
  <c r="D69" i="10"/>
  <c r="K31" i="9"/>
  <c r="K35" i="9"/>
  <c r="D69" i="11"/>
  <c r="D66" i="10"/>
  <c r="D73" i="11"/>
  <c r="D70" i="10"/>
  <c r="D63" i="10"/>
  <c r="D66" i="11"/>
  <c r="D67" i="10"/>
  <c r="D70" i="11"/>
  <c r="D71" i="10"/>
  <c r="D74" i="11"/>
  <c r="J70" i="11"/>
  <c r="T32" i="13"/>
  <c r="J69" i="11"/>
  <c r="T31" i="13"/>
  <c r="J72" i="11"/>
  <c r="T34" i="13"/>
  <c r="T22" i="10"/>
  <c r="X22" i="10" s="1"/>
  <c r="AA7" i="9"/>
  <c r="T43" i="10" s="1"/>
  <c r="X43" i="10" s="1"/>
  <c r="X30" i="10"/>
  <c r="AA14" i="9"/>
  <c r="X50" i="10" s="1"/>
  <c r="AZ12" i="12"/>
  <c r="AW12" i="12" s="1"/>
  <c r="F11" i="13" s="1"/>
  <c r="O6" i="10"/>
  <c r="O9" i="11"/>
  <c r="K6" i="5"/>
  <c r="N35" i="13"/>
  <c r="E13" i="3"/>
  <c r="B13" i="3" s="1"/>
  <c r="N14" i="9" s="1"/>
  <c r="T32" i="11"/>
  <c r="X32" i="11" s="1"/>
  <c r="AA13" i="13"/>
  <c r="Q31" i="13"/>
  <c r="T50" i="13"/>
  <c r="J84" i="11"/>
  <c r="R33" i="13"/>
  <c r="J71" i="11"/>
  <c r="R36" i="13"/>
  <c r="R30" i="13"/>
  <c r="R32" i="13"/>
  <c r="R34" i="13"/>
  <c r="Q33" i="13"/>
  <c r="R31" i="13"/>
  <c r="Z12" i="12"/>
  <c r="AA12" i="12" s="1"/>
  <c r="H7" i="13" s="1"/>
  <c r="AL11" i="2"/>
  <c r="AM11" i="2" s="1"/>
  <c r="P8" i="9" s="1"/>
  <c r="AL12" i="12"/>
  <c r="AM12" i="12" s="1"/>
  <c r="P8" i="13" s="1"/>
  <c r="AD11" i="2"/>
  <c r="AE11" i="2" s="1"/>
  <c r="H8" i="9" s="1"/>
  <c r="AD12" i="12"/>
  <c r="AE12" i="12" s="1"/>
  <c r="H8" i="13" s="1"/>
  <c r="AH12" i="12"/>
  <c r="AI12" i="12" s="1"/>
  <c r="P7" i="13" s="1"/>
  <c r="E12" i="12"/>
  <c r="F12" i="12" s="1"/>
  <c r="D6" i="13" s="1"/>
  <c r="F13" i="11" s="1"/>
  <c r="N30" i="13"/>
  <c r="T30" i="13" s="1"/>
  <c r="N36" i="13"/>
  <c r="T36" i="13" s="1"/>
  <c r="Q32" i="13"/>
  <c r="R29" i="13"/>
  <c r="Q28" i="13"/>
  <c r="N29" i="13"/>
  <c r="T29" i="13" s="1"/>
  <c r="N28" i="13"/>
  <c r="T28" i="13" s="1"/>
  <c r="Q34" i="13"/>
  <c r="O31" i="13"/>
  <c r="S31" i="13" s="1"/>
  <c r="O34" i="13"/>
  <c r="S34" i="13" s="1"/>
  <c r="O32" i="13"/>
  <c r="S32" i="13" s="1"/>
  <c r="AH11" i="2"/>
  <c r="AI11" i="2" s="1"/>
  <c r="P7" i="9" s="1"/>
  <c r="W6" i="10"/>
  <c r="Q6" i="5"/>
  <c r="W9" i="11"/>
  <c r="X41" i="10"/>
  <c r="X44" i="11"/>
  <c r="T10" i="10"/>
  <c r="P10" i="10"/>
  <c r="Y10" i="10"/>
  <c r="N50" i="9"/>
  <c r="I28" i="9"/>
  <c r="I32" i="9"/>
  <c r="I36" i="9"/>
  <c r="H34" i="9"/>
  <c r="I34" i="9" s="1"/>
  <c r="H31" i="9"/>
  <c r="I31" i="9" s="1"/>
  <c r="I29" i="9"/>
  <c r="I33" i="9"/>
  <c r="H35" i="9"/>
  <c r="I35" i="9" s="1"/>
  <c r="K29" i="9"/>
  <c r="K30" i="9"/>
  <c r="K34" i="9"/>
  <c r="H30" i="9"/>
  <c r="I30" i="9" s="1"/>
  <c r="J33" i="9"/>
  <c r="K33" i="9" s="1"/>
  <c r="J28" i="9"/>
  <c r="K28" i="9" s="1"/>
  <c r="J36" i="9"/>
  <c r="K36" i="9" s="1"/>
  <c r="J32" i="9"/>
  <c r="K32" i="9" s="1"/>
  <c r="M36" i="9"/>
  <c r="K8" i="10"/>
  <c r="M31" i="9"/>
  <c r="R8" i="10"/>
  <c r="Z11" i="2"/>
  <c r="AA11" i="2" s="1"/>
  <c r="H7" i="9" s="1"/>
  <c r="M28" i="9"/>
  <c r="N28" i="9" s="1"/>
  <c r="T28" i="9" s="1"/>
  <c r="M32" i="9"/>
  <c r="M30" i="9"/>
  <c r="N30" i="9" s="1"/>
  <c r="T30" i="9" s="1"/>
  <c r="M35" i="9"/>
  <c r="N35" i="9" s="1"/>
  <c r="T35" i="9" s="1"/>
  <c r="M29" i="9"/>
  <c r="N29" i="9" s="1"/>
  <c r="T29" i="9" s="1"/>
  <c r="M33" i="9"/>
  <c r="N33" i="9" s="1"/>
  <c r="T33" i="9" s="1"/>
  <c r="M34" i="9"/>
  <c r="N34" i="9" s="1"/>
  <c r="T34" i="9" s="1"/>
  <c r="E11" i="2"/>
  <c r="F11" i="2" s="1"/>
  <c r="D6" i="9" s="1"/>
  <c r="F10" i="10" s="1"/>
  <c r="AZ11" i="2"/>
  <c r="L22" i="3"/>
  <c r="L21" i="3"/>
  <c r="L20" i="3"/>
  <c r="L19" i="3"/>
  <c r="L18" i="3"/>
  <c r="L17" i="3"/>
  <c r="L16" i="3"/>
  <c r="L15" i="3"/>
  <c r="L14" i="3"/>
  <c r="Q32" i="9" l="1"/>
  <c r="N32" i="9"/>
  <c r="T32" i="9" s="1"/>
  <c r="Q31" i="9"/>
  <c r="N31" i="9"/>
  <c r="T31" i="9" s="1"/>
  <c r="R36" i="9"/>
  <c r="N36" i="9"/>
  <c r="T36" i="9" s="1"/>
  <c r="O35" i="13"/>
  <c r="S35" i="13" s="1"/>
  <c r="T35" i="13"/>
  <c r="U35" i="13" s="1"/>
  <c r="T52" i="11"/>
  <c r="X52" i="11" s="1"/>
  <c r="P9" i="9"/>
  <c r="AA3" i="9" s="1"/>
  <c r="T39" i="10" s="1"/>
  <c r="H9" i="9"/>
  <c r="T17" i="10" s="1"/>
  <c r="X17" i="10" s="1"/>
  <c r="N71" i="11"/>
  <c r="J73" i="11"/>
  <c r="O33" i="13"/>
  <c r="S33" i="13" s="1"/>
  <c r="H9" i="13"/>
  <c r="AA2" i="13" s="1"/>
  <c r="T41" i="11" s="1"/>
  <c r="J66" i="11"/>
  <c r="U32" i="13"/>
  <c r="N70" i="11"/>
  <c r="U31" i="13"/>
  <c r="N69" i="11"/>
  <c r="O29" i="13"/>
  <c r="S29" i="13" s="1"/>
  <c r="J67" i="11"/>
  <c r="J74" i="11"/>
  <c r="U34" i="13"/>
  <c r="N72" i="11"/>
  <c r="O30" i="13"/>
  <c r="S30" i="13" s="1"/>
  <c r="J68" i="11"/>
  <c r="AA4" i="13"/>
  <c r="T43" i="11" s="1"/>
  <c r="T22" i="11"/>
  <c r="U50" i="13"/>
  <c r="N84" i="11"/>
  <c r="R39" i="13"/>
  <c r="N47" i="13" s="1"/>
  <c r="O36" i="13"/>
  <c r="S36" i="13" s="1"/>
  <c r="P9" i="13"/>
  <c r="T21" i="11" s="1"/>
  <c r="Q38" i="13"/>
  <c r="N46" i="13" s="1"/>
  <c r="O28" i="13"/>
  <c r="S28" i="13" s="1"/>
  <c r="R31" i="9"/>
  <c r="O28" i="9"/>
  <c r="S28" i="9" s="1"/>
  <c r="J63" i="10"/>
  <c r="J81" i="10"/>
  <c r="T50" i="9"/>
  <c r="Q36" i="9"/>
  <c r="R28" i="9"/>
  <c r="Q28" i="9"/>
  <c r="R32" i="9"/>
  <c r="Q30" i="9"/>
  <c r="R30" i="9"/>
  <c r="R33" i="9"/>
  <c r="Q33" i="9"/>
  <c r="R29" i="9"/>
  <c r="Q29" i="9"/>
  <c r="Q35" i="9"/>
  <c r="R35" i="9"/>
  <c r="R34" i="9"/>
  <c r="Q34" i="9"/>
  <c r="AW11" i="2"/>
  <c r="F11" i="9"/>
  <c r="V10" i="5"/>
  <c r="S10" i="5" s="1"/>
  <c r="U10" i="5"/>
  <c r="R10" i="5" s="1"/>
  <c r="G20" i="9" s="1"/>
  <c r="T10" i="5"/>
  <c r="Q10" i="5" s="1"/>
  <c r="G19" i="9" s="1"/>
  <c r="L13" i="3"/>
  <c r="I13" i="3" s="1"/>
  <c r="M13" i="3"/>
  <c r="G13" i="9"/>
  <c r="J66" i="10" l="1"/>
  <c r="N73" i="11"/>
  <c r="T18" i="10"/>
  <c r="X18" i="10" s="1"/>
  <c r="AA2" i="9"/>
  <c r="T38" i="10" s="1"/>
  <c r="X38" i="10" s="1"/>
  <c r="G22" i="9"/>
  <c r="G21" i="9"/>
  <c r="T24" i="10"/>
  <c r="X24" i="10" s="1"/>
  <c r="AA9" i="9"/>
  <c r="T45" i="10" s="1"/>
  <c r="X45" i="10" s="1"/>
  <c r="T23" i="10"/>
  <c r="X23" i="10" s="1"/>
  <c r="AA8" i="9"/>
  <c r="T44" i="10" s="1"/>
  <c r="X44" i="10" s="1"/>
  <c r="T20" i="11"/>
  <c r="X20" i="11" s="1"/>
  <c r="U33" i="13"/>
  <c r="V33" i="13" s="1"/>
  <c r="W71" i="11" s="1"/>
  <c r="T29" i="10"/>
  <c r="X29" i="10" s="1"/>
  <c r="AA13" i="9"/>
  <c r="T49" i="10" s="1"/>
  <c r="G14" i="9"/>
  <c r="AA15" i="9" s="1"/>
  <c r="G14" i="13"/>
  <c r="AA15" i="13" s="1"/>
  <c r="G12" i="9"/>
  <c r="T31" i="10" s="1"/>
  <c r="G12" i="13"/>
  <c r="U30" i="13"/>
  <c r="N68" i="11"/>
  <c r="V31" i="13"/>
  <c r="W69" i="11" s="1"/>
  <c r="R69" i="11"/>
  <c r="T46" i="13"/>
  <c r="J80" i="11"/>
  <c r="T47" i="13"/>
  <c r="J81" i="11"/>
  <c r="V35" i="13"/>
  <c r="W73" i="11" s="1"/>
  <c r="R73" i="11"/>
  <c r="AA3" i="13"/>
  <c r="T42" i="11" s="1"/>
  <c r="X21" i="11"/>
  <c r="U29" i="13"/>
  <c r="N67" i="11"/>
  <c r="V34" i="13"/>
  <c r="W72" i="11" s="1"/>
  <c r="R72" i="11"/>
  <c r="U36" i="13"/>
  <c r="N74" i="11"/>
  <c r="V32" i="13"/>
  <c r="W70" i="11" s="1"/>
  <c r="R70" i="11"/>
  <c r="V50" i="13"/>
  <c r="W84" i="11" s="1"/>
  <c r="R84" i="11"/>
  <c r="U28" i="13"/>
  <c r="N66" i="11"/>
  <c r="N66" i="10"/>
  <c r="O31" i="9"/>
  <c r="S31" i="9" s="1"/>
  <c r="S40" i="13"/>
  <c r="N48" i="13" s="1"/>
  <c r="O34" i="9"/>
  <c r="S34" i="9" s="1"/>
  <c r="J69" i="10"/>
  <c r="O33" i="9"/>
  <c r="S33" i="9" s="1"/>
  <c r="J68" i="10"/>
  <c r="O36" i="9"/>
  <c r="S36" i="9" s="1"/>
  <c r="J71" i="10"/>
  <c r="O35" i="9"/>
  <c r="S35" i="9" s="1"/>
  <c r="J70" i="10"/>
  <c r="O29" i="9"/>
  <c r="S29" i="9" s="1"/>
  <c r="J64" i="10"/>
  <c r="O32" i="9"/>
  <c r="S32" i="9" s="1"/>
  <c r="J67" i="10"/>
  <c r="U50" i="9"/>
  <c r="N81" i="10"/>
  <c r="X39" i="10"/>
  <c r="U28" i="9"/>
  <c r="N63" i="10"/>
  <c r="T19" i="10"/>
  <c r="X19" i="10" s="1"/>
  <c r="AA4" i="9"/>
  <c r="T40" i="10" s="1"/>
  <c r="X22" i="11"/>
  <c r="O30" i="9"/>
  <c r="S30" i="9" s="1"/>
  <c r="J65" i="10"/>
  <c r="Q38" i="9"/>
  <c r="R39" i="9"/>
  <c r="N47" i="9" s="1"/>
  <c r="N6" i="3"/>
  <c r="I6" i="3"/>
  <c r="D6" i="3"/>
  <c r="W6" i="2"/>
  <c r="O6" i="2"/>
  <c r="F6" i="2"/>
  <c r="U31" i="9" l="1"/>
  <c r="R66" i="10" s="1"/>
  <c r="T25" i="10"/>
  <c r="X25" i="10" s="1"/>
  <c r="AA10" i="9"/>
  <c r="T26" i="10"/>
  <c r="X26" i="10" s="1"/>
  <c r="AA11" i="9"/>
  <c r="T54" i="11"/>
  <c r="X54" i="11" s="1"/>
  <c r="T51" i="10"/>
  <c r="X51" i="10" s="1"/>
  <c r="R71" i="11"/>
  <c r="N46" i="9"/>
  <c r="T46" i="9" s="1"/>
  <c r="X49" i="10"/>
  <c r="AA17" i="13"/>
  <c r="U47" i="13"/>
  <c r="N81" i="11"/>
  <c r="T48" i="13"/>
  <c r="J82" i="11"/>
  <c r="V28" i="13"/>
  <c r="W66" i="11" s="1"/>
  <c r="R66" i="11"/>
  <c r="V36" i="13"/>
  <c r="W74" i="11" s="1"/>
  <c r="R74" i="11"/>
  <c r="V29" i="13"/>
  <c r="W67" i="11" s="1"/>
  <c r="R67" i="11"/>
  <c r="U46" i="13"/>
  <c r="N80" i="11"/>
  <c r="V30" i="13"/>
  <c r="W68" i="11" s="1"/>
  <c r="R68" i="11"/>
  <c r="Q41" i="13"/>
  <c r="Q43" i="13" s="1"/>
  <c r="N49" i="13" s="1"/>
  <c r="S40" i="9"/>
  <c r="N48" i="9" s="1"/>
  <c r="J79" i="10" s="1"/>
  <c r="U35" i="9"/>
  <c r="N70" i="10"/>
  <c r="X43" i="11"/>
  <c r="X40" i="10"/>
  <c r="V50" i="9"/>
  <c r="R81" i="10"/>
  <c r="N68" i="10"/>
  <c r="U33" i="9"/>
  <c r="N69" i="10"/>
  <c r="U34" i="9"/>
  <c r="R63" i="10"/>
  <c r="V28" i="9"/>
  <c r="T47" i="9"/>
  <c r="J78" i="10"/>
  <c r="X41" i="11"/>
  <c r="U32" i="9"/>
  <c r="N67" i="10"/>
  <c r="N64" i="10"/>
  <c r="U29" i="9"/>
  <c r="N65" i="10"/>
  <c r="U30" i="9"/>
  <c r="U36" i="9"/>
  <c r="N71" i="10"/>
  <c r="J77" i="10" l="1"/>
  <c r="V31" i="9"/>
  <c r="T47" i="10"/>
  <c r="X47" i="10" s="1"/>
  <c r="AA17" i="9"/>
  <c r="T53" i="10" s="1"/>
  <c r="T46" i="10"/>
  <c r="X46" i="10" s="1"/>
  <c r="Q41" i="9"/>
  <c r="Q43" i="9" s="1"/>
  <c r="N49" i="9" s="1"/>
  <c r="J80" i="10" s="1"/>
  <c r="X42" i="11"/>
  <c r="T56" i="11"/>
  <c r="X56" i="11" s="1"/>
  <c r="V47" i="13"/>
  <c r="W81" i="11" s="1"/>
  <c r="R81" i="11"/>
  <c r="T49" i="13"/>
  <c r="J83" i="11"/>
  <c r="V46" i="13"/>
  <c r="W80" i="11" s="1"/>
  <c r="R80" i="11"/>
  <c r="U48" i="13"/>
  <c r="N82" i="11"/>
  <c r="T48" i="9"/>
  <c r="U48" i="9" s="1"/>
  <c r="U47" i="9"/>
  <c r="N78" i="10"/>
  <c r="N77" i="10"/>
  <c r="U46" i="9"/>
  <c r="R71" i="10"/>
  <c r="V36" i="9"/>
  <c r="V29" i="9"/>
  <c r="R64" i="10"/>
  <c r="W66" i="10"/>
  <c r="R70" i="10"/>
  <c r="V35" i="9"/>
  <c r="V30" i="9"/>
  <c r="R65" i="10"/>
  <c r="V32" i="9"/>
  <c r="R67" i="10"/>
  <c r="W63" i="10"/>
  <c r="V34" i="9"/>
  <c r="R69" i="10"/>
  <c r="V33" i="9"/>
  <c r="R68" i="10"/>
  <c r="W81" i="10"/>
  <c r="X53" i="10" l="1"/>
  <c r="T49" i="9"/>
  <c r="N80" i="10" s="1"/>
  <c r="V48" i="13"/>
  <c r="W82" i="11" s="1"/>
  <c r="R82" i="11"/>
  <c r="U49" i="13"/>
  <c r="N83" i="11"/>
  <c r="N79" i="10"/>
  <c r="W68" i="10"/>
  <c r="W69" i="10"/>
  <c r="W67" i="10"/>
  <c r="W65" i="10"/>
  <c r="V46" i="9"/>
  <c r="R77" i="10"/>
  <c r="V47" i="9"/>
  <c r="R78" i="10"/>
  <c r="W71" i="10"/>
  <c r="R79" i="10"/>
  <c r="V48" i="9"/>
  <c r="W70" i="10"/>
  <c r="W64" i="10"/>
  <c r="U49" i="9" l="1"/>
  <c r="R80" i="10" s="1"/>
  <c r="V49" i="13"/>
  <c r="W83" i="11" s="1"/>
  <c r="R83" i="11"/>
  <c r="W78" i="10"/>
  <c r="W79" i="10"/>
  <c r="W77" i="10"/>
  <c r="V49" i="9" l="1"/>
  <c r="W80"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50" authorId="0" shapeId="0" xr:uid="{00000000-0006-0000-0A00-000001000000}">
      <text>
        <r>
          <rPr>
            <b/>
            <sz val="9"/>
            <color indexed="81"/>
            <rFont val="Tahoma"/>
            <family val="2"/>
          </rPr>
          <t>Calculated as per number of pregnant women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50" authorId="0" shapeId="0" xr:uid="{00000000-0006-0000-0B00-000001000000}">
      <text>
        <r>
          <rPr>
            <b/>
            <sz val="9"/>
            <color indexed="81"/>
            <rFont val="Tahoma"/>
            <family val="2"/>
          </rPr>
          <t>as per number of pregnant women</t>
        </r>
      </text>
    </comment>
  </commentList>
</comments>
</file>

<file path=xl/sharedStrings.xml><?xml version="1.0" encoding="utf-8"?>
<sst xmlns="http://schemas.openxmlformats.org/spreadsheetml/2006/main" count="626" uniqueCount="304">
  <si>
    <t>Name of Region:</t>
  </si>
  <si>
    <t>Name of Health Facility:</t>
  </si>
  <si>
    <t xml:space="preserve">  Planning Year:</t>
  </si>
  <si>
    <t>Pregnant Women</t>
  </si>
  <si>
    <t>Name &amp; Signature of Health Facility In Charge</t>
  </si>
  <si>
    <t>Date of submitting to CHMT</t>
  </si>
  <si>
    <t>Planning Year:</t>
  </si>
  <si>
    <t>Name of Council:</t>
  </si>
  <si>
    <t>Name of Health Facility</t>
  </si>
  <si>
    <t>Name of village</t>
  </si>
  <si>
    <t>Annual Beneficiaries</t>
  </si>
  <si>
    <t>Health Facility</t>
  </si>
  <si>
    <t>0.5 ml AD syringe</t>
  </si>
  <si>
    <t xml:space="preserve">Planning Year: </t>
  </si>
  <si>
    <t>Vehicle Number</t>
  </si>
  <si>
    <t>Route Number</t>
  </si>
  <si>
    <t>Names of health facilities
(mention names in order of transporting)</t>
  </si>
  <si>
    <t>Surviving    infants</t>
  </si>
  <si>
    <t>.@ TZS / Litre fuel</t>
  </si>
  <si>
    <t>Refilling cost of LP Gas Cylinders</t>
  </si>
  <si>
    <t>.@ TZS / Cylinder</t>
  </si>
  <si>
    <t>Budget required for electricity cost incurred in cold chain maintenance</t>
  </si>
  <si>
    <t>TOTAL BUDGET REQUIRED FOR EPI DURING THE PLANNING YEAR</t>
  </si>
  <si>
    <t>1. Operational plan for outreach immunization service delivery :</t>
  </si>
  <si>
    <t>3. Estimate of vaccines and logistics requirement during the planning year</t>
  </si>
  <si>
    <t>Vaccine &amp; Diluents</t>
  </si>
  <si>
    <t>Mode of administration</t>
  </si>
  <si>
    <t>Injectable</t>
  </si>
  <si>
    <t>Oral</t>
  </si>
  <si>
    <t>0.05 ml AD syringe</t>
  </si>
  <si>
    <t>Not applicable</t>
  </si>
  <si>
    <t>SETTING UP VARIABLES</t>
  </si>
  <si>
    <t>YES     /      NO</t>
  </si>
  <si>
    <t>Name of village leader</t>
  </si>
  <si>
    <t>(To be manually filled and submitted to CHMT for compilation; Use extra sheets if there are more than five villages under health facility catchment area)</t>
  </si>
  <si>
    <t>VILLAGE : ____</t>
  </si>
  <si>
    <t>Team members from health facility</t>
  </si>
  <si>
    <t>Team members from community</t>
  </si>
  <si>
    <t>Safety boxes</t>
  </si>
  <si>
    <t>BCG</t>
  </si>
  <si>
    <t>OPV</t>
  </si>
  <si>
    <t>PCV 13</t>
  </si>
  <si>
    <t>Rota</t>
  </si>
  <si>
    <t>Penta</t>
  </si>
  <si>
    <t>MR</t>
  </si>
  <si>
    <t>TT</t>
  </si>
  <si>
    <t>IPV</t>
  </si>
  <si>
    <t>HPV</t>
  </si>
  <si>
    <t>Community Member 1</t>
  </si>
  <si>
    <t>Community Member 2</t>
  </si>
  <si>
    <t>Facility staff 1</t>
  </si>
  <si>
    <t>Facility staff 2</t>
  </si>
  <si>
    <t>Number of LP Gas Cylinders required every month</t>
  </si>
  <si>
    <t>Whether electricity used for cold chain maintenance (YES/NO)</t>
  </si>
  <si>
    <t>Region:</t>
  </si>
  <si>
    <t>Council:</t>
  </si>
  <si>
    <t xml:space="preserve">Whether electricity used to maintain cold chain: </t>
  </si>
  <si>
    <t>Yes   /   No</t>
  </si>
  <si>
    <t>Approximate cost of electricity  for cold chain per month (in TZS)</t>
  </si>
  <si>
    <t>Approximate cost of electricity consumed for maintaining cold chain every month (in TZS) :</t>
  </si>
  <si>
    <t>Wastage Rate (%)</t>
  </si>
  <si>
    <t>Doses per vial</t>
  </si>
  <si>
    <t>Doses required</t>
  </si>
  <si>
    <t>doses required</t>
  </si>
  <si>
    <t>Annual beneficiaries:</t>
  </si>
  <si>
    <t>Pregnant women</t>
  </si>
  <si>
    <t>.@ TZS / Km</t>
  </si>
  <si>
    <t>RCH1 Cards</t>
  </si>
  <si>
    <t>Health Facility staff in outreach teams</t>
  </si>
  <si>
    <t>Officer for transporting vaccines from district HQ to health facilities</t>
  </si>
  <si>
    <t>Driver for transporting vaccines from district HQ to health facilities</t>
  </si>
  <si>
    <t>. @ TZS / member / day</t>
  </si>
  <si>
    <t>. @ TZS / member / night</t>
  </si>
  <si>
    <t>Cost of fuel</t>
  </si>
  <si>
    <t>Kilometers per litre of fuel</t>
  </si>
  <si>
    <t>.@ Km / Litre fuel</t>
  </si>
  <si>
    <t>Running cost per litre of fuel</t>
  </si>
  <si>
    <t>Purchase of new LP Gas Cylinders</t>
  </si>
  <si>
    <t>1. Extra duty allowance:</t>
  </si>
  <si>
    <t>2. Per diem allowance in case of overnight stay:</t>
  </si>
  <si>
    <t>3. Transportation cost:</t>
  </si>
  <si>
    <t>4. Cold chain maintenance cost:</t>
  </si>
  <si>
    <t>List creation:</t>
  </si>
  <si>
    <t>route of admin.</t>
  </si>
  <si>
    <t>Syringe used</t>
  </si>
  <si>
    <t>Reconstitution
(Yes/No)</t>
  </si>
  <si>
    <t>Syringe</t>
  </si>
  <si>
    <t>Recons.</t>
  </si>
  <si>
    <t>YES</t>
  </si>
  <si>
    <t>NO</t>
  </si>
  <si>
    <t>Number of new LP Gas Cylinders need to be purchased at council level during the planning year:</t>
  </si>
  <si>
    <t>list generation</t>
  </si>
  <si>
    <t>total facilities</t>
  </si>
  <si>
    <t>overnight</t>
  </si>
  <si>
    <t>List generation</t>
  </si>
  <si>
    <t>Cylinders</t>
  </si>
  <si>
    <t>Use elec.</t>
  </si>
  <si>
    <t>Elec. Use</t>
  </si>
  <si>
    <t>list of facilities for facility plan</t>
  </si>
  <si>
    <t>Outreach Session</t>
  </si>
  <si>
    <t>Mobile Clinic</t>
  </si>
  <si>
    <t>OTHER REQUIREMENTS</t>
  </si>
  <si>
    <t xml:space="preserve">Safety boxes: </t>
  </si>
  <si>
    <t>Number of syringes that can be disposed in one safety box (including AD and disposable syringes):</t>
  </si>
  <si>
    <t>Pregnant Women:</t>
  </si>
  <si>
    <t>Surviving Infants:</t>
  </si>
  <si>
    <t>Total villages:</t>
  </si>
  <si>
    <t>Health facility:</t>
  </si>
  <si>
    <t xml:space="preserve">Vaccine </t>
  </si>
  <si>
    <t>Monthly requirement</t>
  </si>
  <si>
    <t>5 ml disposable syringes</t>
  </si>
  <si>
    <t>Health facility staff in outreach teams/mobile teams</t>
  </si>
  <si>
    <t>Community members in outreach teams/mobile teams</t>
  </si>
  <si>
    <t xml:space="preserve">Monthly </t>
  </si>
  <si>
    <t>Cost for refilling of LP gas cylinders</t>
  </si>
  <si>
    <t>Distance of village from health facility (in Km.)</t>
  </si>
  <si>
    <t>Immunization services to the village to be provided by (Encircle)</t>
  </si>
  <si>
    <t>NORMS TO BE USED FOR ESTIMATION OF BUDGETARY REQUIREMENTS</t>
  </si>
  <si>
    <t xml:space="preserve">DETAILS OF VACCINES AS PER THE IMMUNIZATION SCHEDULE </t>
  </si>
  <si>
    <t>(Information in this worksheet is to be filled from planning template for health facilities)</t>
  </si>
  <si>
    <t>Number of facilities covered</t>
  </si>
  <si>
    <t>Extra duty allowance entitlement (Yes / No)</t>
  </si>
  <si>
    <t>Officer</t>
  </si>
  <si>
    <t>Driver</t>
  </si>
  <si>
    <t>Total distance covered in Km.
(including return travel)</t>
  </si>
  <si>
    <t>Whether overnight stay required
 (Yes / No)</t>
  </si>
  <si>
    <t>extra dty officer</t>
  </si>
  <si>
    <t>extra duty driver</t>
  </si>
  <si>
    <t xml:space="preserve">overnight </t>
  </si>
  <si>
    <t>(This plan will be based on route map showing different routes for vaccine delivery from district HQ)</t>
  </si>
  <si>
    <t>a</t>
  </si>
  <si>
    <t>e</t>
  </si>
  <si>
    <t>b</t>
  </si>
  <si>
    <t>c</t>
  </si>
  <si>
    <t>Total overnight stays planned for health facility staff at outreach sessions</t>
  </si>
  <si>
    <t>1.1   Number of man-days/overnight stays for organizing outreach sessions/mobile clinics</t>
  </si>
  <si>
    <t>1.2   Number of man-days/overnight stays for transportation of vaccines from district HQ</t>
  </si>
  <si>
    <t>Man-days planned for officer from district level</t>
  </si>
  <si>
    <t>Over night stays planned for officer from district level</t>
  </si>
  <si>
    <t>Over night stays planned for driver of vaccine van</t>
  </si>
  <si>
    <t>Man-days planned for driver of vaccine van</t>
  </si>
  <si>
    <t>d</t>
  </si>
  <si>
    <t>Total number of LP gas cylinders required to be refilled</t>
  </si>
  <si>
    <t>Number of new LP gas cylinders to be purchased from CHMT level</t>
  </si>
  <si>
    <t>2.     Estimate of budgetary requirements for the planning year (in TZS):</t>
  </si>
  <si>
    <t>Overnight allowance (per diem) to facility staff at outreach sessions</t>
  </si>
  <si>
    <t>Extra duty allowance to driver of vaccine van</t>
  </si>
  <si>
    <t>Extra duty allowance to officer responsible for vaccine transport from district HQ</t>
  </si>
  <si>
    <t>Overnight allowance to officer responsible for vaccine transport from district HQ</t>
  </si>
  <si>
    <t>Overnight allowance to driver of vaccine van</t>
  </si>
  <si>
    <t>Cost for purchasing new LP gas cylinders at CHMT level</t>
  </si>
  <si>
    <t>Annual</t>
  </si>
  <si>
    <t>Requirement of vaccines (in doses)</t>
  </si>
  <si>
    <t>Annual (as per beneficiaries)</t>
  </si>
  <si>
    <t>Annual (including wastage rate)</t>
  </si>
  <si>
    <t>Annual (including 25% buffer stock)</t>
  </si>
  <si>
    <t>Total distance to be covered for transporting vaccines from district (in Km)</t>
  </si>
  <si>
    <t>Budget for fuel to transport vaccines from district HQ to health facilities</t>
  </si>
  <si>
    <t>Syringes and Logistics</t>
  </si>
  <si>
    <t>Year:</t>
  </si>
  <si>
    <t>Pregnant 
Women</t>
  </si>
  <si>
    <t>Surviving 
Infants</t>
  </si>
  <si>
    <t>Immunization services to be provided by…</t>
  </si>
  <si>
    <t>Location/address of outreach session/mobile clinic in village</t>
  </si>
  <si>
    <t>Fare required for transporting vaccines to outreach sites</t>
  </si>
  <si>
    <t>Fare for transporting vaccines to outreach</t>
  </si>
  <si>
    <t>Weekday for organizing outreach 
(e.g.: Monday or Tuesday)</t>
  </si>
  <si>
    <t>Location/address in village where outreach session or mobile clinic will be organized</t>
  </si>
  <si>
    <t>Fare required for outreach session (in TZS)</t>
  </si>
  <si>
    <t>CODE</t>
  </si>
  <si>
    <t>Weekday for organizing outreach/mobile clinic</t>
  </si>
  <si>
    <t>Week number for organizing outreach/mobile clinic</t>
  </si>
  <si>
    <t>Monday</t>
  </si>
  <si>
    <t>Tuesday</t>
  </si>
  <si>
    <t>Wednesday</t>
  </si>
  <si>
    <t>Thursday</t>
  </si>
  <si>
    <t>Friday</t>
  </si>
  <si>
    <t>Saturday</t>
  </si>
  <si>
    <t>counts</t>
  </si>
  <si>
    <t>outreach</t>
  </si>
  <si>
    <t>mobile</t>
  </si>
  <si>
    <t>facility</t>
  </si>
  <si>
    <t>Distance of village from  facility (Km)</t>
  </si>
  <si>
    <t>Overnight stay (YES/NO)</t>
  </si>
  <si>
    <t>1. Outreach Session 
2. Mobile Clinic 
3. At Health Facility</t>
  </si>
  <si>
    <t>(Health Facility level plans are to be compiled in this template at the CMHT level)</t>
  </si>
  <si>
    <t>Surviving Infants</t>
  </si>
  <si>
    <t>Count of</t>
  </si>
  <si>
    <t>Outreach</t>
  </si>
  <si>
    <t>Mobile</t>
  </si>
  <si>
    <t>Facility</t>
  </si>
  <si>
    <t>Number of villages:</t>
  </si>
  <si>
    <t>Man-days planned for health facility staff organizing outreach &amp; mobile clinics</t>
  </si>
  <si>
    <t>Man-days planned for community members at outreach sessions &amp; mobile clinics</t>
  </si>
  <si>
    <t>health facility staff for outreach &amp; mobile (man-days)</t>
  </si>
  <si>
    <t>Community members for outreach &amp; mobile (man-days):</t>
  </si>
  <si>
    <t>Total</t>
  </si>
  <si>
    <t xml:space="preserve">Overnight stays for outreach health staff </t>
  </si>
  <si>
    <t>Fare for transporting vaccines to outreach:</t>
  </si>
  <si>
    <t>1.3   Cold chain maintenance</t>
  </si>
  <si>
    <t>Health facilities using electricity for cold chain maintenance</t>
  </si>
  <si>
    <t>Facilities using electricity for cold chain maintenance:</t>
  </si>
  <si>
    <t>Number of LPG cylinders required every  month:</t>
  </si>
  <si>
    <t>Approximate monthly cost for electricity for cold chain:</t>
  </si>
  <si>
    <t>Number of new LPG cylinders to be purchased at CHMT:</t>
  </si>
  <si>
    <t>first</t>
  </si>
  <si>
    <t>second</t>
  </si>
  <si>
    <t>Total health facilities (from cold chain format):</t>
  </si>
  <si>
    <t>F1</t>
  </si>
  <si>
    <t>F2</t>
  </si>
  <si>
    <t>C1</t>
  </si>
  <si>
    <t>C2</t>
  </si>
  <si>
    <t>#</t>
  </si>
  <si>
    <t>HF</t>
  </si>
  <si>
    <t xml:space="preserve">extra allowance mandays for </t>
  </si>
  <si>
    <t>officer</t>
  </si>
  <si>
    <t>driver</t>
  </si>
  <si>
    <t>Estimates of vaccines and logistics</t>
  </si>
  <si>
    <t>0.05 ADS count</t>
  </si>
  <si>
    <t># 0.05 ADS reqd as per dose</t>
  </si>
  <si>
    <t>0.5 ADS count</t>
  </si>
  <si>
    <t># 0.5 ADS reqd as per dose</t>
  </si>
  <si>
    <t>beneficiary</t>
  </si>
  <si>
    <t>infant</t>
  </si>
  <si>
    <t>women</t>
  </si>
  <si>
    <t>target no.</t>
  </si>
  <si>
    <t># doses reqd</t>
  </si>
  <si>
    <t>vials reqd</t>
  </si>
  <si>
    <t>0.05 ADS reqd as per beneficiary</t>
  </si>
  <si>
    <t>0.5 ADS reqd as per beneficiary</t>
  </si>
  <si>
    <t>recons reqd</t>
  </si>
  <si>
    <t>5 ml dspsble reqd</t>
  </si>
  <si>
    <t>total 0.05 ml ADS reqd:</t>
  </si>
  <si>
    <t>total 0.5 ml ADS reqd:</t>
  </si>
  <si>
    <t>total 5 ml disposable reqd:</t>
  </si>
  <si>
    <t>total syringes reqd:</t>
  </si>
  <si>
    <t># of syringes/safety box</t>
  </si>
  <si>
    <t>total safety boxes reqd</t>
  </si>
  <si>
    <t>From vaccine delivery (district to facilities) template</t>
  </si>
  <si>
    <t>overnights for officer</t>
  </si>
  <si>
    <t>overnights for driver</t>
  </si>
  <si>
    <t>Extra duty allowance to health facility staff at outreach sessions/mobile clincs</t>
  </si>
  <si>
    <t>Extra duty allowance to community members at outreach sessions/mobile clinics</t>
  </si>
  <si>
    <t>MONTHLY</t>
  </si>
  <si>
    <t>#doses with wastage</t>
  </si>
  <si>
    <t>#doses with buffer</t>
  </si>
  <si>
    <t># monthly doses</t>
  </si>
  <si>
    <t>Requirement of other logistics</t>
  </si>
  <si>
    <t># units</t>
  </si>
  <si>
    <t>units with wastage</t>
  </si>
  <si>
    <t>units with buffer</t>
  </si>
  <si>
    <t>units monthly</t>
  </si>
  <si>
    <t>0.05 ads</t>
  </si>
  <si>
    <t>0.5 ads</t>
  </si>
  <si>
    <t>disp syr</t>
  </si>
  <si>
    <t>safetybox</t>
  </si>
  <si>
    <t>cards</t>
  </si>
  <si>
    <t>Annual (including 10% wastage rate)</t>
  </si>
  <si>
    <t>f</t>
  </si>
  <si>
    <t>g</t>
  </si>
  <si>
    <t>h</t>
  </si>
  <si>
    <t>i</t>
  </si>
  <si>
    <t>j</t>
  </si>
  <si>
    <t>k</t>
  </si>
  <si>
    <t>l</t>
  </si>
  <si>
    <t>1.2   Cold chain maintenance</t>
  </si>
  <si>
    <t>Health facility using electricity for cold chain maintenance</t>
  </si>
  <si>
    <t>(Enter norms for budget allocation and vaccine details as per the immunization schedule)</t>
  </si>
  <si>
    <t>TOTAL BUDGET REQUIRED FOR IVD DURING THE PLANNING YEAR</t>
  </si>
  <si>
    <t>12-24 month children</t>
  </si>
  <si>
    <t>Week of the month (Encircle)</t>
  </si>
  <si>
    <t>1st   /    2nd    /    3rd    /    4th</t>
  </si>
  <si>
    <t>ANNUAL number of beneficiaries
(as per NBS/head count)</t>
  </si>
  <si>
    <t>Whether team would be staying overnight at outreach site</t>
  </si>
  <si>
    <r>
      <t xml:space="preserve">Names of team members from HEALTH FACILITY
</t>
    </r>
    <r>
      <rPr>
        <sz val="10"/>
        <color theme="1"/>
        <rFont val="Calibri"/>
        <family val="2"/>
        <scheme val="minor"/>
      </rPr>
      <t>(2 for outreach, 1 for mobile)</t>
    </r>
  </si>
  <si>
    <r>
      <t xml:space="preserve">Names of team members from COMMUNITY
</t>
    </r>
    <r>
      <rPr>
        <sz val="10"/>
        <color theme="1"/>
        <rFont val="Calibri"/>
        <family val="2"/>
        <scheme val="minor"/>
      </rPr>
      <t>(2 for outreach, 1 for mobile)</t>
    </r>
  </si>
  <si>
    <t>Number of LP gas cylinders refilled every month for cold chain :</t>
  </si>
  <si>
    <t>HEALTH FACILITY PLAN</t>
  </si>
  <si>
    <t>IMMUNIZATION &amp; VACCINE DEVELOPMENT (IVD) PROGRAMME</t>
  </si>
  <si>
    <t>REC PLANNING TOOL FOR ESTIMATING BUDGET AND LOGISTICS</t>
  </si>
  <si>
    <t>12-24 month children:</t>
  </si>
  <si>
    <t xml:space="preserve">IVD REC Plan Summary Sheet - Council level </t>
  </si>
  <si>
    <t>Service delivery by:</t>
  </si>
  <si>
    <t>Outreach:</t>
  </si>
  <si>
    <t>Mobile clinic:</t>
  </si>
  <si>
    <t>INPUT SHEETS (TO BE FILLED AT CHMT LEVEL)</t>
  </si>
  <si>
    <t>OUTPUT SHEETS</t>
  </si>
  <si>
    <t>(This plan is to be developed manually at CHMT level in discussion with concerned staff members)</t>
  </si>
  <si>
    <t>Name of Village for outreach</t>
  </si>
  <si>
    <t>Names of designated supervisors from…</t>
  </si>
  <si>
    <t>Other stakeholder at outreach session site</t>
  </si>
  <si>
    <t>CHMT</t>
  </si>
  <si>
    <t xml:space="preserve">SUPPORTIVE SUPERVISION PLAN </t>
  </si>
  <si>
    <t xml:space="preserve">REC PLANNING TEMPLATE FOR HEALTH FACILITY </t>
  </si>
  <si>
    <t>PRINT READY FORMAT FOR HEALTH FACILITY LEVEL PLANNING FOR IMMUNIZATION SERVICE DELIVERY</t>
  </si>
  <si>
    <t>PRINT READY FORMAT FOR DEVELOPING SUPERVISION PLAN</t>
  </si>
  <si>
    <t>IVD REC Plan Summary Sheet - Health Facility</t>
  </si>
  <si>
    <t>BEFORE PRINTING HEALTH FACILITY SUMMARY ENSURE THAT NAME OF THE FACILITY IS FILTERED OUT IN 
HEALTH FACILITY AND COLD CHAIN MAINTENANCE PLANS</t>
  </si>
  <si>
    <t>Filter name of the facility  to get service delivery plan for that facility. 
For getting plan summary for the selected health facility, also filter name of the facility in cold chain maintenance plan</t>
  </si>
  <si>
    <t>NOT FOR PRINTING</t>
  </si>
  <si>
    <t>COMPILATION SHEET FOR HEALTH FACILITY PLANS</t>
  </si>
  <si>
    <t>COLD CHAIN MAINTENANCE PLAN</t>
  </si>
  <si>
    <t>VACCINE DELIVERY PLAN FOR DISTRICT HEADQUARTER</t>
  </si>
  <si>
    <t>Wastage Factor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</si>
</sst>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TZS]\ #,##0.00"/>
  </numFmts>
  <fonts count="35" x14ac:knownFonts="1">
    <font>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b/>
      <sz val="20"/>
      <color theme="1"/>
      <name val="Calibri"/>
      <family val="2"/>
      <scheme val="minor"/>
    </font>
    <font>
      <b/>
      <sz val="12"/>
      <name val="Calibri"/>
      <family val="2"/>
      <scheme val="minor"/>
    </font>
    <font>
      <sz val="11"/>
      <name val="Calibri"/>
      <family val="2"/>
      <scheme val="minor"/>
    </font>
    <font>
      <sz val="12"/>
      <name val="Calibri"/>
      <family val="2"/>
      <scheme val="minor"/>
    </font>
    <font>
      <b/>
      <sz val="1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u/>
      <sz val="11"/>
      <color theme="10"/>
      <name val="Calibri"/>
      <family val="2"/>
      <scheme val="minor"/>
    </font>
    <font>
      <b/>
      <sz val="14"/>
      <name val="Calibri"/>
      <family val="2"/>
      <scheme val="minor"/>
    </font>
    <font>
      <b/>
      <sz val="16"/>
      <name val="Calibri"/>
      <family val="2"/>
      <scheme val="minor"/>
    </font>
    <font>
      <sz val="11"/>
      <color theme="1"/>
      <name val="Calibri"/>
      <family val="2"/>
      <scheme val="minor"/>
    </font>
    <font>
      <i/>
      <sz val="14"/>
      <color theme="1"/>
      <name val="Calibri"/>
      <family val="2"/>
      <scheme val="minor"/>
    </font>
    <font>
      <sz val="11"/>
      <color rgb="FFFF0000"/>
      <name val="Calibri"/>
      <family val="2"/>
      <scheme val="minor"/>
    </font>
    <font>
      <b/>
      <sz val="9"/>
      <color theme="1"/>
      <name val="Calibri"/>
      <family val="2"/>
      <scheme val="minor"/>
    </font>
    <font>
      <b/>
      <sz val="12"/>
      <color rgb="FFFF0000"/>
      <name val="Calibri"/>
      <family val="2"/>
      <scheme val="minor"/>
    </font>
    <font>
      <b/>
      <sz val="14"/>
      <color rgb="FFFF0000"/>
      <name val="Calibri"/>
      <family val="2"/>
      <scheme val="minor"/>
    </font>
    <font>
      <sz val="12"/>
      <color rgb="FFFF0000"/>
      <name val="Calibri"/>
      <family val="2"/>
      <scheme val="minor"/>
    </font>
    <font>
      <b/>
      <sz val="14"/>
      <color theme="0"/>
      <name val="Calibri"/>
      <family val="2"/>
      <scheme val="minor"/>
    </font>
    <font>
      <sz val="12.5"/>
      <color theme="1"/>
      <name val="Calibri"/>
      <family val="2"/>
      <scheme val="minor"/>
    </font>
    <font>
      <b/>
      <i/>
      <sz val="12"/>
      <color theme="1"/>
      <name val="Calibri"/>
      <family val="2"/>
      <scheme val="minor"/>
    </font>
    <font>
      <i/>
      <sz val="12"/>
      <color theme="1"/>
      <name val="Calibri"/>
      <family val="2"/>
      <scheme val="minor"/>
    </font>
    <font>
      <sz val="10"/>
      <color theme="1"/>
      <name val="Calibri"/>
      <family val="2"/>
      <scheme val="minor"/>
    </font>
    <font>
      <b/>
      <sz val="10"/>
      <color theme="1"/>
      <name val="Calibri"/>
      <family val="2"/>
      <scheme val="minor"/>
    </font>
    <font>
      <b/>
      <sz val="13"/>
      <color theme="1"/>
      <name val="Calibri"/>
      <family val="2"/>
      <scheme val="minor"/>
    </font>
    <font>
      <sz val="8"/>
      <color theme="1"/>
      <name val="Calibri"/>
      <family val="2"/>
      <scheme val="minor"/>
    </font>
    <font>
      <b/>
      <sz val="9"/>
      <color indexed="81"/>
      <name val="Tahoma"/>
      <family val="2"/>
    </font>
    <font>
      <b/>
      <sz val="22"/>
      <color theme="1"/>
      <name val="Calibri"/>
      <family val="2"/>
      <scheme val="minor"/>
    </font>
    <font>
      <b/>
      <sz val="16"/>
      <color theme="0"/>
      <name val="Calibri"/>
      <family val="2"/>
      <scheme val="minor"/>
    </font>
    <font>
      <b/>
      <sz val="12"/>
      <color theme="0"/>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0.749992370372631"/>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rgb="FFFF000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499">
    <xf numFmtId="0" fontId="0" fillId="0" borderId="0" xfId="0"/>
    <xf numFmtId="0" fontId="0" fillId="2" borderId="0" xfId="0" applyFill="1" applyProtection="1">
      <protection hidden="1"/>
    </xf>
    <xf numFmtId="0" fontId="2" fillId="2" borderId="0" xfId="0" applyFont="1" applyFill="1" applyAlignment="1" applyProtection="1">
      <alignment vertical="center"/>
      <protection hidden="1"/>
    </xf>
    <xf numFmtId="0" fontId="11" fillId="2" borderId="0" xfId="0" applyFont="1" applyFill="1" applyProtection="1">
      <protection hidden="1"/>
    </xf>
    <xf numFmtId="0" fontId="12" fillId="2" borderId="0" xfId="0" applyFont="1" applyFill="1" applyAlignment="1" applyProtection="1">
      <alignment vertical="center"/>
      <protection hidden="1"/>
    </xf>
    <xf numFmtId="0" fontId="0" fillId="2" borderId="0" xfId="0" applyFill="1" applyAlignment="1" applyProtection="1">
      <alignment horizontal="left"/>
      <protection hidden="1"/>
    </xf>
    <xf numFmtId="0" fontId="0" fillId="0" borderId="0" xfId="0" applyAlignment="1" applyProtection="1">
      <alignment horizontal="left" vertical="center"/>
      <protection hidden="1"/>
    </xf>
    <xf numFmtId="0" fontId="1" fillId="11" borderId="0" xfId="0" applyFont="1" applyFill="1" applyAlignment="1" applyProtection="1">
      <alignment vertical="center"/>
      <protection hidden="1"/>
    </xf>
    <xf numFmtId="0" fontId="1" fillId="2" borderId="0" xfId="0" applyFont="1" applyFill="1" applyAlignment="1" applyProtection="1">
      <alignment vertical="center"/>
      <protection hidden="1"/>
    </xf>
    <xf numFmtId="0" fontId="0" fillId="2" borderId="0" xfId="0" applyFill="1" applyAlignment="1" applyProtection="1">
      <alignment horizontal="center"/>
      <protection hidden="1"/>
    </xf>
    <xf numFmtId="0" fontId="4" fillId="2" borderId="0" xfId="0" applyFont="1" applyFill="1" applyProtection="1">
      <protection hidden="1"/>
    </xf>
    <xf numFmtId="0" fontId="4" fillId="2" borderId="0" xfId="0" applyFont="1" applyFill="1" applyAlignment="1" applyProtection="1">
      <alignment horizontal="center"/>
      <protection hidden="1"/>
    </xf>
    <xf numFmtId="0" fontId="2" fillId="2" borderId="0" xfId="0" applyFont="1" applyFill="1" applyProtection="1">
      <protection hidden="1"/>
    </xf>
    <xf numFmtId="0" fontId="4" fillId="2" borderId="0" xfId="0" applyFont="1" applyFill="1" applyAlignment="1" applyProtection="1">
      <alignment horizontal="left" indent="2"/>
      <protection hidden="1"/>
    </xf>
    <xf numFmtId="0" fontId="4" fillId="3" borderId="5" xfId="0" applyFont="1" applyFill="1" applyBorder="1" applyProtection="1">
      <protection hidden="1"/>
    </xf>
    <xf numFmtId="0" fontId="3" fillId="2" borderId="0" xfId="0" applyFont="1" applyFill="1" applyProtection="1">
      <protection hidden="1"/>
    </xf>
    <xf numFmtId="0" fontId="0" fillId="2" borderId="36" xfId="0" applyFill="1" applyBorder="1" applyAlignment="1" applyProtection="1">
      <alignment horizontal="center" vertical="center"/>
      <protection hidden="1"/>
    </xf>
    <xf numFmtId="0" fontId="0" fillId="2" borderId="37" xfId="0" applyFill="1" applyBorder="1" applyAlignment="1" applyProtection="1">
      <alignment horizontal="center" vertical="center"/>
      <protection hidden="1"/>
    </xf>
    <xf numFmtId="0" fontId="1" fillId="2" borderId="0" xfId="0" applyFont="1" applyFill="1" applyProtection="1">
      <protection hidden="1"/>
    </xf>
    <xf numFmtId="0" fontId="5" fillId="7" borderId="0" xfId="0" applyFont="1" applyFill="1" applyAlignment="1" applyProtection="1">
      <alignment vertical="center"/>
      <protection hidden="1"/>
    </xf>
    <xf numFmtId="0" fontId="0" fillId="7" borderId="0" xfId="0" applyFill="1" applyProtection="1">
      <protection hidden="1"/>
    </xf>
    <xf numFmtId="0" fontId="7" fillId="2" borderId="0" xfId="0" applyFont="1" applyFill="1" applyProtection="1">
      <protection hidden="1"/>
    </xf>
    <xf numFmtId="0" fontId="8" fillId="2" borderId="0" xfId="0" applyFont="1" applyFill="1" applyProtection="1">
      <protection hidden="1"/>
    </xf>
    <xf numFmtId="0" fontId="8" fillId="2" borderId="0" xfId="0" applyFont="1" applyFill="1" applyAlignment="1" applyProtection="1">
      <alignment vertical="center"/>
      <protection hidden="1"/>
    </xf>
    <xf numFmtId="0" fontId="7" fillId="2" borderId="0" xfId="0" applyFont="1" applyFill="1" applyAlignment="1" applyProtection="1">
      <alignment vertical="center" wrapText="1"/>
      <protection hidden="1"/>
    </xf>
    <xf numFmtId="0" fontId="0" fillId="2" borderId="30" xfId="0" applyFill="1" applyBorder="1" applyProtection="1">
      <protection hidden="1"/>
    </xf>
    <xf numFmtId="0" fontId="0" fillId="2" borderId="31" xfId="0" applyFill="1" applyBorder="1" applyProtection="1">
      <protection hidden="1"/>
    </xf>
    <xf numFmtId="0" fontId="0" fillId="2" borderId="32" xfId="0" applyFill="1" applyBorder="1" applyProtection="1">
      <protection hidden="1"/>
    </xf>
    <xf numFmtId="0" fontId="0" fillId="2" borderId="33" xfId="0" applyFill="1" applyBorder="1" applyProtection="1">
      <protection hidden="1"/>
    </xf>
    <xf numFmtId="0" fontId="0" fillId="2" borderId="34" xfId="0" applyFill="1" applyBorder="1" applyProtection="1">
      <protection hidden="1"/>
    </xf>
    <xf numFmtId="0" fontId="0" fillId="2" borderId="41" xfId="0" applyFill="1" applyBorder="1" applyProtection="1">
      <protection hidden="1"/>
    </xf>
    <xf numFmtId="0" fontId="0" fillId="2" borderId="42" xfId="0" applyFill="1" applyBorder="1" applyProtection="1">
      <protection hidden="1"/>
    </xf>
    <xf numFmtId="0" fontId="0" fillId="2" borderId="43" xfId="0" applyFill="1" applyBorder="1" applyProtection="1">
      <protection hidden="1"/>
    </xf>
    <xf numFmtId="0" fontId="4" fillId="2" borderId="0" xfId="0" applyFont="1" applyFill="1" applyAlignment="1" applyProtection="1">
      <alignment horizontal="left" indent="3"/>
      <protection hidden="1"/>
    </xf>
    <xf numFmtId="0" fontId="9" fillId="2" borderId="0" xfId="1" applyFont="1" applyFill="1" applyBorder="1" applyAlignment="1" applyProtection="1">
      <alignment vertical="center"/>
      <protection hidden="1"/>
    </xf>
    <xf numFmtId="0" fontId="9" fillId="2" borderId="34" xfId="1" applyFont="1" applyFill="1" applyBorder="1" applyAlignment="1" applyProtection="1">
      <alignment vertical="center"/>
      <protection hidden="1"/>
    </xf>
    <xf numFmtId="0" fontId="9" fillId="2" borderId="0" xfId="1" applyFont="1" applyFill="1" applyBorder="1" applyAlignment="1" applyProtection="1">
      <alignment horizontal="center" vertical="center"/>
      <protection hidden="1"/>
    </xf>
    <xf numFmtId="0" fontId="9" fillId="2" borderId="0" xfId="1" applyFont="1" applyFill="1" applyBorder="1" applyAlignment="1" applyProtection="1">
      <alignment horizontal="center" vertical="center" wrapText="1"/>
      <protection hidden="1"/>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vertical="center" wrapText="1"/>
      <protection hidden="1"/>
    </xf>
    <xf numFmtId="0" fontId="0" fillId="0" borderId="0" xfId="0" applyAlignment="1" applyProtection="1">
      <alignment horizontal="center" vertical="center" wrapText="1"/>
      <protection hidden="1"/>
    </xf>
    <xf numFmtId="0" fontId="0" fillId="2" borderId="0" xfId="0" applyFill="1" applyAlignment="1" applyProtection="1">
      <alignment horizontal="left" vertical="center" wrapText="1" indent="1"/>
      <protection hidden="1"/>
    </xf>
    <xf numFmtId="0" fontId="0" fillId="2" borderId="0" xfId="0" applyFill="1" applyAlignment="1" applyProtection="1">
      <alignment horizontal="left" vertical="center"/>
      <protection hidden="1"/>
    </xf>
    <xf numFmtId="0" fontId="0" fillId="2" borderId="0" xfId="0" applyFill="1" applyAlignment="1" applyProtection="1">
      <alignment horizontal="left" vertical="center" indent="1"/>
      <protection hidden="1"/>
    </xf>
    <xf numFmtId="0" fontId="16" fillId="2" borderId="0" xfId="0" applyFont="1" applyFill="1" applyAlignment="1" applyProtection="1">
      <alignment horizontal="left" vertical="center"/>
      <protection hidden="1"/>
    </xf>
    <xf numFmtId="164" fontId="0" fillId="2" borderId="0" xfId="0" applyNumberFormat="1" applyFill="1" applyAlignment="1" applyProtection="1">
      <alignment horizontal="right" vertical="center"/>
      <protection hidden="1"/>
    </xf>
    <xf numFmtId="0" fontId="0" fillId="2" borderId="0" xfId="0" applyFill="1" applyAlignment="1" applyProtection="1">
      <alignment horizontal="center" vertical="center"/>
      <protection hidden="1"/>
    </xf>
    <xf numFmtId="0" fontId="0" fillId="11" borderId="0" xfId="0" applyFill="1" applyProtection="1">
      <protection hidden="1"/>
    </xf>
    <xf numFmtId="0" fontId="1" fillId="11" borderId="0" xfId="0" applyFont="1" applyFill="1" applyAlignment="1" applyProtection="1">
      <alignment horizontal="left" vertical="center" indent="1"/>
      <protection hidden="1"/>
    </xf>
    <xf numFmtId="0" fontId="0" fillId="2" borderId="0" xfId="0" applyFill="1" applyAlignment="1" applyProtection="1">
      <alignment wrapText="1"/>
      <protection hidden="1"/>
    </xf>
    <xf numFmtId="0" fontId="12" fillId="11" borderId="0" xfId="0" applyFont="1" applyFill="1" applyAlignment="1" applyProtection="1">
      <alignment horizontal="center" vertical="center" wrapText="1"/>
      <protection hidden="1"/>
    </xf>
    <xf numFmtId="0" fontId="19" fillId="11" borderId="0" xfId="0" applyFont="1" applyFill="1" applyAlignment="1" applyProtection="1">
      <alignment horizontal="center" vertical="center" wrapText="1"/>
      <protection hidden="1"/>
    </xf>
    <xf numFmtId="0" fontId="1" fillId="2" borderId="0" xfId="0" applyFont="1" applyFill="1" applyAlignment="1" applyProtection="1">
      <alignment horizontal="center"/>
      <protection hidden="1"/>
    </xf>
    <xf numFmtId="0" fontId="3" fillId="2" borderId="0" xfId="0" applyFont="1" applyFill="1" applyAlignment="1" applyProtection="1">
      <alignment wrapText="1"/>
      <protection hidden="1"/>
    </xf>
    <xf numFmtId="0" fontId="3" fillId="2" borderId="0" xfId="0" applyFont="1" applyFill="1" applyAlignment="1" applyProtection="1">
      <alignment horizontal="center"/>
      <protection hidden="1"/>
    </xf>
    <xf numFmtId="0" fontId="3" fillId="2" borderId="40" xfId="0" applyFont="1" applyFill="1" applyBorder="1" applyAlignment="1" applyProtection="1">
      <alignment horizontal="center" vertical="center"/>
      <protection locked="0" hidden="1"/>
    </xf>
    <xf numFmtId="0" fontId="3" fillId="10" borderId="35" xfId="0" applyFont="1" applyFill="1" applyBorder="1" applyAlignment="1" applyProtection="1">
      <alignment horizontal="center" vertical="center"/>
      <protection locked="0" hidden="1"/>
    </xf>
    <xf numFmtId="0" fontId="3" fillId="2" borderId="35" xfId="0" applyFont="1" applyFill="1" applyBorder="1" applyAlignment="1" applyProtection="1">
      <alignment horizontal="center" vertical="center"/>
      <protection locked="0" hidden="1"/>
    </xf>
    <xf numFmtId="0" fontId="3" fillId="10" borderId="39" xfId="0" applyFont="1" applyFill="1" applyBorder="1" applyAlignment="1" applyProtection="1">
      <alignment horizontal="center" vertical="center"/>
      <protection locked="0" hidden="1"/>
    </xf>
    <xf numFmtId="0" fontId="20" fillId="7" borderId="3" xfId="0"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hidden="1"/>
    </xf>
    <xf numFmtId="0" fontId="21" fillId="2" borderId="0" xfId="0" applyFont="1" applyFill="1" applyAlignment="1" applyProtection="1">
      <alignment vertical="center"/>
      <protection hidden="1"/>
    </xf>
    <xf numFmtId="0" fontId="18" fillId="2" borderId="0" xfId="0" applyFont="1" applyFill="1" applyProtection="1">
      <protection hidden="1"/>
    </xf>
    <xf numFmtId="0" fontId="20" fillId="2" borderId="0" xfId="0" applyFont="1" applyFill="1" applyProtection="1">
      <protection hidden="1"/>
    </xf>
    <xf numFmtId="0" fontId="22" fillId="2" borderId="0" xfId="0" applyFont="1" applyFill="1" applyProtection="1">
      <protection hidden="1"/>
    </xf>
    <xf numFmtId="0" fontId="18" fillId="2" borderId="0" xfId="0" applyFont="1" applyFill="1" applyAlignment="1" applyProtection="1">
      <alignment horizontal="center"/>
      <protection hidden="1"/>
    </xf>
    <xf numFmtId="0" fontId="3" fillId="2" borderId="0" xfId="0" applyFont="1" applyFill="1" applyAlignment="1" applyProtection="1">
      <alignment horizontal="center" vertical="center"/>
      <protection hidden="1"/>
    </xf>
    <xf numFmtId="0" fontId="3" fillId="2" borderId="0" xfId="0" applyFont="1" applyFill="1" applyAlignment="1" applyProtection="1">
      <alignment horizontal="left" vertical="center" indent="1"/>
      <protection hidden="1"/>
    </xf>
    <xf numFmtId="0" fontId="3" fillId="2" borderId="0" xfId="0" applyFont="1" applyFill="1" applyAlignment="1" applyProtection="1">
      <alignment horizontal="left" vertical="center" wrapText="1" indent="1"/>
      <protection hidden="1"/>
    </xf>
    <xf numFmtId="0" fontId="3" fillId="2" borderId="0" xfId="0" applyFont="1" applyFill="1" applyAlignment="1" applyProtection="1">
      <alignment horizontal="left" vertical="center"/>
      <protection hidden="1"/>
    </xf>
    <xf numFmtId="0" fontId="3" fillId="2" borderId="0" xfId="0" applyFont="1" applyFill="1" applyAlignment="1" applyProtection="1">
      <alignment horizontal="left" indent="1"/>
      <protection hidden="1"/>
    </xf>
    <xf numFmtId="0" fontId="3" fillId="2" borderId="0" xfId="0" applyFont="1" applyFill="1" applyAlignment="1" applyProtection="1">
      <alignment horizontal="left"/>
      <protection hidden="1"/>
    </xf>
    <xf numFmtId="0" fontId="3" fillId="11" borderId="0" xfId="0" applyFont="1" applyFill="1" applyAlignment="1" applyProtection="1">
      <alignment horizontal="left" vertical="center" indent="1"/>
      <protection hidden="1"/>
    </xf>
    <xf numFmtId="0" fontId="3" fillId="11" borderId="0" xfId="0" applyFont="1" applyFill="1" applyAlignment="1" applyProtection="1">
      <alignment horizontal="left" vertical="top" wrapText="1" indent="1"/>
      <protection hidden="1"/>
    </xf>
    <xf numFmtId="0" fontId="3" fillId="11" borderId="0" xfId="0" applyFont="1" applyFill="1" applyProtection="1">
      <protection hidden="1"/>
    </xf>
    <xf numFmtId="0" fontId="3" fillId="11" borderId="0" xfId="0" applyFont="1" applyFill="1" applyAlignment="1" applyProtection="1">
      <alignment horizontal="left" vertical="center"/>
      <protection hidden="1"/>
    </xf>
    <xf numFmtId="0" fontId="3" fillId="2" borderId="0" xfId="0" applyFont="1" applyFill="1" applyAlignment="1" applyProtection="1">
      <alignment horizontal="left" vertical="top" wrapText="1" indent="1"/>
      <protection hidden="1"/>
    </xf>
    <xf numFmtId="0" fontId="3" fillId="11" borderId="0" xfId="0" applyFont="1" applyFill="1" applyAlignment="1" applyProtection="1">
      <alignment horizontal="left" vertical="center" wrapText="1" indent="1"/>
      <protection hidden="1"/>
    </xf>
    <xf numFmtId="0" fontId="3" fillId="2" borderId="0" xfId="0" applyFont="1" applyFill="1" applyAlignment="1" applyProtection="1">
      <alignment vertical="center"/>
      <protection hidden="1"/>
    </xf>
    <xf numFmtId="0" fontId="3" fillId="2" borderId="0" xfId="1" applyFont="1" applyFill="1" applyAlignment="1" applyProtection="1">
      <alignment horizontal="left" vertical="center"/>
      <protection hidden="1"/>
    </xf>
    <xf numFmtId="0" fontId="3" fillId="11" borderId="0" xfId="0" applyFont="1" applyFill="1" applyAlignment="1" applyProtection="1">
      <alignment vertical="center"/>
      <protection hidden="1"/>
    </xf>
    <xf numFmtId="0" fontId="3" fillId="3" borderId="0" xfId="0" applyFont="1" applyFill="1" applyAlignment="1" applyProtection="1">
      <alignment horizontal="center"/>
      <protection locked="0" hidden="1"/>
    </xf>
    <xf numFmtId="0" fontId="22" fillId="2" borderId="0" xfId="0" applyFont="1" applyFill="1" applyAlignment="1" applyProtection="1">
      <alignment wrapText="1"/>
      <protection hidden="1"/>
    </xf>
    <xf numFmtId="0" fontId="1" fillId="11" borderId="0" xfId="0" applyFont="1" applyFill="1" applyAlignment="1" applyProtection="1">
      <alignment horizontal="center" vertical="center" wrapText="1"/>
      <protection hidden="1"/>
    </xf>
    <xf numFmtId="0" fontId="6" fillId="5" borderId="3" xfId="0" applyFont="1" applyFill="1" applyBorder="1" applyAlignment="1" applyProtection="1">
      <alignment horizontal="center" vertical="center"/>
      <protection hidden="1"/>
    </xf>
    <xf numFmtId="0" fontId="1" fillId="7" borderId="3" xfId="0" applyFont="1" applyFill="1" applyBorder="1" applyAlignment="1" applyProtection="1">
      <alignment horizontal="center" vertical="center"/>
      <protection hidden="1"/>
    </xf>
    <xf numFmtId="0" fontId="9" fillId="8" borderId="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 fillId="5" borderId="10" xfId="0" applyFont="1" applyFill="1" applyBorder="1" applyAlignment="1" applyProtection="1">
      <alignment horizontal="center" vertical="center"/>
      <protection hidden="1"/>
    </xf>
    <xf numFmtId="0" fontId="1" fillId="5" borderId="0" xfId="0" applyFont="1" applyFill="1" applyAlignment="1" applyProtection="1">
      <alignment horizontal="center" vertical="center"/>
      <protection hidden="1"/>
    </xf>
    <xf numFmtId="0" fontId="1" fillId="5" borderId="5" xfId="0" applyFont="1" applyFill="1" applyBorder="1" applyAlignment="1" applyProtection="1">
      <alignment horizontal="center" vertical="center"/>
      <protection hidden="1"/>
    </xf>
    <xf numFmtId="0" fontId="6" fillId="5" borderId="10" xfId="0" applyFont="1" applyFill="1" applyBorder="1" applyAlignment="1" applyProtection="1">
      <alignment horizontal="center" vertical="center" wrapText="1"/>
      <protection hidden="1"/>
    </xf>
    <xf numFmtId="0" fontId="6" fillId="5" borderId="5" xfId="0" applyFont="1" applyFill="1" applyBorder="1" applyAlignment="1" applyProtection="1">
      <alignment horizontal="center" vertical="center" wrapText="1"/>
      <protection hidden="1"/>
    </xf>
    <xf numFmtId="0" fontId="0" fillId="2" borderId="1" xfId="0" applyFill="1" applyBorder="1" applyAlignment="1" applyProtection="1">
      <alignment horizontal="left" vertical="center" wrapText="1"/>
      <protection locked="0" hidden="1"/>
    </xf>
    <xf numFmtId="0" fontId="1" fillId="11" borderId="10" xfId="0" applyFont="1" applyFill="1" applyBorder="1" applyAlignment="1" applyProtection="1">
      <alignment horizontal="center" vertical="center" wrapText="1"/>
      <protection hidden="1"/>
    </xf>
    <xf numFmtId="0" fontId="1" fillId="11" borderId="5" xfId="0"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locked="0" hidden="1"/>
    </xf>
    <xf numFmtId="0" fontId="1" fillId="7" borderId="3" xfId="0" applyFont="1" applyFill="1" applyBorder="1" applyAlignment="1" applyProtection="1">
      <alignment horizontal="center" vertical="center" wrapText="1"/>
      <protection hidden="1"/>
    </xf>
    <xf numFmtId="0" fontId="3" fillId="9" borderId="15" xfId="0" applyFont="1" applyFill="1" applyBorder="1" applyAlignment="1" applyProtection="1">
      <alignment horizontal="center" vertical="center"/>
      <protection hidden="1"/>
    </xf>
    <xf numFmtId="0" fontId="3" fillId="9" borderId="17" xfId="0" applyFont="1" applyFill="1" applyBorder="1" applyAlignment="1" applyProtection="1">
      <alignment horizontal="center" vertical="center"/>
      <protection hidden="1"/>
    </xf>
    <xf numFmtId="0" fontId="3" fillId="2" borderId="2" xfId="0" applyFont="1" applyFill="1" applyBorder="1" applyAlignment="1" applyProtection="1">
      <alignment horizontal="center" vertical="center"/>
      <protection locked="0" hidden="1"/>
    </xf>
    <xf numFmtId="0" fontId="3" fillId="10" borderId="2" xfId="0" applyFont="1" applyFill="1" applyBorder="1" applyAlignment="1" applyProtection="1">
      <alignment horizontal="center" vertical="center"/>
      <protection locked="0" hidden="1"/>
    </xf>
    <xf numFmtId="0" fontId="3" fillId="2" borderId="20" xfId="0" applyFont="1" applyFill="1" applyBorder="1" applyAlignment="1" applyProtection="1">
      <alignment horizontal="center" vertical="center"/>
      <protection locked="0" hidden="1"/>
    </xf>
    <xf numFmtId="0" fontId="3" fillId="10" borderId="27" xfId="0" applyFont="1" applyFill="1" applyBorder="1" applyAlignment="1" applyProtection="1">
      <alignment horizontal="center" vertical="center"/>
      <protection locked="0" hidden="1"/>
    </xf>
    <xf numFmtId="0" fontId="0" fillId="2" borderId="0" xfId="0" applyFill="1" applyAlignment="1" applyProtection="1">
      <alignment horizontal="center" vertical="center" wrapText="1"/>
      <protection hidden="1"/>
    </xf>
    <xf numFmtId="0" fontId="3" fillId="4" borderId="14" xfId="0" applyFont="1" applyFill="1" applyBorder="1" applyProtection="1">
      <protection hidden="1"/>
    </xf>
    <xf numFmtId="0" fontId="3" fillId="4" borderId="16" xfId="0" applyFont="1" applyFill="1" applyBorder="1" applyProtection="1">
      <protection hidden="1"/>
    </xf>
    <xf numFmtId="0" fontId="24" fillId="2" borderId="1" xfId="0" applyFont="1" applyFill="1" applyBorder="1" applyAlignment="1" applyProtection="1">
      <alignment horizontal="center" vertical="center"/>
      <protection hidden="1"/>
    </xf>
    <xf numFmtId="0" fontId="2" fillId="2" borderId="0" xfId="0" applyFont="1" applyFill="1" applyAlignment="1" applyProtection="1">
      <alignment vertical="center" wrapText="1"/>
      <protection hidden="1"/>
    </xf>
    <xf numFmtId="0" fontId="3" fillId="2" borderId="20" xfId="0" applyFont="1" applyFill="1" applyBorder="1" applyAlignment="1" applyProtection="1">
      <alignment horizontal="center" vertical="center" wrapText="1"/>
      <protection locked="0" hidden="1"/>
    </xf>
    <xf numFmtId="0" fontId="3" fillId="10" borderId="2" xfId="0" applyFont="1" applyFill="1" applyBorder="1" applyAlignment="1" applyProtection="1">
      <alignment horizontal="center" vertical="center" wrapText="1"/>
      <protection locked="0" hidden="1"/>
    </xf>
    <xf numFmtId="0" fontId="3" fillId="2" borderId="2" xfId="0" applyFont="1" applyFill="1" applyBorder="1" applyAlignment="1" applyProtection="1">
      <alignment horizontal="center" vertical="center" wrapText="1"/>
      <protection locked="0" hidden="1"/>
    </xf>
    <xf numFmtId="0" fontId="3" fillId="10" borderId="27" xfId="0" applyFont="1" applyFill="1" applyBorder="1" applyAlignment="1" applyProtection="1">
      <alignment horizontal="center" vertical="center" wrapText="1"/>
      <protection locked="0" hidden="1"/>
    </xf>
    <xf numFmtId="0" fontId="3" fillId="2" borderId="21" xfId="0" applyFont="1" applyFill="1" applyBorder="1" applyAlignment="1" applyProtection="1">
      <alignment horizontal="center" vertical="center"/>
      <protection locked="0" hidden="1"/>
    </xf>
    <xf numFmtId="0" fontId="3" fillId="10" borderId="3" xfId="0" applyFont="1" applyFill="1" applyBorder="1" applyAlignment="1" applyProtection="1">
      <alignment horizontal="center" vertical="center"/>
      <protection locked="0" hidden="1"/>
    </xf>
    <xf numFmtId="0" fontId="3" fillId="2" borderId="3" xfId="0" applyFont="1" applyFill="1" applyBorder="1" applyAlignment="1" applyProtection="1">
      <alignment horizontal="center" vertical="center"/>
      <protection locked="0" hidden="1"/>
    </xf>
    <xf numFmtId="0" fontId="3" fillId="10" borderId="28" xfId="0" applyFont="1" applyFill="1" applyBorder="1" applyAlignment="1" applyProtection="1">
      <alignment horizontal="center" vertical="center"/>
      <protection locked="0" hidden="1"/>
    </xf>
    <xf numFmtId="0" fontId="3" fillId="9" borderId="42" xfId="0" applyFont="1" applyFill="1" applyBorder="1" applyAlignment="1" applyProtection="1">
      <alignment horizontal="center" vertical="center"/>
      <protection hidden="1"/>
    </xf>
    <xf numFmtId="0" fontId="3" fillId="2" borderId="0" xfId="0" applyFont="1" applyFill="1" applyAlignment="1" applyProtection="1">
      <alignment horizontal="center" wrapText="1"/>
      <protection hidden="1"/>
    </xf>
    <xf numFmtId="0" fontId="3" fillId="9" borderId="49" xfId="0" applyFont="1" applyFill="1" applyBorder="1" applyAlignment="1" applyProtection="1">
      <alignment horizontal="center" vertical="center"/>
      <protection hidden="1"/>
    </xf>
    <xf numFmtId="0" fontId="3" fillId="2" borderId="0" xfId="0" applyFont="1" applyFill="1" applyAlignment="1" applyProtection="1">
      <alignment horizontal="center" vertical="center" wrapText="1"/>
      <protection hidden="1"/>
    </xf>
    <xf numFmtId="0" fontId="0" fillId="16" borderId="0" xfId="0" applyFill="1" applyAlignment="1" applyProtection="1">
      <alignment horizontal="center"/>
      <protection hidden="1"/>
    </xf>
    <xf numFmtId="0" fontId="0" fillId="16" borderId="0" xfId="0" applyFill="1" applyAlignment="1" applyProtection="1">
      <alignment horizontal="center" vertical="center" wrapText="1"/>
      <protection hidden="1"/>
    </xf>
    <xf numFmtId="0" fontId="0" fillId="16" borderId="0" xfId="0" applyFill="1" applyProtection="1">
      <protection hidden="1"/>
    </xf>
    <xf numFmtId="0" fontId="0" fillId="2" borderId="0" xfId="0" applyFill="1" applyAlignment="1" applyProtection="1">
      <alignment vertical="center"/>
      <protection hidden="1"/>
    </xf>
    <xf numFmtId="0" fontId="6" fillId="14" borderId="3" xfId="0" applyFont="1" applyFill="1" applyBorder="1" applyAlignment="1" applyProtection="1">
      <alignment horizontal="center" vertical="center"/>
      <protection hidden="1"/>
    </xf>
    <xf numFmtId="0" fontId="6" fillId="7" borderId="2" xfId="0" applyFont="1" applyFill="1" applyBorder="1" applyAlignment="1" applyProtection="1">
      <alignment vertical="center"/>
      <protection hidden="1"/>
    </xf>
    <xf numFmtId="0" fontId="0" fillId="15" borderId="0" xfId="0" applyFill="1" applyAlignment="1" applyProtection="1">
      <alignment horizontal="center"/>
      <protection hidden="1"/>
    </xf>
    <xf numFmtId="0" fontId="0" fillId="15" borderId="0" xfId="0" applyFill="1" applyProtection="1">
      <protection hidden="1"/>
    </xf>
    <xf numFmtId="0" fontId="0" fillId="15" borderId="0" xfId="0" applyFill="1" applyAlignment="1" applyProtection="1">
      <alignment vertical="center" wrapText="1"/>
      <protection hidden="1"/>
    </xf>
    <xf numFmtId="0" fontId="0" fillId="15" borderId="0" xfId="0" applyFill="1" applyAlignment="1" applyProtection="1">
      <alignment horizontal="center" vertical="center"/>
      <protection hidden="1"/>
    </xf>
    <xf numFmtId="0" fontId="6" fillId="5" borderId="3" xfId="0" applyFont="1" applyFill="1" applyBorder="1" applyAlignment="1" applyProtection="1">
      <alignment horizontal="center" vertical="center" wrapText="1"/>
      <protection hidden="1"/>
    </xf>
    <xf numFmtId="0" fontId="6" fillId="16" borderId="3" xfId="0" applyFont="1" applyFill="1" applyBorder="1" applyAlignment="1" applyProtection="1">
      <alignment horizontal="center" vertical="center" wrapText="1"/>
      <protection hidden="1"/>
    </xf>
    <xf numFmtId="0" fontId="12" fillId="0" borderId="0" xfId="0" applyFont="1" applyProtection="1">
      <protection hidden="1"/>
    </xf>
    <xf numFmtId="0" fontId="28" fillId="11" borderId="0" xfId="0" applyFont="1" applyFill="1" applyAlignment="1" applyProtection="1">
      <alignment vertical="center" wrapText="1"/>
      <protection hidden="1"/>
    </xf>
    <xf numFmtId="0" fontId="28" fillId="11" borderId="0" xfId="0" applyFont="1" applyFill="1" applyAlignment="1" applyProtection="1">
      <alignment horizontal="center" vertical="center" wrapText="1"/>
      <protection hidden="1"/>
    </xf>
    <xf numFmtId="0" fontId="28" fillId="11" borderId="0" xfId="0" applyFont="1" applyFill="1" applyAlignment="1" applyProtection="1">
      <alignment vertical="center"/>
      <protection hidden="1"/>
    </xf>
    <xf numFmtId="0" fontId="28" fillId="2" borderId="0" xfId="0" applyFont="1" applyFill="1" applyAlignment="1" applyProtection="1">
      <alignment horizontal="center" vertical="center" wrapText="1"/>
      <protection hidden="1"/>
    </xf>
    <xf numFmtId="0" fontId="27" fillId="0" borderId="0" xfId="0" applyFont="1" applyProtection="1">
      <protection hidden="1"/>
    </xf>
    <xf numFmtId="0" fontId="30" fillId="0" borderId="0" xfId="0" applyFont="1" applyAlignment="1" applyProtection="1">
      <alignment horizontal="center" vertical="center"/>
      <protection hidden="1"/>
    </xf>
    <xf numFmtId="0" fontId="30" fillId="0" borderId="0" xfId="0" applyFont="1" applyAlignment="1" applyProtection="1">
      <alignment horizontal="center"/>
      <protection hidden="1"/>
    </xf>
    <xf numFmtId="0" fontId="28" fillId="2" borderId="0" xfId="0" applyFont="1" applyFill="1" applyAlignment="1" applyProtection="1">
      <alignment vertical="center" wrapText="1"/>
      <protection hidden="1"/>
    </xf>
    <xf numFmtId="0" fontId="1" fillId="2" borderId="0" xfId="0" applyFont="1" applyFill="1" applyAlignment="1" applyProtection="1">
      <alignment horizontal="center" vertical="center" wrapText="1"/>
      <protection hidden="1"/>
    </xf>
    <xf numFmtId="0" fontId="27" fillId="2" borderId="0" xfId="0" applyFont="1" applyFill="1" applyAlignment="1" applyProtection="1">
      <alignment vertical="center" wrapText="1"/>
      <protection hidden="1"/>
    </xf>
    <xf numFmtId="0" fontId="27" fillId="0" borderId="0" xfId="0" applyFont="1" applyAlignment="1" applyProtection="1">
      <alignment vertical="center" wrapText="1"/>
      <protection hidden="1"/>
    </xf>
    <xf numFmtId="0" fontId="27" fillId="0" borderId="0" xfId="0" applyFont="1" applyAlignment="1" applyProtection="1">
      <alignment horizontal="center" vertical="center" wrapText="1"/>
      <protection hidden="1"/>
    </xf>
    <xf numFmtId="0" fontId="27" fillId="0" borderId="0" xfId="0" applyFont="1" applyAlignment="1" applyProtection="1">
      <alignment horizontal="center" wrapText="1"/>
      <protection hidden="1"/>
    </xf>
    <xf numFmtId="0" fontId="27" fillId="0" borderId="0" xfId="0" applyFont="1" applyAlignment="1" applyProtection="1">
      <alignment wrapText="1"/>
      <protection hidden="1"/>
    </xf>
    <xf numFmtId="0" fontId="0" fillId="0" borderId="0" xfId="0" applyAlignment="1" applyProtection="1">
      <alignment horizontal="center" wrapText="1"/>
      <protection hidden="1"/>
    </xf>
    <xf numFmtId="0" fontId="0" fillId="0" borderId="33" xfId="0" applyBorder="1" applyProtection="1">
      <protection hidden="1"/>
    </xf>
    <xf numFmtId="0" fontId="3" fillId="7" borderId="0" xfId="0" applyFont="1" applyFill="1" applyAlignment="1" applyProtection="1">
      <alignment horizontal="center"/>
      <protection hidden="1"/>
    </xf>
    <xf numFmtId="0" fontId="15" fillId="2" borderId="0" xfId="1" applyFont="1" applyFill="1" applyAlignment="1" applyProtection="1">
      <alignment horizontal="center" vertical="center"/>
      <protection hidden="1"/>
    </xf>
    <xf numFmtId="0" fontId="14" fillId="2" borderId="0" xfId="1" applyFont="1" applyFill="1" applyAlignment="1" applyProtection="1">
      <alignment horizontal="center" vertical="center"/>
      <protection hidden="1"/>
    </xf>
    <xf numFmtId="164" fontId="3" fillId="2" borderId="0" xfId="0" applyNumberFormat="1" applyFont="1" applyFill="1" applyAlignment="1" applyProtection="1">
      <alignment horizontal="right" vertical="center"/>
      <protection hidden="1"/>
    </xf>
    <xf numFmtId="164" fontId="3" fillId="11" borderId="0" xfId="0" applyNumberFormat="1" applyFont="1" applyFill="1" applyAlignment="1" applyProtection="1">
      <alignment horizontal="right" vertical="center"/>
      <protection hidden="1"/>
    </xf>
    <xf numFmtId="0" fontId="0" fillId="7" borderId="0" xfId="0" applyFill="1" applyAlignment="1" applyProtection="1">
      <alignment horizontal="center"/>
      <protection hidden="1"/>
    </xf>
    <xf numFmtId="0" fontId="0" fillId="3" borderId="0" xfId="0" applyFill="1" applyAlignment="1" applyProtection="1">
      <alignment horizontal="center"/>
      <protection locked="0" hidden="1"/>
    </xf>
    <xf numFmtId="0" fontId="1" fillId="3" borderId="5" xfId="0" applyFont="1" applyFill="1" applyBorder="1" applyAlignment="1" applyProtection="1">
      <alignment horizontal="center"/>
      <protection locked="0" hidden="1"/>
    </xf>
    <xf numFmtId="0" fontId="10" fillId="2" borderId="0" xfId="0" applyFont="1" applyFill="1" applyAlignment="1" applyProtection="1">
      <alignment horizontal="center" vertical="center"/>
      <protection hidden="1"/>
    </xf>
    <xf numFmtId="0" fontId="3" fillId="2" borderId="33" xfId="0" applyFont="1" applyFill="1" applyBorder="1" applyProtection="1">
      <protection hidden="1"/>
    </xf>
    <xf numFmtId="0" fontId="3" fillId="2" borderId="34" xfId="0" applyFont="1" applyFill="1" applyBorder="1" applyProtection="1">
      <protection hidden="1"/>
    </xf>
    <xf numFmtId="0" fontId="3" fillId="2" borderId="41" xfId="0" applyFont="1" applyFill="1" applyBorder="1" applyProtection="1">
      <protection hidden="1"/>
    </xf>
    <xf numFmtId="0" fontId="3" fillId="2" borderId="42" xfId="0" applyFont="1" applyFill="1" applyBorder="1" applyProtection="1">
      <protection hidden="1"/>
    </xf>
    <xf numFmtId="0" fontId="3" fillId="2" borderId="43" xfId="0" applyFont="1" applyFill="1" applyBorder="1" applyProtection="1">
      <protection hidden="1"/>
    </xf>
    <xf numFmtId="0" fontId="3" fillId="2" borderId="30" xfId="0" applyFont="1" applyFill="1" applyBorder="1" applyProtection="1">
      <protection hidden="1"/>
    </xf>
    <xf numFmtId="0" fontId="3" fillId="2" borderId="31" xfId="0" applyFont="1" applyFill="1" applyBorder="1" applyProtection="1">
      <protection hidden="1"/>
    </xf>
    <xf numFmtId="0" fontId="3" fillId="2" borderId="32" xfId="0" applyFont="1" applyFill="1" applyBorder="1" applyProtection="1">
      <protection hidden="1"/>
    </xf>
    <xf numFmtId="0" fontId="2" fillId="2" borderId="33" xfId="0" applyFont="1" applyFill="1" applyBorder="1" applyAlignment="1" applyProtection="1">
      <alignment vertical="center"/>
      <protection hidden="1"/>
    </xf>
    <xf numFmtId="0" fontId="3" fillId="2" borderId="34" xfId="0" applyFont="1" applyFill="1" applyBorder="1" applyAlignment="1" applyProtection="1">
      <alignment vertical="center"/>
      <protection hidden="1"/>
    </xf>
    <xf numFmtId="0" fontId="1" fillId="2" borderId="33" xfId="0" applyFont="1" applyFill="1" applyBorder="1" applyAlignment="1" applyProtection="1">
      <alignment vertical="center"/>
      <protection hidden="1"/>
    </xf>
    <xf numFmtId="0" fontId="0" fillId="2" borderId="50" xfId="0" applyFill="1" applyBorder="1" applyAlignment="1" applyProtection="1">
      <alignment horizontal="center" vertical="center"/>
      <protection hidden="1"/>
    </xf>
    <xf numFmtId="0" fontId="3" fillId="2" borderId="5" xfId="0" applyFont="1" applyFill="1" applyBorder="1" applyAlignment="1" applyProtection="1">
      <alignment vertical="center"/>
      <protection hidden="1"/>
    </xf>
    <xf numFmtId="0" fontId="3" fillId="2" borderId="3" xfId="0" applyFont="1" applyFill="1" applyBorder="1" applyAlignment="1" applyProtection="1">
      <alignment vertical="center"/>
      <protection hidden="1"/>
    </xf>
    <xf numFmtId="0" fontId="10" fillId="2" borderId="33" xfId="0" applyFont="1" applyFill="1" applyBorder="1" applyAlignment="1" applyProtection="1">
      <alignment horizontal="center" vertical="center"/>
      <protection hidden="1"/>
    </xf>
    <xf numFmtId="0" fontId="10" fillId="2" borderId="34" xfId="0" applyFont="1" applyFill="1" applyBorder="1" applyAlignment="1" applyProtection="1">
      <alignment horizontal="center" vertical="center"/>
      <protection hidden="1"/>
    </xf>
    <xf numFmtId="0" fontId="3" fillId="2" borderId="23" xfId="0" applyFont="1" applyFill="1" applyBorder="1" applyAlignment="1" applyProtection="1">
      <alignment horizontal="center" vertical="center"/>
      <protection hidden="1"/>
    </xf>
    <xf numFmtId="0" fontId="10" fillId="2" borderId="41" xfId="0" applyFont="1" applyFill="1" applyBorder="1" applyAlignment="1" applyProtection="1">
      <alignment horizontal="center" vertical="center"/>
      <protection hidden="1"/>
    </xf>
    <xf numFmtId="0" fontId="10" fillId="2" borderId="42" xfId="0" applyFont="1" applyFill="1" applyBorder="1" applyAlignment="1" applyProtection="1">
      <alignment horizontal="center" vertical="center"/>
      <protection hidden="1"/>
    </xf>
    <xf numFmtId="0" fontId="10" fillId="2" borderId="43" xfId="0" applyFont="1" applyFill="1" applyBorder="1" applyAlignment="1" applyProtection="1">
      <alignment horizontal="center" vertical="center"/>
      <protection hidden="1"/>
    </xf>
    <xf numFmtId="0" fontId="10" fillId="2" borderId="30" xfId="0" applyFont="1" applyFill="1" applyBorder="1" applyAlignment="1" applyProtection="1">
      <alignment horizontal="center" vertical="center"/>
      <protection hidden="1"/>
    </xf>
    <xf numFmtId="0" fontId="10" fillId="2" borderId="31" xfId="0" applyFont="1" applyFill="1" applyBorder="1" applyAlignment="1" applyProtection="1">
      <alignment horizontal="center" vertical="center"/>
      <protection hidden="1"/>
    </xf>
    <xf numFmtId="0" fontId="10" fillId="2" borderId="32" xfId="0" applyFont="1" applyFill="1" applyBorder="1" applyAlignment="1" applyProtection="1">
      <alignment horizontal="center" vertical="center"/>
      <protection hidden="1"/>
    </xf>
    <xf numFmtId="0" fontId="4" fillId="2" borderId="0" xfId="0" applyFont="1" applyFill="1" applyAlignment="1" applyProtection="1">
      <alignment vertical="center"/>
      <protection hidden="1"/>
    </xf>
    <xf numFmtId="0" fontId="10" fillId="2" borderId="50" xfId="0" applyFont="1" applyFill="1" applyBorder="1" applyAlignment="1" applyProtection="1">
      <alignment horizontal="center" vertical="center"/>
      <protection hidden="1"/>
    </xf>
    <xf numFmtId="0" fontId="10" fillId="2" borderId="5" xfId="0" applyFont="1" applyFill="1" applyBorder="1" applyAlignment="1" applyProtection="1">
      <alignment horizontal="center" vertical="center"/>
      <protection hidden="1"/>
    </xf>
    <xf numFmtId="0" fontId="10" fillId="2" borderId="51" xfId="0" applyFont="1" applyFill="1" applyBorder="1" applyAlignment="1" applyProtection="1">
      <alignment horizontal="center" vertical="center"/>
      <protection hidden="1"/>
    </xf>
    <xf numFmtId="0" fontId="3" fillId="2" borderId="50" xfId="0" applyFont="1" applyFill="1" applyBorder="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2" fontId="3" fillId="2" borderId="50" xfId="0" applyNumberFormat="1" applyFont="1" applyFill="1" applyBorder="1" applyAlignment="1" applyProtection="1">
      <alignment horizontal="center" vertical="center"/>
      <protection hidden="1"/>
    </xf>
    <xf numFmtId="2" fontId="3" fillId="2" borderId="23" xfId="0" applyNumberFormat="1" applyFont="1" applyFill="1" applyBorder="1" applyAlignment="1" applyProtection="1">
      <alignment horizontal="center" vertical="center"/>
      <protection hidden="1"/>
    </xf>
    <xf numFmtId="0" fontId="3" fillId="2" borderId="33" xfId="0" applyFont="1" applyFill="1" applyBorder="1" applyAlignment="1" applyProtection="1">
      <alignment vertical="center"/>
      <protection hidden="1"/>
    </xf>
    <xf numFmtId="0" fontId="3" fillId="2" borderId="0" xfId="0" applyFont="1" applyFill="1" applyAlignment="1" applyProtection="1">
      <alignment vertical="center" wrapText="1"/>
      <protection hidden="1"/>
    </xf>
    <xf numFmtId="0" fontId="3" fillId="2" borderId="1" xfId="0" applyFont="1" applyFill="1" applyBorder="1" applyAlignment="1" applyProtection="1">
      <alignment vertical="center"/>
      <protection hidden="1"/>
    </xf>
    <xf numFmtId="0" fontId="27" fillId="2" borderId="50" xfId="0" applyFont="1" applyFill="1" applyBorder="1" applyAlignment="1" applyProtection="1">
      <alignment horizontal="left" vertical="center"/>
      <protection hidden="1"/>
    </xf>
    <xf numFmtId="0" fontId="3" fillId="16" borderId="5" xfId="0" applyFont="1" applyFill="1" applyBorder="1" applyAlignment="1" applyProtection="1">
      <alignment vertical="center"/>
      <protection hidden="1"/>
    </xf>
    <xf numFmtId="0" fontId="27" fillId="2" borderId="23" xfId="0" applyFont="1" applyFill="1" applyBorder="1" applyAlignment="1" applyProtection="1">
      <alignment horizontal="left" vertical="center"/>
      <protection hidden="1"/>
    </xf>
    <xf numFmtId="0" fontId="3" fillId="16" borderId="3" xfId="0" applyFont="1" applyFill="1" applyBorder="1" applyAlignment="1" applyProtection="1">
      <alignment vertical="center"/>
      <protection hidden="1"/>
    </xf>
    <xf numFmtId="0" fontId="28" fillId="2" borderId="33" xfId="0" applyFont="1" applyFill="1" applyBorder="1" applyAlignment="1" applyProtection="1">
      <alignment horizontal="left" vertical="center"/>
      <protection hidden="1"/>
    </xf>
    <xf numFmtId="2" fontId="27" fillId="2" borderId="50" xfId="0" applyNumberFormat="1" applyFont="1" applyFill="1" applyBorder="1" applyAlignment="1" applyProtection="1">
      <alignment horizontal="left" vertical="center"/>
      <protection hidden="1"/>
    </xf>
    <xf numFmtId="2" fontId="27" fillId="2" borderId="23" xfId="0" applyNumberFormat="1" applyFont="1" applyFill="1" applyBorder="1" applyAlignment="1" applyProtection="1">
      <alignment horizontal="left" vertical="center"/>
      <protection hidden="1"/>
    </xf>
    <xf numFmtId="0" fontId="3" fillId="16" borderId="0" xfId="0" applyFont="1" applyFill="1" applyAlignment="1" applyProtection="1">
      <alignment horizontal="center" vertical="center"/>
      <protection hidden="1"/>
    </xf>
    <xf numFmtId="0" fontId="6" fillId="5" borderId="10" xfId="0" applyFont="1" applyFill="1" applyBorder="1" applyAlignment="1" applyProtection="1">
      <alignment horizontal="center" vertical="center"/>
      <protection hidden="1"/>
    </xf>
    <xf numFmtId="0" fontId="0" fillId="2" borderId="52" xfId="0" applyFill="1" applyBorder="1" applyAlignment="1" applyProtection="1">
      <alignment horizontal="center" vertical="center"/>
      <protection hidden="1"/>
    </xf>
    <xf numFmtId="0" fontId="5" fillId="2" borderId="0" xfId="0" applyFont="1" applyFill="1" applyAlignment="1" applyProtection="1">
      <alignment vertical="center"/>
      <protection hidden="1"/>
    </xf>
    <xf numFmtId="1" fontId="3" fillId="16" borderId="5" xfId="0" applyNumberFormat="1" applyFont="1" applyFill="1" applyBorder="1" applyAlignment="1" applyProtection="1">
      <alignment vertical="center"/>
      <protection hidden="1"/>
    </xf>
    <xf numFmtId="1" fontId="3" fillId="16" borderId="3" xfId="0" applyNumberFormat="1" applyFont="1" applyFill="1" applyBorder="1" applyAlignment="1" applyProtection="1">
      <alignment vertical="center"/>
      <protection hidden="1"/>
    </xf>
    <xf numFmtId="1" fontId="10" fillId="2" borderId="0" xfId="0" applyNumberFormat="1" applyFont="1" applyFill="1" applyAlignment="1" applyProtection="1">
      <alignment horizontal="center" vertical="center"/>
      <protection hidden="1"/>
    </xf>
    <xf numFmtId="1" fontId="3" fillId="16" borderId="0" xfId="0" applyNumberFormat="1" applyFont="1" applyFill="1" applyAlignment="1" applyProtection="1">
      <alignment horizontal="center" vertical="center"/>
      <protection hidden="1"/>
    </xf>
    <xf numFmtId="0" fontId="0" fillId="18" borderId="0" xfId="0" applyFill="1" applyProtection="1">
      <protection hidden="1"/>
    </xf>
    <xf numFmtId="0" fontId="3" fillId="2" borderId="3" xfId="0" applyFont="1" applyFill="1" applyBorder="1" applyAlignment="1" applyProtection="1">
      <alignment horizontal="left" vertical="center"/>
      <protection hidden="1"/>
    </xf>
    <xf numFmtId="0" fontId="3" fillId="2" borderId="5" xfId="0" applyFont="1" applyFill="1" applyBorder="1" applyAlignment="1" applyProtection="1">
      <alignment horizontal="left" vertical="center"/>
      <protection hidden="1"/>
    </xf>
    <xf numFmtId="0" fontId="1" fillId="2" borderId="0" xfId="0" applyFont="1" applyFill="1" applyAlignment="1" applyProtection="1">
      <alignment horizontal="center" vertical="center"/>
      <protection hidden="1"/>
    </xf>
    <xf numFmtId="0" fontId="0" fillId="2" borderId="23" xfId="0" applyFill="1" applyBorder="1" applyAlignment="1" applyProtection="1">
      <alignment horizontal="center" vertical="center"/>
      <protection hidden="1"/>
    </xf>
    <xf numFmtId="0" fontId="7"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left" vertical="center" wrapText="1"/>
      <protection hidden="1"/>
    </xf>
    <xf numFmtId="0" fontId="6" fillId="2" borderId="0" xfId="1" applyFont="1" applyFill="1" applyBorder="1" applyAlignment="1" applyProtection="1">
      <alignment vertical="center"/>
      <protection hidden="1"/>
    </xf>
    <xf numFmtId="0" fontId="6" fillId="2" borderId="0" xfId="1" applyFont="1" applyFill="1" applyBorder="1" applyAlignment="1" applyProtection="1">
      <alignment vertical="center" wrapText="1"/>
      <protection hidden="1"/>
    </xf>
    <xf numFmtId="0" fontId="1" fillId="2" borderId="0" xfId="0" applyFont="1" applyFill="1" applyAlignment="1" applyProtection="1">
      <alignment vertical="center" wrapText="1"/>
      <protection hidden="1"/>
    </xf>
    <xf numFmtId="0" fontId="2" fillId="2" borderId="34" xfId="0" applyFont="1" applyFill="1" applyBorder="1" applyAlignment="1" applyProtection="1">
      <alignment vertical="center"/>
      <protection hidden="1"/>
    </xf>
    <xf numFmtId="0" fontId="0" fillId="2" borderId="0" xfId="0" applyFill="1" applyAlignment="1" applyProtection="1">
      <alignment vertical="center" wrapText="1"/>
      <protection hidden="1"/>
    </xf>
    <xf numFmtId="0" fontId="10" fillId="2" borderId="0" xfId="1" applyFont="1" applyFill="1" applyAlignment="1" applyProtection="1">
      <alignment vertical="center"/>
      <protection locked="0" hidden="1"/>
    </xf>
    <xf numFmtId="0" fontId="2" fillId="2" borderId="0" xfId="1" applyFont="1" applyFill="1" applyAlignment="1" applyProtection="1">
      <alignment vertical="center"/>
      <protection locked="0" hidden="1"/>
    </xf>
    <xf numFmtId="0" fontId="10" fillId="2" borderId="0" xfId="1" applyFont="1" applyFill="1" applyAlignment="1" applyProtection="1">
      <alignment vertical="center"/>
      <protection hidden="1"/>
    </xf>
    <xf numFmtId="0" fontId="2" fillId="2" borderId="0" xfId="1" applyFont="1" applyFill="1" applyAlignment="1" applyProtection="1">
      <alignment vertical="center"/>
      <protection hidden="1"/>
    </xf>
    <xf numFmtId="0" fontId="15" fillId="2" borderId="0" xfId="1" applyFont="1" applyFill="1" applyAlignment="1" applyProtection="1">
      <alignment vertical="center"/>
      <protection locked="0" hidden="1"/>
    </xf>
    <xf numFmtId="0" fontId="23" fillId="20" borderId="0" xfId="0" applyFont="1" applyFill="1" applyAlignment="1" applyProtection="1">
      <alignment vertical="center"/>
      <protection hidden="1"/>
    </xf>
    <xf numFmtId="0" fontId="2" fillId="2" borderId="0" xfId="1" applyFont="1" applyFill="1" applyAlignment="1" applyProtection="1">
      <alignment horizontal="center" vertical="center"/>
      <protection hidden="1"/>
    </xf>
    <xf numFmtId="0" fontId="3" fillId="13" borderId="49" xfId="0" applyFont="1" applyFill="1" applyBorder="1" applyAlignment="1" applyProtection="1">
      <alignment horizontal="center" vertical="center" wrapText="1"/>
      <protection hidden="1"/>
    </xf>
    <xf numFmtId="0" fontId="3" fillId="9" borderId="54" xfId="0" applyFont="1" applyFill="1" applyBorder="1" applyAlignment="1" applyProtection="1">
      <alignment horizontal="center" vertical="center"/>
      <protection hidden="1"/>
    </xf>
    <xf numFmtId="0" fontId="12" fillId="5" borderId="38" xfId="0" applyFont="1" applyFill="1" applyBorder="1" applyAlignment="1" applyProtection="1">
      <alignment horizontal="center" vertical="center" wrapText="1"/>
      <protection hidden="1"/>
    </xf>
    <xf numFmtId="0" fontId="1" fillId="2" borderId="0" xfId="1" applyFont="1" applyFill="1" applyAlignment="1" applyProtection="1">
      <alignment vertical="center"/>
      <protection hidden="1"/>
    </xf>
    <xf numFmtId="0" fontId="5" fillId="7" borderId="0" xfId="0" applyFont="1" applyFill="1" applyProtection="1">
      <protection hidden="1"/>
    </xf>
    <xf numFmtId="41" fontId="0" fillId="2" borderId="0" xfId="0" applyNumberFormat="1" applyFill="1" applyAlignment="1" applyProtection="1">
      <alignment vertical="center"/>
      <protection hidden="1"/>
    </xf>
    <xf numFmtId="0" fontId="7" fillId="2" borderId="3" xfId="0" applyFont="1" applyFill="1" applyBorder="1" applyAlignment="1" applyProtection="1">
      <alignment horizontal="center" vertical="center" wrapText="1"/>
      <protection locked="0" hidden="1"/>
    </xf>
    <xf numFmtId="0" fontId="7" fillId="2" borderId="3" xfId="0" applyFont="1" applyFill="1" applyBorder="1" applyAlignment="1" applyProtection="1">
      <alignment horizontal="left" vertical="center" wrapText="1"/>
      <protection locked="0" hidden="1"/>
    </xf>
    <xf numFmtId="0" fontId="1" fillId="16" borderId="0" xfId="0" applyFont="1" applyFill="1" applyAlignment="1" applyProtection="1">
      <alignment horizontal="center" vertical="center"/>
      <protection hidden="1"/>
    </xf>
    <xf numFmtId="2" fontId="0" fillId="0" borderId="0" xfId="0" applyNumberFormat="1" applyAlignment="1" applyProtection="1">
      <alignment horizontal="center" vertical="center"/>
      <protection hidden="1"/>
    </xf>
    <xf numFmtId="1" fontId="0" fillId="0" borderId="0" xfId="0" applyNumberFormat="1" applyProtection="1">
      <protection hidden="1"/>
    </xf>
    <xf numFmtId="164" fontId="3" fillId="3" borderId="5" xfId="0" applyNumberFormat="1" applyFont="1" applyFill="1" applyBorder="1" applyAlignment="1" applyProtection="1">
      <alignment horizontal="right" vertical="center"/>
      <protection locked="0" hidden="1"/>
    </xf>
    <xf numFmtId="0" fontId="0" fillId="7" borderId="0" xfId="0" applyFill="1" applyAlignment="1" applyProtection="1">
      <alignment horizontal="center"/>
      <protection hidden="1"/>
    </xf>
    <xf numFmtId="164" fontId="3" fillId="11" borderId="0" xfId="0" applyNumberFormat="1" applyFont="1" applyFill="1" applyAlignment="1" applyProtection="1">
      <alignment horizontal="right" vertical="center"/>
      <protection hidden="1"/>
    </xf>
    <xf numFmtId="0" fontId="3" fillId="3" borderId="5" xfId="0" applyFont="1" applyFill="1" applyBorder="1" applyAlignment="1" applyProtection="1">
      <alignment horizontal="center" vertical="center"/>
      <protection locked="0" hidden="1"/>
    </xf>
    <xf numFmtId="0" fontId="0" fillId="3" borderId="0" xfId="0" applyFill="1" applyAlignment="1" applyProtection="1">
      <alignment horizontal="center"/>
      <protection locked="0" hidden="1"/>
    </xf>
    <xf numFmtId="0" fontId="10" fillId="6" borderId="0" xfId="0" applyFont="1" applyFill="1" applyAlignment="1" applyProtection="1">
      <alignment horizontal="center"/>
      <protection hidden="1"/>
    </xf>
    <xf numFmtId="0" fontId="3" fillId="3" borderId="0" xfId="0" applyFont="1" applyFill="1" applyAlignment="1" applyProtection="1">
      <alignment horizontal="left" vertical="center"/>
      <protection locked="0" hidden="1"/>
    </xf>
    <xf numFmtId="0" fontId="1" fillId="2" borderId="0" xfId="0" applyFont="1" applyFill="1" applyAlignment="1" applyProtection="1">
      <alignment horizontal="center" vertical="center"/>
      <protection hidden="1"/>
    </xf>
    <xf numFmtId="0" fontId="1" fillId="3" borderId="5" xfId="0" applyFont="1" applyFill="1" applyBorder="1" applyAlignment="1" applyProtection="1">
      <alignment horizontal="center" vertical="center"/>
      <protection locked="0" hidden="1"/>
    </xf>
    <xf numFmtId="0" fontId="11" fillId="2" borderId="0" xfId="0" applyFont="1" applyFill="1" applyAlignment="1" applyProtection="1">
      <alignment horizontal="center"/>
      <protection hidden="1"/>
    </xf>
    <xf numFmtId="0" fontId="17" fillId="2" borderId="0" xfId="0" applyFont="1" applyFill="1" applyAlignment="1" applyProtection="1">
      <alignment horizontal="center"/>
      <protection hidden="1"/>
    </xf>
    <xf numFmtId="0" fontId="3" fillId="7" borderId="0" xfId="0" applyFont="1" applyFill="1" applyAlignment="1" applyProtection="1">
      <alignment horizontal="left" vertical="center"/>
      <protection hidden="1"/>
    </xf>
    <xf numFmtId="0" fontId="1" fillId="11" borderId="0" xfId="0" applyFont="1" applyFill="1" applyAlignment="1" applyProtection="1">
      <alignment horizontal="center" vertical="center" wrapText="1"/>
      <protection hidden="1"/>
    </xf>
    <xf numFmtId="0" fontId="1" fillId="11" borderId="0" xfId="0" applyFont="1" applyFill="1" applyAlignment="1" applyProtection="1">
      <alignment horizontal="center" vertical="center"/>
      <protection hidden="1"/>
    </xf>
    <xf numFmtId="164" fontId="3" fillId="7" borderId="5" xfId="0" applyNumberFormat="1" applyFont="1" applyFill="1" applyBorder="1" applyAlignment="1" applyProtection="1">
      <alignment horizontal="right" vertical="center"/>
      <protection hidden="1"/>
    </xf>
    <xf numFmtId="0" fontId="11" fillId="12" borderId="33" xfId="0" applyFont="1" applyFill="1" applyBorder="1" applyAlignment="1" applyProtection="1">
      <alignment horizontal="center"/>
      <protection hidden="1"/>
    </xf>
    <xf numFmtId="0" fontId="11" fillId="12" borderId="0" xfId="0" applyFont="1" applyFill="1" applyAlignment="1" applyProtection="1">
      <alignment horizontal="center"/>
      <protection hidden="1"/>
    </xf>
    <xf numFmtId="0" fontId="11" fillId="12" borderId="34" xfId="0" applyFont="1" applyFill="1" applyBorder="1" applyAlignment="1" applyProtection="1">
      <alignment horizontal="center"/>
      <protection hidden="1"/>
    </xf>
    <xf numFmtId="0" fontId="5" fillId="9" borderId="33" xfId="0" applyFont="1" applyFill="1" applyBorder="1" applyAlignment="1" applyProtection="1">
      <alignment horizontal="center" vertical="center"/>
      <protection hidden="1"/>
    </xf>
    <xf numFmtId="0" fontId="5" fillId="9" borderId="0" xfId="0" applyFont="1" applyFill="1" applyAlignment="1" applyProtection="1">
      <alignment horizontal="center" vertical="center"/>
      <protection hidden="1"/>
    </xf>
    <xf numFmtId="0" fontId="5" fillId="9" borderId="34"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7" fillId="2" borderId="2" xfId="0" applyFont="1" applyFill="1" applyBorder="1" applyAlignment="1" applyProtection="1">
      <alignment horizontal="center" vertical="center" wrapText="1"/>
      <protection locked="0" hidden="1"/>
    </xf>
    <xf numFmtId="0" fontId="7" fillId="2" borderId="4" xfId="0" applyFont="1" applyFill="1" applyBorder="1" applyAlignment="1" applyProtection="1">
      <alignment horizontal="center" vertical="center" wrapText="1"/>
      <protection locked="0" hidden="1"/>
    </xf>
    <xf numFmtId="0" fontId="2" fillId="2" borderId="0" xfId="0" applyFont="1" applyFill="1" applyAlignment="1" applyProtection="1">
      <alignment horizontal="center" vertical="center"/>
      <protection hidden="1"/>
    </xf>
    <xf numFmtId="0" fontId="7" fillId="2" borderId="3" xfId="0" applyFont="1" applyFill="1" applyBorder="1" applyAlignment="1" applyProtection="1">
      <alignment horizontal="center" vertical="center" wrapText="1"/>
      <protection locked="0" hidden="1"/>
    </xf>
    <xf numFmtId="0" fontId="9" fillId="8" borderId="3" xfId="0" applyFont="1" applyFill="1" applyBorder="1" applyAlignment="1" applyProtection="1">
      <alignment horizontal="center" vertical="center"/>
      <protection hidden="1"/>
    </xf>
    <xf numFmtId="0" fontId="9" fillId="8" borderId="4" xfId="0" applyFont="1" applyFill="1" applyBorder="1" applyAlignment="1" applyProtection="1">
      <alignment horizontal="center" vertical="center"/>
      <protection hidden="1"/>
    </xf>
    <xf numFmtId="0" fontId="9" fillId="8" borderId="2" xfId="0" applyFont="1" applyFill="1" applyBorder="1" applyAlignment="1" applyProtection="1">
      <alignment horizontal="center" vertical="center"/>
      <protection hidden="1"/>
    </xf>
    <xf numFmtId="0" fontId="7" fillId="2" borderId="2" xfId="0" applyFont="1" applyFill="1" applyBorder="1" applyAlignment="1" applyProtection="1">
      <alignment horizontal="left" vertical="center" wrapText="1"/>
      <protection locked="0" hidden="1"/>
    </xf>
    <xf numFmtId="0" fontId="7" fillId="2" borderId="3" xfId="0" applyFont="1" applyFill="1" applyBorder="1" applyAlignment="1" applyProtection="1">
      <alignment horizontal="left" vertical="center" wrapText="1"/>
      <protection locked="0" hidden="1"/>
    </xf>
    <xf numFmtId="0" fontId="7" fillId="2" borderId="4" xfId="0" applyFont="1" applyFill="1" applyBorder="1" applyAlignment="1" applyProtection="1">
      <alignment horizontal="left" vertical="center" wrapText="1"/>
      <protection locked="0" hidden="1"/>
    </xf>
    <xf numFmtId="3" fontId="7" fillId="2" borderId="2" xfId="0" applyNumberFormat="1" applyFont="1" applyFill="1" applyBorder="1" applyAlignment="1" applyProtection="1">
      <alignment horizontal="center" vertical="center" wrapText="1"/>
      <protection locked="0" hidden="1"/>
    </xf>
    <xf numFmtId="0" fontId="1" fillId="14" borderId="2" xfId="0" applyFont="1" applyFill="1" applyBorder="1" applyAlignment="1" applyProtection="1">
      <alignment horizontal="center" vertical="center"/>
      <protection hidden="1"/>
    </xf>
    <xf numFmtId="0" fontId="1" fillId="14" borderId="3" xfId="0" applyFont="1" applyFill="1" applyBorder="1" applyAlignment="1" applyProtection="1">
      <alignment horizontal="center" vertical="center"/>
      <protection hidden="1"/>
    </xf>
    <xf numFmtId="0" fontId="1" fillId="14" borderId="4" xfId="0" applyFont="1" applyFill="1" applyBorder="1" applyAlignment="1" applyProtection="1">
      <alignment horizontal="center" vertical="center"/>
      <protection hidden="1"/>
    </xf>
    <xf numFmtId="0" fontId="6" fillId="5" borderId="1" xfId="0" applyFont="1" applyFill="1" applyBorder="1" applyAlignment="1" applyProtection="1">
      <alignment horizontal="center" vertical="center" wrapText="1"/>
      <protection hidden="1"/>
    </xf>
    <xf numFmtId="0" fontId="6" fillId="5" borderId="2" xfId="0" applyFont="1" applyFill="1" applyBorder="1" applyAlignment="1" applyProtection="1">
      <alignment horizontal="center" vertical="center" wrapText="1"/>
      <protection hidden="1"/>
    </xf>
    <xf numFmtId="0" fontId="6" fillId="5" borderId="3" xfId="0" applyFont="1" applyFill="1" applyBorder="1" applyAlignment="1" applyProtection="1">
      <alignment horizontal="center" vertical="center" wrapText="1"/>
      <protection hidden="1"/>
    </xf>
    <xf numFmtId="0" fontId="6" fillId="5" borderId="4" xfId="0" applyFont="1" applyFill="1" applyBorder="1" applyAlignment="1" applyProtection="1">
      <alignment horizontal="center" vertical="center" wrapText="1"/>
      <protection hidden="1"/>
    </xf>
    <xf numFmtId="0" fontId="9" fillId="5" borderId="1" xfId="0" applyFont="1" applyFill="1" applyBorder="1" applyAlignment="1" applyProtection="1">
      <alignment horizontal="center" vertical="center" wrapText="1"/>
      <protection hidden="1"/>
    </xf>
    <xf numFmtId="0" fontId="6" fillId="5" borderId="2" xfId="0" applyFont="1" applyFill="1" applyBorder="1" applyAlignment="1" applyProtection="1">
      <alignment horizontal="center" vertical="center"/>
      <protection hidden="1"/>
    </xf>
    <xf numFmtId="0" fontId="6" fillId="5" borderId="3" xfId="0" applyFont="1" applyFill="1" applyBorder="1" applyAlignment="1" applyProtection="1">
      <alignment horizontal="center" vertical="center"/>
      <protection hidden="1"/>
    </xf>
    <xf numFmtId="0" fontId="6" fillId="5" borderId="4" xfId="0" applyFont="1" applyFill="1" applyBorder="1" applyAlignment="1" applyProtection="1">
      <alignment horizontal="center" vertical="center"/>
      <protection hidden="1"/>
    </xf>
    <xf numFmtId="0" fontId="6" fillId="5" borderId="6" xfId="0" applyFont="1" applyFill="1" applyBorder="1" applyAlignment="1" applyProtection="1">
      <alignment horizontal="center" vertical="center" wrapText="1"/>
      <protection hidden="1"/>
    </xf>
    <xf numFmtId="0" fontId="6" fillId="5" borderId="7" xfId="0" applyFont="1" applyFill="1" applyBorder="1" applyAlignment="1" applyProtection="1">
      <alignment horizontal="center" vertical="center" wrapText="1"/>
      <protection hidden="1"/>
    </xf>
    <xf numFmtId="0" fontId="6" fillId="5" borderId="8" xfId="0" applyFont="1" applyFill="1" applyBorder="1" applyAlignment="1" applyProtection="1">
      <alignment horizontal="center" vertical="center" wrapText="1"/>
      <protection hidden="1"/>
    </xf>
    <xf numFmtId="0" fontId="6" fillId="5" borderId="9" xfId="0" applyFont="1" applyFill="1" applyBorder="1" applyAlignment="1" applyProtection="1">
      <alignment horizontal="center" vertical="center" wrapText="1"/>
      <protection hidden="1"/>
    </xf>
    <xf numFmtId="0" fontId="1" fillId="7" borderId="2" xfId="0" applyFont="1" applyFill="1" applyBorder="1" applyAlignment="1" applyProtection="1">
      <alignment horizontal="center" vertical="center"/>
      <protection hidden="1"/>
    </xf>
    <xf numFmtId="0" fontId="1" fillId="7" borderId="3" xfId="0" applyFont="1" applyFill="1" applyBorder="1" applyAlignment="1" applyProtection="1">
      <alignment horizontal="center" vertical="center"/>
      <protection hidden="1"/>
    </xf>
    <xf numFmtId="0" fontId="1" fillId="7" borderId="4" xfId="0" applyFont="1" applyFill="1" applyBorder="1" applyAlignment="1" applyProtection="1">
      <alignment horizontal="center" vertical="center"/>
      <protection hidden="1"/>
    </xf>
    <xf numFmtId="0" fontId="9" fillId="8" borderId="2" xfId="0" applyFont="1" applyFill="1" applyBorder="1" applyAlignment="1" applyProtection="1">
      <alignment horizontal="center"/>
      <protection hidden="1"/>
    </xf>
    <xf numFmtId="0" fontId="9" fillId="8" borderId="3" xfId="0" applyFont="1" applyFill="1" applyBorder="1" applyAlignment="1" applyProtection="1">
      <alignment horizontal="center"/>
      <protection hidden="1"/>
    </xf>
    <xf numFmtId="0" fontId="9" fillId="8" borderId="4" xfId="0" applyFont="1" applyFill="1" applyBorder="1" applyAlignment="1" applyProtection="1">
      <alignment horizontal="center"/>
      <protection hidden="1"/>
    </xf>
    <xf numFmtId="0" fontId="1" fillId="5" borderId="6" xfId="0" applyFont="1" applyFill="1" applyBorder="1" applyAlignment="1" applyProtection="1">
      <alignment horizontal="center" vertical="center"/>
      <protection hidden="1"/>
    </xf>
    <xf numFmtId="0" fontId="1" fillId="5" borderId="10" xfId="0" applyFont="1" applyFill="1" applyBorder="1" applyAlignment="1" applyProtection="1">
      <alignment horizontal="center" vertical="center"/>
      <protection hidden="1"/>
    </xf>
    <xf numFmtId="0" fontId="1" fillId="5" borderId="7"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1" fillId="5" borderId="5" xfId="0" applyFont="1" applyFill="1" applyBorder="1" applyAlignment="1" applyProtection="1">
      <alignment horizontal="center" vertical="center"/>
      <protection hidden="1"/>
    </xf>
    <xf numFmtId="0" fontId="1" fillId="5" borderId="9" xfId="0" applyFont="1" applyFill="1" applyBorder="1" applyAlignment="1" applyProtection="1">
      <alignment horizontal="center" vertical="center"/>
      <protection hidden="1"/>
    </xf>
    <xf numFmtId="0" fontId="6" fillId="5" borderId="10" xfId="0" applyFont="1" applyFill="1" applyBorder="1" applyAlignment="1" applyProtection="1">
      <alignment horizontal="center" vertical="center" wrapText="1"/>
      <protection hidden="1"/>
    </xf>
    <xf numFmtId="0" fontId="6" fillId="5" borderId="5" xfId="0" applyFont="1" applyFill="1" applyBorder="1" applyAlignment="1" applyProtection="1">
      <alignment horizontal="center" vertical="center" wrapText="1"/>
      <protection hidden="1"/>
    </xf>
    <xf numFmtId="0" fontId="6" fillId="5" borderId="1" xfId="0" applyFont="1" applyFill="1" applyBorder="1" applyAlignment="1" applyProtection="1">
      <alignment horizontal="center" vertical="center"/>
      <protection hidden="1"/>
    </xf>
    <xf numFmtId="0" fontId="6" fillId="7" borderId="2" xfId="0" applyFont="1" applyFill="1" applyBorder="1" applyAlignment="1" applyProtection="1">
      <alignment horizontal="center" vertical="center"/>
      <protection hidden="1"/>
    </xf>
    <xf numFmtId="0" fontId="6" fillId="7" borderId="4" xfId="0" applyFont="1" applyFill="1" applyBorder="1" applyAlignment="1" applyProtection="1">
      <alignment horizontal="center" vertical="center"/>
      <protection hidden="1"/>
    </xf>
    <xf numFmtId="0" fontId="6" fillId="14" borderId="2"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2" xfId="0" applyFont="1" applyFill="1" applyBorder="1" applyAlignment="1" applyProtection="1">
      <alignment horizontal="center" vertical="center" wrapText="1"/>
      <protection hidden="1"/>
    </xf>
    <xf numFmtId="0" fontId="6" fillId="14" borderId="3" xfId="0" applyFont="1" applyFill="1" applyBorder="1" applyAlignment="1" applyProtection="1">
      <alignment horizontal="center" vertical="center" wrapText="1"/>
      <protection hidden="1"/>
    </xf>
    <xf numFmtId="0" fontId="6" fillId="14" borderId="4"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protection hidden="1"/>
    </xf>
    <xf numFmtId="0" fontId="1" fillId="5" borderId="11" xfId="0" applyFont="1" applyFill="1" applyBorder="1" applyAlignment="1" applyProtection="1">
      <alignment horizontal="center" vertical="center"/>
      <protection hidden="1"/>
    </xf>
    <xf numFmtId="0" fontId="1" fillId="5" borderId="0" xfId="0" applyFont="1" applyFill="1" applyAlignment="1" applyProtection="1">
      <alignment horizontal="center" vertical="center"/>
      <protection hidden="1"/>
    </xf>
    <xf numFmtId="0" fontId="1" fillId="5" borderId="12" xfId="0" applyFont="1" applyFill="1" applyBorder="1" applyAlignment="1" applyProtection="1">
      <alignment horizontal="center" vertical="center"/>
      <protection hidden="1"/>
    </xf>
    <xf numFmtId="0" fontId="0" fillId="2" borderId="1" xfId="0" applyFill="1" applyBorder="1" applyAlignment="1" applyProtection="1">
      <alignment horizontal="left" vertical="center" wrapText="1"/>
      <protection locked="0" hidden="1"/>
    </xf>
    <xf numFmtId="0" fontId="0" fillId="2" borderId="1" xfId="0" applyFill="1" applyBorder="1" applyAlignment="1" applyProtection="1">
      <alignment horizontal="center" vertical="center" wrapText="1"/>
      <protection locked="0" hidden="1"/>
    </xf>
    <xf numFmtId="0" fontId="1" fillId="7" borderId="2" xfId="0" applyFont="1" applyFill="1" applyBorder="1" applyAlignment="1" applyProtection="1">
      <alignment horizontal="center" vertical="center" wrapText="1"/>
      <protection hidden="1"/>
    </xf>
    <xf numFmtId="0" fontId="1" fillId="7" borderId="3" xfId="0" applyFont="1" applyFill="1" applyBorder="1" applyAlignment="1" applyProtection="1">
      <alignment horizontal="center" vertical="center" wrapText="1"/>
      <protection hidden="1"/>
    </xf>
    <xf numFmtId="0" fontId="1" fillId="7" borderId="4" xfId="0" applyFont="1" applyFill="1" applyBorder="1" applyAlignment="1" applyProtection="1">
      <alignment horizontal="center" vertical="center" wrapText="1"/>
      <protection hidden="1"/>
    </xf>
    <xf numFmtId="0" fontId="1" fillId="2" borderId="0" xfId="0" applyFont="1" applyFill="1" applyAlignment="1" applyProtection="1">
      <alignment horizontal="center"/>
      <protection hidden="1"/>
    </xf>
    <xf numFmtId="0" fontId="1" fillId="11" borderId="6" xfId="0" applyFont="1" applyFill="1" applyBorder="1" applyAlignment="1" applyProtection="1">
      <alignment horizontal="center" vertical="center" wrapText="1"/>
      <protection hidden="1"/>
    </xf>
    <xf numFmtId="0" fontId="1" fillId="11" borderId="10" xfId="0" applyFont="1" applyFill="1" applyBorder="1" applyAlignment="1" applyProtection="1">
      <alignment horizontal="center" vertical="center" wrapText="1"/>
      <protection hidden="1"/>
    </xf>
    <xf numFmtId="0" fontId="1" fillId="11" borderId="7" xfId="0" applyFont="1" applyFill="1" applyBorder="1" applyAlignment="1" applyProtection="1">
      <alignment horizontal="center" vertical="center" wrapText="1"/>
      <protection hidden="1"/>
    </xf>
    <xf numFmtId="0" fontId="1" fillId="11" borderId="11" xfId="0" applyFont="1" applyFill="1" applyBorder="1" applyAlignment="1" applyProtection="1">
      <alignment horizontal="center" vertical="center" wrapText="1"/>
      <protection hidden="1"/>
    </xf>
    <xf numFmtId="0" fontId="1" fillId="11" borderId="12" xfId="0" applyFont="1" applyFill="1" applyBorder="1" applyAlignment="1" applyProtection="1">
      <alignment horizontal="center" vertical="center" wrapText="1"/>
      <protection hidden="1"/>
    </xf>
    <xf numFmtId="0" fontId="1" fillId="11" borderId="8" xfId="0" applyFont="1" applyFill="1" applyBorder="1" applyAlignment="1" applyProtection="1">
      <alignment horizontal="center" vertical="center" wrapText="1"/>
      <protection hidden="1"/>
    </xf>
    <xf numFmtId="0" fontId="1" fillId="11" borderId="5" xfId="0" applyFont="1" applyFill="1" applyBorder="1" applyAlignment="1" applyProtection="1">
      <alignment horizontal="center" vertical="center" wrapText="1"/>
      <protection hidden="1"/>
    </xf>
    <xf numFmtId="0" fontId="1" fillId="11" borderId="9"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protection hidden="1"/>
    </xf>
    <xf numFmtId="0" fontId="10" fillId="5" borderId="0" xfId="0" applyFont="1" applyFill="1" applyAlignment="1" applyProtection="1">
      <alignment horizontal="center" vertical="center"/>
      <protection hidden="1"/>
    </xf>
    <xf numFmtId="0" fontId="26" fillId="2" borderId="0" xfId="0" applyFont="1" applyFill="1" applyAlignment="1" applyProtection="1">
      <alignment horizontal="center"/>
      <protection hidden="1"/>
    </xf>
    <xf numFmtId="0" fontId="1" fillId="2" borderId="0" xfId="0" applyFont="1" applyFill="1" applyAlignment="1" applyProtection="1">
      <alignment horizontal="left" indent="1"/>
      <protection hidden="1"/>
    </xf>
    <xf numFmtId="0" fontId="20" fillId="11" borderId="45" xfId="0" applyFont="1" applyFill="1" applyBorder="1" applyAlignment="1" applyProtection="1">
      <alignment horizontal="center" vertical="center" wrapText="1"/>
      <protection hidden="1"/>
    </xf>
    <xf numFmtId="0" fontId="20" fillId="11" borderId="46" xfId="0" applyFont="1" applyFill="1" applyBorder="1" applyAlignment="1" applyProtection="1">
      <alignment horizontal="center" vertical="center" wrapText="1"/>
      <protection hidden="1"/>
    </xf>
    <xf numFmtId="0" fontId="20" fillId="11" borderId="44" xfId="0" applyFont="1" applyFill="1" applyBorder="1" applyAlignment="1" applyProtection="1">
      <alignment horizontal="center" vertical="center" wrapText="1"/>
      <protection hidden="1"/>
    </xf>
    <xf numFmtId="0" fontId="2" fillId="2" borderId="0" xfId="0" applyFont="1" applyFill="1" applyAlignment="1" applyProtection="1">
      <alignment horizontal="left" vertical="center" indent="5"/>
      <protection hidden="1"/>
    </xf>
    <xf numFmtId="0" fontId="1" fillId="5" borderId="52" xfId="0" applyFont="1" applyFill="1" applyBorder="1" applyAlignment="1" applyProtection="1">
      <alignment horizontal="center" vertical="center" wrapText="1"/>
      <protection hidden="1"/>
    </xf>
    <xf numFmtId="0" fontId="1" fillId="5" borderId="53" xfId="0" applyFont="1" applyFill="1" applyBorder="1" applyAlignment="1" applyProtection="1">
      <alignment horizontal="center" vertical="center" wrapText="1"/>
      <protection hidden="1"/>
    </xf>
    <xf numFmtId="0" fontId="1" fillId="5" borderId="37" xfId="0" applyFont="1" applyFill="1" applyBorder="1" applyAlignment="1" applyProtection="1">
      <alignment horizontal="center" vertical="center" wrapText="1"/>
      <protection hidden="1"/>
    </xf>
    <xf numFmtId="0" fontId="1" fillId="5" borderId="38" xfId="0" applyFont="1" applyFill="1" applyBorder="1" applyAlignment="1" applyProtection="1">
      <alignment horizontal="center" vertical="center" wrapText="1"/>
      <protection hidden="1"/>
    </xf>
    <xf numFmtId="0" fontId="12" fillId="5" borderId="53" xfId="0" applyFont="1" applyFill="1" applyBorder="1" applyAlignment="1" applyProtection="1">
      <alignment horizontal="center" vertical="center" wrapText="1"/>
      <protection hidden="1"/>
    </xf>
    <xf numFmtId="0" fontId="12" fillId="5" borderId="38" xfId="0" applyFont="1" applyFill="1" applyBorder="1" applyAlignment="1" applyProtection="1">
      <alignment horizontal="center" vertical="center" wrapText="1"/>
      <protection hidden="1"/>
    </xf>
    <xf numFmtId="0" fontId="3" fillId="2" borderId="0" xfId="0" applyFont="1" applyFill="1" applyAlignment="1" applyProtection="1">
      <alignment horizontal="center" vertical="center" wrapText="1"/>
      <protection hidden="1"/>
    </xf>
    <xf numFmtId="0" fontId="3" fillId="2" borderId="42" xfId="0" applyFont="1" applyFill="1" applyBorder="1" applyAlignment="1" applyProtection="1">
      <alignment horizontal="center" vertical="center" wrapText="1"/>
      <protection hidden="1"/>
    </xf>
    <xf numFmtId="0" fontId="12" fillId="5" borderId="40" xfId="0" applyFont="1" applyFill="1" applyBorder="1" applyAlignment="1" applyProtection="1">
      <alignment horizontal="center" vertical="center" wrapText="1"/>
      <protection hidden="1"/>
    </xf>
    <xf numFmtId="0" fontId="12" fillId="5" borderId="39" xfId="0" applyFont="1" applyFill="1" applyBorder="1" applyAlignment="1" applyProtection="1">
      <alignment horizontal="center" vertical="center" wrapText="1"/>
      <protection hidden="1"/>
    </xf>
    <xf numFmtId="0" fontId="3" fillId="13" borderId="41" xfId="0" applyFont="1" applyFill="1" applyBorder="1" applyAlignment="1" applyProtection="1">
      <alignment horizontal="center" vertical="center"/>
      <protection hidden="1"/>
    </xf>
    <xf numFmtId="0" fontId="3" fillId="13" borderId="48" xfId="0" applyFont="1" applyFill="1" applyBorder="1" applyAlignment="1" applyProtection="1">
      <alignment horizontal="center" vertical="center"/>
      <protection hidden="1"/>
    </xf>
    <xf numFmtId="0" fontId="3" fillId="13" borderId="49" xfId="0" applyFont="1" applyFill="1" applyBorder="1" applyAlignment="1" applyProtection="1">
      <alignment horizontal="left" vertical="center"/>
      <protection hidden="1"/>
    </xf>
    <xf numFmtId="0" fontId="3" fillId="13" borderId="42" xfId="0" applyFont="1" applyFill="1" applyBorder="1" applyAlignment="1" applyProtection="1">
      <alignment horizontal="left" vertical="center"/>
      <protection hidden="1"/>
    </xf>
    <xf numFmtId="0" fontId="3" fillId="13" borderId="48" xfId="0" applyFont="1" applyFill="1" applyBorder="1" applyAlignment="1" applyProtection="1">
      <alignment horizontal="left" vertical="center"/>
      <protection hidden="1"/>
    </xf>
    <xf numFmtId="0" fontId="3" fillId="2" borderId="2" xfId="0" applyFont="1" applyFill="1" applyBorder="1" applyAlignment="1" applyProtection="1">
      <alignment horizontal="left" vertical="center"/>
      <protection locked="0" hidden="1"/>
    </xf>
    <xf numFmtId="0" fontId="3" fillId="2" borderId="3" xfId="0" applyFont="1" applyFill="1" applyBorder="1" applyAlignment="1" applyProtection="1">
      <alignment horizontal="left" vertical="center"/>
      <protection locked="0" hidden="1"/>
    </xf>
    <xf numFmtId="0" fontId="3" fillId="2" borderId="4" xfId="0" applyFont="1" applyFill="1" applyBorder="1" applyAlignment="1" applyProtection="1">
      <alignment horizontal="left" vertical="center"/>
      <protection locked="0" hidden="1"/>
    </xf>
    <xf numFmtId="0" fontId="3" fillId="2" borderId="23" xfId="0" applyFont="1" applyFill="1" applyBorder="1" applyAlignment="1" applyProtection="1">
      <alignment horizontal="center" vertical="center"/>
      <protection locked="0" hidden="1"/>
    </xf>
    <xf numFmtId="0" fontId="3" fillId="2" borderId="4" xfId="0" applyFont="1" applyFill="1" applyBorder="1" applyAlignment="1" applyProtection="1">
      <alignment horizontal="center" vertical="center"/>
      <protection locked="0" hidden="1"/>
    </xf>
    <xf numFmtId="0" fontId="3" fillId="2" borderId="18" xfId="0" applyFont="1" applyFill="1" applyBorder="1" applyAlignment="1" applyProtection="1">
      <alignment horizontal="center" vertical="center"/>
      <protection locked="0" hidden="1"/>
    </xf>
    <xf numFmtId="0" fontId="3" fillId="2" borderId="19" xfId="0" applyFont="1" applyFill="1" applyBorder="1" applyAlignment="1" applyProtection="1">
      <alignment horizontal="center" vertical="center"/>
      <protection locked="0" hidden="1"/>
    </xf>
    <xf numFmtId="0" fontId="3" fillId="10" borderId="23" xfId="0" applyFont="1" applyFill="1" applyBorder="1" applyAlignment="1" applyProtection="1">
      <alignment horizontal="center" vertical="center"/>
      <protection locked="0" hidden="1"/>
    </xf>
    <xf numFmtId="0" fontId="3" fillId="10" borderId="4" xfId="0" applyFont="1" applyFill="1" applyBorder="1" applyAlignment="1" applyProtection="1">
      <alignment horizontal="center" vertical="center"/>
      <protection locked="0" hidden="1"/>
    </xf>
    <xf numFmtId="0" fontId="3" fillId="10" borderId="2" xfId="0" applyFont="1" applyFill="1" applyBorder="1" applyAlignment="1" applyProtection="1">
      <alignment horizontal="left" vertical="center"/>
      <protection locked="0" hidden="1"/>
    </xf>
    <xf numFmtId="0" fontId="3" fillId="10" borderId="3" xfId="0" applyFont="1" applyFill="1" applyBorder="1" applyAlignment="1" applyProtection="1">
      <alignment horizontal="left" vertical="center"/>
      <protection locked="0" hidden="1"/>
    </xf>
    <xf numFmtId="0" fontId="3" fillId="10" borderId="4" xfId="0" applyFont="1" applyFill="1" applyBorder="1" applyAlignment="1" applyProtection="1">
      <alignment horizontal="left" vertical="center"/>
      <protection locked="0" hidden="1"/>
    </xf>
    <xf numFmtId="0" fontId="3" fillId="2" borderId="2" xfId="0" applyFont="1" applyFill="1" applyBorder="1" applyAlignment="1" applyProtection="1">
      <alignment horizontal="center" vertical="center"/>
      <protection locked="0" hidden="1"/>
    </xf>
    <xf numFmtId="0" fontId="3" fillId="2" borderId="24" xfId="0" applyFont="1" applyFill="1" applyBorder="1" applyAlignment="1" applyProtection="1">
      <alignment horizontal="center" vertical="center"/>
      <protection locked="0" hidden="1"/>
    </xf>
    <xf numFmtId="0" fontId="3" fillId="10" borderId="2" xfId="0" applyFont="1" applyFill="1" applyBorder="1" applyAlignment="1" applyProtection="1">
      <alignment horizontal="center" vertical="center"/>
      <protection locked="0" hidden="1"/>
    </xf>
    <xf numFmtId="0" fontId="3" fillId="10" borderId="24" xfId="0" applyFont="1" applyFill="1" applyBorder="1" applyAlignment="1" applyProtection="1">
      <alignment horizontal="center" vertical="center"/>
      <protection locked="0" hidden="1"/>
    </xf>
    <xf numFmtId="0" fontId="3" fillId="10" borderId="25" xfId="0" applyFont="1" applyFill="1" applyBorder="1" applyAlignment="1" applyProtection="1">
      <alignment horizontal="center" vertical="center"/>
      <protection locked="0" hidden="1"/>
    </xf>
    <xf numFmtId="0" fontId="3" fillId="10" borderId="26" xfId="0" applyFont="1" applyFill="1" applyBorder="1" applyAlignment="1" applyProtection="1">
      <alignment horizontal="center" vertical="center"/>
      <protection locked="0" hidden="1"/>
    </xf>
    <xf numFmtId="0" fontId="3" fillId="10" borderId="27" xfId="0" applyFont="1" applyFill="1" applyBorder="1" applyAlignment="1" applyProtection="1">
      <alignment horizontal="left" vertical="center"/>
      <protection locked="0" hidden="1"/>
    </xf>
    <xf numFmtId="0" fontId="3" fillId="10" borderId="28" xfId="0" applyFont="1" applyFill="1" applyBorder="1" applyAlignment="1" applyProtection="1">
      <alignment horizontal="left" vertical="center"/>
      <protection locked="0" hidden="1"/>
    </xf>
    <xf numFmtId="0" fontId="3" fillId="10" borderId="26" xfId="0" applyFont="1" applyFill="1" applyBorder="1" applyAlignment="1" applyProtection="1">
      <alignment horizontal="left" vertical="center"/>
      <protection locked="0" hidden="1"/>
    </xf>
    <xf numFmtId="0" fontId="3" fillId="10" borderId="27" xfId="0" applyFont="1" applyFill="1" applyBorder="1" applyAlignment="1" applyProtection="1">
      <alignment horizontal="center" vertical="center"/>
      <protection locked="0" hidden="1"/>
    </xf>
    <xf numFmtId="0" fontId="3" fillId="10" borderId="29" xfId="0" applyFont="1" applyFill="1" applyBorder="1" applyAlignment="1" applyProtection="1">
      <alignment horizontal="center" vertical="center"/>
      <protection locked="0" hidden="1"/>
    </xf>
    <xf numFmtId="0" fontId="3" fillId="9" borderId="49" xfId="0" applyFont="1" applyFill="1" applyBorder="1" applyAlignment="1" applyProtection="1">
      <alignment horizontal="center" vertical="center"/>
      <protection hidden="1"/>
    </xf>
    <xf numFmtId="0" fontId="3" fillId="9" borderId="43" xfId="0" applyFont="1" applyFill="1" applyBorder="1" applyAlignment="1" applyProtection="1">
      <alignment horizontal="center" vertical="center"/>
      <protection hidden="1"/>
    </xf>
    <xf numFmtId="0" fontId="3" fillId="2" borderId="20" xfId="0" applyFont="1" applyFill="1" applyBorder="1" applyAlignment="1" applyProtection="1">
      <alignment horizontal="center" vertical="center"/>
      <protection locked="0" hidden="1"/>
    </xf>
    <xf numFmtId="0" fontId="3" fillId="2" borderId="22" xfId="0" applyFont="1" applyFill="1" applyBorder="1" applyAlignment="1" applyProtection="1">
      <alignment horizontal="center" vertical="center"/>
      <protection locked="0" hidden="1"/>
    </xf>
    <xf numFmtId="0" fontId="3" fillId="2" borderId="20" xfId="0" applyFont="1" applyFill="1" applyBorder="1" applyAlignment="1" applyProtection="1">
      <alignment horizontal="left" vertical="center"/>
      <protection locked="0" hidden="1"/>
    </xf>
    <xf numFmtId="0" fontId="3" fillId="2" borderId="21" xfId="0" applyFont="1" applyFill="1" applyBorder="1" applyAlignment="1" applyProtection="1">
      <alignment horizontal="left" vertical="center"/>
      <protection locked="0" hidden="1"/>
    </xf>
    <xf numFmtId="0" fontId="3" fillId="2" borderId="19" xfId="0" applyFont="1" applyFill="1" applyBorder="1" applyAlignment="1" applyProtection="1">
      <alignment horizontal="left" vertical="center"/>
      <protection locked="0" hidden="1"/>
    </xf>
    <xf numFmtId="0" fontId="7" fillId="2" borderId="2" xfId="0" applyFont="1" applyFill="1" applyBorder="1" applyAlignment="1" applyProtection="1">
      <alignment horizontal="center" vertical="center" wrapText="1"/>
      <protection hidden="1"/>
    </xf>
    <xf numFmtId="0" fontId="7" fillId="2" borderId="4" xfId="0" applyFont="1" applyFill="1" applyBorder="1" applyAlignment="1" applyProtection="1">
      <alignment horizontal="center" vertical="center" wrapText="1"/>
      <protection hidden="1"/>
    </xf>
    <xf numFmtId="0" fontId="33" fillId="20" borderId="0" xfId="1" applyFont="1" applyFill="1" applyAlignment="1" applyProtection="1">
      <alignment horizontal="center" vertical="center" wrapText="1"/>
      <protection hidden="1"/>
    </xf>
    <xf numFmtId="0" fontId="2" fillId="2" borderId="5" xfId="0" applyFont="1" applyFill="1" applyBorder="1" applyAlignment="1" applyProtection="1">
      <alignment horizontal="center"/>
      <protection hidden="1"/>
    </xf>
    <xf numFmtId="0" fontId="5" fillId="2" borderId="0" xfId="0" applyFont="1" applyFill="1" applyAlignment="1" applyProtection="1">
      <alignment horizontal="center"/>
      <protection hidden="1"/>
    </xf>
    <xf numFmtId="0" fontId="2" fillId="2" borderId="0" xfId="0" applyFont="1" applyFill="1" applyAlignment="1" applyProtection="1">
      <alignment horizontal="center"/>
      <protection hidden="1"/>
    </xf>
    <xf numFmtId="0" fontId="1" fillId="5" borderId="6" xfId="0" applyFont="1" applyFill="1" applyBorder="1" applyAlignment="1" applyProtection="1">
      <alignment horizontal="center" vertical="center" wrapText="1"/>
      <protection hidden="1"/>
    </xf>
    <xf numFmtId="0" fontId="1" fillId="5" borderId="10" xfId="0" applyFont="1" applyFill="1" applyBorder="1" applyAlignment="1" applyProtection="1">
      <alignment horizontal="center" vertical="center" wrapText="1"/>
      <protection hidden="1"/>
    </xf>
    <xf numFmtId="0" fontId="1" fillId="5" borderId="7" xfId="0" applyFont="1" applyFill="1" applyBorder="1" applyAlignment="1" applyProtection="1">
      <alignment horizontal="center" vertical="center" wrapText="1"/>
      <protection hidden="1"/>
    </xf>
    <xf numFmtId="0" fontId="1" fillId="5" borderId="11" xfId="0" applyFont="1" applyFill="1" applyBorder="1" applyAlignment="1" applyProtection="1">
      <alignment horizontal="center" vertical="center" wrapText="1"/>
      <protection hidden="1"/>
    </xf>
    <xf numFmtId="0" fontId="1" fillId="5" borderId="0" xfId="0" applyFont="1" applyFill="1" applyAlignment="1" applyProtection="1">
      <alignment horizontal="center" vertical="center" wrapText="1"/>
      <protection hidden="1"/>
    </xf>
    <xf numFmtId="0" fontId="1" fillId="5" borderId="12"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5"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left" vertical="center" wrapText="1"/>
      <protection hidden="1"/>
    </xf>
    <xf numFmtId="0" fontId="7" fillId="2" borderId="3" xfId="0" applyFont="1" applyFill="1" applyBorder="1" applyAlignment="1" applyProtection="1">
      <alignment horizontal="left" vertical="center" wrapText="1"/>
      <protection hidden="1"/>
    </xf>
    <xf numFmtId="0" fontId="7" fillId="2" borderId="4" xfId="0" applyFont="1" applyFill="1" applyBorder="1" applyAlignment="1" applyProtection="1">
      <alignment horizontal="left" vertical="center" wrapText="1"/>
      <protection hidden="1"/>
    </xf>
    <xf numFmtId="0" fontId="3" fillId="16" borderId="1" xfId="0" applyFont="1" applyFill="1" applyBorder="1" applyAlignment="1" applyProtection="1">
      <alignment horizontal="center" vertical="center"/>
      <protection hidden="1"/>
    </xf>
    <xf numFmtId="0" fontId="3" fillId="16" borderId="35" xfId="0" applyFont="1" applyFill="1" applyBorder="1" applyAlignment="1" applyProtection="1">
      <alignment horizontal="center" vertical="center"/>
      <protection hidden="1"/>
    </xf>
    <xf numFmtId="0" fontId="1" fillId="19" borderId="1" xfId="0" applyFont="1" applyFill="1" applyBorder="1" applyAlignment="1" applyProtection="1">
      <alignment horizontal="center" vertical="center"/>
      <protection hidden="1"/>
    </xf>
    <xf numFmtId="0" fontId="3" fillId="2" borderId="33" xfId="0" applyFont="1" applyFill="1" applyBorder="1" applyAlignment="1" applyProtection="1">
      <alignment horizontal="center" vertical="center"/>
      <protection hidden="1"/>
    </xf>
    <xf numFmtId="0" fontId="3" fillId="2" borderId="0" xfId="0" applyFont="1" applyFill="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1" fillId="19" borderId="1" xfId="0" applyFont="1" applyFill="1" applyBorder="1" applyAlignment="1" applyProtection="1">
      <alignment horizontal="center" vertical="center" wrapText="1"/>
      <protection hidden="1"/>
    </xf>
    <xf numFmtId="0" fontId="1" fillId="19" borderId="35" xfId="0" applyFont="1" applyFill="1" applyBorder="1" applyAlignment="1" applyProtection="1">
      <alignment horizontal="center" vertical="center" wrapText="1"/>
      <protection hidden="1"/>
    </xf>
    <xf numFmtId="0" fontId="3" fillId="16" borderId="2" xfId="0" applyFont="1" applyFill="1" applyBorder="1" applyAlignment="1" applyProtection="1">
      <alignment horizontal="left" vertical="center"/>
      <protection hidden="1"/>
    </xf>
    <xf numFmtId="0" fontId="3" fillId="16" borderId="3" xfId="0" applyFont="1" applyFill="1" applyBorder="1" applyAlignment="1" applyProtection="1">
      <alignment horizontal="left" vertical="center"/>
      <protection hidden="1"/>
    </xf>
    <xf numFmtId="0" fontId="3" fillId="16" borderId="4" xfId="0" applyFont="1" applyFill="1" applyBorder="1" applyAlignment="1" applyProtection="1">
      <alignment horizontal="left" vertical="center"/>
      <protection hidden="1"/>
    </xf>
    <xf numFmtId="0" fontId="3" fillId="2" borderId="3" xfId="0" applyFont="1" applyFill="1" applyBorder="1" applyAlignment="1" applyProtection="1">
      <alignment horizontal="left" vertical="center"/>
      <protection hidden="1"/>
    </xf>
    <xf numFmtId="0" fontId="3" fillId="16" borderId="3" xfId="0" applyFont="1" applyFill="1" applyBorder="1" applyAlignment="1" applyProtection="1">
      <alignment horizontal="center" vertical="center"/>
      <protection hidden="1"/>
    </xf>
    <xf numFmtId="0" fontId="3" fillId="16" borderId="5" xfId="0" applyFont="1" applyFill="1" applyBorder="1" applyAlignment="1" applyProtection="1">
      <alignment horizontal="center" vertical="center"/>
      <protection hidden="1"/>
    </xf>
    <xf numFmtId="0" fontId="3" fillId="16" borderId="51" xfId="0" applyFont="1" applyFill="1" applyBorder="1" applyAlignment="1" applyProtection="1">
      <alignment horizontal="center" vertical="center"/>
      <protection hidden="1"/>
    </xf>
    <xf numFmtId="41" fontId="3" fillId="16" borderId="3" xfId="0" applyNumberFormat="1" applyFont="1" applyFill="1" applyBorder="1" applyAlignment="1" applyProtection="1">
      <alignment horizontal="center" vertical="center"/>
      <protection hidden="1"/>
    </xf>
    <xf numFmtId="41" fontId="3" fillId="16" borderId="5" xfId="0" applyNumberFormat="1" applyFont="1" applyFill="1" applyBorder="1" applyAlignment="1" applyProtection="1">
      <alignment horizontal="center" vertical="center"/>
      <protection hidden="1"/>
    </xf>
    <xf numFmtId="41" fontId="3" fillId="16" borderId="51" xfId="0" applyNumberFormat="1" applyFont="1" applyFill="1" applyBorder="1" applyAlignment="1" applyProtection="1">
      <alignment horizontal="center" vertical="center"/>
      <protection hidden="1"/>
    </xf>
    <xf numFmtId="0" fontId="3" fillId="16" borderId="24" xfId="0" applyFont="1" applyFill="1" applyBorder="1" applyAlignment="1" applyProtection="1">
      <alignment horizontal="center" vertical="center"/>
      <protection hidden="1"/>
    </xf>
    <xf numFmtId="0" fontId="3" fillId="2" borderId="5" xfId="0" applyFont="1" applyFill="1" applyBorder="1" applyAlignment="1" applyProtection="1">
      <alignment horizontal="left" vertical="center"/>
      <protection hidden="1"/>
    </xf>
    <xf numFmtId="0" fontId="2" fillId="2" borderId="33" xfId="0" applyFont="1" applyFill="1" applyBorder="1" applyAlignment="1" applyProtection="1">
      <alignment horizontal="left" vertical="center"/>
      <protection hidden="1"/>
    </xf>
    <xf numFmtId="0" fontId="2" fillId="2" borderId="0" xfId="0" applyFont="1" applyFill="1" applyAlignment="1" applyProtection="1">
      <alignment horizontal="left" vertical="center"/>
      <protection hidden="1"/>
    </xf>
    <xf numFmtId="0" fontId="2" fillId="2" borderId="34" xfId="0" applyFont="1" applyFill="1" applyBorder="1" applyAlignment="1" applyProtection="1">
      <alignment horizontal="left" vertical="center"/>
      <protection hidden="1"/>
    </xf>
    <xf numFmtId="0" fontId="0" fillId="2" borderId="23" xfId="0" applyFill="1" applyBorder="1" applyAlignment="1" applyProtection="1">
      <alignment horizontal="center" vertical="center"/>
      <protection hidden="1"/>
    </xf>
    <xf numFmtId="0" fontId="0" fillId="2" borderId="4" xfId="0" applyFill="1" applyBorder="1" applyAlignment="1" applyProtection="1">
      <alignment horizontal="center" vertical="center"/>
      <protection hidden="1"/>
    </xf>
    <xf numFmtId="1" fontId="3" fillId="16" borderId="1" xfId="0" applyNumberFormat="1" applyFont="1" applyFill="1" applyBorder="1" applyAlignment="1" applyProtection="1">
      <alignment horizontal="center" vertical="center"/>
      <protection hidden="1"/>
    </xf>
    <xf numFmtId="0" fontId="3" fillId="16" borderId="2" xfId="0" applyFont="1" applyFill="1" applyBorder="1" applyAlignment="1" applyProtection="1">
      <alignment horizontal="left" vertical="center" indent="1"/>
      <protection hidden="1"/>
    </xf>
    <xf numFmtId="0" fontId="3" fillId="16" borderId="3" xfId="0" applyFont="1" applyFill="1" applyBorder="1" applyAlignment="1" applyProtection="1">
      <alignment horizontal="left" vertical="center" indent="1"/>
      <protection hidden="1"/>
    </xf>
    <xf numFmtId="0" fontId="3" fillId="16" borderId="4" xfId="0" applyFont="1" applyFill="1" applyBorder="1" applyAlignment="1" applyProtection="1">
      <alignment horizontal="left" vertical="center" indent="1"/>
      <protection hidden="1"/>
    </xf>
    <xf numFmtId="41" fontId="1" fillId="16" borderId="0" xfId="0" applyNumberFormat="1" applyFont="1" applyFill="1" applyAlignment="1" applyProtection="1">
      <alignment horizontal="center" vertical="center"/>
      <protection hidden="1"/>
    </xf>
    <xf numFmtId="41" fontId="1" fillId="16" borderId="34" xfId="0" applyNumberFormat="1" applyFont="1" applyFill="1" applyBorder="1" applyAlignment="1" applyProtection="1">
      <alignment horizontal="center" vertical="center"/>
      <protection hidden="1"/>
    </xf>
    <xf numFmtId="0" fontId="2" fillId="2" borderId="30" xfId="0" applyFont="1" applyFill="1" applyBorder="1" applyAlignment="1" applyProtection="1">
      <alignment horizontal="left" vertical="center"/>
      <protection hidden="1"/>
    </xf>
    <xf numFmtId="0" fontId="2" fillId="2" borderId="31" xfId="0" applyFont="1" applyFill="1" applyBorder="1" applyAlignment="1" applyProtection="1">
      <alignment horizontal="left" vertical="center"/>
      <protection hidden="1"/>
    </xf>
    <xf numFmtId="0" fontId="2" fillId="2" borderId="32" xfId="0" applyFont="1" applyFill="1" applyBorder="1" applyAlignment="1" applyProtection="1">
      <alignment horizontal="left" vertical="center"/>
      <protection hidden="1"/>
    </xf>
    <xf numFmtId="0" fontId="3" fillId="2" borderId="3" xfId="0" applyFont="1" applyFill="1" applyBorder="1" applyAlignment="1" applyProtection="1">
      <alignment horizontal="center" vertical="center"/>
      <protection hidden="1"/>
    </xf>
    <xf numFmtId="41" fontId="3" fillId="16" borderId="24" xfId="0" applyNumberFormat="1" applyFont="1" applyFill="1" applyBorder="1" applyAlignment="1" applyProtection="1">
      <alignment horizontal="center" vertical="center"/>
      <protection hidden="1"/>
    </xf>
    <xf numFmtId="0" fontId="1" fillId="2" borderId="50" xfId="0" applyFont="1" applyFill="1" applyBorder="1" applyAlignment="1" applyProtection="1">
      <alignment horizontal="left" vertical="center"/>
      <protection hidden="1"/>
    </xf>
    <xf numFmtId="0" fontId="1" fillId="2" borderId="5" xfId="0" applyFont="1" applyFill="1" applyBorder="1" applyAlignment="1" applyProtection="1">
      <alignment horizontal="left" vertical="center"/>
      <protection hidden="1"/>
    </xf>
    <xf numFmtId="0" fontId="1" fillId="2" borderId="51" xfId="0" applyFont="1" applyFill="1" applyBorder="1" applyAlignment="1" applyProtection="1">
      <alignment horizontal="left" vertical="center"/>
      <protection hidden="1"/>
    </xf>
    <xf numFmtId="2" fontId="0" fillId="2" borderId="23" xfId="0" applyNumberFormat="1" applyFill="1" applyBorder="1" applyAlignment="1" applyProtection="1">
      <alignment horizontal="center" vertical="center"/>
      <protection hidden="1"/>
    </xf>
    <xf numFmtId="2" fontId="0" fillId="2" borderId="4" xfId="0" applyNumberFormat="1" applyFill="1" applyBorder="1" applyAlignment="1" applyProtection="1">
      <alignment horizontal="center" vertical="center"/>
      <protection hidden="1"/>
    </xf>
    <xf numFmtId="0" fontId="1" fillId="16" borderId="0" xfId="0" applyFont="1" applyFill="1" applyAlignment="1" applyProtection="1">
      <alignment horizontal="center" vertical="center"/>
      <protection hidden="1"/>
    </xf>
    <xf numFmtId="0" fontId="1" fillId="16" borderId="34" xfId="0" applyFont="1" applyFill="1" applyBorder="1" applyAlignment="1" applyProtection="1">
      <alignment horizontal="center" vertical="center"/>
      <protection hidden="1"/>
    </xf>
    <xf numFmtId="0" fontId="3" fillId="2" borderId="0" xfId="0" applyFont="1" applyFill="1" applyAlignment="1" applyProtection="1">
      <alignment horizontal="center"/>
      <protection hidden="1"/>
    </xf>
    <xf numFmtId="0" fontId="11" fillId="2" borderId="0" xfId="0" applyFont="1" applyFill="1" applyAlignment="1" applyProtection="1">
      <alignment horizontal="center" vertical="center"/>
      <protection hidden="1"/>
    </xf>
    <xf numFmtId="0" fontId="1" fillId="16" borderId="0" xfId="0" applyFont="1" applyFill="1" applyAlignment="1" applyProtection="1">
      <alignment horizontal="center"/>
      <protection hidden="1"/>
    </xf>
    <xf numFmtId="0" fontId="1" fillId="16" borderId="34" xfId="0" applyFont="1" applyFill="1" applyBorder="1" applyAlignment="1" applyProtection="1">
      <alignment horizontal="center"/>
      <protection hidden="1"/>
    </xf>
    <xf numFmtId="0" fontId="3" fillId="2" borderId="33" xfId="0" applyFont="1" applyFill="1" applyBorder="1" applyAlignment="1" applyProtection="1">
      <alignment horizontal="left" indent="1"/>
      <protection hidden="1"/>
    </xf>
    <xf numFmtId="0" fontId="3" fillId="2" borderId="0" xfId="0" applyFont="1" applyFill="1" applyAlignment="1" applyProtection="1">
      <alignment horizontal="left" indent="1"/>
      <protection hidden="1"/>
    </xf>
    <xf numFmtId="0" fontId="12" fillId="16" borderId="0" xfId="0" applyFont="1" applyFill="1" applyAlignment="1" applyProtection="1">
      <alignment horizontal="center"/>
      <protection hidden="1"/>
    </xf>
    <xf numFmtId="0" fontId="3" fillId="2" borderId="33" xfId="0" applyFont="1" applyFill="1" applyBorder="1" applyAlignment="1" applyProtection="1">
      <alignment horizontal="center"/>
      <protection hidden="1"/>
    </xf>
    <xf numFmtId="0" fontId="0" fillId="2" borderId="0" xfId="0" applyFill="1" applyAlignment="1" applyProtection="1">
      <alignment horizontal="center"/>
      <protection hidden="1"/>
    </xf>
    <xf numFmtId="0" fontId="34" fillId="20" borderId="0" xfId="0" applyFont="1" applyFill="1" applyAlignment="1" applyProtection="1">
      <alignment horizontal="center" vertical="center" wrapText="1"/>
      <protection hidden="1"/>
    </xf>
    <xf numFmtId="0" fontId="1" fillId="17" borderId="0" xfId="0" applyFont="1" applyFill="1" applyAlignment="1" applyProtection="1">
      <alignment horizontal="center" vertical="center"/>
      <protection locked="0" hidden="1"/>
    </xf>
    <xf numFmtId="0" fontId="1" fillId="2" borderId="1" xfId="0" applyFont="1" applyFill="1" applyBorder="1" applyAlignment="1" applyProtection="1">
      <alignment horizontal="center" vertical="center" wrapText="1"/>
      <protection hidden="1"/>
    </xf>
    <xf numFmtId="0" fontId="1" fillId="2" borderId="35" xfId="0" applyFont="1" applyFill="1" applyBorder="1" applyAlignment="1" applyProtection="1">
      <alignment horizontal="center" vertical="center" wrapText="1"/>
      <protection hidden="1"/>
    </xf>
    <xf numFmtId="0" fontId="1" fillId="2" borderId="1" xfId="0" applyFont="1" applyFill="1" applyBorder="1" applyAlignment="1" applyProtection="1">
      <alignment horizontal="center" vertical="center"/>
      <protection hidden="1"/>
    </xf>
    <xf numFmtId="0" fontId="1" fillId="2" borderId="35" xfId="0" applyFont="1" applyFill="1" applyBorder="1" applyAlignment="1" applyProtection="1">
      <alignment horizontal="center" vertical="center"/>
      <protection hidden="1"/>
    </xf>
    <xf numFmtId="0" fontId="4" fillId="3" borderId="5" xfId="0" applyFont="1" applyFill="1" applyBorder="1" applyAlignment="1" applyProtection="1">
      <alignment horizontal="center"/>
      <protection hidden="1"/>
    </xf>
    <xf numFmtId="0" fontId="29" fillId="2" borderId="2" xfId="0" applyFont="1" applyFill="1" applyBorder="1" applyAlignment="1" applyProtection="1">
      <alignment horizontal="left" vertical="center" wrapText="1" indent="4"/>
      <protection hidden="1"/>
    </xf>
    <xf numFmtId="0" fontId="29" fillId="2" borderId="3" xfId="0" applyFont="1" applyFill="1" applyBorder="1" applyAlignment="1" applyProtection="1">
      <alignment horizontal="left" vertical="center" indent="4"/>
      <protection hidden="1"/>
    </xf>
    <xf numFmtId="0" fontId="29" fillId="2" borderId="24" xfId="0" applyFont="1" applyFill="1" applyBorder="1" applyAlignment="1" applyProtection="1">
      <alignment horizontal="left" vertical="center" indent="4"/>
      <protection hidden="1"/>
    </xf>
    <xf numFmtId="0" fontId="24" fillId="2" borderId="1" xfId="0" applyFont="1" applyFill="1" applyBorder="1" applyAlignment="1" applyProtection="1">
      <alignment horizontal="left" vertical="center" wrapText="1"/>
      <protection hidden="1"/>
    </xf>
    <xf numFmtId="0" fontId="33" fillId="20" borderId="0" xfId="1" applyFont="1" applyFill="1" applyAlignment="1" applyProtection="1">
      <alignment horizontal="center" vertical="center"/>
      <protection hidden="1"/>
    </xf>
    <xf numFmtId="0" fontId="4" fillId="2" borderId="0" xfId="0" applyFont="1" applyFill="1" applyAlignment="1" applyProtection="1">
      <alignment horizontal="center"/>
      <protection hidden="1"/>
    </xf>
    <xf numFmtId="0" fontId="3" fillId="2" borderId="1" xfId="0" applyFont="1" applyFill="1" applyBorder="1" applyAlignment="1" applyProtection="1">
      <alignment horizontal="center"/>
      <protection hidden="1"/>
    </xf>
    <xf numFmtId="0" fontId="3" fillId="2" borderId="35" xfId="0" applyFont="1" applyFill="1" applyBorder="1" applyAlignment="1" applyProtection="1">
      <alignment horizontal="center"/>
      <protection hidden="1"/>
    </xf>
    <xf numFmtId="0" fontId="32" fillId="16" borderId="0" xfId="0" applyFont="1" applyFill="1" applyAlignment="1" applyProtection="1">
      <alignment horizontal="center" vertical="top"/>
      <protection hidden="1"/>
    </xf>
    <xf numFmtId="0" fontId="25" fillId="2" borderId="0" xfId="0" applyFont="1" applyFill="1" applyAlignment="1" applyProtection="1">
      <alignment horizontal="center" vertical="top"/>
      <protection hidden="1"/>
    </xf>
    <xf numFmtId="0" fontId="2" fillId="3" borderId="5" xfId="0" applyFont="1" applyFill="1" applyBorder="1" applyAlignment="1" applyProtection="1">
      <alignment horizontal="center"/>
      <protection hidden="1"/>
    </xf>
    <xf numFmtId="0" fontId="2" fillId="2" borderId="1" xfId="0" applyFont="1" applyFill="1" applyBorder="1" applyAlignment="1" applyProtection="1">
      <alignment horizontal="center" vertical="center"/>
      <protection hidden="1"/>
    </xf>
    <xf numFmtId="0" fontId="4" fillId="2" borderId="0" xfId="0" applyFont="1" applyFill="1" applyAlignment="1" applyProtection="1">
      <alignment horizontal="left" indent="3"/>
      <protection hidden="1"/>
    </xf>
    <xf numFmtId="0" fontId="24" fillId="2" borderId="6" xfId="0" applyFont="1" applyFill="1" applyBorder="1" applyAlignment="1" applyProtection="1">
      <alignment horizontal="center" vertical="center" wrapText="1"/>
      <protection hidden="1"/>
    </xf>
    <xf numFmtId="0" fontId="24" fillId="2" borderId="10" xfId="0" applyFont="1" applyFill="1" applyBorder="1" applyAlignment="1" applyProtection="1">
      <alignment horizontal="center" vertical="center" wrapText="1"/>
      <protection hidden="1"/>
    </xf>
    <xf numFmtId="0" fontId="24" fillId="2" borderId="7" xfId="0" applyFont="1" applyFill="1" applyBorder="1" applyAlignment="1" applyProtection="1">
      <alignment horizontal="center" vertical="center" wrapText="1"/>
      <protection hidden="1"/>
    </xf>
    <xf numFmtId="0" fontId="24" fillId="2" borderId="8" xfId="0" applyFont="1" applyFill="1" applyBorder="1" applyAlignment="1" applyProtection="1">
      <alignment horizontal="center" vertical="center" wrapText="1"/>
      <protection hidden="1"/>
    </xf>
    <xf numFmtId="0" fontId="24" fillId="2" borderId="5" xfId="0" applyFont="1" applyFill="1" applyBorder="1" applyAlignment="1" applyProtection="1">
      <alignment horizontal="center" vertical="center" wrapText="1"/>
      <protection hidden="1"/>
    </xf>
    <xf numFmtId="0" fontId="24" fillId="2" borderId="9" xfId="0" applyFont="1" applyFill="1" applyBorder="1" applyAlignment="1" applyProtection="1">
      <alignment horizontal="center" vertical="center" wrapText="1"/>
      <protection hidden="1"/>
    </xf>
    <xf numFmtId="0" fontId="24" fillId="2" borderId="38" xfId="0" applyFont="1" applyFill="1" applyBorder="1" applyAlignment="1" applyProtection="1">
      <alignment horizontal="left" vertical="center" wrapText="1"/>
      <protection hidden="1"/>
    </xf>
    <xf numFmtId="0" fontId="1" fillId="2" borderId="38" xfId="0" applyFont="1" applyFill="1" applyBorder="1" applyAlignment="1" applyProtection="1">
      <alignment horizontal="center" vertical="center"/>
      <protection hidden="1"/>
    </xf>
    <xf numFmtId="0" fontId="24" fillId="2" borderId="53" xfId="0" applyFont="1" applyFill="1" applyBorder="1" applyAlignment="1" applyProtection="1">
      <alignment horizontal="left" vertical="center" wrapText="1"/>
      <protection hidden="1"/>
    </xf>
    <xf numFmtId="0" fontId="3" fillId="2" borderId="53" xfId="0" applyFont="1" applyFill="1" applyBorder="1" applyAlignment="1" applyProtection="1">
      <alignment horizontal="center"/>
      <protection hidden="1"/>
    </xf>
    <xf numFmtId="0" fontId="29" fillId="2" borderId="4" xfId="0" applyFont="1" applyFill="1" applyBorder="1" applyAlignment="1" applyProtection="1">
      <alignment horizontal="left" vertical="center" indent="4"/>
      <protection hidden="1"/>
    </xf>
    <xf numFmtId="0" fontId="24" fillId="2" borderId="2" xfId="0" applyFont="1" applyFill="1" applyBorder="1" applyAlignment="1" applyProtection="1">
      <alignment horizontal="center" vertical="center" wrapText="1"/>
      <protection hidden="1"/>
    </xf>
    <xf numFmtId="0" fontId="24" fillId="2" borderId="4" xfId="0" applyFont="1" applyFill="1" applyBorder="1" applyAlignment="1" applyProtection="1">
      <alignment horizontal="center" vertical="center" wrapText="1"/>
      <protection hidden="1"/>
    </xf>
    <xf numFmtId="0" fontId="23" fillId="4" borderId="47" xfId="0" applyFont="1" applyFill="1" applyBorder="1" applyAlignment="1" applyProtection="1">
      <alignment horizontal="center" vertical="center"/>
      <protection hidden="1"/>
    </xf>
    <xf numFmtId="0" fontId="1" fillId="2" borderId="39" xfId="0" applyFont="1" applyFill="1" applyBorder="1" applyAlignment="1" applyProtection="1">
      <alignment horizontal="center" vertical="center"/>
      <protection hidden="1"/>
    </xf>
    <xf numFmtId="0" fontId="24" fillId="2" borderId="11" xfId="0" applyFont="1" applyFill="1" applyBorder="1" applyAlignment="1" applyProtection="1">
      <alignment horizontal="center" vertical="center" wrapText="1"/>
      <protection hidden="1"/>
    </xf>
    <xf numFmtId="0" fontId="24" fillId="2" borderId="12"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protection hidden="1"/>
    </xf>
    <xf numFmtId="0" fontId="23" fillId="4" borderId="13" xfId="0" applyFont="1" applyFill="1" applyBorder="1" applyAlignment="1" applyProtection="1">
      <alignment horizontal="center" vertical="center"/>
      <protection hidden="1"/>
    </xf>
    <xf numFmtId="0" fontId="3" fillId="2" borderId="40" xfId="0" applyFont="1" applyFill="1" applyBorder="1" applyAlignment="1" applyProtection="1">
      <alignment horizontal="center"/>
      <protection hidden="1"/>
    </xf>
    <xf numFmtId="0" fontId="23" fillId="20" borderId="0" xfId="0" applyFont="1" applyFill="1" applyAlignment="1" applyProtection="1">
      <alignment horizontal="center" vertical="center"/>
      <protection hidden="1"/>
    </xf>
    <xf numFmtId="0" fontId="0" fillId="19" borderId="1" xfId="0" applyFill="1" applyBorder="1" applyAlignment="1" applyProtection="1">
      <alignment horizontal="left" vertical="center" wrapText="1"/>
      <protection locked="0" hidden="1"/>
    </xf>
    <xf numFmtId="0" fontId="0" fillId="19" borderId="1" xfId="0" applyFill="1" applyBorder="1" applyAlignment="1" applyProtection="1">
      <alignment horizontal="center" vertical="center" wrapText="1"/>
      <protection locked="0" hidden="1"/>
    </xf>
    <xf numFmtId="0" fontId="1" fillId="11" borderId="1" xfId="0" applyFont="1" applyFill="1" applyBorder="1" applyAlignment="1" applyProtection="1">
      <alignment horizontal="center" vertical="center" wrapText="1"/>
      <protection hidden="1"/>
    </xf>
    <xf numFmtId="0" fontId="1" fillId="11" borderId="1" xfId="0" applyFont="1" applyFill="1" applyBorder="1" applyAlignment="1" applyProtection="1">
      <alignment horizontal="center" vertical="center"/>
      <protection hidden="1"/>
    </xf>
    <xf numFmtId="0" fontId="12" fillId="2" borderId="0" xfId="0" applyFont="1" applyFill="1" applyAlignment="1" applyProtection="1">
      <alignment horizontal="center"/>
      <protection hidden="1"/>
    </xf>
    <xf numFmtId="0" fontId="1" fillId="3" borderId="5" xfId="0" applyFont="1" applyFill="1" applyBorder="1" applyAlignment="1" applyProtection="1">
      <alignment horizontal="center"/>
      <protection hidden="1"/>
    </xf>
  </cellXfs>
  <cellStyles count="2">
    <cellStyle name="Hyperlink" xfId="1" builtinId="8"/>
    <cellStyle name="Normal" xfId="0" builtinId="0"/>
  </cellStyles>
  <dxfs count="19">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SumFcl!A1"/><Relationship Id="rId3" Type="http://schemas.openxmlformats.org/officeDocument/2006/relationships/hyperlink" Target="#HFPlTm!A1"/><Relationship Id="rId7" Type="http://schemas.openxmlformats.org/officeDocument/2006/relationships/hyperlink" Target="#SumCncl!B1"/><Relationship Id="rId2" Type="http://schemas.openxmlformats.org/officeDocument/2006/relationships/hyperlink" Target="#Var!D7"/><Relationship Id="rId1" Type="http://schemas.openxmlformats.org/officeDocument/2006/relationships/image" Target="../media/image1.png"/><Relationship Id="rId6" Type="http://schemas.openxmlformats.org/officeDocument/2006/relationships/hyperlink" Target="#VacDelHQ!B11"/><Relationship Id="rId5" Type="http://schemas.openxmlformats.org/officeDocument/2006/relationships/hyperlink" Target="#CoChMn!O8"/><Relationship Id="rId10" Type="http://schemas.openxmlformats.org/officeDocument/2006/relationships/hyperlink" Target="#SupPl!A1"/><Relationship Id="rId4" Type="http://schemas.openxmlformats.org/officeDocument/2006/relationships/hyperlink" Target="#CHMTCmTm!B12"/><Relationship Id="rId9" Type="http://schemas.openxmlformats.org/officeDocument/2006/relationships/hyperlink" Target="#CHMTCmTmforFac!A1"/></Relationships>
</file>

<file path=xl/drawings/_rels/drawing2.xml.rels><?xml version="1.0" encoding="UTF-8" standalone="yes"?>
<Relationships xmlns="http://schemas.openxmlformats.org/package/2006/relationships"><Relationship Id="rId3" Type="http://schemas.openxmlformats.org/officeDocument/2006/relationships/hyperlink" Target="#SumCncl!A1"/><Relationship Id="rId2" Type="http://schemas.openxmlformats.org/officeDocument/2006/relationships/hyperlink" Target="#CHMTCmTm!B12"/><Relationship Id="rId1" Type="http://schemas.openxmlformats.org/officeDocument/2006/relationships/hyperlink" Target="#Index!A1"/><Relationship Id="rId4" Type="http://schemas.openxmlformats.org/officeDocument/2006/relationships/hyperlink" Target="#SumFcl!A1"/></Relationships>
</file>

<file path=xl/drawings/_rels/drawing3.xml.rels><?xml version="1.0" encoding="UTF-8" standalone="yes"?>
<Relationships xmlns="http://schemas.openxmlformats.org/package/2006/relationships"><Relationship Id="rId3" Type="http://schemas.openxmlformats.org/officeDocument/2006/relationships/hyperlink" Target="#CoChMn!O8"/><Relationship Id="rId2" Type="http://schemas.openxmlformats.org/officeDocument/2006/relationships/hyperlink" Target="#Var!D7"/><Relationship Id="rId1" Type="http://schemas.openxmlformats.org/officeDocument/2006/relationships/hyperlink" Target="#Index!A1"/><Relationship Id="rId6" Type="http://schemas.openxmlformats.org/officeDocument/2006/relationships/hyperlink" Target="#SumFcl!A1"/><Relationship Id="rId5" Type="http://schemas.openxmlformats.org/officeDocument/2006/relationships/hyperlink" Target="#VacDelHQ!B11"/><Relationship Id="rId4" Type="http://schemas.openxmlformats.org/officeDocument/2006/relationships/hyperlink" Target="#SumCncl!A1"/></Relationships>
</file>

<file path=xl/drawings/_rels/drawing4.xml.rels><?xml version="1.0" encoding="UTF-8" standalone="yes"?>
<Relationships xmlns="http://schemas.openxmlformats.org/package/2006/relationships"><Relationship Id="rId3" Type="http://schemas.openxmlformats.org/officeDocument/2006/relationships/hyperlink" Target="#VacDelHQ!B11"/><Relationship Id="rId2" Type="http://schemas.openxmlformats.org/officeDocument/2006/relationships/hyperlink" Target="#CHMTCmTm!B12"/><Relationship Id="rId1" Type="http://schemas.openxmlformats.org/officeDocument/2006/relationships/hyperlink" Target="#Index!A1"/><Relationship Id="rId5" Type="http://schemas.openxmlformats.org/officeDocument/2006/relationships/hyperlink" Target="#SumFcl!A1"/><Relationship Id="rId4" Type="http://schemas.openxmlformats.org/officeDocument/2006/relationships/hyperlink" Target="#SumCncl!A1"/></Relationships>
</file>

<file path=xl/drawings/_rels/drawing5.xml.rels><?xml version="1.0" encoding="UTF-8" standalone="yes"?>
<Relationships xmlns="http://schemas.openxmlformats.org/package/2006/relationships"><Relationship Id="rId3" Type="http://schemas.openxmlformats.org/officeDocument/2006/relationships/hyperlink" Target="#SumCncl!A1"/><Relationship Id="rId2" Type="http://schemas.openxmlformats.org/officeDocument/2006/relationships/hyperlink" Target="#CoChMn!O8"/><Relationship Id="rId1" Type="http://schemas.openxmlformats.org/officeDocument/2006/relationships/hyperlink" Target="#Index!A1"/><Relationship Id="rId5" Type="http://schemas.openxmlformats.org/officeDocument/2006/relationships/hyperlink" Target="#SumFcl!A1"/><Relationship Id="rId4" Type="http://schemas.openxmlformats.org/officeDocument/2006/relationships/hyperlink" Target="#CHMTCmTmforFac!A1"/></Relationships>
</file>

<file path=xl/drawings/_rels/drawing6.xml.rels><?xml version="1.0" encoding="UTF-8" standalone="yes"?>
<Relationships xmlns="http://schemas.openxmlformats.org/package/2006/relationships"><Relationship Id="rId3" Type="http://schemas.openxmlformats.org/officeDocument/2006/relationships/hyperlink" Target="#CoChMn!B14"/><Relationship Id="rId2" Type="http://schemas.openxmlformats.org/officeDocument/2006/relationships/hyperlink" Target="#SumCncl!A1"/><Relationship Id="rId1" Type="http://schemas.openxmlformats.org/officeDocument/2006/relationships/hyperlink" Target="#Index!A1"/><Relationship Id="rId4" Type="http://schemas.openxmlformats.org/officeDocument/2006/relationships/hyperlink" Target="#SumFcl!J6"/></Relationships>
</file>

<file path=xl/drawings/_rels/drawing7.xml.rels><?xml version="1.0" encoding="UTF-8" standalone="yes"?>
<Relationships xmlns="http://schemas.openxmlformats.org/package/2006/relationships"><Relationship Id="rId3" Type="http://schemas.openxmlformats.org/officeDocument/2006/relationships/hyperlink" Target="#CHMTCmTmforFac!A1"/><Relationship Id="rId2" Type="http://schemas.openxmlformats.org/officeDocument/2006/relationships/hyperlink" Target="#SumFcl!A1"/><Relationship Id="rId1" Type="http://schemas.openxmlformats.org/officeDocument/2006/relationships/hyperlink" Target="#Index!A1"/><Relationship Id="rId4" Type="http://schemas.openxmlformats.org/officeDocument/2006/relationships/hyperlink" Target="#CoChMn!B14"/></Relationships>
</file>

<file path=xl/drawings/_rels/drawing8.xml.rels><?xml version="1.0" encoding="UTF-8" standalone="yes"?>
<Relationships xmlns="http://schemas.openxmlformats.org/package/2006/relationships"><Relationship Id="rId3" Type="http://schemas.openxmlformats.org/officeDocument/2006/relationships/hyperlink" Target="#CHMTCmTmforFac!A1"/><Relationship Id="rId2" Type="http://schemas.openxmlformats.org/officeDocument/2006/relationships/hyperlink" Target="#SumCncl!A1"/><Relationship Id="rId1" Type="http://schemas.openxmlformats.org/officeDocument/2006/relationships/hyperlink" Target="#Index!A1"/><Relationship Id="rId4" Type="http://schemas.openxmlformats.org/officeDocument/2006/relationships/hyperlink" Target="#CoChMn!B14"/></Relationships>
</file>

<file path=xl/drawings/_rels/drawing9.xml.rels><?xml version="1.0" encoding="UTF-8" standalone="yes"?>
<Relationships xmlns="http://schemas.openxmlformats.org/package/2006/relationships"><Relationship Id="rId1" Type="http://schemas.openxmlformats.org/officeDocument/2006/relationships/hyperlink" Target="#Index!A1"/></Relationships>
</file>

<file path=xl/drawings/_rels/drawing10.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5</xdr:col>
      <xdr:colOff>72839</xdr:colOff>
      <xdr:row>10</xdr:row>
      <xdr:rowOff>23375</xdr:rowOff>
    </xdr:from>
    <xdr:to>
      <xdr:col>5</xdr:col>
      <xdr:colOff>347159</xdr:colOff>
      <xdr:row>11</xdr:row>
      <xdr:rowOff>78923</xdr:rowOff>
    </xdr:to>
    <xdr:sp macro="" textlink="">
      <xdr:nvSpPr>
        <xdr:cNvPr id="4" name="Right Arrow 3">
          <a:extLst>
            <a:ext uri="{FF2B5EF4-FFF2-40B4-BE49-F238E27FC236}">
              <a16:creationId xmlns:a16="http://schemas.microsoft.com/office/drawing/2014/main" id="{00000000-0008-0000-0000-000004000000}"/>
            </a:ext>
          </a:extLst>
        </xdr:cNvPr>
        <xdr:cNvSpPr/>
      </xdr:nvSpPr>
      <xdr:spPr>
        <a:xfrm>
          <a:off x="3134446" y="2377411"/>
          <a:ext cx="274320" cy="24604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593912</xdr:colOff>
      <xdr:row>23</xdr:row>
      <xdr:rowOff>11207</xdr:rowOff>
    </xdr:from>
    <xdr:to>
      <xdr:col>12</xdr:col>
      <xdr:colOff>7844</xdr:colOff>
      <xdr:row>25</xdr:row>
      <xdr:rowOff>107017</xdr:rowOff>
    </xdr:to>
    <xdr:pic>
      <xdr:nvPicPr>
        <xdr:cNvPr id="11" name="Picture 10" descr="http://www.mcsprogram.org/wp-content/uploads/2014/11/logo.png">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0" y="4426325"/>
          <a:ext cx="3649756" cy="656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448220</xdr:colOff>
      <xdr:row>8</xdr:row>
      <xdr:rowOff>143275</xdr:rowOff>
    </xdr:from>
    <xdr:to>
      <xdr:col>5</xdr:col>
      <xdr:colOff>39430</xdr:colOff>
      <xdr:row>12</xdr:row>
      <xdr:rowOff>146605</xdr:rowOff>
    </xdr:to>
    <xdr:sp macro="" textlink="">
      <xdr:nvSpPr>
        <xdr:cNvPr id="15" name="Rectangle 14">
          <a:hlinkClick xmlns:r="http://schemas.openxmlformats.org/officeDocument/2006/relationships" r:id="rId2" tooltip="CLICK TO ACCESS SHEET FOR SETTING UP VARIABLES"/>
          <a:extLst>
            <a:ext uri="{FF2B5EF4-FFF2-40B4-BE49-F238E27FC236}">
              <a16:creationId xmlns:a16="http://schemas.microsoft.com/office/drawing/2014/main" id="{00000000-0008-0000-0000-00000F000000}"/>
            </a:ext>
          </a:extLst>
        </xdr:cNvPr>
        <xdr:cNvSpPr/>
      </xdr:nvSpPr>
      <xdr:spPr>
        <a:xfrm>
          <a:off x="1060541" y="2116311"/>
          <a:ext cx="2040496" cy="819758"/>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SETTING UP VARIABLES</a:t>
          </a:r>
        </a:p>
      </xdr:txBody>
    </xdr:sp>
    <xdr:clientData/>
  </xdr:twoCellAnchor>
  <xdr:twoCellAnchor>
    <xdr:from>
      <xdr:col>1</xdr:col>
      <xdr:colOff>354092</xdr:colOff>
      <xdr:row>20</xdr:row>
      <xdr:rowOff>96370</xdr:rowOff>
    </xdr:from>
    <xdr:to>
      <xdr:col>4</xdr:col>
      <xdr:colOff>600620</xdr:colOff>
      <xdr:row>24</xdr:row>
      <xdr:rowOff>3201</xdr:rowOff>
    </xdr:to>
    <xdr:sp macro="" textlink="">
      <xdr:nvSpPr>
        <xdr:cNvPr id="12" name="Rectangle 11">
          <a:hlinkClick xmlns:r="http://schemas.openxmlformats.org/officeDocument/2006/relationships" r:id="rId3" tooltip="CLICK TO TAKE PRINT OF HEALTH FACILITY LEVEL PLANNING TEMPLATE"/>
          <a:extLst>
            <a:ext uri="{FF2B5EF4-FFF2-40B4-BE49-F238E27FC236}">
              <a16:creationId xmlns:a16="http://schemas.microsoft.com/office/drawing/2014/main" id="{00000000-0008-0000-0000-00000C000000}"/>
            </a:ext>
          </a:extLst>
        </xdr:cNvPr>
        <xdr:cNvSpPr/>
      </xdr:nvSpPr>
      <xdr:spPr>
        <a:xfrm>
          <a:off x="966413" y="5062977"/>
          <a:ext cx="2083493" cy="750474"/>
        </a:xfrm>
        <a:prstGeom prst="rect">
          <a:avLst/>
        </a:prstGeom>
        <a:solidFill>
          <a:schemeClr val="accent4">
            <a:lumMod val="60000"/>
            <a:lumOff val="40000"/>
          </a:schemeClr>
        </a:solidFill>
        <a:ln w="28575">
          <a:noFill/>
        </a:ln>
        <a:effectLst>
          <a:glow rad="228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HEALTH FACILITY PLANNING</a:t>
          </a:r>
          <a:r>
            <a:rPr lang="en-US" sz="1400" b="1" baseline="0">
              <a:solidFill>
                <a:schemeClr val="tx1"/>
              </a:solidFill>
            </a:rPr>
            <a:t> TEMPLATE </a:t>
          </a:r>
          <a:endParaRPr lang="en-US" sz="1400" b="1">
            <a:solidFill>
              <a:schemeClr val="tx1"/>
            </a:solidFill>
          </a:endParaRPr>
        </a:p>
      </xdr:txBody>
    </xdr:sp>
    <xdr:clientData/>
  </xdr:twoCellAnchor>
  <xdr:twoCellAnchor>
    <xdr:from>
      <xdr:col>5</xdr:col>
      <xdr:colOff>349609</xdr:colOff>
      <xdr:row>8</xdr:row>
      <xdr:rowOff>145515</xdr:rowOff>
    </xdr:from>
    <xdr:to>
      <xdr:col>8</xdr:col>
      <xdr:colOff>545936</xdr:colOff>
      <xdr:row>12</xdr:row>
      <xdr:rowOff>148845</xdr:rowOff>
    </xdr:to>
    <xdr:sp macro="" textlink="">
      <xdr:nvSpPr>
        <xdr:cNvPr id="13" name="Rectangle 12">
          <a:hlinkClick xmlns:r="http://schemas.openxmlformats.org/officeDocument/2006/relationships" r:id="rId4" tooltip="CLICK TO ACCESS COMPILATION SHEET FOR HEALTH FACILITY PLANS"/>
          <a:extLst>
            <a:ext uri="{FF2B5EF4-FFF2-40B4-BE49-F238E27FC236}">
              <a16:creationId xmlns:a16="http://schemas.microsoft.com/office/drawing/2014/main" id="{00000000-0008-0000-0000-00000D000000}"/>
            </a:ext>
          </a:extLst>
        </xdr:cNvPr>
        <xdr:cNvSpPr/>
      </xdr:nvSpPr>
      <xdr:spPr>
        <a:xfrm>
          <a:off x="3411216" y="2118551"/>
          <a:ext cx="2033291" cy="819758"/>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COMPILATION</a:t>
          </a:r>
          <a:r>
            <a:rPr lang="en-US" sz="1400" b="1" baseline="0">
              <a:solidFill>
                <a:schemeClr val="tx1"/>
              </a:solidFill>
            </a:rPr>
            <a:t> SHEET FOR HEALTH FACILITY PLANS</a:t>
          </a:r>
          <a:endParaRPr lang="en-US" sz="1400" b="1">
            <a:solidFill>
              <a:schemeClr val="tx1"/>
            </a:solidFill>
          </a:endParaRPr>
        </a:p>
      </xdr:txBody>
    </xdr:sp>
    <xdr:clientData/>
  </xdr:twoCellAnchor>
  <xdr:twoCellAnchor>
    <xdr:from>
      <xdr:col>9</xdr:col>
      <xdr:colOff>233068</xdr:colOff>
      <xdr:row>8</xdr:row>
      <xdr:rowOff>141036</xdr:rowOff>
    </xdr:from>
    <xdr:to>
      <xdr:col>12</xdr:col>
      <xdr:colOff>429395</xdr:colOff>
      <xdr:row>12</xdr:row>
      <xdr:rowOff>144366</xdr:rowOff>
    </xdr:to>
    <xdr:sp macro="" textlink="">
      <xdr:nvSpPr>
        <xdr:cNvPr id="14" name="Rectangle 13">
          <a:hlinkClick xmlns:r="http://schemas.openxmlformats.org/officeDocument/2006/relationships" r:id="rId5" tooltip="CLICK TO ACCESS COLD CHAIN MAINTENANCE PLAN"/>
          <a:extLst>
            <a:ext uri="{FF2B5EF4-FFF2-40B4-BE49-F238E27FC236}">
              <a16:creationId xmlns:a16="http://schemas.microsoft.com/office/drawing/2014/main" id="{00000000-0008-0000-0000-00000E000000}"/>
            </a:ext>
          </a:extLst>
        </xdr:cNvPr>
        <xdr:cNvSpPr/>
      </xdr:nvSpPr>
      <xdr:spPr>
        <a:xfrm>
          <a:off x="5743961" y="2114072"/>
          <a:ext cx="2033291" cy="819758"/>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COLD CHAIN MAINTENANCE PLAN</a:t>
          </a:r>
        </a:p>
      </xdr:txBody>
    </xdr:sp>
    <xdr:clientData/>
  </xdr:twoCellAnchor>
  <xdr:twoCellAnchor>
    <xdr:from>
      <xdr:col>13</xdr:col>
      <xdr:colOff>105321</xdr:colOff>
      <xdr:row>8</xdr:row>
      <xdr:rowOff>136553</xdr:rowOff>
    </xdr:from>
    <xdr:to>
      <xdr:col>16</xdr:col>
      <xdr:colOff>301648</xdr:colOff>
      <xdr:row>12</xdr:row>
      <xdr:rowOff>139883</xdr:rowOff>
    </xdr:to>
    <xdr:sp macro="" textlink="">
      <xdr:nvSpPr>
        <xdr:cNvPr id="16" name="Rectangle 15">
          <a:hlinkClick xmlns:r="http://schemas.openxmlformats.org/officeDocument/2006/relationships" r:id="rId6" tooltip="CLICK TO ACCESS VACCINE DELIVERY PLAN"/>
          <a:extLst>
            <a:ext uri="{FF2B5EF4-FFF2-40B4-BE49-F238E27FC236}">
              <a16:creationId xmlns:a16="http://schemas.microsoft.com/office/drawing/2014/main" id="{00000000-0008-0000-0000-000010000000}"/>
            </a:ext>
          </a:extLst>
        </xdr:cNvPr>
        <xdr:cNvSpPr/>
      </xdr:nvSpPr>
      <xdr:spPr>
        <a:xfrm>
          <a:off x="8065500" y="2109589"/>
          <a:ext cx="2033291" cy="819758"/>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rPr>
            <a:t>VACCINE DELIVERY PLAN FOR DISTRICT HQ</a:t>
          </a:r>
          <a:endParaRPr lang="en-US" sz="1400" b="1">
            <a:solidFill>
              <a:schemeClr val="tx1"/>
            </a:solidFill>
          </a:endParaRPr>
        </a:p>
      </xdr:txBody>
    </xdr:sp>
    <xdr:clientData/>
  </xdr:twoCellAnchor>
  <xdr:twoCellAnchor>
    <xdr:from>
      <xdr:col>3</xdr:col>
      <xdr:colOff>380982</xdr:colOff>
      <xdr:row>15</xdr:row>
      <xdr:rowOff>113659</xdr:rowOff>
    </xdr:from>
    <xdr:to>
      <xdr:col>6</xdr:col>
      <xdr:colOff>577309</xdr:colOff>
      <xdr:row>18</xdr:row>
      <xdr:rowOff>185825</xdr:rowOff>
    </xdr:to>
    <xdr:sp macro="" textlink="">
      <xdr:nvSpPr>
        <xdr:cNvPr id="17" name="Rectangle 16">
          <a:hlinkClick xmlns:r="http://schemas.openxmlformats.org/officeDocument/2006/relationships" r:id="rId7" tooltip="CLICK TO ACCESS COUNCIL SUMMARY"/>
          <a:extLst>
            <a:ext uri="{FF2B5EF4-FFF2-40B4-BE49-F238E27FC236}">
              <a16:creationId xmlns:a16="http://schemas.microsoft.com/office/drawing/2014/main" id="{00000000-0008-0000-0000-000011000000}"/>
            </a:ext>
          </a:extLst>
        </xdr:cNvPr>
        <xdr:cNvSpPr/>
      </xdr:nvSpPr>
      <xdr:spPr>
        <a:xfrm>
          <a:off x="2217946" y="3705945"/>
          <a:ext cx="2033292" cy="806951"/>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SUMMARY PLAN                    COUNCIL</a:t>
          </a:r>
        </a:p>
      </xdr:txBody>
    </xdr:sp>
    <xdr:clientData/>
  </xdr:twoCellAnchor>
  <xdr:twoCellAnchor>
    <xdr:from>
      <xdr:col>8</xdr:col>
      <xdr:colOff>572619</xdr:colOff>
      <xdr:row>10</xdr:row>
      <xdr:rowOff>18891</xdr:rowOff>
    </xdr:from>
    <xdr:to>
      <xdr:col>9</xdr:col>
      <xdr:colOff>241821</xdr:colOff>
      <xdr:row>11</xdr:row>
      <xdr:rowOff>74439</xdr:rowOff>
    </xdr:to>
    <xdr:sp macro="" textlink="">
      <xdr:nvSpPr>
        <xdr:cNvPr id="19" name="Right Arrow 18">
          <a:extLst>
            <a:ext uri="{FF2B5EF4-FFF2-40B4-BE49-F238E27FC236}">
              <a16:creationId xmlns:a16="http://schemas.microsoft.com/office/drawing/2014/main" id="{00000000-0008-0000-0000-000013000000}"/>
            </a:ext>
          </a:extLst>
        </xdr:cNvPr>
        <xdr:cNvSpPr/>
      </xdr:nvSpPr>
      <xdr:spPr>
        <a:xfrm>
          <a:off x="5471190" y="2372927"/>
          <a:ext cx="281524" cy="24604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444869</xdr:colOff>
      <xdr:row>10</xdr:row>
      <xdr:rowOff>14407</xdr:rowOff>
    </xdr:from>
    <xdr:to>
      <xdr:col>13</xdr:col>
      <xdr:colOff>114072</xdr:colOff>
      <xdr:row>11</xdr:row>
      <xdr:rowOff>69955</xdr:rowOff>
    </xdr:to>
    <xdr:sp macro="" textlink="">
      <xdr:nvSpPr>
        <xdr:cNvPr id="20" name="Right Arrow 19">
          <a:extLst>
            <a:ext uri="{FF2B5EF4-FFF2-40B4-BE49-F238E27FC236}">
              <a16:creationId xmlns:a16="http://schemas.microsoft.com/office/drawing/2014/main" id="{00000000-0008-0000-0000-000014000000}"/>
            </a:ext>
          </a:extLst>
        </xdr:cNvPr>
        <xdr:cNvSpPr/>
      </xdr:nvSpPr>
      <xdr:spPr>
        <a:xfrm>
          <a:off x="7792726" y="2368443"/>
          <a:ext cx="281525" cy="24604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183615</xdr:colOff>
      <xdr:row>15</xdr:row>
      <xdr:rowOff>109172</xdr:rowOff>
    </xdr:from>
    <xdr:to>
      <xdr:col>14</xdr:col>
      <xdr:colOff>379943</xdr:colOff>
      <xdr:row>18</xdr:row>
      <xdr:rowOff>181338</xdr:rowOff>
    </xdr:to>
    <xdr:sp macro="" textlink="">
      <xdr:nvSpPr>
        <xdr:cNvPr id="21" name="Rectangle 20">
          <a:hlinkClick xmlns:r="http://schemas.openxmlformats.org/officeDocument/2006/relationships" r:id="rId8" tooltip="CLICK TO ACCESS PLAN SUMMARY FOR SELECTED HEALTH FACILITY"/>
          <a:extLst>
            <a:ext uri="{FF2B5EF4-FFF2-40B4-BE49-F238E27FC236}">
              <a16:creationId xmlns:a16="http://schemas.microsoft.com/office/drawing/2014/main" id="{00000000-0008-0000-0000-000015000000}"/>
            </a:ext>
          </a:extLst>
        </xdr:cNvPr>
        <xdr:cNvSpPr/>
      </xdr:nvSpPr>
      <xdr:spPr>
        <a:xfrm>
          <a:off x="6919151" y="3687851"/>
          <a:ext cx="2033292" cy="806951"/>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SUMMARY PLAN                    HEALTH</a:t>
          </a:r>
          <a:r>
            <a:rPr lang="en-US" sz="1400" b="1" baseline="0">
              <a:solidFill>
                <a:schemeClr val="tx1"/>
              </a:solidFill>
            </a:rPr>
            <a:t> FACILITIES</a:t>
          </a:r>
          <a:endParaRPr lang="en-US" sz="1400" b="1">
            <a:solidFill>
              <a:schemeClr val="tx1"/>
            </a:solidFill>
          </a:endParaRPr>
        </a:p>
      </xdr:txBody>
    </xdr:sp>
    <xdr:clientData/>
  </xdr:twoCellAnchor>
  <xdr:twoCellAnchor>
    <xdr:from>
      <xdr:col>7</xdr:col>
      <xdr:colOff>275985</xdr:colOff>
      <xdr:row>15</xdr:row>
      <xdr:rowOff>113496</xdr:rowOff>
    </xdr:from>
    <xdr:to>
      <xdr:col>10</xdr:col>
      <xdr:colOff>472312</xdr:colOff>
      <xdr:row>18</xdr:row>
      <xdr:rowOff>185662</xdr:rowOff>
    </xdr:to>
    <xdr:sp macro="" textlink="">
      <xdr:nvSpPr>
        <xdr:cNvPr id="22" name="Rectangle 21">
          <a:hlinkClick xmlns:r="http://schemas.openxmlformats.org/officeDocument/2006/relationships" r:id="rId9" tooltip="CLICK TO ACCESS HEALTH FACILITY SERVICE DELIVERY PLAN FOR SELECTING HEALTH FACILITY"/>
          <a:extLst>
            <a:ext uri="{FF2B5EF4-FFF2-40B4-BE49-F238E27FC236}">
              <a16:creationId xmlns:a16="http://schemas.microsoft.com/office/drawing/2014/main" id="{00000000-0008-0000-0000-000016000000}"/>
            </a:ext>
          </a:extLst>
        </xdr:cNvPr>
        <xdr:cNvSpPr/>
      </xdr:nvSpPr>
      <xdr:spPr>
        <a:xfrm>
          <a:off x="4562235" y="3692175"/>
          <a:ext cx="2033291" cy="806951"/>
        </a:xfrm>
        <a:prstGeom prst="rect">
          <a:avLst/>
        </a:prstGeom>
        <a:solidFill>
          <a:schemeClr val="accent1">
            <a:lumMod val="40000"/>
            <a:lumOff val="60000"/>
          </a:schemeClr>
        </a:solidFill>
        <a:ln w="28575">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SERVICE</a:t>
          </a:r>
          <a:r>
            <a:rPr lang="en-US" sz="1400" b="1" baseline="0">
              <a:solidFill>
                <a:schemeClr val="tx1"/>
              </a:solidFill>
            </a:rPr>
            <a:t> DELIVERY PLAN                  HEALTH FACILITIES</a:t>
          </a:r>
          <a:endParaRPr lang="en-US" sz="1400" b="1">
            <a:solidFill>
              <a:schemeClr val="tx1"/>
            </a:solidFill>
          </a:endParaRPr>
        </a:p>
      </xdr:txBody>
    </xdr:sp>
    <xdr:clientData/>
  </xdr:twoCellAnchor>
  <xdr:twoCellAnchor>
    <xdr:from>
      <xdr:col>12</xdr:col>
      <xdr:colOff>547298</xdr:colOff>
      <xdr:row>20</xdr:row>
      <xdr:rowOff>112698</xdr:rowOff>
    </xdr:from>
    <xdr:to>
      <xdr:col>16</xdr:col>
      <xdr:colOff>181505</xdr:colOff>
      <xdr:row>24</xdr:row>
      <xdr:rowOff>19529</xdr:rowOff>
    </xdr:to>
    <xdr:sp macro="" textlink="">
      <xdr:nvSpPr>
        <xdr:cNvPr id="26" name="Rectangle 25">
          <a:hlinkClick xmlns:r="http://schemas.openxmlformats.org/officeDocument/2006/relationships" r:id="rId10" tooltip="CLICK TO ACCESS &quot;SUPERVISION PLAN FORMAT&quot;"/>
          <a:extLst>
            <a:ext uri="{FF2B5EF4-FFF2-40B4-BE49-F238E27FC236}">
              <a16:creationId xmlns:a16="http://schemas.microsoft.com/office/drawing/2014/main" id="{00000000-0008-0000-0000-00001A000000}"/>
            </a:ext>
          </a:extLst>
        </xdr:cNvPr>
        <xdr:cNvSpPr/>
      </xdr:nvSpPr>
      <xdr:spPr>
        <a:xfrm>
          <a:off x="7895155" y="4820769"/>
          <a:ext cx="2083493" cy="750474"/>
        </a:xfrm>
        <a:prstGeom prst="rect">
          <a:avLst/>
        </a:prstGeom>
        <a:solidFill>
          <a:schemeClr val="accent4">
            <a:lumMod val="60000"/>
            <a:lumOff val="40000"/>
          </a:schemeClr>
        </a:solidFill>
        <a:ln w="28575">
          <a:noFill/>
        </a:ln>
        <a:effectLst>
          <a:glow rad="2286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SUPPORTIVE SUPERVISION    PLANNING</a:t>
          </a:r>
          <a:r>
            <a:rPr lang="en-US" sz="1400" b="1" baseline="0">
              <a:solidFill>
                <a:schemeClr val="tx1"/>
              </a:solidFill>
            </a:rPr>
            <a:t> TEMPLATE </a:t>
          </a:r>
          <a:endParaRPr lang="en-US" sz="14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56030</xdr:colOff>
      <xdr:row>0</xdr:row>
      <xdr:rowOff>44824</xdr:rowOff>
    </xdr:from>
    <xdr:to>
      <xdr:col>3</xdr:col>
      <xdr:colOff>78442</xdr:colOff>
      <xdr:row>1</xdr:row>
      <xdr:rowOff>0</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100-000002000000}"/>
            </a:ext>
          </a:extLst>
        </xdr:cNvPr>
        <xdr:cNvSpPr/>
      </xdr:nvSpPr>
      <xdr:spPr>
        <a:xfrm>
          <a:off x="324971" y="44824"/>
          <a:ext cx="1232647"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INDEX</a:t>
          </a:r>
        </a:p>
      </xdr:txBody>
    </xdr:sp>
    <xdr:clientData/>
  </xdr:twoCellAnchor>
  <xdr:twoCellAnchor>
    <xdr:from>
      <xdr:col>4</xdr:col>
      <xdr:colOff>73960</xdr:colOff>
      <xdr:row>0</xdr:row>
      <xdr:rowOff>40340</xdr:rowOff>
    </xdr:from>
    <xdr:to>
      <xdr:col>5</xdr:col>
      <xdr:colOff>600637</xdr:colOff>
      <xdr:row>0</xdr:row>
      <xdr:rowOff>342898</xdr:rowOff>
    </xdr:to>
    <xdr:sp macro="" textlink="">
      <xdr:nvSpPr>
        <xdr:cNvPr id="3" name="Rectangle 2">
          <a:hlinkClick xmlns:r="http://schemas.openxmlformats.org/officeDocument/2006/relationships" r:id="rId2" tooltip="HEALTH FACILITY PLAN COMPILATION TEMPLATE"/>
          <a:extLst>
            <a:ext uri="{FF2B5EF4-FFF2-40B4-BE49-F238E27FC236}">
              <a16:creationId xmlns:a16="http://schemas.microsoft.com/office/drawing/2014/main" id="{00000000-0008-0000-0100-000003000000}"/>
            </a:ext>
          </a:extLst>
        </xdr:cNvPr>
        <xdr:cNvSpPr/>
      </xdr:nvSpPr>
      <xdr:spPr>
        <a:xfrm>
          <a:off x="1900519" y="40340"/>
          <a:ext cx="1232647"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NEXT</a:t>
          </a:r>
        </a:p>
      </xdr:txBody>
    </xdr:sp>
    <xdr:clientData/>
  </xdr:twoCellAnchor>
  <xdr:twoCellAnchor>
    <xdr:from>
      <xdr:col>6</xdr:col>
      <xdr:colOff>372043</xdr:colOff>
      <xdr:row>0</xdr:row>
      <xdr:rowOff>58268</xdr:rowOff>
    </xdr:from>
    <xdr:to>
      <xdr:col>10</xdr:col>
      <xdr:colOff>373388</xdr:colOff>
      <xdr:row>1</xdr:row>
      <xdr:rowOff>13444</xdr:rowOff>
    </xdr:to>
    <xdr:sp macro="" textlink="">
      <xdr:nvSpPr>
        <xdr:cNvPr id="5" name="Rectangle 4">
          <a:hlinkClick xmlns:r="http://schemas.openxmlformats.org/officeDocument/2006/relationships" r:id="rId3" tooltip="CLICK TO ACCESS &quot;PLAN SUMMARY FOR THE COUNCIL&quot;"/>
          <a:extLst>
            <a:ext uri="{FF2B5EF4-FFF2-40B4-BE49-F238E27FC236}">
              <a16:creationId xmlns:a16="http://schemas.microsoft.com/office/drawing/2014/main" id="{00000000-0008-0000-0100-000005000000}"/>
            </a:ext>
          </a:extLst>
        </xdr:cNvPr>
        <xdr:cNvSpPr/>
      </xdr:nvSpPr>
      <xdr:spPr>
        <a:xfrm>
          <a:off x="3509690" y="58268"/>
          <a:ext cx="292608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COUNCIL</a:t>
          </a:r>
          <a:endParaRPr lang="en-US" sz="1600" b="1">
            <a:solidFill>
              <a:schemeClr val="tx1"/>
            </a:solidFill>
          </a:endParaRPr>
        </a:p>
      </xdr:txBody>
    </xdr:sp>
    <xdr:clientData/>
  </xdr:twoCellAnchor>
  <xdr:twoCellAnchor>
    <xdr:from>
      <xdr:col>10</xdr:col>
      <xdr:colOff>580478</xdr:colOff>
      <xdr:row>0</xdr:row>
      <xdr:rowOff>53784</xdr:rowOff>
    </xdr:from>
    <xdr:to>
      <xdr:col>15</xdr:col>
      <xdr:colOff>682675</xdr:colOff>
      <xdr:row>1</xdr:row>
      <xdr:rowOff>8960</xdr:rowOff>
    </xdr:to>
    <xdr:sp macro="" textlink="">
      <xdr:nvSpPr>
        <xdr:cNvPr id="6" name="Rectangle 5">
          <a:hlinkClick xmlns:r="http://schemas.openxmlformats.org/officeDocument/2006/relationships" r:id="rId4" tooltip="CLICK TO ACCESS &quot;PLAN SUMMARY FOR THE SELECTED HEALTH FACILITY&quot;"/>
          <a:extLst>
            <a:ext uri="{FF2B5EF4-FFF2-40B4-BE49-F238E27FC236}">
              <a16:creationId xmlns:a16="http://schemas.microsoft.com/office/drawing/2014/main" id="{00000000-0008-0000-0100-000006000000}"/>
            </a:ext>
          </a:extLst>
        </xdr:cNvPr>
        <xdr:cNvSpPr/>
      </xdr:nvSpPr>
      <xdr:spPr>
        <a:xfrm>
          <a:off x="6642860" y="53784"/>
          <a:ext cx="292608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FACILITY</a:t>
          </a:r>
          <a:endParaRPr lang="en-US" sz="16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31756</xdr:colOff>
      <xdr:row>0</xdr:row>
      <xdr:rowOff>52915</xdr:rowOff>
    </xdr:from>
    <xdr:to>
      <xdr:col>3</xdr:col>
      <xdr:colOff>36737</xdr:colOff>
      <xdr:row>1</xdr:row>
      <xdr:rowOff>16806</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200-000002000000}"/>
            </a:ext>
          </a:extLst>
        </xdr:cNvPr>
        <xdr:cNvSpPr/>
      </xdr:nvSpPr>
      <xdr:spPr>
        <a:xfrm>
          <a:off x="275173" y="52915"/>
          <a:ext cx="1232647"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INDEX</a:t>
          </a:r>
        </a:p>
      </xdr:txBody>
    </xdr:sp>
    <xdr:clientData/>
  </xdr:twoCellAnchor>
  <xdr:twoCellAnchor>
    <xdr:from>
      <xdr:col>3</xdr:col>
      <xdr:colOff>179920</xdr:colOff>
      <xdr:row>0</xdr:row>
      <xdr:rowOff>52917</xdr:rowOff>
    </xdr:from>
    <xdr:to>
      <xdr:col>6</xdr:col>
      <xdr:colOff>232413</xdr:colOff>
      <xdr:row>1</xdr:row>
      <xdr:rowOff>16808</xdr:rowOff>
    </xdr:to>
    <xdr:sp macro="" textlink="">
      <xdr:nvSpPr>
        <xdr:cNvPr id="3" name="Rectangle 2">
          <a:hlinkClick xmlns:r="http://schemas.openxmlformats.org/officeDocument/2006/relationships" r:id="rId2" tooltip="CLICK TO ACCESS &quot;SETTING UP VARIABLES&quot;"/>
          <a:extLst>
            <a:ext uri="{FF2B5EF4-FFF2-40B4-BE49-F238E27FC236}">
              <a16:creationId xmlns:a16="http://schemas.microsoft.com/office/drawing/2014/main" id="{00000000-0008-0000-0200-000003000000}"/>
            </a:ext>
          </a:extLst>
        </xdr:cNvPr>
        <xdr:cNvSpPr/>
      </xdr:nvSpPr>
      <xdr:spPr>
        <a:xfrm>
          <a:off x="1651003" y="52917"/>
          <a:ext cx="12801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PREVIOUS</a:t>
          </a:r>
        </a:p>
      </xdr:txBody>
    </xdr:sp>
    <xdr:clientData/>
  </xdr:twoCellAnchor>
  <xdr:twoCellAnchor>
    <xdr:from>
      <xdr:col>6</xdr:col>
      <xdr:colOff>402172</xdr:colOff>
      <xdr:row>0</xdr:row>
      <xdr:rowOff>52916</xdr:rowOff>
    </xdr:from>
    <xdr:to>
      <xdr:col>8</xdr:col>
      <xdr:colOff>407151</xdr:colOff>
      <xdr:row>1</xdr:row>
      <xdr:rowOff>16807</xdr:rowOff>
    </xdr:to>
    <xdr:sp macro="" textlink="">
      <xdr:nvSpPr>
        <xdr:cNvPr id="4" name="Rectangle 3">
          <a:hlinkClick xmlns:r="http://schemas.openxmlformats.org/officeDocument/2006/relationships" r:id="rId3" tooltip="CLICK TO ACCESS &quot;COLD CHAIN MAINTENANCE PLAN&quot;"/>
          <a:extLst>
            <a:ext uri="{FF2B5EF4-FFF2-40B4-BE49-F238E27FC236}">
              <a16:creationId xmlns:a16="http://schemas.microsoft.com/office/drawing/2014/main" id="{00000000-0008-0000-0200-000004000000}"/>
            </a:ext>
          </a:extLst>
        </xdr:cNvPr>
        <xdr:cNvSpPr/>
      </xdr:nvSpPr>
      <xdr:spPr>
        <a:xfrm>
          <a:off x="3100922" y="52916"/>
          <a:ext cx="1232646"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NEXT</a:t>
          </a:r>
        </a:p>
      </xdr:txBody>
    </xdr:sp>
    <xdr:clientData/>
  </xdr:twoCellAnchor>
  <xdr:twoCellAnchor>
    <xdr:from>
      <xdr:col>14</xdr:col>
      <xdr:colOff>412754</xdr:colOff>
      <xdr:row>0</xdr:row>
      <xdr:rowOff>52916</xdr:rowOff>
    </xdr:from>
    <xdr:to>
      <xdr:col>19</xdr:col>
      <xdr:colOff>609181</xdr:colOff>
      <xdr:row>1</xdr:row>
      <xdr:rowOff>16807</xdr:rowOff>
    </xdr:to>
    <xdr:sp macro="" textlink="">
      <xdr:nvSpPr>
        <xdr:cNvPr id="5" name="Rectangle 4">
          <a:hlinkClick xmlns:r="http://schemas.openxmlformats.org/officeDocument/2006/relationships" r:id="rId4" tooltip="CLICK TO ACCESS &quot;PLAN SUMMARY FOR THE COUNCIL&quot;"/>
          <a:extLst>
            <a:ext uri="{FF2B5EF4-FFF2-40B4-BE49-F238E27FC236}">
              <a16:creationId xmlns:a16="http://schemas.microsoft.com/office/drawing/2014/main" id="{00000000-0008-0000-0200-000005000000}"/>
            </a:ext>
          </a:extLst>
        </xdr:cNvPr>
        <xdr:cNvSpPr/>
      </xdr:nvSpPr>
      <xdr:spPr>
        <a:xfrm>
          <a:off x="7260171" y="52916"/>
          <a:ext cx="26517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COUNCIL</a:t>
          </a:r>
          <a:endParaRPr lang="en-US" sz="1600" b="1">
            <a:solidFill>
              <a:schemeClr val="tx1"/>
            </a:solidFill>
          </a:endParaRPr>
        </a:p>
      </xdr:txBody>
    </xdr:sp>
    <xdr:clientData/>
  </xdr:twoCellAnchor>
  <xdr:twoCellAnchor>
    <xdr:from>
      <xdr:col>9</xdr:col>
      <xdr:colOff>120648</xdr:colOff>
      <xdr:row>0</xdr:row>
      <xdr:rowOff>57149</xdr:rowOff>
    </xdr:from>
    <xdr:to>
      <xdr:col>14</xdr:col>
      <xdr:colOff>246801</xdr:colOff>
      <xdr:row>1</xdr:row>
      <xdr:rowOff>21040</xdr:rowOff>
    </xdr:to>
    <xdr:sp macro="" textlink="">
      <xdr:nvSpPr>
        <xdr:cNvPr id="6" name="Rectangle 5">
          <a:hlinkClick xmlns:r="http://schemas.openxmlformats.org/officeDocument/2006/relationships" r:id="rId5" tooltip="CLICK TO ACCESS &quot;VACCINE DELIVERY PLAN&quot;"/>
          <a:extLst>
            <a:ext uri="{FF2B5EF4-FFF2-40B4-BE49-F238E27FC236}">
              <a16:creationId xmlns:a16="http://schemas.microsoft.com/office/drawing/2014/main" id="{00000000-0008-0000-0200-000006000000}"/>
            </a:ext>
          </a:extLst>
        </xdr:cNvPr>
        <xdr:cNvSpPr/>
      </xdr:nvSpPr>
      <xdr:spPr>
        <a:xfrm>
          <a:off x="4533898" y="57149"/>
          <a:ext cx="256032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VACCINE DELIVERY PLAN</a:t>
          </a:r>
        </a:p>
      </xdr:txBody>
    </xdr:sp>
    <xdr:clientData/>
  </xdr:twoCellAnchor>
  <xdr:twoCellAnchor>
    <xdr:from>
      <xdr:col>20</xdr:col>
      <xdr:colOff>173565</xdr:colOff>
      <xdr:row>0</xdr:row>
      <xdr:rowOff>57152</xdr:rowOff>
    </xdr:from>
    <xdr:to>
      <xdr:col>24</xdr:col>
      <xdr:colOff>369991</xdr:colOff>
      <xdr:row>1</xdr:row>
      <xdr:rowOff>21043</xdr:rowOff>
    </xdr:to>
    <xdr:sp macro="" textlink="">
      <xdr:nvSpPr>
        <xdr:cNvPr id="7" name="Rectangle 6">
          <a:hlinkClick xmlns:r="http://schemas.openxmlformats.org/officeDocument/2006/relationships" r:id="rId6" tooltip="CLICK TO ACCESS &quot;PLAN SUMMARY FOR THE SELECTED HEALTH FACILITY&quot;"/>
          <a:extLst>
            <a:ext uri="{FF2B5EF4-FFF2-40B4-BE49-F238E27FC236}">
              <a16:creationId xmlns:a16="http://schemas.microsoft.com/office/drawing/2014/main" id="{00000000-0008-0000-0200-000007000000}"/>
            </a:ext>
          </a:extLst>
        </xdr:cNvPr>
        <xdr:cNvSpPr/>
      </xdr:nvSpPr>
      <xdr:spPr>
        <a:xfrm>
          <a:off x="10090148" y="57152"/>
          <a:ext cx="26517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FACILITY</a:t>
          </a:r>
          <a:endParaRPr lang="en-US" sz="16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0</xdr:row>
      <xdr:rowOff>57150</xdr:rowOff>
    </xdr:from>
    <xdr:to>
      <xdr:col>2</xdr:col>
      <xdr:colOff>337185</xdr:colOff>
      <xdr:row>1</xdr:row>
      <xdr:rowOff>16808</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300-000002000000}"/>
            </a:ext>
          </a:extLst>
        </xdr:cNvPr>
        <xdr:cNvSpPr/>
      </xdr:nvSpPr>
      <xdr:spPr>
        <a:xfrm>
          <a:off x="257175" y="57150"/>
          <a:ext cx="8229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INDEX</a:t>
          </a:r>
        </a:p>
      </xdr:txBody>
    </xdr:sp>
    <xdr:clientData/>
  </xdr:twoCellAnchor>
  <xdr:twoCellAnchor>
    <xdr:from>
      <xdr:col>2</xdr:col>
      <xdr:colOff>495300</xdr:colOff>
      <xdr:row>0</xdr:row>
      <xdr:rowOff>57151</xdr:rowOff>
    </xdr:from>
    <xdr:to>
      <xdr:col>5</xdr:col>
      <xdr:colOff>472440</xdr:colOff>
      <xdr:row>1</xdr:row>
      <xdr:rowOff>16809</xdr:rowOff>
    </xdr:to>
    <xdr:sp macro="" textlink="">
      <xdr:nvSpPr>
        <xdr:cNvPr id="3" name="Rectangle 2">
          <a:hlinkClick xmlns:r="http://schemas.openxmlformats.org/officeDocument/2006/relationships" r:id="rId2" tooltip="CLICK TO ACCESS &quot;HEALTH FACILITY PLAN COMPILATION TEMPLATE&quot;"/>
          <a:extLst>
            <a:ext uri="{FF2B5EF4-FFF2-40B4-BE49-F238E27FC236}">
              <a16:creationId xmlns:a16="http://schemas.microsoft.com/office/drawing/2014/main" id="{00000000-0008-0000-0300-000003000000}"/>
            </a:ext>
          </a:extLst>
        </xdr:cNvPr>
        <xdr:cNvSpPr/>
      </xdr:nvSpPr>
      <xdr:spPr>
        <a:xfrm>
          <a:off x="1238250" y="57151"/>
          <a:ext cx="100584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PREVIOUS</a:t>
          </a:r>
        </a:p>
      </xdr:txBody>
    </xdr:sp>
    <xdr:clientData/>
  </xdr:twoCellAnchor>
  <xdr:twoCellAnchor>
    <xdr:from>
      <xdr:col>6</xdr:col>
      <xdr:colOff>11639</xdr:colOff>
      <xdr:row>0</xdr:row>
      <xdr:rowOff>57150</xdr:rowOff>
    </xdr:from>
    <xdr:to>
      <xdr:col>7</xdr:col>
      <xdr:colOff>215474</xdr:colOff>
      <xdr:row>1</xdr:row>
      <xdr:rowOff>16808</xdr:rowOff>
    </xdr:to>
    <xdr:sp macro="" textlink="">
      <xdr:nvSpPr>
        <xdr:cNvPr id="4" name="Rectangle 3">
          <a:hlinkClick xmlns:r="http://schemas.openxmlformats.org/officeDocument/2006/relationships" r:id="rId3" tooltip="CLICK TO ACCESS &quot;VACCINE DELIVERY PLAN&quot;"/>
          <a:extLst>
            <a:ext uri="{FF2B5EF4-FFF2-40B4-BE49-F238E27FC236}">
              <a16:creationId xmlns:a16="http://schemas.microsoft.com/office/drawing/2014/main" id="{00000000-0008-0000-0300-000004000000}"/>
            </a:ext>
          </a:extLst>
        </xdr:cNvPr>
        <xdr:cNvSpPr/>
      </xdr:nvSpPr>
      <xdr:spPr>
        <a:xfrm>
          <a:off x="2402414" y="57150"/>
          <a:ext cx="8229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NEXT</a:t>
          </a:r>
        </a:p>
      </xdr:txBody>
    </xdr:sp>
    <xdr:clientData/>
  </xdr:twoCellAnchor>
  <xdr:twoCellAnchor>
    <xdr:from>
      <xdr:col>7</xdr:col>
      <xdr:colOff>381000</xdr:colOff>
      <xdr:row>0</xdr:row>
      <xdr:rowOff>57150</xdr:rowOff>
    </xdr:from>
    <xdr:to>
      <xdr:col>10</xdr:col>
      <xdr:colOff>352425</xdr:colOff>
      <xdr:row>1</xdr:row>
      <xdr:rowOff>16808</xdr:rowOff>
    </xdr:to>
    <xdr:sp macro="" textlink="">
      <xdr:nvSpPr>
        <xdr:cNvPr id="5" name="Rectangle 4">
          <a:hlinkClick xmlns:r="http://schemas.openxmlformats.org/officeDocument/2006/relationships" r:id="rId4" tooltip="CLICK TO ACCESS &quot;PLAN SUMMARY FOR THE COUNCIL&quot;"/>
          <a:extLst>
            <a:ext uri="{FF2B5EF4-FFF2-40B4-BE49-F238E27FC236}">
              <a16:creationId xmlns:a16="http://schemas.microsoft.com/office/drawing/2014/main" id="{00000000-0008-0000-0300-000005000000}"/>
            </a:ext>
          </a:extLst>
        </xdr:cNvPr>
        <xdr:cNvSpPr/>
      </xdr:nvSpPr>
      <xdr:spPr>
        <a:xfrm>
          <a:off x="3390900" y="57150"/>
          <a:ext cx="182880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SUMMARY:</a:t>
          </a:r>
          <a:r>
            <a:rPr lang="en-US" sz="1400" b="1" baseline="0">
              <a:solidFill>
                <a:schemeClr val="tx1"/>
              </a:solidFill>
            </a:rPr>
            <a:t> COUNCIL</a:t>
          </a:r>
          <a:endParaRPr lang="en-US" sz="1400" b="1">
            <a:solidFill>
              <a:schemeClr val="tx1"/>
            </a:solidFill>
          </a:endParaRPr>
        </a:p>
      </xdr:txBody>
    </xdr:sp>
    <xdr:clientData/>
  </xdr:twoCellAnchor>
  <xdr:twoCellAnchor>
    <xdr:from>
      <xdr:col>10</xdr:col>
      <xdr:colOff>485775</xdr:colOff>
      <xdr:row>0</xdr:row>
      <xdr:rowOff>57150</xdr:rowOff>
    </xdr:from>
    <xdr:to>
      <xdr:col>14</xdr:col>
      <xdr:colOff>567690</xdr:colOff>
      <xdr:row>1</xdr:row>
      <xdr:rowOff>16808</xdr:rowOff>
    </xdr:to>
    <xdr:sp macro="" textlink="">
      <xdr:nvSpPr>
        <xdr:cNvPr id="6" name="Rectangle 5">
          <a:hlinkClick xmlns:r="http://schemas.openxmlformats.org/officeDocument/2006/relationships" r:id="rId5" tooltip="CLICK TO ACCESS PLAN SUMMARY FOR THE SELECTED HEALTH FACILITY"/>
          <a:extLst>
            <a:ext uri="{FF2B5EF4-FFF2-40B4-BE49-F238E27FC236}">
              <a16:creationId xmlns:a16="http://schemas.microsoft.com/office/drawing/2014/main" id="{00000000-0008-0000-0300-000006000000}"/>
            </a:ext>
          </a:extLst>
        </xdr:cNvPr>
        <xdr:cNvSpPr/>
      </xdr:nvSpPr>
      <xdr:spPr>
        <a:xfrm>
          <a:off x="5353050" y="57150"/>
          <a:ext cx="192024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SUMMARY:</a:t>
          </a:r>
          <a:r>
            <a:rPr lang="en-US" sz="1400" b="1" baseline="0">
              <a:solidFill>
                <a:schemeClr val="tx1"/>
              </a:solidFill>
            </a:rPr>
            <a:t> FACILITY</a:t>
          </a:r>
          <a:endParaRPr lang="en-US" sz="14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31749</xdr:colOff>
      <xdr:row>0</xdr:row>
      <xdr:rowOff>63498</xdr:rowOff>
    </xdr:from>
    <xdr:to>
      <xdr:col>3</xdr:col>
      <xdr:colOff>85089</xdr:colOff>
      <xdr:row>1</xdr:row>
      <xdr:rowOff>27389</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400-000002000000}"/>
            </a:ext>
          </a:extLst>
        </xdr:cNvPr>
        <xdr:cNvSpPr/>
      </xdr:nvSpPr>
      <xdr:spPr>
        <a:xfrm>
          <a:off x="391582" y="63498"/>
          <a:ext cx="100584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INDEX</a:t>
          </a:r>
        </a:p>
      </xdr:txBody>
    </xdr:sp>
    <xdr:clientData/>
  </xdr:twoCellAnchor>
  <xdr:twoCellAnchor>
    <xdr:from>
      <xdr:col>3</xdr:col>
      <xdr:colOff>243425</xdr:colOff>
      <xdr:row>0</xdr:row>
      <xdr:rowOff>74082</xdr:rowOff>
    </xdr:from>
    <xdr:to>
      <xdr:col>4</xdr:col>
      <xdr:colOff>687501</xdr:colOff>
      <xdr:row>1</xdr:row>
      <xdr:rowOff>37973</xdr:rowOff>
    </xdr:to>
    <xdr:sp macro="" textlink="">
      <xdr:nvSpPr>
        <xdr:cNvPr id="3" name="Rectangle 2">
          <a:hlinkClick xmlns:r="http://schemas.openxmlformats.org/officeDocument/2006/relationships" r:id="rId2" tooltip="CLICK TO ACCESS &quot;COLD CHAIN MAINTENANCE PLAN&quot;"/>
          <a:extLst>
            <a:ext uri="{FF2B5EF4-FFF2-40B4-BE49-F238E27FC236}">
              <a16:creationId xmlns:a16="http://schemas.microsoft.com/office/drawing/2014/main" id="{00000000-0008-0000-0400-000003000000}"/>
            </a:ext>
          </a:extLst>
        </xdr:cNvPr>
        <xdr:cNvSpPr/>
      </xdr:nvSpPr>
      <xdr:spPr>
        <a:xfrm>
          <a:off x="1555758" y="74082"/>
          <a:ext cx="12801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PREVIOUS</a:t>
          </a:r>
        </a:p>
      </xdr:txBody>
    </xdr:sp>
    <xdr:clientData/>
  </xdr:twoCellAnchor>
  <xdr:twoCellAnchor>
    <xdr:from>
      <xdr:col>5</xdr:col>
      <xdr:colOff>63504</xdr:colOff>
      <xdr:row>0</xdr:row>
      <xdr:rowOff>74083</xdr:rowOff>
    </xdr:from>
    <xdr:to>
      <xdr:col>10</xdr:col>
      <xdr:colOff>5930</xdr:colOff>
      <xdr:row>1</xdr:row>
      <xdr:rowOff>37974</xdr:rowOff>
    </xdr:to>
    <xdr:sp macro="" textlink="">
      <xdr:nvSpPr>
        <xdr:cNvPr id="4" name="Rectangle 3">
          <a:hlinkClick xmlns:r="http://schemas.openxmlformats.org/officeDocument/2006/relationships" r:id="rId3" tooltip="CLICK TO ACCESS &quot;PLAN SUMMARY FOR THE COUNCIL&quot;"/>
          <a:extLst>
            <a:ext uri="{FF2B5EF4-FFF2-40B4-BE49-F238E27FC236}">
              <a16:creationId xmlns:a16="http://schemas.microsoft.com/office/drawing/2014/main" id="{00000000-0008-0000-0400-000004000000}"/>
            </a:ext>
          </a:extLst>
        </xdr:cNvPr>
        <xdr:cNvSpPr/>
      </xdr:nvSpPr>
      <xdr:spPr>
        <a:xfrm>
          <a:off x="2995087" y="74083"/>
          <a:ext cx="26517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COUNCIL</a:t>
          </a:r>
          <a:endParaRPr lang="en-US" sz="1600" b="1">
            <a:solidFill>
              <a:schemeClr val="tx1"/>
            </a:solidFill>
          </a:endParaRPr>
        </a:p>
      </xdr:txBody>
    </xdr:sp>
    <xdr:clientData/>
  </xdr:twoCellAnchor>
  <xdr:twoCellAnchor>
    <xdr:from>
      <xdr:col>10</xdr:col>
      <xdr:colOff>152399</xdr:colOff>
      <xdr:row>0</xdr:row>
      <xdr:rowOff>78318</xdr:rowOff>
    </xdr:from>
    <xdr:to>
      <xdr:col>14</xdr:col>
      <xdr:colOff>406399</xdr:colOff>
      <xdr:row>1</xdr:row>
      <xdr:rowOff>42209</xdr:rowOff>
    </xdr:to>
    <xdr:sp macro="" textlink="">
      <xdr:nvSpPr>
        <xdr:cNvPr id="5" name="Rectangle 4">
          <a:hlinkClick xmlns:r="http://schemas.openxmlformats.org/officeDocument/2006/relationships" r:id="rId4" tooltip="CLICK TO ACCESS &quot;HEALTH FACILITY PLAN FOR SERVICE DELIVERY&quot;"/>
          <a:extLst>
            <a:ext uri="{FF2B5EF4-FFF2-40B4-BE49-F238E27FC236}">
              <a16:creationId xmlns:a16="http://schemas.microsoft.com/office/drawing/2014/main" id="{00000000-0008-0000-0400-000005000000}"/>
            </a:ext>
          </a:extLst>
        </xdr:cNvPr>
        <xdr:cNvSpPr/>
      </xdr:nvSpPr>
      <xdr:spPr>
        <a:xfrm>
          <a:off x="5793316" y="78318"/>
          <a:ext cx="228600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HEALTH FACILITY PLAN</a:t>
          </a:r>
        </a:p>
      </xdr:txBody>
    </xdr:sp>
    <xdr:clientData/>
  </xdr:twoCellAnchor>
  <xdr:twoCellAnchor>
    <xdr:from>
      <xdr:col>14</xdr:col>
      <xdr:colOff>527044</xdr:colOff>
      <xdr:row>0</xdr:row>
      <xdr:rowOff>82553</xdr:rowOff>
    </xdr:from>
    <xdr:to>
      <xdr:col>18</xdr:col>
      <xdr:colOff>912278</xdr:colOff>
      <xdr:row>1</xdr:row>
      <xdr:rowOff>46444</xdr:rowOff>
    </xdr:to>
    <xdr:sp macro="" textlink="">
      <xdr:nvSpPr>
        <xdr:cNvPr id="6" name="Rectangle 5">
          <a:hlinkClick xmlns:r="http://schemas.openxmlformats.org/officeDocument/2006/relationships" r:id="rId5" tooltip="CLICK TO ACCESS PLAN SUMMARY FOR THE SELECTED HEALTH FACILITY"/>
          <a:extLst>
            <a:ext uri="{FF2B5EF4-FFF2-40B4-BE49-F238E27FC236}">
              <a16:creationId xmlns:a16="http://schemas.microsoft.com/office/drawing/2014/main" id="{00000000-0008-0000-0400-000006000000}"/>
            </a:ext>
          </a:extLst>
        </xdr:cNvPr>
        <xdr:cNvSpPr/>
      </xdr:nvSpPr>
      <xdr:spPr>
        <a:xfrm>
          <a:off x="8199961" y="82553"/>
          <a:ext cx="320040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a:t>
          </a:r>
          <a:r>
            <a:rPr lang="en-US" sz="1600" b="1" baseline="0">
              <a:solidFill>
                <a:schemeClr val="tx1"/>
              </a:solidFill>
            </a:rPr>
            <a:t> SUMMARY: </a:t>
          </a:r>
          <a:r>
            <a:rPr lang="en-US" sz="1600" b="1">
              <a:solidFill>
                <a:schemeClr val="tx1"/>
              </a:solidFill>
            </a:rPr>
            <a:t>HEALTH FACILITY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63498</xdr:colOff>
      <xdr:row>0</xdr:row>
      <xdr:rowOff>52921</xdr:rowOff>
    </xdr:from>
    <xdr:to>
      <xdr:col>3</xdr:col>
      <xdr:colOff>68479</xdr:colOff>
      <xdr:row>1</xdr:row>
      <xdr:rowOff>16812</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500-000002000000}"/>
            </a:ext>
          </a:extLst>
        </xdr:cNvPr>
        <xdr:cNvSpPr/>
      </xdr:nvSpPr>
      <xdr:spPr>
        <a:xfrm>
          <a:off x="306915" y="52921"/>
          <a:ext cx="1232647"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INDEX</a:t>
          </a:r>
        </a:p>
      </xdr:txBody>
    </xdr:sp>
    <xdr:clientData/>
  </xdr:twoCellAnchor>
  <xdr:twoCellAnchor>
    <xdr:from>
      <xdr:col>3</xdr:col>
      <xdr:colOff>296342</xdr:colOff>
      <xdr:row>0</xdr:row>
      <xdr:rowOff>52917</xdr:rowOff>
    </xdr:from>
    <xdr:to>
      <xdr:col>9</xdr:col>
      <xdr:colOff>280255</xdr:colOff>
      <xdr:row>1</xdr:row>
      <xdr:rowOff>16808</xdr:rowOff>
    </xdr:to>
    <xdr:sp macro="" textlink="">
      <xdr:nvSpPr>
        <xdr:cNvPr id="3" name="Rectangle 2">
          <a:hlinkClick xmlns:r="http://schemas.openxmlformats.org/officeDocument/2006/relationships" r:id="rId2" tooltip="CLICK TO ACCESS &quot;PLAN SUMMARY FOR THE COUNCIL&quot;"/>
          <a:extLst>
            <a:ext uri="{FF2B5EF4-FFF2-40B4-BE49-F238E27FC236}">
              <a16:creationId xmlns:a16="http://schemas.microsoft.com/office/drawing/2014/main" id="{00000000-0008-0000-0500-000003000000}"/>
            </a:ext>
          </a:extLst>
        </xdr:cNvPr>
        <xdr:cNvSpPr/>
      </xdr:nvSpPr>
      <xdr:spPr>
        <a:xfrm>
          <a:off x="1767425" y="52917"/>
          <a:ext cx="292608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COUNCIL</a:t>
          </a:r>
          <a:endParaRPr lang="en-US" sz="1600" b="1">
            <a:solidFill>
              <a:schemeClr val="tx1"/>
            </a:solidFill>
          </a:endParaRPr>
        </a:p>
      </xdr:txBody>
    </xdr:sp>
    <xdr:clientData/>
  </xdr:twoCellAnchor>
  <xdr:twoCellAnchor>
    <xdr:from>
      <xdr:col>10</xdr:col>
      <xdr:colOff>14818</xdr:colOff>
      <xdr:row>0</xdr:row>
      <xdr:rowOff>67736</xdr:rowOff>
    </xdr:from>
    <xdr:to>
      <xdr:col>17</xdr:col>
      <xdr:colOff>314538</xdr:colOff>
      <xdr:row>1</xdr:row>
      <xdr:rowOff>31627</xdr:rowOff>
    </xdr:to>
    <xdr:sp macro="" textlink="">
      <xdr:nvSpPr>
        <xdr:cNvPr id="5" name="Rectangle 4">
          <a:hlinkClick xmlns:r="http://schemas.openxmlformats.org/officeDocument/2006/relationships" r:id="rId3" tooltip="CLICK TO ACCESS COLD CHAIN MAINTENANCE PLAN FOR SELECTING HEALTH FACILITY"/>
          <a:extLst>
            <a:ext uri="{FF2B5EF4-FFF2-40B4-BE49-F238E27FC236}">
              <a16:creationId xmlns:a16="http://schemas.microsoft.com/office/drawing/2014/main" id="{00000000-0008-0000-0500-000005000000}"/>
            </a:ext>
          </a:extLst>
        </xdr:cNvPr>
        <xdr:cNvSpPr/>
      </xdr:nvSpPr>
      <xdr:spPr>
        <a:xfrm>
          <a:off x="4914901" y="67736"/>
          <a:ext cx="347472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COLD</a:t>
          </a:r>
          <a:r>
            <a:rPr lang="en-US" sz="1600" b="1" baseline="0">
              <a:solidFill>
                <a:schemeClr val="tx1"/>
              </a:solidFill>
            </a:rPr>
            <a:t> CHAIN MAINTENANCE PLAN</a:t>
          </a:r>
          <a:endParaRPr lang="en-US" sz="1600" b="1">
            <a:solidFill>
              <a:schemeClr val="tx1"/>
            </a:solidFill>
          </a:endParaRPr>
        </a:p>
      </xdr:txBody>
    </xdr:sp>
    <xdr:clientData/>
  </xdr:twoCellAnchor>
  <xdr:twoCellAnchor>
    <xdr:from>
      <xdr:col>17</xdr:col>
      <xdr:colOff>527045</xdr:colOff>
      <xdr:row>0</xdr:row>
      <xdr:rowOff>71971</xdr:rowOff>
    </xdr:from>
    <xdr:to>
      <xdr:col>23</xdr:col>
      <xdr:colOff>318765</xdr:colOff>
      <xdr:row>1</xdr:row>
      <xdr:rowOff>35862</xdr:rowOff>
    </xdr:to>
    <xdr:sp macro="" textlink="">
      <xdr:nvSpPr>
        <xdr:cNvPr id="6" name="Rectangle 5">
          <a:hlinkClick xmlns:r="http://schemas.openxmlformats.org/officeDocument/2006/relationships" r:id="rId4" tooltip="CLICK TO ACCESS PLAN SUMMARY FOR SELECTED HEALTH FACILITY"/>
          <a:extLst>
            <a:ext uri="{FF2B5EF4-FFF2-40B4-BE49-F238E27FC236}">
              <a16:creationId xmlns:a16="http://schemas.microsoft.com/office/drawing/2014/main" id="{00000000-0008-0000-0500-000006000000}"/>
            </a:ext>
          </a:extLst>
        </xdr:cNvPr>
        <xdr:cNvSpPr/>
      </xdr:nvSpPr>
      <xdr:spPr>
        <a:xfrm>
          <a:off x="8602128" y="71971"/>
          <a:ext cx="347472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a:t>
          </a:r>
          <a:r>
            <a:rPr lang="en-US" sz="1600" b="1" baseline="0">
              <a:solidFill>
                <a:schemeClr val="tx1"/>
              </a:solidFill>
            </a:rPr>
            <a:t> HEALTH FACILITY</a:t>
          </a:r>
          <a:endParaRPr lang="en-US" sz="1600" b="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0</xdr:row>
      <xdr:rowOff>38100</xdr:rowOff>
    </xdr:from>
    <xdr:to>
      <xdr:col>3</xdr:col>
      <xdr:colOff>304800</xdr:colOff>
      <xdr:row>0</xdr:row>
      <xdr:rowOff>340658</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600-000002000000}"/>
            </a:ext>
          </a:extLst>
        </xdr:cNvPr>
        <xdr:cNvSpPr/>
      </xdr:nvSpPr>
      <xdr:spPr>
        <a:xfrm>
          <a:off x="333375" y="38100"/>
          <a:ext cx="91440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INDEX</a:t>
          </a:r>
        </a:p>
      </xdr:txBody>
    </xdr:sp>
    <xdr:clientData/>
  </xdr:twoCellAnchor>
  <xdr:twoCellAnchor>
    <xdr:from>
      <xdr:col>18</xdr:col>
      <xdr:colOff>19050</xdr:colOff>
      <xdr:row>0</xdr:row>
      <xdr:rowOff>47625</xdr:rowOff>
    </xdr:from>
    <xdr:to>
      <xdr:col>25</xdr:col>
      <xdr:colOff>287655</xdr:colOff>
      <xdr:row>0</xdr:row>
      <xdr:rowOff>350183</xdr:rowOff>
    </xdr:to>
    <xdr:sp macro="" textlink="">
      <xdr:nvSpPr>
        <xdr:cNvPr id="4" name="Rectangle 3">
          <a:hlinkClick xmlns:r="http://schemas.openxmlformats.org/officeDocument/2006/relationships" r:id="rId2" tooltip="CLICK TO ACCESS PLAN SUMMARY FOR SELECTED HEALTH FACILITY"/>
          <a:extLst>
            <a:ext uri="{FF2B5EF4-FFF2-40B4-BE49-F238E27FC236}">
              <a16:creationId xmlns:a16="http://schemas.microsoft.com/office/drawing/2014/main" id="{00000000-0008-0000-0600-000004000000}"/>
            </a:ext>
          </a:extLst>
        </xdr:cNvPr>
        <xdr:cNvSpPr/>
      </xdr:nvSpPr>
      <xdr:spPr>
        <a:xfrm>
          <a:off x="5676900" y="47625"/>
          <a:ext cx="246888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PLAN SUMMARY: </a:t>
          </a:r>
          <a:r>
            <a:rPr lang="en-US" sz="1600" b="1" baseline="0">
              <a:solidFill>
                <a:schemeClr val="tx1"/>
              </a:solidFill>
            </a:rPr>
            <a:t>FACILITY</a:t>
          </a:r>
          <a:endParaRPr lang="en-US" sz="1600" b="1">
            <a:solidFill>
              <a:schemeClr val="tx1"/>
            </a:solidFill>
          </a:endParaRPr>
        </a:p>
      </xdr:txBody>
    </xdr:sp>
    <xdr:clientData/>
  </xdr:twoCellAnchor>
  <xdr:twoCellAnchor>
    <xdr:from>
      <xdr:col>4</xdr:col>
      <xdr:colOff>85725</xdr:colOff>
      <xdr:row>0</xdr:row>
      <xdr:rowOff>38100</xdr:rowOff>
    </xdr:from>
    <xdr:to>
      <xdr:col>11</xdr:col>
      <xdr:colOff>80010</xdr:colOff>
      <xdr:row>0</xdr:row>
      <xdr:rowOff>340658</xdr:rowOff>
    </xdr:to>
    <xdr:sp macro="" textlink="">
      <xdr:nvSpPr>
        <xdr:cNvPr id="5" name="Rectangle 4">
          <a:hlinkClick xmlns:r="http://schemas.openxmlformats.org/officeDocument/2006/relationships" r:id="rId3" tooltip="CLICK TO ACCESS HEALTH FACILITY PLAN FOR SELECTING HEALTH FACILITY"/>
          <a:extLst>
            <a:ext uri="{FF2B5EF4-FFF2-40B4-BE49-F238E27FC236}">
              <a16:creationId xmlns:a16="http://schemas.microsoft.com/office/drawing/2014/main" id="{00000000-0008-0000-0600-000005000000}"/>
            </a:ext>
          </a:extLst>
        </xdr:cNvPr>
        <xdr:cNvSpPr/>
      </xdr:nvSpPr>
      <xdr:spPr>
        <a:xfrm>
          <a:off x="1343025" y="38100"/>
          <a:ext cx="21945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HEALTH FACILITY PLAN</a:t>
          </a:r>
        </a:p>
      </xdr:txBody>
    </xdr:sp>
    <xdr:clientData/>
  </xdr:twoCellAnchor>
  <xdr:twoCellAnchor>
    <xdr:from>
      <xdr:col>11</xdr:col>
      <xdr:colOff>190500</xdr:colOff>
      <xdr:row>0</xdr:row>
      <xdr:rowOff>47625</xdr:rowOff>
    </xdr:from>
    <xdr:to>
      <xdr:col>17</xdr:col>
      <xdr:colOff>224790</xdr:colOff>
      <xdr:row>0</xdr:row>
      <xdr:rowOff>350183</xdr:rowOff>
    </xdr:to>
    <xdr:sp macro="" textlink="">
      <xdr:nvSpPr>
        <xdr:cNvPr id="6" name="Rectangle 5">
          <a:hlinkClick xmlns:r="http://schemas.openxmlformats.org/officeDocument/2006/relationships" r:id="rId4" tooltip="CLICK TO ACCESS COLD CHAIN MAINTENANCE PLAN FOR SELECTING HEALTH FACILITY"/>
          <a:extLst>
            <a:ext uri="{FF2B5EF4-FFF2-40B4-BE49-F238E27FC236}">
              <a16:creationId xmlns:a16="http://schemas.microsoft.com/office/drawing/2014/main" id="{00000000-0008-0000-0600-000006000000}"/>
            </a:ext>
          </a:extLst>
        </xdr:cNvPr>
        <xdr:cNvSpPr/>
      </xdr:nvSpPr>
      <xdr:spPr>
        <a:xfrm>
          <a:off x="3648075" y="47625"/>
          <a:ext cx="192024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COLD CHAIN PLAN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0</xdr:row>
      <xdr:rowOff>57150</xdr:rowOff>
    </xdr:from>
    <xdr:to>
      <xdr:col>3</xdr:col>
      <xdr:colOff>194310</xdr:colOff>
      <xdr:row>1</xdr:row>
      <xdr:rowOff>7283</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700-000002000000}"/>
            </a:ext>
          </a:extLst>
        </xdr:cNvPr>
        <xdr:cNvSpPr/>
      </xdr:nvSpPr>
      <xdr:spPr>
        <a:xfrm>
          <a:off x="314325" y="57150"/>
          <a:ext cx="8229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INDEX</a:t>
          </a:r>
        </a:p>
      </xdr:txBody>
    </xdr:sp>
    <xdr:clientData/>
  </xdr:twoCellAnchor>
  <xdr:twoCellAnchor>
    <xdr:from>
      <xdr:col>4</xdr:col>
      <xdr:colOff>0</xdr:colOff>
      <xdr:row>0</xdr:row>
      <xdr:rowOff>57150</xdr:rowOff>
    </xdr:from>
    <xdr:to>
      <xdr:col>10</xdr:col>
      <xdr:colOff>308610</xdr:colOff>
      <xdr:row>1</xdr:row>
      <xdr:rowOff>7283</xdr:rowOff>
    </xdr:to>
    <xdr:sp macro="" textlink="">
      <xdr:nvSpPr>
        <xdr:cNvPr id="3" name="Rectangle 2">
          <a:hlinkClick xmlns:r="http://schemas.openxmlformats.org/officeDocument/2006/relationships" r:id="rId2" tooltip="CLICK TO ACCESS &quot;PLAN SUMMARY FOR THE COUNCIL&quot;"/>
          <a:extLst>
            <a:ext uri="{FF2B5EF4-FFF2-40B4-BE49-F238E27FC236}">
              <a16:creationId xmlns:a16="http://schemas.microsoft.com/office/drawing/2014/main" id="{00000000-0008-0000-0700-000003000000}"/>
            </a:ext>
          </a:extLst>
        </xdr:cNvPr>
        <xdr:cNvSpPr/>
      </xdr:nvSpPr>
      <xdr:spPr>
        <a:xfrm>
          <a:off x="1257300" y="57150"/>
          <a:ext cx="219456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PLAN SUMMARY:</a:t>
          </a:r>
          <a:r>
            <a:rPr lang="en-US" sz="1200" b="1" baseline="0">
              <a:solidFill>
                <a:schemeClr val="tx1"/>
              </a:solidFill>
            </a:rPr>
            <a:t> COUNCIL</a:t>
          </a:r>
          <a:endParaRPr lang="en-US" sz="1200" b="1">
            <a:solidFill>
              <a:schemeClr val="tx1"/>
            </a:solidFill>
          </a:endParaRPr>
        </a:p>
      </xdr:txBody>
    </xdr:sp>
    <xdr:clientData/>
  </xdr:twoCellAnchor>
  <xdr:twoCellAnchor>
    <xdr:from>
      <xdr:col>11</xdr:col>
      <xdr:colOff>85725</xdr:colOff>
      <xdr:row>0</xdr:row>
      <xdr:rowOff>57150</xdr:rowOff>
    </xdr:from>
    <xdr:to>
      <xdr:col>17</xdr:col>
      <xdr:colOff>120015</xdr:colOff>
      <xdr:row>1</xdr:row>
      <xdr:rowOff>7283</xdr:rowOff>
    </xdr:to>
    <xdr:sp macro="" textlink="">
      <xdr:nvSpPr>
        <xdr:cNvPr id="4" name="Rectangle 3">
          <a:hlinkClick xmlns:r="http://schemas.openxmlformats.org/officeDocument/2006/relationships" r:id="rId3" tooltip="CLICK TO ACCESS &quot;HEALTH FACILITY PLAN&quot; FOR SELECTING THE HEALTH FACILITY TO GET PLAN SUMMARY"/>
          <a:extLst>
            <a:ext uri="{FF2B5EF4-FFF2-40B4-BE49-F238E27FC236}">
              <a16:creationId xmlns:a16="http://schemas.microsoft.com/office/drawing/2014/main" id="{00000000-0008-0000-0700-000004000000}"/>
            </a:ext>
          </a:extLst>
        </xdr:cNvPr>
        <xdr:cNvSpPr/>
      </xdr:nvSpPr>
      <xdr:spPr>
        <a:xfrm>
          <a:off x="3543300" y="57150"/>
          <a:ext cx="192024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HEALTH FACILITY PLAN</a:t>
          </a:r>
        </a:p>
      </xdr:txBody>
    </xdr:sp>
    <xdr:clientData/>
  </xdr:twoCellAnchor>
  <xdr:twoCellAnchor>
    <xdr:from>
      <xdr:col>17</xdr:col>
      <xdr:colOff>228600</xdr:colOff>
      <xdr:row>0</xdr:row>
      <xdr:rowOff>57150</xdr:rowOff>
    </xdr:from>
    <xdr:to>
      <xdr:col>25</xdr:col>
      <xdr:colOff>274320</xdr:colOff>
      <xdr:row>1</xdr:row>
      <xdr:rowOff>7283</xdr:rowOff>
    </xdr:to>
    <xdr:sp macro="" textlink="">
      <xdr:nvSpPr>
        <xdr:cNvPr id="5" name="Rectangle 4">
          <a:hlinkClick xmlns:r="http://schemas.openxmlformats.org/officeDocument/2006/relationships" r:id="rId4" tooltip="CLICK TO ACCESS &quot;COLD CHAIN MAINTENANCE PLAN&quot; FOR SELECTING THE HEALTH FACILITY"/>
          <a:extLst>
            <a:ext uri="{FF2B5EF4-FFF2-40B4-BE49-F238E27FC236}">
              <a16:creationId xmlns:a16="http://schemas.microsoft.com/office/drawing/2014/main" id="{00000000-0008-0000-0700-000005000000}"/>
            </a:ext>
          </a:extLst>
        </xdr:cNvPr>
        <xdr:cNvSpPr/>
      </xdr:nvSpPr>
      <xdr:spPr>
        <a:xfrm>
          <a:off x="5572125" y="57150"/>
          <a:ext cx="2560320"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COLD CHAIN</a:t>
          </a:r>
          <a:r>
            <a:rPr lang="en-US" sz="1200" b="1" baseline="0">
              <a:solidFill>
                <a:schemeClr val="tx1"/>
              </a:solidFill>
            </a:rPr>
            <a:t> MAINTENANCE PLAN</a:t>
          </a:r>
          <a:endParaRPr lang="en-US" sz="1200" b="1">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23231</xdr:colOff>
      <xdr:row>0</xdr:row>
      <xdr:rowOff>46464</xdr:rowOff>
    </xdr:from>
    <xdr:to>
      <xdr:col>3</xdr:col>
      <xdr:colOff>349841</xdr:colOff>
      <xdr:row>1</xdr:row>
      <xdr:rowOff>546</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800-000002000000}"/>
            </a:ext>
          </a:extLst>
        </xdr:cNvPr>
        <xdr:cNvSpPr/>
      </xdr:nvSpPr>
      <xdr:spPr>
        <a:xfrm>
          <a:off x="325243" y="46464"/>
          <a:ext cx="1232647" cy="302558"/>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INDEX</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38100</xdr:colOff>
      <xdr:row>0</xdr:row>
      <xdr:rowOff>66676</xdr:rowOff>
    </xdr:from>
    <xdr:to>
      <xdr:col>3</xdr:col>
      <xdr:colOff>242047</xdr:colOff>
      <xdr:row>0</xdr:row>
      <xdr:rowOff>390526</xdr:rowOff>
    </xdr:to>
    <xdr:sp macro="" textlink="">
      <xdr:nvSpPr>
        <xdr:cNvPr id="2" name="Rectangle 1">
          <a:hlinkClick xmlns:r="http://schemas.openxmlformats.org/officeDocument/2006/relationships" r:id="rId1" tooltip="INDEX"/>
          <a:extLst>
            <a:ext uri="{FF2B5EF4-FFF2-40B4-BE49-F238E27FC236}">
              <a16:creationId xmlns:a16="http://schemas.microsoft.com/office/drawing/2014/main" id="{00000000-0008-0000-0900-000002000000}"/>
            </a:ext>
          </a:extLst>
        </xdr:cNvPr>
        <xdr:cNvSpPr/>
      </xdr:nvSpPr>
      <xdr:spPr>
        <a:xfrm>
          <a:off x="266700" y="66676"/>
          <a:ext cx="1232647" cy="323850"/>
        </a:xfrm>
        <a:prstGeom prst="rect">
          <a:avLst/>
        </a:prstGeom>
        <a:solidFill>
          <a:schemeClr val="accent2">
            <a:lumMod val="75000"/>
          </a:schemeClr>
        </a:solidFill>
        <a:ln>
          <a:solidFill>
            <a:schemeClr val="accent2">
              <a:lumMod val="50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INDEX</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20TZS%20/%20K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26"/>
  <sheetViews>
    <sheetView tabSelected="1" zoomScale="60" zoomScaleNormal="60" workbookViewId="0">
      <pane xSplit="17" ySplit="26" topLeftCell="R27" activePane="bottomRight" state="frozen"/>
      <selection pane="topRight" activeCell="R1" sqref="R1"/>
      <selection pane="bottomLeft" activeCell="A24" sqref="A24"/>
      <selection pane="bottomRight"/>
    </sheetView>
  </sheetViews>
  <sheetFormatPr defaultColWidth="9.140625" defaultRowHeight="15" x14ac:dyDescent="0.25"/>
  <cols>
    <col min="1" max="16384" width="9.140625" style="1"/>
  </cols>
  <sheetData>
    <row r="1" spans="2:19" ht="9" customHeight="1" thickBot="1" x14ac:dyDescent="0.3"/>
    <row r="2" spans="2:19" x14ac:dyDescent="0.25">
      <c r="B2" s="25"/>
      <c r="C2" s="26"/>
      <c r="D2" s="26"/>
      <c r="E2" s="26"/>
      <c r="F2" s="26"/>
      <c r="G2" s="26"/>
      <c r="H2" s="26"/>
      <c r="I2" s="26"/>
      <c r="J2" s="26"/>
      <c r="K2" s="26"/>
      <c r="L2" s="26"/>
      <c r="M2" s="26"/>
      <c r="N2" s="26"/>
      <c r="O2" s="26"/>
      <c r="P2" s="26"/>
      <c r="Q2" s="27"/>
    </row>
    <row r="3" spans="2:19" ht="23.25" x14ac:dyDescent="0.35">
      <c r="B3" s="255" t="s">
        <v>278</v>
      </c>
      <c r="C3" s="256"/>
      <c r="D3" s="256"/>
      <c r="E3" s="256"/>
      <c r="F3" s="256"/>
      <c r="G3" s="256"/>
      <c r="H3" s="256"/>
      <c r="I3" s="256"/>
      <c r="J3" s="256"/>
      <c r="K3" s="256"/>
      <c r="L3" s="256"/>
      <c r="M3" s="256"/>
      <c r="N3" s="256"/>
      <c r="O3" s="256"/>
      <c r="P3" s="256"/>
      <c r="Q3" s="257"/>
    </row>
    <row r="4" spans="2:19" x14ac:dyDescent="0.25">
      <c r="B4" s="151"/>
      <c r="P4" s="38"/>
      <c r="Q4" s="29"/>
    </row>
    <row r="5" spans="2:19" ht="32.25" customHeight="1" x14ac:dyDescent="0.25">
      <c r="B5" s="258" t="s">
        <v>279</v>
      </c>
      <c r="C5" s="259"/>
      <c r="D5" s="259"/>
      <c r="E5" s="259"/>
      <c r="F5" s="259"/>
      <c r="G5" s="259"/>
      <c r="H5" s="259"/>
      <c r="I5" s="259"/>
      <c r="J5" s="259"/>
      <c r="K5" s="259"/>
      <c r="L5" s="259"/>
      <c r="M5" s="259"/>
      <c r="N5" s="259"/>
      <c r="O5" s="259"/>
      <c r="P5" s="259"/>
      <c r="Q5" s="260"/>
    </row>
    <row r="6" spans="2:19" x14ac:dyDescent="0.25">
      <c r="B6" s="28"/>
      <c r="Q6" s="29"/>
    </row>
    <row r="7" spans="2:19" x14ac:dyDescent="0.25">
      <c r="B7" s="28"/>
      <c r="Q7" s="29"/>
    </row>
    <row r="8" spans="2:19" ht="32.1" customHeight="1" x14ac:dyDescent="0.25">
      <c r="B8" s="28"/>
      <c r="C8" s="2"/>
      <c r="D8" s="2"/>
      <c r="E8" s="2"/>
      <c r="F8" s="2"/>
      <c r="G8" s="261" t="s">
        <v>285</v>
      </c>
      <c r="H8" s="261"/>
      <c r="I8" s="261"/>
      <c r="J8" s="261"/>
      <c r="K8" s="261"/>
      <c r="L8" s="261"/>
      <c r="M8" s="2"/>
      <c r="N8" s="2"/>
      <c r="O8" s="2"/>
      <c r="P8" s="2"/>
      <c r="Q8" s="220"/>
    </row>
    <row r="9" spans="2:19" ht="15" customHeight="1" x14ac:dyDescent="0.25">
      <c r="B9" s="28"/>
      <c r="C9" s="217"/>
      <c r="D9" s="217"/>
      <c r="E9" s="217"/>
      <c r="F9" s="217"/>
      <c r="H9" s="218"/>
      <c r="I9" s="218"/>
      <c r="J9" s="218"/>
      <c r="K9" s="218"/>
      <c r="M9" s="218"/>
      <c r="N9" s="218"/>
      <c r="O9" s="218"/>
      <c r="P9" s="218"/>
      <c r="Q9" s="35"/>
    </row>
    <row r="10" spans="2:19" ht="15" customHeight="1" x14ac:dyDescent="0.25">
      <c r="B10" s="28"/>
      <c r="C10" s="217"/>
      <c r="D10" s="217"/>
      <c r="E10" s="217"/>
      <c r="F10" s="217"/>
      <c r="H10" s="218"/>
      <c r="I10" s="218"/>
      <c r="J10" s="218"/>
      <c r="K10" s="218"/>
      <c r="M10" s="218"/>
      <c r="N10" s="218"/>
      <c r="O10" s="218"/>
      <c r="P10" s="218"/>
      <c r="Q10" s="29"/>
    </row>
    <row r="11" spans="2:19" ht="15" customHeight="1" x14ac:dyDescent="0.25">
      <c r="B11" s="28"/>
      <c r="C11" s="217"/>
      <c r="D11" s="217"/>
      <c r="E11" s="217"/>
      <c r="F11" s="217"/>
      <c r="H11" s="218"/>
      <c r="I11" s="218"/>
      <c r="J11" s="218"/>
      <c r="K11" s="218"/>
      <c r="M11" s="218"/>
      <c r="N11" s="218"/>
      <c r="O11" s="218"/>
      <c r="P11" s="218"/>
      <c r="Q11" s="29"/>
      <c r="S11" s="38"/>
    </row>
    <row r="12" spans="2:19" ht="20.100000000000001" customHeight="1" x14ac:dyDescent="0.25">
      <c r="B12" s="28"/>
      <c r="Q12" s="29"/>
    </row>
    <row r="13" spans="2:19" ht="20.100000000000001" customHeight="1" x14ac:dyDescent="0.25">
      <c r="B13" s="28"/>
      <c r="Q13" s="29"/>
    </row>
    <row r="14" spans="2:19" ht="11.25" customHeight="1" x14ac:dyDescent="0.25">
      <c r="B14" s="28"/>
      <c r="C14" s="219"/>
      <c r="D14" s="219"/>
      <c r="E14" s="219"/>
      <c r="F14" s="219"/>
      <c r="Q14" s="29"/>
    </row>
    <row r="15" spans="2:19" ht="32.1" customHeight="1" x14ac:dyDescent="0.25">
      <c r="B15" s="28"/>
      <c r="C15" s="2"/>
      <c r="D15" s="2"/>
      <c r="E15" s="2"/>
      <c r="F15" s="2"/>
      <c r="G15" s="261" t="s">
        <v>286</v>
      </c>
      <c r="H15" s="261"/>
      <c r="I15" s="261"/>
      <c r="J15" s="261"/>
      <c r="K15" s="261"/>
      <c r="L15" s="261"/>
      <c r="M15" s="2"/>
      <c r="N15" s="2"/>
      <c r="O15" s="2"/>
      <c r="P15" s="2"/>
      <c r="Q15" s="220"/>
    </row>
    <row r="16" spans="2:19" ht="15" customHeight="1" x14ac:dyDescent="0.25">
      <c r="B16" s="28"/>
      <c r="C16" s="219"/>
      <c r="D16" s="219"/>
      <c r="E16" s="219"/>
      <c r="F16" s="219"/>
      <c r="G16" s="34"/>
      <c r="H16" s="218"/>
      <c r="I16" s="218"/>
      <c r="J16" s="218"/>
      <c r="K16" s="218"/>
      <c r="L16" s="34"/>
      <c r="M16" s="218"/>
      <c r="N16" s="218"/>
      <c r="O16" s="218"/>
      <c r="P16" s="218"/>
      <c r="Q16" s="35"/>
    </row>
    <row r="17" spans="2:17" ht="21.95" customHeight="1" x14ac:dyDescent="0.25">
      <c r="B17" s="28"/>
      <c r="C17" s="219"/>
      <c r="D17" s="8"/>
      <c r="E17" s="219"/>
      <c r="F17" s="219"/>
      <c r="H17" s="218"/>
      <c r="I17" s="218"/>
      <c r="J17" s="218"/>
      <c r="K17" s="218"/>
      <c r="M17" s="218"/>
      <c r="N17" s="218"/>
      <c r="O17" s="218"/>
      <c r="P17" s="218"/>
      <c r="Q17" s="29"/>
    </row>
    <row r="18" spans="2:17" ht="21.95" customHeight="1" x14ac:dyDescent="0.25">
      <c r="B18" s="28"/>
      <c r="C18" s="8"/>
      <c r="D18" s="8"/>
      <c r="E18" s="219"/>
      <c r="F18" s="219"/>
      <c r="G18" s="36"/>
      <c r="H18" s="218"/>
      <c r="I18" s="218"/>
      <c r="J18" s="218"/>
      <c r="K18" s="218"/>
      <c r="L18" s="36"/>
      <c r="M18" s="218"/>
      <c r="N18" s="218"/>
      <c r="O18" s="218"/>
      <c r="P18" s="218"/>
      <c r="Q18" s="29"/>
    </row>
    <row r="19" spans="2:17" ht="15" customHeight="1" x14ac:dyDescent="0.25">
      <c r="B19" s="28"/>
      <c r="D19" s="37"/>
      <c r="E19" s="37"/>
      <c r="F19" s="37"/>
      <c r="G19" s="36"/>
      <c r="H19" s="37"/>
      <c r="I19" s="37"/>
      <c r="J19" s="37"/>
      <c r="K19" s="37"/>
      <c r="L19" s="36"/>
      <c r="M19" s="37"/>
      <c r="N19" s="37"/>
      <c r="O19" s="37"/>
      <c r="Q19" s="29"/>
    </row>
    <row r="20" spans="2:17" ht="15" customHeight="1" x14ac:dyDescent="0.25">
      <c r="B20" s="28"/>
      <c r="Q20" s="29"/>
    </row>
    <row r="21" spans="2:17" ht="15" customHeight="1" x14ac:dyDescent="0.25">
      <c r="B21" s="28"/>
      <c r="Q21" s="29"/>
    </row>
    <row r="22" spans="2:17" ht="15" customHeight="1" x14ac:dyDescent="0.25">
      <c r="B22" s="28"/>
      <c r="Q22" s="29"/>
    </row>
    <row r="23" spans="2:17" ht="15" customHeight="1" x14ac:dyDescent="0.25">
      <c r="B23" s="28"/>
      <c r="Q23" s="29"/>
    </row>
    <row r="24" spans="2:17" ht="21.95" customHeight="1" x14ac:dyDescent="0.25">
      <c r="B24" s="28"/>
      <c r="Q24" s="29"/>
    </row>
    <row r="25" spans="2:17" ht="21.95" customHeight="1" x14ac:dyDescent="0.25">
      <c r="B25" s="28"/>
      <c r="Q25" s="29"/>
    </row>
    <row r="26" spans="2:17" ht="15.75" thickBot="1" x14ac:dyDescent="0.3">
      <c r="B26" s="30"/>
      <c r="C26" s="31"/>
      <c r="D26" s="31"/>
      <c r="E26" s="31"/>
      <c r="F26" s="31"/>
      <c r="G26" s="31"/>
      <c r="H26" s="31"/>
      <c r="I26" s="31"/>
      <c r="J26" s="31"/>
      <c r="K26" s="31"/>
      <c r="L26" s="31"/>
      <c r="M26" s="31"/>
      <c r="N26" s="31"/>
      <c r="O26" s="31"/>
      <c r="P26" s="31"/>
      <c r="Q26" s="32"/>
    </row>
  </sheetData>
  <mergeCells count="4">
    <mergeCell ref="B3:Q3"/>
    <mergeCell ref="B5:Q5"/>
    <mergeCell ref="G8:L8"/>
    <mergeCell ref="G15:L15"/>
  </mergeCells>
  <pageMargins left="0.7" right="0.7" top="0.75" bottom="0.75" header="0.3" footer="0.3"/>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V80"/>
  <sheetViews>
    <sheetView view="pageBreakPreview" zoomScale="90" zoomScaleNormal="90" zoomScaleSheetLayoutView="90" workbookViewId="0">
      <pane xSplit="22" ySplit="8" topLeftCell="W9" activePane="bottomRight" state="frozen"/>
      <selection pane="topRight" activeCell="W1" sqref="W1"/>
      <selection pane="bottomLeft" activeCell="A9" sqref="A9"/>
      <selection pane="bottomRight"/>
    </sheetView>
  </sheetViews>
  <sheetFormatPr defaultColWidth="9.140625" defaultRowHeight="15" x14ac:dyDescent="0.25"/>
  <cols>
    <col min="1" max="1" width="4" style="1" customWidth="1"/>
    <col min="2" max="3" width="9.140625" style="1"/>
    <col min="4" max="4" width="5.140625" style="1" customWidth="1"/>
    <col min="5" max="5" width="10.5703125" style="1" customWidth="1"/>
    <col min="6" max="6" width="9.140625" style="1"/>
    <col min="7" max="7" width="11.140625" style="1" customWidth="1"/>
    <col min="8" max="8" width="9.140625" style="1"/>
    <col min="9" max="9" width="14.5703125" style="1" customWidth="1"/>
    <col min="10" max="10" width="9.140625" style="1"/>
    <col min="11" max="11" width="10.42578125" style="1" customWidth="1"/>
    <col min="12" max="12" width="7.28515625" style="1" customWidth="1"/>
    <col min="13" max="13" width="10.42578125" style="1" customWidth="1"/>
    <col min="14" max="14" width="9.140625" style="1"/>
    <col min="15" max="15" width="5.28515625" style="1" customWidth="1"/>
    <col min="16" max="16" width="11" style="1" customWidth="1"/>
    <col min="17" max="22" width="9.140625" style="1" hidden="1" customWidth="1"/>
    <col min="23" max="23" width="9.140625" style="1" customWidth="1"/>
    <col min="24" max="16384" width="9.140625" style="1"/>
  </cols>
  <sheetData>
    <row r="1" spans="2:17" s="2" customFormat="1" ht="27" customHeight="1" x14ac:dyDescent="0.25">
      <c r="B1" s="228"/>
      <c r="C1" s="228"/>
      <c r="E1" s="228"/>
      <c r="F1" s="228"/>
      <c r="J1" s="228"/>
      <c r="K1" s="228"/>
      <c r="L1" s="228"/>
      <c r="N1" s="228"/>
      <c r="O1" s="228"/>
      <c r="P1" s="228"/>
    </row>
    <row r="2" spans="2:17" s="2" customFormat="1" ht="8.25" customHeight="1" x14ac:dyDescent="0.25">
      <c r="B2" s="153"/>
      <c r="C2" s="153"/>
      <c r="E2" s="153"/>
      <c r="F2" s="153"/>
      <c r="J2" s="154"/>
      <c r="K2" s="154"/>
      <c r="L2" s="154"/>
      <c r="N2" s="154"/>
      <c r="O2" s="154"/>
      <c r="P2" s="154"/>
    </row>
    <row r="3" spans="2:17" ht="23.25" x14ac:dyDescent="0.35">
      <c r="B3" s="249" t="s">
        <v>31</v>
      </c>
      <c r="C3" s="249"/>
      <c r="D3" s="249"/>
      <c r="E3" s="249"/>
      <c r="F3" s="249"/>
      <c r="G3" s="249"/>
      <c r="H3" s="249"/>
      <c r="I3" s="249"/>
      <c r="J3" s="249"/>
      <c r="K3" s="249"/>
      <c r="L3" s="249"/>
      <c r="M3" s="249"/>
      <c r="N3" s="249"/>
      <c r="O3" s="249"/>
      <c r="P3" s="249"/>
      <c r="Q3" s="3"/>
    </row>
    <row r="4" spans="2:17" ht="23.25" x14ac:dyDescent="0.35">
      <c r="B4" s="250" t="s">
        <v>267</v>
      </c>
      <c r="C4" s="250"/>
      <c r="D4" s="250"/>
      <c r="E4" s="250"/>
      <c r="F4" s="250"/>
      <c r="G4" s="250"/>
      <c r="H4" s="250"/>
      <c r="I4" s="250"/>
      <c r="J4" s="250"/>
      <c r="K4" s="250"/>
      <c r="L4" s="250"/>
      <c r="M4" s="250"/>
      <c r="N4" s="250"/>
      <c r="O4" s="250"/>
      <c r="P4" s="250"/>
      <c r="Q4" s="3"/>
    </row>
    <row r="7" spans="2:17" s="4" customFormat="1" ht="20.100000000000001" customHeight="1" x14ac:dyDescent="0.25">
      <c r="B7" s="247" t="s">
        <v>0</v>
      </c>
      <c r="C7" s="247"/>
      <c r="D7" s="248"/>
      <c r="E7" s="248"/>
      <c r="F7" s="248"/>
      <c r="G7" s="247" t="s">
        <v>7</v>
      </c>
      <c r="H7" s="247"/>
      <c r="I7" s="248"/>
      <c r="J7" s="248"/>
      <c r="K7" s="247" t="s">
        <v>6</v>
      </c>
      <c r="L7" s="247"/>
      <c r="M7" s="247"/>
      <c r="N7" s="248"/>
      <c r="O7" s="248"/>
      <c r="P7" s="248"/>
    </row>
    <row r="10" spans="2:17" ht="21" x14ac:dyDescent="0.35">
      <c r="B10" s="245" t="s">
        <v>117</v>
      </c>
      <c r="C10" s="245"/>
      <c r="D10" s="245"/>
      <c r="E10" s="245"/>
      <c r="F10" s="245"/>
      <c r="G10" s="245"/>
      <c r="H10" s="245"/>
      <c r="I10" s="245"/>
      <c r="J10" s="245"/>
      <c r="K10" s="245"/>
      <c r="L10" s="245"/>
      <c r="M10" s="245"/>
      <c r="N10" s="245"/>
      <c r="O10" s="245"/>
      <c r="P10" s="245"/>
    </row>
    <row r="11" spans="2:17" ht="9.9499999999999993" customHeight="1" x14ac:dyDescent="0.25"/>
    <row r="12" spans="2:17" ht="21.75" customHeight="1" x14ac:dyDescent="0.25">
      <c r="B12" s="7" t="s">
        <v>78</v>
      </c>
      <c r="C12" s="49"/>
      <c r="D12" s="49"/>
      <c r="E12" s="49"/>
      <c r="F12" s="49"/>
      <c r="G12" s="49"/>
      <c r="H12" s="49"/>
      <c r="I12" s="49"/>
      <c r="J12" s="49"/>
      <c r="K12" s="49"/>
      <c r="L12" s="49"/>
      <c r="M12" s="49"/>
      <c r="N12" s="49"/>
      <c r="O12" s="49"/>
      <c r="P12" s="49"/>
    </row>
    <row r="13" spans="2:17" ht="8.1" customHeight="1" x14ac:dyDescent="0.25">
      <c r="B13" s="48"/>
      <c r="C13" s="45"/>
      <c r="D13" s="43"/>
      <c r="E13" s="43"/>
      <c r="F13" s="43"/>
      <c r="G13" s="43"/>
      <c r="H13" s="43"/>
      <c r="J13" s="44"/>
      <c r="K13" s="44"/>
      <c r="L13" s="44"/>
      <c r="M13" s="44"/>
      <c r="N13" s="47"/>
      <c r="O13" s="47"/>
      <c r="P13" s="47"/>
    </row>
    <row r="14" spans="2:17" s="15" customFormat="1" ht="24.95" customHeight="1" x14ac:dyDescent="0.25">
      <c r="B14" s="68">
        <v>1.1000000000000001</v>
      </c>
      <c r="C14" s="69" t="s">
        <v>111</v>
      </c>
      <c r="D14" s="70"/>
      <c r="E14" s="70"/>
      <c r="F14" s="70"/>
      <c r="G14" s="70"/>
      <c r="H14" s="70"/>
      <c r="J14" s="71" t="s">
        <v>71</v>
      </c>
      <c r="K14" s="71"/>
      <c r="L14" s="71"/>
      <c r="M14" s="71"/>
      <c r="N14" s="240"/>
      <c r="O14" s="240"/>
      <c r="P14" s="240"/>
    </row>
    <row r="15" spans="2:17" s="15" customFormat="1" ht="8.1" customHeight="1" x14ac:dyDescent="0.25">
      <c r="B15" s="68"/>
      <c r="C15" s="69"/>
      <c r="D15" s="70"/>
      <c r="E15" s="70"/>
      <c r="F15" s="70"/>
      <c r="G15" s="70"/>
      <c r="H15" s="70"/>
      <c r="J15" s="71"/>
      <c r="K15" s="71"/>
      <c r="L15" s="71"/>
      <c r="M15" s="71"/>
      <c r="N15" s="155"/>
      <c r="O15" s="155"/>
      <c r="P15" s="155"/>
    </row>
    <row r="16" spans="2:17" s="15" customFormat="1" ht="24.95" customHeight="1" x14ac:dyDescent="0.25">
      <c r="B16" s="68">
        <v>1.2</v>
      </c>
      <c r="C16" s="69" t="s">
        <v>112</v>
      </c>
      <c r="D16" s="70"/>
      <c r="E16" s="70"/>
      <c r="F16" s="70"/>
      <c r="G16" s="70"/>
      <c r="H16" s="70"/>
      <c r="J16" s="71" t="s">
        <v>71</v>
      </c>
      <c r="K16" s="71"/>
      <c r="L16" s="71"/>
      <c r="M16" s="71"/>
      <c r="N16" s="240"/>
      <c r="O16" s="240"/>
      <c r="P16" s="240"/>
    </row>
    <row r="17" spans="2:16" s="15" customFormat="1" ht="8.1" customHeight="1" x14ac:dyDescent="0.25">
      <c r="B17" s="68"/>
      <c r="C17" s="69"/>
      <c r="D17" s="70"/>
      <c r="E17" s="70"/>
      <c r="F17" s="70"/>
      <c r="G17" s="70"/>
      <c r="H17" s="70"/>
      <c r="J17" s="71"/>
      <c r="K17" s="71"/>
      <c r="L17" s="71"/>
      <c r="M17" s="71"/>
      <c r="N17" s="155"/>
      <c r="O17" s="155"/>
      <c r="P17" s="155"/>
    </row>
    <row r="18" spans="2:16" s="15" customFormat="1" ht="24.95" customHeight="1" x14ac:dyDescent="0.25">
      <c r="B18" s="122">
        <v>1.3</v>
      </c>
      <c r="C18" s="69" t="s">
        <v>69</v>
      </c>
      <c r="D18" s="70"/>
      <c r="E18" s="70"/>
      <c r="F18" s="70"/>
      <c r="G18" s="70"/>
      <c r="H18" s="70"/>
      <c r="J18" s="71" t="s">
        <v>71</v>
      </c>
      <c r="K18" s="71"/>
      <c r="L18" s="71"/>
      <c r="M18" s="71"/>
      <c r="N18" s="240"/>
      <c r="O18" s="240"/>
      <c r="P18" s="240"/>
    </row>
    <row r="19" spans="2:16" s="15" customFormat="1" ht="8.1" customHeight="1" x14ac:dyDescent="0.25">
      <c r="B19" s="68"/>
      <c r="C19" s="69"/>
      <c r="D19" s="70"/>
      <c r="E19" s="70"/>
      <c r="F19" s="70"/>
      <c r="G19" s="70"/>
      <c r="H19" s="70"/>
      <c r="J19" s="71"/>
      <c r="K19" s="71"/>
      <c r="L19" s="71"/>
      <c r="M19" s="71"/>
      <c r="N19" s="155"/>
      <c r="O19" s="155"/>
      <c r="P19" s="155"/>
    </row>
    <row r="20" spans="2:16" s="15" customFormat="1" ht="24.95" customHeight="1" x14ac:dyDescent="0.25">
      <c r="B20" s="68">
        <v>1.4</v>
      </c>
      <c r="C20" s="69" t="s">
        <v>70</v>
      </c>
      <c r="D20" s="72"/>
      <c r="E20" s="72"/>
      <c r="F20" s="72"/>
      <c r="G20" s="72"/>
      <c r="H20" s="72"/>
      <c r="J20" s="71" t="s">
        <v>71</v>
      </c>
      <c r="K20" s="73"/>
      <c r="L20" s="73"/>
      <c r="M20" s="73"/>
      <c r="N20" s="240"/>
      <c r="O20" s="240"/>
      <c r="P20" s="240"/>
    </row>
    <row r="21" spans="2:16" s="15" customFormat="1" ht="8.1" customHeight="1" x14ac:dyDescent="0.25">
      <c r="C21" s="69"/>
      <c r="D21" s="70"/>
      <c r="E21" s="70"/>
      <c r="F21" s="70"/>
      <c r="G21" s="70"/>
      <c r="H21" s="70"/>
      <c r="J21" s="71"/>
      <c r="K21" s="71"/>
      <c r="L21" s="71"/>
      <c r="M21" s="71"/>
      <c r="N21" s="155"/>
      <c r="O21" s="155"/>
      <c r="P21" s="155"/>
    </row>
    <row r="22" spans="2:16" s="15" customFormat="1" ht="24.95" customHeight="1" x14ac:dyDescent="0.25">
      <c r="B22" s="50" t="s">
        <v>79</v>
      </c>
      <c r="C22" s="74"/>
      <c r="D22" s="75"/>
      <c r="E22" s="75"/>
      <c r="F22" s="75"/>
      <c r="G22" s="75"/>
      <c r="H22" s="75"/>
      <c r="I22" s="76"/>
      <c r="J22" s="77"/>
      <c r="K22" s="77"/>
      <c r="L22" s="77"/>
      <c r="M22" s="77"/>
      <c r="N22" s="156"/>
      <c r="O22" s="156"/>
      <c r="P22" s="156"/>
    </row>
    <row r="23" spans="2:16" s="15" customFormat="1" ht="8.1" customHeight="1" x14ac:dyDescent="0.25">
      <c r="C23" s="69"/>
      <c r="D23" s="70"/>
      <c r="E23" s="70"/>
      <c r="F23" s="70"/>
      <c r="G23" s="70"/>
      <c r="H23" s="70"/>
      <c r="J23" s="71"/>
      <c r="K23" s="71"/>
      <c r="L23" s="71"/>
      <c r="M23" s="71"/>
      <c r="N23" s="155"/>
      <c r="O23" s="155"/>
      <c r="P23" s="155"/>
    </row>
    <row r="24" spans="2:16" s="15" customFormat="1" ht="24.95" customHeight="1" x14ac:dyDescent="0.25">
      <c r="B24" s="68">
        <v>2.1</v>
      </c>
      <c r="C24" s="69" t="s">
        <v>68</v>
      </c>
      <c r="D24" s="78"/>
      <c r="E24" s="78"/>
      <c r="F24" s="78"/>
      <c r="G24" s="78"/>
      <c r="H24" s="78"/>
      <c r="J24" s="71" t="s">
        <v>72</v>
      </c>
      <c r="K24" s="71"/>
      <c r="L24" s="71"/>
      <c r="M24" s="71"/>
      <c r="N24" s="240"/>
      <c r="O24" s="240"/>
      <c r="P24" s="240"/>
    </row>
    <row r="25" spans="2:16" s="15" customFormat="1" ht="8.1" customHeight="1" x14ac:dyDescent="0.25">
      <c r="B25" s="68"/>
      <c r="C25" s="69"/>
      <c r="D25" s="70"/>
      <c r="E25" s="70"/>
      <c r="F25" s="70"/>
      <c r="G25" s="70"/>
      <c r="H25" s="70"/>
      <c r="J25" s="71"/>
      <c r="K25" s="71"/>
      <c r="L25" s="71"/>
      <c r="M25" s="71"/>
      <c r="N25" s="155"/>
      <c r="O25" s="155"/>
      <c r="P25" s="155"/>
    </row>
    <row r="26" spans="2:16" s="15" customFormat="1" ht="24.95" customHeight="1" x14ac:dyDescent="0.25">
      <c r="B26" s="68">
        <v>2.2000000000000002</v>
      </c>
      <c r="C26" s="69" t="s">
        <v>69</v>
      </c>
      <c r="D26" s="78"/>
      <c r="E26" s="78"/>
      <c r="F26" s="78"/>
      <c r="G26" s="78"/>
      <c r="H26" s="78"/>
      <c r="J26" s="71" t="s">
        <v>72</v>
      </c>
      <c r="K26" s="71"/>
      <c r="L26" s="71"/>
      <c r="M26" s="71"/>
      <c r="N26" s="240"/>
      <c r="O26" s="240"/>
      <c r="P26" s="240"/>
    </row>
    <row r="27" spans="2:16" s="15" customFormat="1" ht="8.1" customHeight="1" x14ac:dyDescent="0.25">
      <c r="B27" s="68"/>
      <c r="C27" s="69"/>
      <c r="D27" s="70"/>
      <c r="E27" s="70"/>
      <c r="F27" s="70"/>
      <c r="G27" s="70"/>
      <c r="H27" s="70"/>
      <c r="J27" s="71"/>
      <c r="K27" s="71"/>
      <c r="L27" s="71"/>
      <c r="M27" s="71"/>
      <c r="N27" s="155"/>
      <c r="O27" s="155"/>
      <c r="P27" s="155"/>
    </row>
    <row r="28" spans="2:16" s="15" customFormat="1" ht="24.95" customHeight="1" x14ac:dyDescent="0.25">
      <c r="B28" s="68">
        <v>2.2999999999999998</v>
      </c>
      <c r="C28" s="69" t="s">
        <v>70</v>
      </c>
      <c r="D28" s="78"/>
      <c r="E28" s="78"/>
      <c r="F28" s="78"/>
      <c r="G28" s="78"/>
      <c r="H28" s="78"/>
      <c r="J28" s="71" t="s">
        <v>72</v>
      </c>
      <c r="K28" s="73"/>
      <c r="L28" s="73"/>
      <c r="M28" s="73"/>
      <c r="N28" s="240"/>
      <c r="O28" s="240"/>
      <c r="P28" s="240"/>
    </row>
    <row r="29" spans="2:16" s="15" customFormat="1" ht="8.1" customHeight="1" x14ac:dyDescent="0.25">
      <c r="C29" s="69"/>
      <c r="D29" s="70"/>
      <c r="E29" s="70"/>
      <c r="F29" s="70"/>
      <c r="G29" s="70"/>
      <c r="H29" s="70"/>
      <c r="J29" s="71"/>
      <c r="K29" s="71"/>
      <c r="L29" s="71"/>
      <c r="M29" s="71"/>
      <c r="N29" s="155"/>
      <c r="O29" s="155"/>
      <c r="P29" s="155"/>
    </row>
    <row r="30" spans="2:16" s="15" customFormat="1" ht="24.95" customHeight="1" x14ac:dyDescent="0.25">
      <c r="B30" s="50" t="s">
        <v>80</v>
      </c>
      <c r="C30" s="74"/>
      <c r="D30" s="79"/>
      <c r="E30" s="79"/>
      <c r="F30" s="79"/>
      <c r="G30" s="79"/>
      <c r="H30" s="79"/>
      <c r="I30" s="76"/>
      <c r="J30" s="77"/>
      <c r="K30" s="77"/>
      <c r="L30" s="77"/>
      <c r="M30" s="77"/>
      <c r="N30" s="242"/>
      <c r="O30" s="242"/>
      <c r="P30" s="242"/>
    </row>
    <row r="31" spans="2:16" s="15" customFormat="1" ht="8.1" customHeight="1" x14ac:dyDescent="0.25">
      <c r="C31" s="69"/>
      <c r="D31" s="70"/>
      <c r="E31" s="70"/>
      <c r="F31" s="70"/>
      <c r="G31" s="70"/>
      <c r="H31" s="70"/>
      <c r="J31" s="71"/>
      <c r="K31" s="71"/>
      <c r="L31" s="71"/>
      <c r="M31" s="71"/>
      <c r="N31" s="155"/>
      <c r="O31" s="155"/>
      <c r="P31" s="155"/>
    </row>
    <row r="32" spans="2:16" s="15" customFormat="1" ht="24.95" customHeight="1" x14ac:dyDescent="0.25">
      <c r="B32" s="68">
        <v>3.1</v>
      </c>
      <c r="C32" s="69" t="s">
        <v>73</v>
      </c>
      <c r="D32" s="70"/>
      <c r="E32" s="70"/>
      <c r="F32" s="70"/>
      <c r="G32" s="70"/>
      <c r="H32" s="70"/>
      <c r="J32" s="80" t="s">
        <v>18</v>
      </c>
      <c r="K32" s="71"/>
      <c r="L32" s="71"/>
      <c r="M32" s="71"/>
      <c r="N32" s="240"/>
      <c r="O32" s="240"/>
      <c r="P32" s="240"/>
    </row>
    <row r="33" spans="2:22" s="15" customFormat="1" ht="8.1" customHeight="1" x14ac:dyDescent="0.25">
      <c r="B33" s="56"/>
      <c r="C33" s="69"/>
      <c r="D33" s="70"/>
      <c r="E33" s="70"/>
      <c r="F33" s="70"/>
      <c r="G33" s="70"/>
      <c r="H33" s="70"/>
      <c r="J33" s="71"/>
      <c r="K33" s="71"/>
      <c r="L33" s="71"/>
      <c r="M33" s="71"/>
      <c r="N33" s="155"/>
      <c r="O33" s="155"/>
      <c r="P33" s="155"/>
    </row>
    <row r="34" spans="2:22" s="15" customFormat="1" ht="24.95" customHeight="1" x14ac:dyDescent="0.25">
      <c r="B34" s="68">
        <v>3.2</v>
      </c>
      <c r="C34" s="69" t="s">
        <v>74</v>
      </c>
      <c r="D34" s="70"/>
      <c r="E34" s="70"/>
      <c r="F34" s="70"/>
      <c r="G34" s="70"/>
      <c r="H34" s="70"/>
      <c r="J34" s="80" t="s">
        <v>75</v>
      </c>
      <c r="K34" s="71"/>
      <c r="L34" s="71"/>
      <c r="M34" s="71"/>
      <c r="N34" s="240"/>
      <c r="O34" s="240"/>
      <c r="P34" s="240"/>
    </row>
    <row r="35" spans="2:22" s="15" customFormat="1" ht="8.1" customHeight="1" x14ac:dyDescent="0.25">
      <c r="B35" s="56"/>
      <c r="C35" s="69"/>
      <c r="D35" s="70"/>
      <c r="E35" s="70"/>
      <c r="F35" s="70"/>
      <c r="G35" s="70"/>
      <c r="H35" s="70"/>
      <c r="J35" s="71"/>
      <c r="K35" s="71"/>
      <c r="L35" s="71"/>
      <c r="M35" s="71"/>
      <c r="N35" s="155"/>
      <c r="O35" s="155"/>
      <c r="P35" s="155"/>
    </row>
    <row r="36" spans="2:22" s="15" customFormat="1" ht="24.95" customHeight="1" x14ac:dyDescent="0.25">
      <c r="B36" s="68">
        <v>3.3</v>
      </c>
      <c r="C36" s="69" t="s">
        <v>76</v>
      </c>
      <c r="D36" s="69"/>
      <c r="E36" s="69"/>
      <c r="F36" s="69"/>
      <c r="G36" s="69"/>
      <c r="H36" s="69"/>
      <c r="J36" s="81" t="s">
        <v>66</v>
      </c>
      <c r="K36" s="80"/>
      <c r="L36" s="80"/>
      <c r="M36" s="80"/>
      <c r="N36" s="254" t="str">
        <f>IFERROR((N32/N34),"")</f>
        <v/>
      </c>
      <c r="O36" s="254"/>
      <c r="P36" s="254"/>
    </row>
    <row r="37" spans="2:22" s="15" customFormat="1" ht="8.1" customHeight="1" x14ac:dyDescent="0.25">
      <c r="C37" s="69"/>
      <c r="D37" s="70"/>
      <c r="E37" s="70"/>
      <c r="F37" s="70"/>
      <c r="G37" s="70"/>
      <c r="H37" s="70"/>
      <c r="J37" s="71"/>
      <c r="K37" s="71"/>
      <c r="L37" s="71"/>
      <c r="M37" s="71"/>
      <c r="N37" s="155"/>
      <c r="O37" s="155"/>
      <c r="P37" s="155"/>
    </row>
    <row r="38" spans="2:22" s="15" customFormat="1" ht="24.95" customHeight="1" x14ac:dyDescent="0.25">
      <c r="B38" s="50" t="s">
        <v>81</v>
      </c>
      <c r="C38" s="74"/>
      <c r="D38" s="74"/>
      <c r="E38" s="74"/>
      <c r="F38" s="74"/>
      <c r="G38" s="74"/>
      <c r="H38" s="74"/>
      <c r="I38" s="76"/>
      <c r="J38" s="82"/>
      <c r="K38" s="82"/>
      <c r="L38" s="82"/>
      <c r="M38" s="82"/>
      <c r="N38" s="156"/>
      <c r="O38" s="156"/>
      <c r="P38" s="156"/>
    </row>
    <row r="39" spans="2:22" s="15" customFormat="1" ht="8.1" customHeight="1" x14ac:dyDescent="0.25">
      <c r="C39" s="69"/>
      <c r="D39" s="70"/>
      <c r="E39" s="70"/>
      <c r="F39" s="70"/>
      <c r="G39" s="70"/>
      <c r="H39" s="70"/>
      <c r="J39" s="71"/>
      <c r="K39" s="71"/>
      <c r="L39" s="71"/>
      <c r="M39" s="71"/>
      <c r="N39" s="155"/>
      <c r="O39" s="155"/>
      <c r="P39" s="155"/>
    </row>
    <row r="40" spans="2:22" s="15" customFormat="1" ht="24.95" customHeight="1" x14ac:dyDescent="0.25">
      <c r="B40" s="68">
        <v>4.0999999999999996</v>
      </c>
      <c r="C40" s="69" t="s">
        <v>19</v>
      </c>
      <c r="D40" s="72"/>
      <c r="E40" s="72"/>
      <c r="F40" s="72"/>
      <c r="G40" s="72"/>
      <c r="H40" s="72"/>
      <c r="J40" s="71" t="s">
        <v>20</v>
      </c>
      <c r="N40" s="240"/>
      <c r="O40" s="240"/>
      <c r="P40" s="240"/>
    </row>
    <row r="41" spans="2:22" s="15" customFormat="1" ht="8.1" customHeight="1" x14ac:dyDescent="0.25">
      <c r="B41" s="68"/>
      <c r="C41" s="69"/>
      <c r="D41" s="70"/>
      <c r="E41" s="70"/>
      <c r="F41" s="70"/>
      <c r="G41" s="70"/>
      <c r="H41" s="70"/>
      <c r="J41" s="71"/>
      <c r="K41" s="71"/>
      <c r="L41" s="71"/>
      <c r="M41" s="71"/>
      <c r="N41" s="155"/>
      <c r="O41" s="155"/>
      <c r="P41" s="155"/>
    </row>
    <row r="42" spans="2:22" s="15" customFormat="1" ht="24.95" customHeight="1" x14ac:dyDescent="0.25">
      <c r="B42" s="68">
        <v>4.2</v>
      </c>
      <c r="C42" s="69" t="s">
        <v>77</v>
      </c>
      <c r="D42" s="69"/>
      <c r="E42" s="69"/>
      <c r="F42" s="69"/>
      <c r="G42" s="69"/>
      <c r="H42" s="69"/>
      <c r="J42" s="71" t="s">
        <v>20</v>
      </c>
      <c r="K42" s="71"/>
      <c r="L42" s="71"/>
      <c r="M42" s="71"/>
      <c r="N42" s="240"/>
      <c r="O42" s="240"/>
      <c r="P42" s="240"/>
    </row>
    <row r="43" spans="2:22" ht="24.95" customHeight="1" x14ac:dyDescent="0.25">
      <c r="B43" s="45"/>
      <c r="C43" s="45"/>
      <c r="D43" s="45"/>
      <c r="E43" s="45"/>
      <c r="F43" s="45"/>
      <c r="G43" s="45"/>
      <c r="H43" s="45"/>
      <c r="J43" s="46"/>
      <c r="K43" s="46"/>
      <c r="L43" s="46"/>
      <c r="M43" s="46"/>
      <c r="N43" s="47"/>
      <c r="O43" s="47"/>
      <c r="P43" s="47"/>
    </row>
    <row r="44" spans="2:22" ht="21" x14ac:dyDescent="0.35">
      <c r="B44" s="245" t="s">
        <v>118</v>
      </c>
      <c r="C44" s="245"/>
      <c r="D44" s="245"/>
      <c r="E44" s="245"/>
      <c r="F44" s="245"/>
      <c r="G44" s="245"/>
      <c r="H44" s="245"/>
      <c r="I44" s="245"/>
      <c r="J44" s="245"/>
      <c r="K44" s="245"/>
      <c r="L44" s="245"/>
      <c r="M44" s="245"/>
      <c r="N44" s="245"/>
      <c r="O44" s="245"/>
      <c r="P44" s="245"/>
    </row>
    <row r="46" spans="2:22" s="8" customFormat="1" ht="36.75" customHeight="1" x14ac:dyDescent="0.25">
      <c r="B46" s="252" t="s">
        <v>25</v>
      </c>
      <c r="C46" s="252"/>
      <c r="D46" s="7"/>
      <c r="E46" s="85" t="s">
        <v>61</v>
      </c>
      <c r="F46" s="7"/>
      <c r="G46" s="85" t="s">
        <v>62</v>
      </c>
      <c r="H46" s="7"/>
      <c r="I46" s="52" t="s">
        <v>26</v>
      </c>
      <c r="J46" s="7"/>
      <c r="K46" s="85" t="s">
        <v>60</v>
      </c>
      <c r="L46" s="85"/>
      <c r="M46" s="253" t="s">
        <v>84</v>
      </c>
      <c r="N46" s="253"/>
      <c r="O46" s="85"/>
      <c r="P46" s="53" t="s">
        <v>85</v>
      </c>
      <c r="Q46" s="144"/>
      <c r="R46" s="144"/>
      <c r="S46" s="144"/>
      <c r="T46" s="144"/>
      <c r="U46" s="144"/>
      <c r="V46" s="144"/>
    </row>
    <row r="47" spans="2:22" ht="9" customHeight="1" x14ac:dyDescent="0.25"/>
    <row r="48" spans="2:22" ht="15.75" x14ac:dyDescent="0.25">
      <c r="B48" s="251" t="s">
        <v>39</v>
      </c>
      <c r="C48" s="251"/>
      <c r="D48" s="15"/>
      <c r="E48" s="83">
        <v>20</v>
      </c>
      <c r="F48" s="15"/>
      <c r="G48" s="83">
        <v>1</v>
      </c>
      <c r="H48" s="15"/>
      <c r="I48" s="152" t="s">
        <v>27</v>
      </c>
      <c r="J48" s="15"/>
      <c r="K48" s="83">
        <v>70</v>
      </c>
      <c r="L48" s="9"/>
      <c r="M48" s="241" t="s">
        <v>29</v>
      </c>
      <c r="N48" s="241"/>
      <c r="P48" s="157" t="s">
        <v>88</v>
      </c>
    </row>
    <row r="49" spans="2:16" ht="9" customHeight="1" x14ac:dyDescent="0.25">
      <c r="B49" s="15"/>
      <c r="C49" s="15"/>
      <c r="D49" s="15"/>
      <c r="E49" s="15"/>
      <c r="F49" s="15"/>
      <c r="G49" s="15"/>
      <c r="H49" s="15"/>
      <c r="I49" s="56"/>
      <c r="J49" s="15"/>
      <c r="K49" s="56"/>
      <c r="L49" s="9"/>
      <c r="M49" s="5"/>
    </row>
    <row r="50" spans="2:16" ht="15.75" x14ac:dyDescent="0.25">
      <c r="B50" s="251" t="s">
        <v>40</v>
      </c>
      <c r="C50" s="251"/>
      <c r="D50" s="15"/>
      <c r="E50" s="83">
        <v>20</v>
      </c>
      <c r="F50" s="15"/>
      <c r="G50" s="83">
        <v>4</v>
      </c>
      <c r="H50" s="15"/>
      <c r="I50" s="152" t="s">
        <v>28</v>
      </c>
      <c r="J50" s="15"/>
      <c r="K50" s="83">
        <v>10</v>
      </c>
      <c r="L50" s="9"/>
      <c r="M50" s="241" t="s">
        <v>30</v>
      </c>
      <c r="N50" s="241"/>
      <c r="O50" s="9"/>
      <c r="P50" s="157" t="s">
        <v>89</v>
      </c>
    </row>
    <row r="51" spans="2:16" ht="9" customHeight="1" x14ac:dyDescent="0.25">
      <c r="B51" s="15"/>
      <c r="C51" s="15"/>
      <c r="D51" s="15"/>
      <c r="E51" s="15"/>
      <c r="F51" s="15"/>
      <c r="G51" s="15"/>
      <c r="H51" s="15"/>
      <c r="I51" s="56"/>
      <c r="J51" s="15"/>
      <c r="K51" s="56"/>
      <c r="L51" s="9"/>
      <c r="M51" s="5"/>
    </row>
    <row r="52" spans="2:16" ht="15.75" x14ac:dyDescent="0.25">
      <c r="B52" s="251" t="s">
        <v>41</v>
      </c>
      <c r="C52" s="251"/>
      <c r="D52" s="15"/>
      <c r="E52" s="83">
        <v>1</v>
      </c>
      <c r="F52" s="15"/>
      <c r="G52" s="83">
        <v>3</v>
      </c>
      <c r="H52" s="15"/>
      <c r="I52" s="152" t="s">
        <v>27</v>
      </c>
      <c r="J52" s="15"/>
      <c r="K52" s="83">
        <v>5</v>
      </c>
      <c r="L52" s="9"/>
      <c r="M52" s="241" t="s">
        <v>12</v>
      </c>
      <c r="N52" s="241"/>
      <c r="O52" s="9"/>
      <c r="P52" s="157" t="s">
        <v>89</v>
      </c>
    </row>
    <row r="53" spans="2:16" ht="9" customHeight="1" x14ac:dyDescent="0.25">
      <c r="B53" s="15"/>
      <c r="C53" s="15"/>
      <c r="D53" s="15"/>
      <c r="E53" s="15"/>
      <c r="F53" s="15"/>
      <c r="G53" s="15"/>
      <c r="H53" s="15"/>
      <c r="I53" s="56"/>
      <c r="J53" s="15"/>
      <c r="K53" s="56"/>
      <c r="L53" s="9"/>
      <c r="M53" s="5"/>
    </row>
    <row r="54" spans="2:16" ht="15.75" x14ac:dyDescent="0.25">
      <c r="B54" s="251" t="s">
        <v>42</v>
      </c>
      <c r="C54" s="251"/>
      <c r="D54" s="15"/>
      <c r="E54" s="83">
        <v>1</v>
      </c>
      <c r="F54" s="15"/>
      <c r="G54" s="83">
        <v>2</v>
      </c>
      <c r="H54" s="15"/>
      <c r="I54" s="152" t="s">
        <v>28</v>
      </c>
      <c r="J54" s="15"/>
      <c r="K54" s="83">
        <v>5</v>
      </c>
      <c r="L54" s="9"/>
      <c r="M54" s="241" t="s">
        <v>30</v>
      </c>
      <c r="N54" s="241"/>
      <c r="O54" s="9"/>
      <c r="P54" s="157" t="s">
        <v>89</v>
      </c>
    </row>
    <row r="55" spans="2:16" ht="9" customHeight="1" x14ac:dyDescent="0.25">
      <c r="B55" s="15"/>
      <c r="C55" s="15"/>
      <c r="D55" s="15"/>
      <c r="E55" s="15"/>
      <c r="F55" s="15"/>
      <c r="G55" s="15"/>
      <c r="H55" s="15"/>
      <c r="I55" s="56"/>
      <c r="J55" s="15"/>
      <c r="K55" s="56"/>
      <c r="L55" s="9"/>
      <c r="M55" s="5"/>
    </row>
    <row r="56" spans="2:16" ht="15.75" x14ac:dyDescent="0.25">
      <c r="B56" s="251" t="s">
        <v>43</v>
      </c>
      <c r="C56" s="251"/>
      <c r="D56" s="15"/>
      <c r="E56" s="83">
        <v>10</v>
      </c>
      <c r="F56" s="15"/>
      <c r="G56" s="83">
        <v>3</v>
      </c>
      <c r="H56" s="15"/>
      <c r="I56" s="152" t="s">
        <v>27</v>
      </c>
      <c r="J56" s="15"/>
      <c r="K56" s="83">
        <v>10</v>
      </c>
      <c r="L56" s="9"/>
      <c r="M56" s="241" t="s">
        <v>12</v>
      </c>
      <c r="N56" s="241"/>
      <c r="O56" s="9"/>
      <c r="P56" s="157" t="s">
        <v>89</v>
      </c>
    </row>
    <row r="57" spans="2:16" ht="9" customHeight="1" x14ac:dyDescent="0.25">
      <c r="B57" s="15"/>
      <c r="C57" s="15"/>
      <c r="D57" s="15"/>
      <c r="E57" s="15"/>
      <c r="F57" s="15"/>
      <c r="G57" s="15"/>
      <c r="H57" s="15"/>
      <c r="I57" s="56"/>
      <c r="J57" s="15"/>
      <c r="K57" s="56"/>
      <c r="L57" s="9"/>
      <c r="M57" s="5"/>
    </row>
    <row r="58" spans="2:16" ht="15.75" x14ac:dyDescent="0.25">
      <c r="B58" s="251" t="s">
        <v>44</v>
      </c>
      <c r="C58" s="251"/>
      <c r="D58" s="15"/>
      <c r="E58" s="83">
        <v>10</v>
      </c>
      <c r="F58" s="15"/>
      <c r="G58" s="83">
        <v>2</v>
      </c>
      <c r="H58" s="15"/>
      <c r="I58" s="152" t="s">
        <v>27</v>
      </c>
      <c r="J58" s="15"/>
      <c r="K58" s="83">
        <v>18</v>
      </c>
      <c r="L58" s="9"/>
      <c r="M58" s="241" t="s">
        <v>12</v>
      </c>
      <c r="N58" s="241"/>
      <c r="O58" s="9"/>
      <c r="P58" s="157" t="s">
        <v>88</v>
      </c>
    </row>
    <row r="59" spans="2:16" ht="9" customHeight="1" x14ac:dyDescent="0.25">
      <c r="B59" s="15"/>
      <c r="C59" s="15"/>
      <c r="D59" s="15"/>
      <c r="E59" s="15"/>
      <c r="F59" s="15"/>
      <c r="G59" s="15"/>
      <c r="H59" s="15"/>
      <c r="I59" s="56"/>
      <c r="J59" s="15"/>
      <c r="K59" s="56"/>
      <c r="L59" s="9"/>
      <c r="M59" s="5"/>
    </row>
    <row r="60" spans="2:16" ht="15.75" x14ac:dyDescent="0.25">
      <c r="B60" s="251" t="s">
        <v>45</v>
      </c>
      <c r="C60" s="251"/>
      <c r="D60" s="15"/>
      <c r="E60" s="83">
        <v>20</v>
      </c>
      <c r="F60" s="15"/>
      <c r="G60" s="83">
        <v>2</v>
      </c>
      <c r="H60" s="15"/>
      <c r="I60" s="152" t="s">
        <v>27</v>
      </c>
      <c r="J60" s="15"/>
      <c r="K60" s="83">
        <v>10</v>
      </c>
      <c r="L60" s="9"/>
      <c r="M60" s="241" t="s">
        <v>12</v>
      </c>
      <c r="N60" s="241"/>
      <c r="O60" s="9"/>
      <c r="P60" s="157" t="s">
        <v>89</v>
      </c>
    </row>
    <row r="61" spans="2:16" ht="9" customHeight="1" x14ac:dyDescent="0.25">
      <c r="B61" s="15"/>
      <c r="C61" s="15"/>
      <c r="D61" s="15"/>
      <c r="E61" s="15"/>
      <c r="F61" s="15"/>
      <c r="G61" s="15"/>
      <c r="H61" s="15"/>
      <c r="I61" s="56"/>
      <c r="J61" s="15"/>
      <c r="K61" s="56"/>
      <c r="L61" s="9"/>
      <c r="M61" s="5"/>
    </row>
    <row r="62" spans="2:16" ht="15.75" x14ac:dyDescent="0.25">
      <c r="B62" s="246" t="s">
        <v>46</v>
      </c>
      <c r="C62" s="246"/>
      <c r="D62" s="15"/>
      <c r="E62" s="83">
        <v>5</v>
      </c>
      <c r="F62" s="15"/>
      <c r="G62" s="83">
        <v>1</v>
      </c>
      <c r="H62" s="15"/>
      <c r="I62" s="83" t="s">
        <v>27</v>
      </c>
      <c r="J62" s="15"/>
      <c r="K62" s="83">
        <v>10</v>
      </c>
      <c r="L62" s="9"/>
      <c r="M62" s="244" t="s">
        <v>12</v>
      </c>
      <c r="N62" s="244"/>
      <c r="O62" s="9"/>
      <c r="P62" s="158" t="s">
        <v>89</v>
      </c>
    </row>
    <row r="63" spans="2:16" ht="9" customHeight="1" x14ac:dyDescent="0.25">
      <c r="B63" s="15"/>
      <c r="C63" s="15"/>
      <c r="D63" s="15"/>
      <c r="E63" s="15"/>
      <c r="F63" s="15"/>
      <c r="G63" s="15"/>
      <c r="H63" s="15"/>
      <c r="I63" s="56"/>
      <c r="J63" s="15"/>
      <c r="K63" s="56"/>
      <c r="L63" s="9"/>
      <c r="M63" s="5"/>
    </row>
    <row r="64" spans="2:16" ht="15.75" x14ac:dyDescent="0.25">
      <c r="B64" s="246" t="s">
        <v>47</v>
      </c>
      <c r="C64" s="246"/>
      <c r="D64" s="15"/>
      <c r="E64" s="83">
        <v>1</v>
      </c>
      <c r="F64" s="15"/>
      <c r="G64" s="83">
        <v>2</v>
      </c>
      <c r="H64" s="15"/>
      <c r="I64" s="83" t="s">
        <v>27</v>
      </c>
      <c r="J64" s="15"/>
      <c r="K64" s="83">
        <v>5</v>
      </c>
      <c r="L64" s="9"/>
      <c r="M64" s="244" t="s">
        <v>12</v>
      </c>
      <c r="N64" s="244"/>
      <c r="O64" s="9"/>
      <c r="P64" s="158" t="s">
        <v>89</v>
      </c>
    </row>
    <row r="66" spans="2:21" ht="21" x14ac:dyDescent="0.35">
      <c r="B66" s="245" t="s">
        <v>101</v>
      </c>
      <c r="C66" s="245"/>
      <c r="D66" s="245"/>
      <c r="E66" s="245"/>
      <c r="F66" s="245"/>
      <c r="G66" s="245"/>
      <c r="H66" s="245"/>
      <c r="I66" s="245"/>
      <c r="J66" s="245"/>
      <c r="K66" s="245"/>
      <c r="L66" s="245"/>
      <c r="M66" s="245"/>
      <c r="N66" s="245"/>
      <c r="O66" s="245"/>
      <c r="P66" s="245"/>
    </row>
    <row r="68" spans="2:21" s="80" customFormat="1" ht="25.5" customHeight="1" x14ac:dyDescent="0.25">
      <c r="B68" s="8" t="s">
        <v>102</v>
      </c>
      <c r="D68" s="80" t="s">
        <v>103</v>
      </c>
      <c r="N68" s="243">
        <v>100</v>
      </c>
      <c r="O68" s="243"/>
      <c r="P68" s="243"/>
    </row>
    <row r="74" spans="2:21" x14ac:dyDescent="0.25">
      <c r="Q74" s="1" t="s">
        <v>82</v>
      </c>
    </row>
    <row r="75" spans="2:21" s="51" customFormat="1" ht="30" x14ac:dyDescent="0.25">
      <c r="Q75" s="106" t="s">
        <v>63</v>
      </c>
      <c r="R75" s="106" t="s">
        <v>83</v>
      </c>
      <c r="S75" s="106" t="s">
        <v>86</v>
      </c>
      <c r="T75" s="106"/>
      <c r="U75" s="106" t="s">
        <v>87</v>
      </c>
    </row>
    <row r="76" spans="2:21" x14ac:dyDescent="0.25">
      <c r="Q76" s="48">
        <v>1</v>
      </c>
      <c r="R76" s="48" t="s">
        <v>28</v>
      </c>
      <c r="S76" s="44" t="s">
        <v>29</v>
      </c>
      <c r="T76" s="48"/>
      <c r="U76" s="48" t="s">
        <v>88</v>
      </c>
    </row>
    <row r="77" spans="2:21" x14ac:dyDescent="0.25">
      <c r="Q77" s="48">
        <v>2</v>
      </c>
      <c r="R77" s="48" t="s">
        <v>27</v>
      </c>
      <c r="S77" s="44" t="s">
        <v>12</v>
      </c>
      <c r="T77" s="48"/>
      <c r="U77" s="48" t="s">
        <v>89</v>
      </c>
    </row>
    <row r="78" spans="2:21" x14ac:dyDescent="0.25">
      <c r="Q78" s="48">
        <v>3</v>
      </c>
      <c r="R78" s="48"/>
      <c r="S78" s="44" t="s">
        <v>30</v>
      </c>
      <c r="T78" s="48"/>
      <c r="U78" s="48"/>
    </row>
    <row r="79" spans="2:21" x14ac:dyDescent="0.25">
      <c r="Q79" s="48">
        <v>4</v>
      </c>
      <c r="R79" s="48"/>
      <c r="S79" s="48"/>
      <c r="T79" s="48"/>
      <c r="U79" s="48"/>
    </row>
    <row r="80" spans="2:21" x14ac:dyDescent="0.25">
      <c r="Q80" s="48">
        <v>5</v>
      </c>
      <c r="R80" s="48"/>
      <c r="S80" s="48"/>
      <c r="T80" s="48"/>
      <c r="U80" s="48"/>
    </row>
  </sheetData>
  <mergeCells count="45">
    <mergeCell ref="B50:C50"/>
    <mergeCell ref="B52:C52"/>
    <mergeCell ref="B54:C54"/>
    <mergeCell ref="B56:C56"/>
    <mergeCell ref="B58:C58"/>
    <mergeCell ref="N14:P14"/>
    <mergeCell ref="B60:C60"/>
    <mergeCell ref="B62:C62"/>
    <mergeCell ref="N16:P16"/>
    <mergeCell ref="B44:P44"/>
    <mergeCell ref="B46:C46"/>
    <mergeCell ref="B48:C48"/>
    <mergeCell ref="M54:N54"/>
    <mergeCell ref="N18:P18"/>
    <mergeCell ref="N20:P20"/>
    <mergeCell ref="M50:N50"/>
    <mergeCell ref="M52:N52"/>
    <mergeCell ref="M46:N46"/>
    <mergeCell ref="N34:P34"/>
    <mergeCell ref="N36:P36"/>
    <mergeCell ref="N40:P40"/>
    <mergeCell ref="B7:C7"/>
    <mergeCell ref="D7:F7"/>
    <mergeCell ref="B10:P10"/>
    <mergeCell ref="B3:P3"/>
    <mergeCell ref="G7:H7"/>
    <mergeCell ref="I7:J7"/>
    <mergeCell ref="K7:M7"/>
    <mergeCell ref="N7:P7"/>
    <mergeCell ref="B4:P4"/>
    <mergeCell ref="N68:P68"/>
    <mergeCell ref="M56:N56"/>
    <mergeCell ref="M58:N58"/>
    <mergeCell ref="M60:N60"/>
    <mergeCell ref="M62:N62"/>
    <mergeCell ref="M64:N64"/>
    <mergeCell ref="B66:P66"/>
    <mergeCell ref="B64:C64"/>
    <mergeCell ref="N42:P42"/>
    <mergeCell ref="M48:N48"/>
    <mergeCell ref="N24:P24"/>
    <mergeCell ref="N26:P26"/>
    <mergeCell ref="N28:P28"/>
    <mergeCell ref="N30:P30"/>
    <mergeCell ref="N32:P32"/>
  </mergeCells>
  <dataValidations count="4">
    <dataValidation type="list" allowBlank="1" showInputMessage="1" showErrorMessage="1" sqref="G48 G50 G52 G54 G56 G58 G60 G62 G64" xr:uid="{00000000-0002-0000-0100-000000000000}">
      <formula1>$Q$76:$Q$80</formula1>
    </dataValidation>
    <dataValidation type="list" allowBlank="1" showInputMessage="1" showErrorMessage="1" sqref="I48 I50 I52 I54 I56 I58 I60 I62 I64" xr:uid="{00000000-0002-0000-0100-000001000000}">
      <formula1>$R$76:$R$77</formula1>
    </dataValidation>
    <dataValidation type="list" allowBlank="1" showInputMessage="1" showErrorMessage="1" sqref="M48:N48 M64:N64 M62:N62 M60:N60 M58:N58 M56:N56 M54:N54 M52:N52 M50:N50" xr:uid="{00000000-0002-0000-0100-000002000000}">
      <formula1>$S$76:$S$78</formula1>
    </dataValidation>
    <dataValidation type="list" allowBlank="1" showInputMessage="1" showErrorMessage="1" sqref="P48 P64 P62 P60 P58 P56 P54 P52 P50" xr:uid="{00000000-0002-0000-0100-000003000000}">
      <formula1>$U$76:$U$77</formula1>
    </dataValidation>
  </dataValidations>
  <hyperlinks>
    <hyperlink ref="J36" r:id="rId1" xr:uid="{00000000-0004-0000-0100-000000000000}"/>
  </hyperlinks>
  <pageMargins left="0.7" right="0.7" top="0.75" bottom="0.75" header="0.3" footer="0.3"/>
  <pageSetup paperSize="9" scale="60" orientation="portrait" r:id="rId2"/>
  <colBreaks count="1" manualBreakCount="1">
    <brk id="16" max="1048575" man="1"/>
  </col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D264"/>
  <sheetViews>
    <sheetView zoomScale="70" zoomScaleNormal="70" workbookViewId="0">
      <pane xSplit="8" ySplit="11" topLeftCell="I12" activePane="bottomRight" state="frozen"/>
      <selection pane="topRight" activeCell="H1" sqref="H1"/>
      <selection pane="bottomLeft" activeCell="A12" sqref="A12"/>
      <selection pane="bottomRight"/>
    </sheetView>
  </sheetViews>
  <sheetFormatPr defaultColWidth="9.140625" defaultRowHeight="15" x14ac:dyDescent="0.25"/>
  <cols>
    <col min="1" max="1" width="3.7109375" style="1" customWidth="1"/>
    <col min="2" max="2" width="9.140625" style="1" customWidth="1"/>
    <col min="3" max="4" width="9.140625" style="1"/>
    <col min="5" max="5" width="9.140625" style="1" hidden="1" customWidth="1"/>
    <col min="6" max="8" width="9.140625" style="1"/>
    <col min="9" max="14" width="7.28515625" style="1" customWidth="1"/>
    <col min="15" max="16" width="9.140625" style="1"/>
    <col min="17" max="17" width="9.140625" style="1" hidden="1" customWidth="1"/>
    <col min="18" max="25" width="9.140625" style="1"/>
    <col min="26" max="26" width="9.140625" style="1" hidden="1" customWidth="1"/>
    <col min="27" max="28" width="6.42578125" style="1" customWidth="1"/>
    <col min="29" max="29" width="17.42578125" style="1" customWidth="1"/>
    <col min="30" max="30" width="6.42578125" style="1" hidden="1" customWidth="1"/>
    <col min="31" max="32" width="6.42578125" style="1" customWidth="1"/>
    <col min="33" max="33" width="16.140625" style="1" customWidth="1"/>
    <col min="34" max="34" width="6.42578125" style="1" hidden="1" customWidth="1"/>
    <col min="35" max="36" width="6.42578125" style="1" customWidth="1"/>
    <col min="37" max="37" width="18.28515625" style="1" customWidth="1"/>
    <col min="38" max="38" width="6.42578125" style="1" hidden="1" customWidth="1"/>
    <col min="39" max="40" width="6.42578125" style="1" customWidth="1"/>
    <col min="41" max="41" width="13.5703125" style="1" customWidth="1"/>
    <col min="42" max="43" width="7" style="1" customWidth="1"/>
    <col min="44" max="45" width="9.140625" style="1"/>
    <col min="46" max="47" width="6.140625" style="1" customWidth="1"/>
    <col min="48" max="48" width="15.140625" style="1" customWidth="1"/>
    <col min="49" max="51" width="3.42578125" style="1" customWidth="1"/>
    <col min="52" max="56" width="9.140625" style="1" hidden="1" customWidth="1"/>
    <col min="57" max="16384" width="9.140625" style="1"/>
  </cols>
  <sheetData>
    <row r="1" spans="2:56" s="2" customFormat="1" ht="27" customHeight="1" x14ac:dyDescent="0.25">
      <c r="B1" s="222"/>
      <c r="C1" s="222"/>
      <c r="F1" s="222"/>
      <c r="G1" s="222"/>
      <c r="I1" s="222"/>
      <c r="J1" s="222"/>
      <c r="R1" s="223"/>
      <c r="S1" s="223"/>
      <c r="T1" s="223"/>
      <c r="V1" s="223"/>
      <c r="W1" s="223"/>
      <c r="X1" s="223"/>
      <c r="AZ1" s="1"/>
      <c r="BB1" s="126" t="s">
        <v>172</v>
      </c>
      <c r="BC1" s="126">
        <v>1</v>
      </c>
      <c r="BD1" s="2" t="s">
        <v>88</v>
      </c>
    </row>
    <row r="2" spans="2:56" s="2" customFormat="1" ht="8.25" customHeight="1" x14ac:dyDescent="0.25">
      <c r="B2" s="153"/>
      <c r="C2" s="153"/>
      <c r="F2" s="153"/>
      <c r="G2" s="153"/>
      <c r="K2" s="154"/>
      <c r="L2" s="154"/>
      <c r="M2" s="154"/>
      <c r="N2" s="154"/>
      <c r="O2" s="154"/>
      <c r="Q2" s="154"/>
      <c r="R2" s="154"/>
      <c r="S2" s="154"/>
      <c r="BB2" s="126" t="s">
        <v>173</v>
      </c>
      <c r="BC2" s="126">
        <v>2</v>
      </c>
      <c r="BD2" s="2" t="s">
        <v>89</v>
      </c>
    </row>
    <row r="3" spans="2:56" ht="34.5" customHeight="1" x14ac:dyDescent="0.25">
      <c r="B3" s="19"/>
      <c r="C3" s="19"/>
      <c r="D3" s="19"/>
      <c r="E3" s="19"/>
      <c r="F3" s="19"/>
      <c r="G3" s="19"/>
      <c r="H3" s="19"/>
      <c r="I3" s="19" t="s">
        <v>300</v>
      </c>
      <c r="J3" s="19"/>
      <c r="K3" s="19"/>
      <c r="L3" s="19"/>
      <c r="M3" s="19"/>
      <c r="N3" s="19"/>
      <c r="O3" s="19"/>
      <c r="P3" s="19"/>
      <c r="Q3" s="19"/>
      <c r="R3" s="19"/>
      <c r="S3" s="19"/>
      <c r="T3" s="19"/>
      <c r="U3" s="19"/>
      <c r="V3" s="19"/>
      <c r="W3" s="19"/>
      <c r="X3" s="19"/>
      <c r="Y3" s="19"/>
      <c r="Z3" s="19"/>
      <c r="AA3" s="19"/>
      <c r="AB3" s="19"/>
      <c r="AC3" s="19"/>
      <c r="AD3" s="19"/>
      <c r="AE3" s="19"/>
      <c r="AF3" s="19"/>
      <c r="AG3" s="19"/>
      <c r="AH3" s="19"/>
      <c r="AI3" s="19"/>
      <c r="AJ3" s="20"/>
      <c r="AK3" s="20"/>
      <c r="AL3" s="20"/>
      <c r="AM3" s="20"/>
      <c r="AN3" s="20"/>
      <c r="AO3" s="20"/>
      <c r="AP3" s="20"/>
      <c r="AQ3" s="20"/>
      <c r="AR3" s="20"/>
      <c r="AS3" s="20"/>
      <c r="AT3" s="20"/>
      <c r="AU3" s="20"/>
      <c r="AV3" s="20"/>
      <c r="AW3" s="20"/>
      <c r="AX3" s="20"/>
      <c r="AY3" s="20"/>
      <c r="BB3" s="1" t="s">
        <v>174</v>
      </c>
      <c r="BC3" s="1">
        <v>3</v>
      </c>
    </row>
    <row r="4" spans="2:56" ht="21.75" customHeight="1" x14ac:dyDescent="0.25">
      <c r="C4" s="18"/>
      <c r="D4" s="18"/>
      <c r="E4" s="18"/>
      <c r="F4" s="18"/>
      <c r="G4" s="18"/>
      <c r="H4" s="18"/>
      <c r="I4" s="18" t="s">
        <v>185</v>
      </c>
      <c r="J4" s="18"/>
      <c r="K4" s="18"/>
      <c r="L4" s="18"/>
      <c r="M4" s="18"/>
      <c r="N4" s="18"/>
      <c r="O4" s="18"/>
      <c r="P4" s="18"/>
      <c r="Q4" s="18"/>
      <c r="R4" s="18"/>
      <c r="S4" s="18"/>
      <c r="T4" s="18"/>
      <c r="U4" s="18"/>
      <c r="V4" s="18"/>
      <c r="W4" s="18"/>
      <c r="X4" s="18"/>
      <c r="Y4" s="18"/>
      <c r="Z4" s="18"/>
      <c r="AA4" s="18"/>
      <c r="AB4" s="18"/>
      <c r="AC4" s="18"/>
      <c r="AD4" s="18"/>
      <c r="AE4" s="18"/>
      <c r="AF4" s="18"/>
      <c r="AG4" s="18"/>
      <c r="AH4" s="18"/>
      <c r="AI4" s="18"/>
      <c r="BB4" s="1" t="s">
        <v>175</v>
      </c>
      <c r="BC4" s="1">
        <v>4</v>
      </c>
    </row>
    <row r="5" spans="2:56" ht="21.75" customHeight="1" x14ac:dyDescent="0.25">
      <c r="B5" s="54"/>
      <c r="C5" s="54"/>
      <c r="D5" s="54"/>
      <c r="E5" s="54"/>
      <c r="F5" s="54"/>
      <c r="G5" s="54"/>
      <c r="H5" s="54"/>
      <c r="I5" s="54"/>
      <c r="J5" s="54"/>
      <c r="K5" s="54"/>
      <c r="L5" s="54"/>
      <c r="M5" s="54"/>
      <c r="N5" s="54"/>
      <c r="O5" s="54"/>
      <c r="P5" s="54"/>
      <c r="Q5" s="54"/>
      <c r="R5" s="54"/>
      <c r="S5" s="54"/>
      <c r="T5" s="54"/>
      <c r="U5" s="54"/>
      <c r="V5" s="54"/>
      <c r="W5" s="54"/>
      <c r="X5" s="54"/>
      <c r="Y5" s="54"/>
      <c r="Z5" s="54"/>
      <c r="AA5" s="18"/>
      <c r="AB5" s="18"/>
      <c r="AC5" s="18"/>
      <c r="AD5" s="18"/>
      <c r="AE5" s="18"/>
      <c r="AF5" s="18"/>
      <c r="AG5" s="18"/>
      <c r="AH5" s="18"/>
      <c r="AI5" s="18"/>
      <c r="AZ5" s="1" t="s">
        <v>99</v>
      </c>
      <c r="BB5" s="1" t="s">
        <v>176</v>
      </c>
    </row>
    <row r="6" spans="2:56" s="2" customFormat="1" ht="18.75" x14ac:dyDescent="0.25">
      <c r="B6" s="264" t="s">
        <v>0</v>
      </c>
      <c r="C6" s="264"/>
      <c r="D6" s="264"/>
      <c r="E6" s="89"/>
      <c r="F6" s="310" t="str">
        <f>IF(Var!D7=0,"",Var!D7)</f>
        <v/>
      </c>
      <c r="G6" s="310"/>
      <c r="H6" s="310"/>
      <c r="K6" s="264" t="s">
        <v>7</v>
      </c>
      <c r="L6" s="264"/>
      <c r="M6" s="264"/>
      <c r="N6" s="264"/>
      <c r="O6" s="310" t="str">
        <f>IF(Var!I7=0,"",Var!I7)</f>
        <v/>
      </c>
      <c r="P6" s="310"/>
      <c r="Q6" s="310"/>
      <c r="R6" s="310"/>
      <c r="T6" s="264" t="s">
        <v>6</v>
      </c>
      <c r="U6" s="264"/>
      <c r="V6" s="264"/>
      <c r="W6" s="310" t="str">
        <f>IF(Var!N7=0,"",Var!N7)</f>
        <v/>
      </c>
      <c r="X6" s="310"/>
      <c r="Y6" s="310"/>
      <c r="Z6" s="89"/>
      <c r="AE6" s="264"/>
      <c r="AF6" s="264"/>
      <c r="AG6" s="264"/>
      <c r="AH6" s="264"/>
      <c r="AI6" s="264"/>
      <c r="AZ6" s="1" t="s">
        <v>100</v>
      </c>
      <c r="BB6" s="126" t="s">
        <v>177</v>
      </c>
    </row>
    <row r="7" spans="2:56" ht="15.75" x14ac:dyDescent="0.2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Z7" s="1" t="s">
        <v>11</v>
      </c>
    </row>
    <row r="8" spans="2:56" s="21" customFormat="1" ht="15" customHeight="1" x14ac:dyDescent="0.25">
      <c r="B8" s="294" t="s">
        <v>8</v>
      </c>
      <c r="C8" s="295"/>
      <c r="D8" s="296"/>
      <c r="E8" s="90"/>
      <c r="F8" s="291">
        <v>1</v>
      </c>
      <c r="G8" s="292"/>
      <c r="H8" s="293"/>
      <c r="I8" s="268">
        <v>2.1</v>
      </c>
      <c r="J8" s="267"/>
      <c r="K8" s="268">
        <v>2.2000000000000002</v>
      </c>
      <c r="L8" s="267"/>
      <c r="M8" s="268">
        <v>2.2999999999999998</v>
      </c>
      <c r="N8" s="267"/>
      <c r="O8" s="268">
        <v>3</v>
      </c>
      <c r="P8" s="267"/>
      <c r="Q8" s="88"/>
      <c r="R8" s="268">
        <v>4</v>
      </c>
      <c r="S8" s="266"/>
      <c r="T8" s="266">
        <v>5</v>
      </c>
      <c r="U8" s="267"/>
      <c r="V8" s="268">
        <v>6</v>
      </c>
      <c r="W8" s="266"/>
      <c r="X8" s="266"/>
      <c r="Y8" s="267"/>
      <c r="Z8" s="88"/>
      <c r="AA8" s="268">
        <v>7.1</v>
      </c>
      <c r="AB8" s="266"/>
      <c r="AC8" s="267"/>
      <c r="AD8" s="88"/>
      <c r="AE8" s="268">
        <v>7.2</v>
      </c>
      <c r="AF8" s="266"/>
      <c r="AG8" s="267"/>
      <c r="AH8" s="88"/>
      <c r="AI8" s="268">
        <v>8.1</v>
      </c>
      <c r="AJ8" s="266"/>
      <c r="AK8" s="267"/>
      <c r="AL8" s="88"/>
      <c r="AM8" s="268">
        <v>8.1999999999999993</v>
      </c>
      <c r="AN8" s="266"/>
      <c r="AO8" s="267"/>
      <c r="AP8" s="268">
        <v>9</v>
      </c>
      <c r="AQ8" s="267"/>
      <c r="AR8" s="268">
        <v>10</v>
      </c>
      <c r="AS8" s="267"/>
      <c r="AT8" s="268">
        <v>11</v>
      </c>
      <c r="AU8" s="266"/>
      <c r="AV8" s="267"/>
      <c r="AW8" s="268">
        <v>12</v>
      </c>
      <c r="AX8" s="266"/>
      <c r="AY8" s="267"/>
      <c r="BA8" s="21" t="s">
        <v>178</v>
      </c>
    </row>
    <row r="9" spans="2:56" s="22" customFormat="1" ht="30.75" customHeight="1" x14ac:dyDescent="0.25">
      <c r="B9" s="311"/>
      <c r="C9" s="312"/>
      <c r="D9" s="313"/>
      <c r="E9" s="91"/>
      <c r="F9" s="294" t="s">
        <v>9</v>
      </c>
      <c r="G9" s="295"/>
      <c r="H9" s="296"/>
      <c r="I9" s="281" t="s">
        <v>10</v>
      </c>
      <c r="J9" s="282"/>
      <c r="K9" s="282"/>
      <c r="L9" s="283"/>
      <c r="M9" s="203"/>
      <c r="N9" s="203"/>
      <c r="O9" s="284" t="s">
        <v>162</v>
      </c>
      <c r="P9" s="285"/>
      <c r="Q9" s="93"/>
      <c r="R9" s="284" t="s">
        <v>170</v>
      </c>
      <c r="S9" s="285"/>
      <c r="T9" s="284" t="s">
        <v>171</v>
      </c>
      <c r="U9" s="285"/>
      <c r="V9" s="284" t="s">
        <v>163</v>
      </c>
      <c r="W9" s="300"/>
      <c r="X9" s="300"/>
      <c r="Y9" s="285"/>
      <c r="Z9" s="93"/>
      <c r="AA9" s="281" t="s">
        <v>36</v>
      </c>
      <c r="AB9" s="282"/>
      <c r="AC9" s="282"/>
      <c r="AD9" s="282"/>
      <c r="AE9" s="282"/>
      <c r="AF9" s="282"/>
      <c r="AG9" s="282"/>
      <c r="AH9" s="86"/>
      <c r="AI9" s="302" t="s">
        <v>37</v>
      </c>
      <c r="AJ9" s="302"/>
      <c r="AK9" s="302"/>
      <c r="AL9" s="302"/>
      <c r="AM9" s="302"/>
      <c r="AN9" s="302"/>
      <c r="AO9" s="302"/>
      <c r="AP9" s="276" t="s">
        <v>182</v>
      </c>
      <c r="AQ9" s="276"/>
      <c r="AR9" s="276" t="s">
        <v>165</v>
      </c>
      <c r="AS9" s="276"/>
      <c r="AT9" s="276" t="s">
        <v>33</v>
      </c>
      <c r="AU9" s="276"/>
      <c r="AV9" s="276"/>
      <c r="AW9" s="280" t="s">
        <v>183</v>
      </c>
      <c r="AX9" s="280"/>
      <c r="AY9" s="280"/>
      <c r="BA9" s="22" t="s">
        <v>179</v>
      </c>
      <c r="BB9" s="21">
        <f>COUNTIF(CHMTCmTm!O12:P264,"Outreach Session")</f>
        <v>0</v>
      </c>
    </row>
    <row r="10" spans="2:56" s="23" customFormat="1" ht="36" customHeight="1" x14ac:dyDescent="0.25">
      <c r="B10" s="297"/>
      <c r="C10" s="298"/>
      <c r="D10" s="299"/>
      <c r="E10" s="92"/>
      <c r="F10" s="297"/>
      <c r="G10" s="298"/>
      <c r="H10" s="299"/>
      <c r="I10" s="277" t="s">
        <v>3</v>
      </c>
      <c r="J10" s="279"/>
      <c r="K10" s="277" t="s">
        <v>17</v>
      </c>
      <c r="L10" s="279"/>
      <c r="M10" s="277" t="s">
        <v>269</v>
      </c>
      <c r="N10" s="279"/>
      <c r="O10" s="286"/>
      <c r="P10" s="287"/>
      <c r="Q10" s="94" t="s">
        <v>169</v>
      </c>
      <c r="R10" s="286"/>
      <c r="S10" s="287"/>
      <c r="T10" s="286"/>
      <c r="U10" s="287"/>
      <c r="V10" s="286"/>
      <c r="W10" s="301"/>
      <c r="X10" s="301"/>
      <c r="Y10" s="287"/>
      <c r="Z10" s="94" t="s">
        <v>208</v>
      </c>
      <c r="AA10" s="277" t="s">
        <v>50</v>
      </c>
      <c r="AB10" s="278"/>
      <c r="AC10" s="279"/>
      <c r="AD10" s="133" t="s">
        <v>209</v>
      </c>
      <c r="AE10" s="277" t="s">
        <v>51</v>
      </c>
      <c r="AF10" s="278"/>
      <c r="AG10" s="279"/>
      <c r="AH10" s="133" t="s">
        <v>210</v>
      </c>
      <c r="AI10" s="277" t="s">
        <v>48</v>
      </c>
      <c r="AJ10" s="278"/>
      <c r="AK10" s="279"/>
      <c r="AL10" s="133" t="s">
        <v>211</v>
      </c>
      <c r="AM10" s="277" t="s">
        <v>49</v>
      </c>
      <c r="AN10" s="278"/>
      <c r="AO10" s="279"/>
      <c r="AP10" s="276"/>
      <c r="AQ10" s="276"/>
      <c r="AR10" s="276"/>
      <c r="AS10" s="276"/>
      <c r="AT10" s="276"/>
      <c r="AU10" s="276"/>
      <c r="AV10" s="276"/>
      <c r="AW10" s="280"/>
      <c r="AX10" s="280"/>
      <c r="AY10" s="280"/>
      <c r="BA10" s="23" t="s">
        <v>180</v>
      </c>
      <c r="BB10" s="21">
        <f>COUNTIF(CHMTCmTm!O12:P264,"Mobile Clinic")</f>
        <v>0</v>
      </c>
    </row>
    <row r="11" spans="2:56" s="23" customFormat="1" ht="19.5" customHeight="1" x14ac:dyDescent="0.25">
      <c r="B11" s="273"/>
      <c r="C11" s="274"/>
      <c r="D11" s="275"/>
      <c r="E11" s="87">
        <f>SUBTOTAL(9,E12:E264)</f>
        <v>0</v>
      </c>
      <c r="F11" s="288">
        <f>E11</f>
        <v>0</v>
      </c>
      <c r="G11" s="289"/>
      <c r="H11" s="290"/>
      <c r="I11" s="303">
        <f>SUBTOTAL(9,I12:J264)</f>
        <v>0</v>
      </c>
      <c r="J11" s="304"/>
      <c r="K11" s="303">
        <f>SUBTOTAL(9,K12:L264)</f>
        <v>0</v>
      </c>
      <c r="L11" s="304"/>
      <c r="M11" s="303">
        <f>SUBTOTAL(9,M12:N264)</f>
        <v>0</v>
      </c>
      <c r="N11" s="304"/>
      <c r="O11" s="305"/>
      <c r="P11" s="306"/>
      <c r="Q11" s="127"/>
      <c r="R11" s="273"/>
      <c r="S11" s="275"/>
      <c r="T11" s="273"/>
      <c r="U11" s="275"/>
      <c r="V11" s="307"/>
      <c r="W11" s="308"/>
      <c r="X11" s="308"/>
      <c r="Y11" s="309"/>
      <c r="Z11" s="134">
        <f>SUBTOTAL(9,Z12:Z264)</f>
        <v>0</v>
      </c>
      <c r="AA11" s="288">
        <f>Z11</f>
        <v>0</v>
      </c>
      <c r="AB11" s="289"/>
      <c r="AC11" s="290"/>
      <c r="AD11" s="87">
        <f>SUBTOTAL(9,AD12:AD264)</f>
        <v>0</v>
      </c>
      <c r="AE11" s="288">
        <f>AD11</f>
        <v>0</v>
      </c>
      <c r="AF11" s="289"/>
      <c r="AG11" s="290"/>
      <c r="AH11" s="87">
        <f>SUBTOTAL(9,AH12:AH264)</f>
        <v>0</v>
      </c>
      <c r="AI11" s="288">
        <f>AH11</f>
        <v>0</v>
      </c>
      <c r="AJ11" s="289"/>
      <c r="AK11" s="290"/>
      <c r="AL11" s="87">
        <f>SUBTOTAL(9,AL12:AL264)</f>
        <v>0</v>
      </c>
      <c r="AM11" s="288">
        <f>AL11</f>
        <v>0</v>
      </c>
      <c r="AN11" s="289"/>
      <c r="AO11" s="290"/>
      <c r="AP11" s="305"/>
      <c r="AQ11" s="306"/>
      <c r="AR11" s="303">
        <f>SUBTOTAL(9,AR12:AS264)</f>
        <v>0</v>
      </c>
      <c r="AS11" s="304"/>
      <c r="AT11" s="273"/>
      <c r="AU11" s="274"/>
      <c r="AV11" s="275"/>
      <c r="AW11" s="288">
        <f>AZ11</f>
        <v>0</v>
      </c>
      <c r="AX11" s="289"/>
      <c r="AY11" s="290"/>
      <c r="AZ11" s="128">
        <f>SUBTOTAL(9,AZ12:BA264)</f>
        <v>0</v>
      </c>
      <c r="BA11" s="23" t="s">
        <v>181</v>
      </c>
      <c r="BB11" s="21">
        <f>COUNTIF(CHMTCmTm!O12:P264,"Health Facility")</f>
        <v>0</v>
      </c>
    </row>
    <row r="12" spans="2:56" s="24" customFormat="1" ht="21.95" customHeight="1" x14ac:dyDescent="0.25">
      <c r="B12" s="269"/>
      <c r="C12" s="270"/>
      <c r="D12" s="271"/>
      <c r="E12" s="236">
        <f t="shared" ref="E12:E73" si="0">IF(F12="",0,1)</f>
        <v>0</v>
      </c>
      <c r="F12" s="269"/>
      <c r="G12" s="270"/>
      <c r="H12" s="271"/>
      <c r="I12" s="262"/>
      <c r="J12" s="263"/>
      <c r="K12" s="262"/>
      <c r="L12" s="263"/>
      <c r="M12" s="262"/>
      <c r="N12" s="263"/>
      <c r="O12" s="262"/>
      <c r="P12" s="263"/>
      <c r="Q12" s="235" t="b">
        <f t="shared" ref="Q12:Q72" si="1">IF(O12="Health Facility",3,IF(O12="Outreach Session",1,IF(O12="Mobile Clinic",2)))</f>
        <v>0</v>
      </c>
      <c r="R12" s="262"/>
      <c r="S12" s="263"/>
      <c r="T12" s="262"/>
      <c r="U12" s="263"/>
      <c r="V12" s="262"/>
      <c r="W12" s="265"/>
      <c r="X12" s="265"/>
      <c r="Y12" s="263"/>
      <c r="Z12" s="235">
        <f t="shared" ref="Z12:Z73" si="2">IF(AA12="",0,1)</f>
        <v>0</v>
      </c>
      <c r="AA12" s="262"/>
      <c r="AB12" s="265"/>
      <c r="AC12" s="263"/>
      <c r="AD12" s="235">
        <f t="shared" ref="AD12:AD73" si="3">IF(AE12="",0,1)</f>
        <v>0</v>
      </c>
      <c r="AE12" s="262"/>
      <c r="AF12" s="265"/>
      <c r="AG12" s="263"/>
      <c r="AH12" s="235">
        <f t="shared" ref="AH12:AH73" si="4">IF(AI12="",0,1)</f>
        <v>0</v>
      </c>
      <c r="AI12" s="262"/>
      <c r="AJ12" s="265"/>
      <c r="AK12" s="263"/>
      <c r="AL12" s="235">
        <f t="shared" ref="AL12:AL73" si="5">IF(AM12="",0,1)</f>
        <v>0</v>
      </c>
      <c r="AM12" s="262"/>
      <c r="AN12" s="265"/>
      <c r="AO12" s="263"/>
      <c r="AP12" s="262"/>
      <c r="AQ12" s="263"/>
      <c r="AR12" s="262"/>
      <c r="AS12" s="263"/>
      <c r="AT12" s="262"/>
      <c r="AU12" s="265"/>
      <c r="AV12" s="263"/>
      <c r="AW12" s="262"/>
      <c r="AX12" s="265"/>
      <c r="AY12" s="263"/>
      <c r="AZ12" s="24">
        <f t="shared" ref="AZ12:AZ73" si="6">IF(AW12="YES",1,0)</f>
        <v>0</v>
      </c>
    </row>
    <row r="13" spans="2:56" s="24" customFormat="1" ht="21.95" customHeight="1" x14ac:dyDescent="0.25">
      <c r="B13" s="269"/>
      <c r="C13" s="270"/>
      <c r="D13" s="271"/>
      <c r="E13" s="236">
        <f t="shared" si="0"/>
        <v>0</v>
      </c>
      <c r="F13" s="269"/>
      <c r="G13" s="270"/>
      <c r="H13" s="271"/>
      <c r="I13" s="262"/>
      <c r="J13" s="263"/>
      <c r="K13" s="262"/>
      <c r="L13" s="263"/>
      <c r="M13" s="262"/>
      <c r="N13" s="263"/>
      <c r="O13" s="262"/>
      <c r="P13" s="263"/>
      <c r="Q13" s="235" t="b">
        <f t="shared" si="1"/>
        <v>0</v>
      </c>
      <c r="R13" s="262"/>
      <c r="S13" s="263"/>
      <c r="T13" s="262"/>
      <c r="U13" s="263"/>
      <c r="V13" s="262"/>
      <c r="W13" s="265"/>
      <c r="X13" s="265"/>
      <c r="Y13" s="263"/>
      <c r="Z13" s="235">
        <f t="shared" si="2"/>
        <v>0</v>
      </c>
      <c r="AA13" s="262"/>
      <c r="AB13" s="265"/>
      <c r="AC13" s="263"/>
      <c r="AD13" s="235">
        <f t="shared" si="3"/>
        <v>0</v>
      </c>
      <c r="AE13" s="262"/>
      <c r="AF13" s="265"/>
      <c r="AG13" s="263"/>
      <c r="AH13" s="235">
        <f t="shared" si="4"/>
        <v>0</v>
      </c>
      <c r="AI13" s="262"/>
      <c r="AJ13" s="265"/>
      <c r="AK13" s="263"/>
      <c r="AL13" s="235">
        <f t="shared" si="5"/>
        <v>0</v>
      </c>
      <c r="AM13" s="262"/>
      <c r="AN13" s="265"/>
      <c r="AO13" s="263"/>
      <c r="AP13" s="262"/>
      <c r="AQ13" s="263"/>
      <c r="AR13" s="262"/>
      <c r="AS13" s="263"/>
      <c r="AT13" s="262"/>
      <c r="AU13" s="265"/>
      <c r="AV13" s="263"/>
      <c r="AW13" s="262"/>
      <c r="AX13" s="265"/>
      <c r="AY13" s="263"/>
      <c r="AZ13" s="24">
        <f t="shared" si="6"/>
        <v>0</v>
      </c>
    </row>
    <row r="14" spans="2:56" s="24" customFormat="1" ht="21.95" customHeight="1" x14ac:dyDescent="0.25">
      <c r="B14" s="269"/>
      <c r="C14" s="270"/>
      <c r="D14" s="271"/>
      <c r="E14" s="236">
        <f t="shared" si="0"/>
        <v>0</v>
      </c>
      <c r="F14" s="269"/>
      <c r="G14" s="270"/>
      <c r="H14" s="271"/>
      <c r="I14" s="262"/>
      <c r="J14" s="263"/>
      <c r="K14" s="262"/>
      <c r="L14" s="263"/>
      <c r="M14" s="262"/>
      <c r="N14" s="263"/>
      <c r="O14" s="262"/>
      <c r="P14" s="263"/>
      <c r="Q14" s="235" t="b">
        <f t="shared" si="1"/>
        <v>0</v>
      </c>
      <c r="R14" s="262"/>
      <c r="S14" s="263"/>
      <c r="T14" s="262"/>
      <c r="U14" s="263"/>
      <c r="V14" s="262"/>
      <c r="W14" s="265"/>
      <c r="X14" s="265"/>
      <c r="Y14" s="263"/>
      <c r="Z14" s="235">
        <f t="shared" si="2"/>
        <v>0</v>
      </c>
      <c r="AA14" s="262"/>
      <c r="AB14" s="265"/>
      <c r="AC14" s="263"/>
      <c r="AD14" s="235">
        <f t="shared" si="3"/>
        <v>0</v>
      </c>
      <c r="AE14" s="262"/>
      <c r="AF14" s="265"/>
      <c r="AG14" s="263"/>
      <c r="AH14" s="235">
        <f t="shared" si="4"/>
        <v>0</v>
      </c>
      <c r="AI14" s="262"/>
      <c r="AJ14" s="265"/>
      <c r="AK14" s="263"/>
      <c r="AL14" s="235">
        <f t="shared" si="5"/>
        <v>0</v>
      </c>
      <c r="AM14" s="262"/>
      <c r="AN14" s="265"/>
      <c r="AO14" s="263"/>
      <c r="AP14" s="262"/>
      <c r="AQ14" s="263"/>
      <c r="AR14" s="262"/>
      <c r="AS14" s="263"/>
      <c r="AT14" s="262"/>
      <c r="AU14" s="265"/>
      <c r="AV14" s="263"/>
      <c r="AW14" s="262"/>
      <c r="AX14" s="265"/>
      <c r="AY14" s="263"/>
      <c r="AZ14" s="24">
        <f t="shared" si="6"/>
        <v>0</v>
      </c>
    </row>
    <row r="15" spans="2:56" s="24" customFormat="1" ht="21.95" customHeight="1" x14ac:dyDescent="0.25">
      <c r="B15" s="269"/>
      <c r="C15" s="270"/>
      <c r="D15" s="271"/>
      <c r="E15" s="236">
        <f t="shared" si="0"/>
        <v>0</v>
      </c>
      <c r="F15" s="269"/>
      <c r="G15" s="270"/>
      <c r="H15" s="271"/>
      <c r="I15" s="262"/>
      <c r="J15" s="263"/>
      <c r="K15" s="262"/>
      <c r="L15" s="263"/>
      <c r="M15" s="262"/>
      <c r="N15" s="263"/>
      <c r="O15" s="262"/>
      <c r="P15" s="263"/>
      <c r="Q15" s="235" t="b">
        <f t="shared" si="1"/>
        <v>0</v>
      </c>
      <c r="R15" s="262"/>
      <c r="S15" s="263"/>
      <c r="T15" s="262"/>
      <c r="U15" s="263"/>
      <c r="V15" s="262"/>
      <c r="W15" s="265"/>
      <c r="X15" s="265"/>
      <c r="Y15" s="263"/>
      <c r="Z15" s="235">
        <f t="shared" si="2"/>
        <v>0</v>
      </c>
      <c r="AA15" s="262"/>
      <c r="AB15" s="265"/>
      <c r="AC15" s="263"/>
      <c r="AD15" s="235">
        <f t="shared" si="3"/>
        <v>0</v>
      </c>
      <c r="AE15" s="262"/>
      <c r="AF15" s="265"/>
      <c r="AG15" s="263"/>
      <c r="AH15" s="235">
        <f t="shared" si="4"/>
        <v>0</v>
      </c>
      <c r="AI15" s="262"/>
      <c r="AJ15" s="265"/>
      <c r="AK15" s="263"/>
      <c r="AL15" s="235">
        <f t="shared" si="5"/>
        <v>0</v>
      </c>
      <c r="AM15" s="262"/>
      <c r="AN15" s="265"/>
      <c r="AO15" s="263"/>
      <c r="AP15" s="262"/>
      <c r="AQ15" s="263"/>
      <c r="AR15" s="262"/>
      <c r="AS15" s="263"/>
      <c r="AT15" s="262"/>
      <c r="AU15" s="265"/>
      <c r="AV15" s="263"/>
      <c r="AW15" s="262"/>
      <c r="AX15" s="265"/>
      <c r="AY15" s="263"/>
      <c r="AZ15" s="24">
        <f t="shared" si="6"/>
        <v>0</v>
      </c>
    </row>
    <row r="16" spans="2:56" s="24" customFormat="1" ht="21.95" customHeight="1" x14ac:dyDescent="0.25">
      <c r="B16" s="269"/>
      <c r="C16" s="270"/>
      <c r="D16" s="271"/>
      <c r="E16" s="236">
        <f t="shared" si="0"/>
        <v>0</v>
      </c>
      <c r="F16" s="269"/>
      <c r="G16" s="270"/>
      <c r="H16" s="271"/>
      <c r="I16" s="262"/>
      <c r="J16" s="263"/>
      <c r="K16" s="262"/>
      <c r="L16" s="263"/>
      <c r="M16" s="262"/>
      <c r="N16" s="263"/>
      <c r="O16" s="262"/>
      <c r="P16" s="263"/>
      <c r="Q16" s="235" t="b">
        <f t="shared" si="1"/>
        <v>0</v>
      </c>
      <c r="R16" s="262"/>
      <c r="S16" s="263"/>
      <c r="T16" s="262"/>
      <c r="U16" s="263"/>
      <c r="V16" s="262"/>
      <c r="W16" s="265"/>
      <c r="X16" s="265"/>
      <c r="Y16" s="263"/>
      <c r="Z16" s="235">
        <f t="shared" si="2"/>
        <v>0</v>
      </c>
      <c r="AA16" s="262"/>
      <c r="AB16" s="265"/>
      <c r="AC16" s="263"/>
      <c r="AD16" s="235">
        <f t="shared" si="3"/>
        <v>0</v>
      </c>
      <c r="AE16" s="262"/>
      <c r="AF16" s="265"/>
      <c r="AG16" s="263"/>
      <c r="AH16" s="235">
        <f t="shared" si="4"/>
        <v>0</v>
      </c>
      <c r="AI16" s="262"/>
      <c r="AJ16" s="265"/>
      <c r="AK16" s="263"/>
      <c r="AL16" s="235">
        <f t="shared" si="5"/>
        <v>0</v>
      </c>
      <c r="AM16" s="262"/>
      <c r="AN16" s="265"/>
      <c r="AO16" s="263"/>
      <c r="AP16" s="262"/>
      <c r="AQ16" s="263"/>
      <c r="AR16" s="262"/>
      <c r="AS16" s="263"/>
      <c r="AT16" s="262"/>
      <c r="AU16" s="265"/>
      <c r="AV16" s="263"/>
      <c r="AW16" s="262"/>
      <c r="AX16" s="265"/>
      <c r="AY16" s="263"/>
      <c r="AZ16" s="24">
        <f t="shared" si="6"/>
        <v>0</v>
      </c>
    </row>
    <row r="17" spans="2:52" s="24" customFormat="1" ht="21.95" customHeight="1" x14ac:dyDescent="0.25">
      <c r="B17" s="269"/>
      <c r="C17" s="270"/>
      <c r="D17" s="271"/>
      <c r="E17" s="236">
        <f t="shared" si="0"/>
        <v>0</v>
      </c>
      <c r="F17" s="269"/>
      <c r="G17" s="270"/>
      <c r="H17" s="271"/>
      <c r="I17" s="262"/>
      <c r="J17" s="263"/>
      <c r="K17" s="262"/>
      <c r="L17" s="263"/>
      <c r="M17" s="262"/>
      <c r="N17" s="263"/>
      <c r="O17" s="262"/>
      <c r="P17" s="263"/>
      <c r="Q17" s="235" t="b">
        <f t="shared" si="1"/>
        <v>0</v>
      </c>
      <c r="R17" s="262"/>
      <c r="S17" s="263"/>
      <c r="T17" s="262"/>
      <c r="U17" s="263"/>
      <c r="V17" s="262"/>
      <c r="W17" s="265"/>
      <c r="X17" s="265"/>
      <c r="Y17" s="263"/>
      <c r="Z17" s="235">
        <f t="shared" si="2"/>
        <v>0</v>
      </c>
      <c r="AA17" s="262"/>
      <c r="AB17" s="265"/>
      <c r="AC17" s="263"/>
      <c r="AD17" s="235">
        <f t="shared" si="3"/>
        <v>0</v>
      </c>
      <c r="AE17" s="262"/>
      <c r="AF17" s="265"/>
      <c r="AG17" s="263"/>
      <c r="AH17" s="235">
        <f t="shared" si="4"/>
        <v>0</v>
      </c>
      <c r="AI17" s="262"/>
      <c r="AJ17" s="265"/>
      <c r="AK17" s="263"/>
      <c r="AL17" s="235">
        <f t="shared" si="5"/>
        <v>0</v>
      </c>
      <c r="AM17" s="262"/>
      <c r="AN17" s="265"/>
      <c r="AO17" s="263"/>
      <c r="AP17" s="262"/>
      <c r="AQ17" s="263"/>
      <c r="AR17" s="262"/>
      <c r="AS17" s="263"/>
      <c r="AT17" s="262"/>
      <c r="AU17" s="265"/>
      <c r="AV17" s="263"/>
      <c r="AW17" s="262"/>
      <c r="AX17" s="265"/>
      <c r="AY17" s="263"/>
      <c r="AZ17" s="24">
        <f t="shared" si="6"/>
        <v>0</v>
      </c>
    </row>
    <row r="18" spans="2:52" s="24" customFormat="1" ht="21.95" customHeight="1" x14ac:dyDescent="0.25">
      <c r="B18" s="269"/>
      <c r="C18" s="270"/>
      <c r="D18" s="271"/>
      <c r="E18" s="236">
        <f t="shared" si="0"/>
        <v>0</v>
      </c>
      <c r="F18" s="269"/>
      <c r="G18" s="270"/>
      <c r="H18" s="271"/>
      <c r="I18" s="262"/>
      <c r="J18" s="263"/>
      <c r="K18" s="262"/>
      <c r="L18" s="263"/>
      <c r="M18" s="262"/>
      <c r="N18" s="263"/>
      <c r="O18" s="262"/>
      <c r="P18" s="263"/>
      <c r="Q18" s="235" t="b">
        <f t="shared" si="1"/>
        <v>0</v>
      </c>
      <c r="R18" s="262"/>
      <c r="S18" s="263"/>
      <c r="T18" s="262"/>
      <c r="U18" s="263"/>
      <c r="V18" s="262"/>
      <c r="W18" s="265"/>
      <c r="X18" s="265"/>
      <c r="Y18" s="263"/>
      <c r="Z18" s="235">
        <f t="shared" si="2"/>
        <v>0</v>
      </c>
      <c r="AA18" s="262"/>
      <c r="AB18" s="265"/>
      <c r="AC18" s="263"/>
      <c r="AD18" s="235">
        <f t="shared" si="3"/>
        <v>0</v>
      </c>
      <c r="AE18" s="262"/>
      <c r="AF18" s="265"/>
      <c r="AG18" s="263"/>
      <c r="AH18" s="235">
        <f t="shared" si="4"/>
        <v>0</v>
      </c>
      <c r="AI18" s="262"/>
      <c r="AJ18" s="265"/>
      <c r="AK18" s="263"/>
      <c r="AL18" s="235">
        <f t="shared" si="5"/>
        <v>0</v>
      </c>
      <c r="AM18" s="262"/>
      <c r="AN18" s="265"/>
      <c r="AO18" s="263"/>
      <c r="AP18" s="262"/>
      <c r="AQ18" s="263"/>
      <c r="AR18" s="262"/>
      <c r="AS18" s="263"/>
      <c r="AT18" s="262"/>
      <c r="AU18" s="265"/>
      <c r="AV18" s="263"/>
      <c r="AW18" s="262"/>
      <c r="AX18" s="265"/>
      <c r="AY18" s="263"/>
      <c r="AZ18" s="24">
        <f t="shared" si="6"/>
        <v>0</v>
      </c>
    </row>
    <row r="19" spans="2:52" s="24" customFormat="1" ht="21.95" customHeight="1" x14ac:dyDescent="0.25">
      <c r="B19" s="269"/>
      <c r="C19" s="270"/>
      <c r="D19" s="271"/>
      <c r="E19" s="236">
        <f t="shared" si="0"/>
        <v>0</v>
      </c>
      <c r="F19" s="269"/>
      <c r="G19" s="270"/>
      <c r="H19" s="271"/>
      <c r="I19" s="262"/>
      <c r="J19" s="263"/>
      <c r="K19" s="262"/>
      <c r="L19" s="263"/>
      <c r="M19" s="262"/>
      <c r="N19" s="263"/>
      <c r="O19" s="262"/>
      <c r="P19" s="263"/>
      <c r="Q19" s="235" t="b">
        <f t="shared" si="1"/>
        <v>0</v>
      </c>
      <c r="R19" s="262"/>
      <c r="S19" s="263"/>
      <c r="T19" s="262"/>
      <c r="U19" s="263"/>
      <c r="V19" s="262"/>
      <c r="W19" s="265"/>
      <c r="X19" s="265"/>
      <c r="Y19" s="263"/>
      <c r="Z19" s="235">
        <f t="shared" si="2"/>
        <v>0</v>
      </c>
      <c r="AA19" s="262"/>
      <c r="AB19" s="265"/>
      <c r="AC19" s="263"/>
      <c r="AD19" s="235">
        <f t="shared" si="3"/>
        <v>0</v>
      </c>
      <c r="AE19" s="262"/>
      <c r="AF19" s="265"/>
      <c r="AG19" s="263"/>
      <c r="AH19" s="235">
        <f t="shared" si="4"/>
        <v>0</v>
      </c>
      <c r="AI19" s="262"/>
      <c r="AJ19" s="265"/>
      <c r="AK19" s="263"/>
      <c r="AL19" s="235">
        <f t="shared" si="5"/>
        <v>0</v>
      </c>
      <c r="AM19" s="262"/>
      <c r="AN19" s="265"/>
      <c r="AO19" s="263"/>
      <c r="AP19" s="262"/>
      <c r="AQ19" s="263"/>
      <c r="AR19" s="262"/>
      <c r="AS19" s="263"/>
      <c r="AT19" s="262"/>
      <c r="AU19" s="265"/>
      <c r="AV19" s="263"/>
      <c r="AW19" s="262"/>
      <c r="AX19" s="265"/>
      <c r="AY19" s="263"/>
      <c r="AZ19" s="24">
        <f t="shared" si="6"/>
        <v>0</v>
      </c>
    </row>
    <row r="20" spans="2:52" s="24" customFormat="1" ht="21.95" customHeight="1" x14ac:dyDescent="0.25">
      <c r="B20" s="269"/>
      <c r="C20" s="270"/>
      <c r="D20" s="271"/>
      <c r="E20" s="236">
        <f t="shared" si="0"/>
        <v>0</v>
      </c>
      <c r="F20" s="269"/>
      <c r="G20" s="270"/>
      <c r="H20" s="271"/>
      <c r="I20" s="262"/>
      <c r="J20" s="263"/>
      <c r="K20" s="262"/>
      <c r="L20" s="263"/>
      <c r="M20" s="262"/>
      <c r="N20" s="263"/>
      <c r="O20" s="262"/>
      <c r="P20" s="263"/>
      <c r="Q20" s="235" t="b">
        <f t="shared" si="1"/>
        <v>0</v>
      </c>
      <c r="R20" s="262"/>
      <c r="S20" s="263"/>
      <c r="T20" s="262"/>
      <c r="U20" s="263"/>
      <c r="V20" s="262"/>
      <c r="W20" s="265"/>
      <c r="X20" s="265"/>
      <c r="Y20" s="263"/>
      <c r="Z20" s="235">
        <f t="shared" si="2"/>
        <v>0</v>
      </c>
      <c r="AA20" s="262"/>
      <c r="AB20" s="265"/>
      <c r="AC20" s="263"/>
      <c r="AD20" s="235">
        <f t="shared" si="3"/>
        <v>0</v>
      </c>
      <c r="AE20" s="262"/>
      <c r="AF20" s="265"/>
      <c r="AG20" s="263"/>
      <c r="AH20" s="235">
        <f t="shared" si="4"/>
        <v>0</v>
      </c>
      <c r="AI20" s="262"/>
      <c r="AJ20" s="265"/>
      <c r="AK20" s="263"/>
      <c r="AL20" s="235">
        <f t="shared" si="5"/>
        <v>0</v>
      </c>
      <c r="AM20" s="262"/>
      <c r="AN20" s="265"/>
      <c r="AO20" s="263"/>
      <c r="AP20" s="262"/>
      <c r="AQ20" s="263"/>
      <c r="AR20" s="262"/>
      <c r="AS20" s="263"/>
      <c r="AT20" s="262"/>
      <c r="AU20" s="265"/>
      <c r="AV20" s="263"/>
      <c r="AW20" s="262"/>
      <c r="AX20" s="265"/>
      <c r="AY20" s="263"/>
      <c r="AZ20" s="24">
        <f t="shared" si="6"/>
        <v>0</v>
      </c>
    </row>
    <row r="21" spans="2:52" s="24" customFormat="1" ht="21.95" customHeight="1" x14ac:dyDescent="0.25">
      <c r="B21" s="269"/>
      <c r="C21" s="270"/>
      <c r="D21" s="271"/>
      <c r="E21" s="236">
        <f t="shared" si="0"/>
        <v>0</v>
      </c>
      <c r="F21" s="269"/>
      <c r="G21" s="270"/>
      <c r="H21" s="271"/>
      <c r="I21" s="262"/>
      <c r="J21" s="263"/>
      <c r="K21" s="262"/>
      <c r="L21" s="263"/>
      <c r="M21" s="262"/>
      <c r="N21" s="263"/>
      <c r="O21" s="262"/>
      <c r="P21" s="263"/>
      <c r="Q21" s="235" t="b">
        <f t="shared" si="1"/>
        <v>0</v>
      </c>
      <c r="R21" s="262"/>
      <c r="S21" s="263"/>
      <c r="T21" s="262"/>
      <c r="U21" s="263"/>
      <c r="V21" s="262"/>
      <c r="W21" s="265"/>
      <c r="X21" s="265"/>
      <c r="Y21" s="263"/>
      <c r="Z21" s="235">
        <f t="shared" si="2"/>
        <v>0</v>
      </c>
      <c r="AA21" s="262"/>
      <c r="AB21" s="265"/>
      <c r="AC21" s="263"/>
      <c r="AD21" s="235">
        <f t="shared" si="3"/>
        <v>0</v>
      </c>
      <c r="AE21" s="262"/>
      <c r="AF21" s="265"/>
      <c r="AG21" s="263"/>
      <c r="AH21" s="235">
        <f t="shared" si="4"/>
        <v>0</v>
      </c>
      <c r="AI21" s="262"/>
      <c r="AJ21" s="265"/>
      <c r="AK21" s="263"/>
      <c r="AL21" s="235">
        <f t="shared" si="5"/>
        <v>0</v>
      </c>
      <c r="AM21" s="262"/>
      <c r="AN21" s="265"/>
      <c r="AO21" s="263"/>
      <c r="AP21" s="262"/>
      <c r="AQ21" s="263"/>
      <c r="AR21" s="262"/>
      <c r="AS21" s="263"/>
      <c r="AT21" s="262"/>
      <c r="AU21" s="265"/>
      <c r="AV21" s="263"/>
      <c r="AW21" s="262"/>
      <c r="AX21" s="265"/>
      <c r="AY21" s="263"/>
      <c r="AZ21" s="24">
        <f t="shared" si="6"/>
        <v>0</v>
      </c>
    </row>
    <row r="22" spans="2:52" s="24" customFormat="1" ht="21.95" customHeight="1" x14ac:dyDescent="0.25">
      <c r="B22" s="269"/>
      <c r="C22" s="270"/>
      <c r="D22" s="271"/>
      <c r="E22" s="236">
        <f t="shared" si="0"/>
        <v>0</v>
      </c>
      <c r="F22" s="269"/>
      <c r="G22" s="270"/>
      <c r="H22" s="271"/>
      <c r="I22" s="262"/>
      <c r="J22" s="263"/>
      <c r="K22" s="262"/>
      <c r="L22" s="263"/>
      <c r="M22" s="262"/>
      <c r="N22" s="263"/>
      <c r="O22" s="262"/>
      <c r="P22" s="263"/>
      <c r="Q22" s="235" t="b">
        <f t="shared" si="1"/>
        <v>0</v>
      </c>
      <c r="R22" s="262"/>
      <c r="S22" s="263"/>
      <c r="T22" s="262"/>
      <c r="U22" s="263"/>
      <c r="V22" s="262"/>
      <c r="W22" s="265"/>
      <c r="X22" s="265"/>
      <c r="Y22" s="263"/>
      <c r="Z22" s="235">
        <f t="shared" si="2"/>
        <v>0</v>
      </c>
      <c r="AA22" s="262"/>
      <c r="AB22" s="265"/>
      <c r="AC22" s="263"/>
      <c r="AD22" s="235">
        <f t="shared" si="3"/>
        <v>0</v>
      </c>
      <c r="AE22" s="262"/>
      <c r="AF22" s="265"/>
      <c r="AG22" s="263"/>
      <c r="AH22" s="235">
        <f t="shared" si="4"/>
        <v>0</v>
      </c>
      <c r="AI22" s="262"/>
      <c r="AJ22" s="265"/>
      <c r="AK22" s="263"/>
      <c r="AL22" s="235">
        <f t="shared" si="5"/>
        <v>0</v>
      </c>
      <c r="AM22" s="262"/>
      <c r="AN22" s="265"/>
      <c r="AO22" s="263"/>
      <c r="AP22" s="262"/>
      <c r="AQ22" s="263"/>
      <c r="AR22" s="262"/>
      <c r="AS22" s="263"/>
      <c r="AT22" s="262"/>
      <c r="AU22" s="265"/>
      <c r="AV22" s="263"/>
      <c r="AW22" s="262"/>
      <c r="AX22" s="265"/>
      <c r="AY22" s="263"/>
      <c r="AZ22" s="24">
        <f t="shared" si="6"/>
        <v>0</v>
      </c>
    </row>
    <row r="23" spans="2:52" s="24" customFormat="1" ht="21.95" customHeight="1" x14ac:dyDescent="0.25">
      <c r="B23" s="269"/>
      <c r="C23" s="270"/>
      <c r="D23" s="271"/>
      <c r="E23" s="236">
        <f t="shared" si="0"/>
        <v>0</v>
      </c>
      <c r="F23" s="269"/>
      <c r="G23" s="270"/>
      <c r="H23" s="271"/>
      <c r="I23" s="262"/>
      <c r="J23" s="263"/>
      <c r="K23" s="262"/>
      <c r="L23" s="263"/>
      <c r="M23" s="262"/>
      <c r="N23" s="263"/>
      <c r="O23" s="262"/>
      <c r="P23" s="263"/>
      <c r="Q23" s="235" t="b">
        <f t="shared" si="1"/>
        <v>0</v>
      </c>
      <c r="R23" s="262"/>
      <c r="S23" s="263"/>
      <c r="T23" s="262"/>
      <c r="U23" s="263"/>
      <c r="V23" s="262"/>
      <c r="W23" s="265"/>
      <c r="X23" s="265"/>
      <c r="Y23" s="263"/>
      <c r="Z23" s="235">
        <f t="shared" si="2"/>
        <v>0</v>
      </c>
      <c r="AA23" s="262"/>
      <c r="AB23" s="265"/>
      <c r="AC23" s="263"/>
      <c r="AD23" s="235">
        <f t="shared" si="3"/>
        <v>0</v>
      </c>
      <c r="AE23" s="262"/>
      <c r="AF23" s="265"/>
      <c r="AG23" s="263"/>
      <c r="AH23" s="235">
        <f t="shared" si="4"/>
        <v>0</v>
      </c>
      <c r="AI23" s="262"/>
      <c r="AJ23" s="265"/>
      <c r="AK23" s="263"/>
      <c r="AL23" s="235">
        <f t="shared" si="5"/>
        <v>0</v>
      </c>
      <c r="AM23" s="262"/>
      <c r="AN23" s="265"/>
      <c r="AO23" s="263"/>
      <c r="AP23" s="262"/>
      <c r="AQ23" s="263"/>
      <c r="AR23" s="262"/>
      <c r="AS23" s="263"/>
      <c r="AT23" s="262"/>
      <c r="AU23" s="265"/>
      <c r="AV23" s="263"/>
      <c r="AW23" s="262"/>
      <c r="AX23" s="265"/>
      <c r="AY23" s="263"/>
      <c r="AZ23" s="24">
        <f t="shared" si="6"/>
        <v>0</v>
      </c>
    </row>
    <row r="24" spans="2:52" s="24" customFormat="1" ht="21.95" customHeight="1" x14ac:dyDescent="0.25">
      <c r="B24" s="269"/>
      <c r="C24" s="270"/>
      <c r="D24" s="271"/>
      <c r="E24" s="236">
        <f t="shared" si="0"/>
        <v>0</v>
      </c>
      <c r="F24" s="269"/>
      <c r="G24" s="270"/>
      <c r="H24" s="271"/>
      <c r="I24" s="262"/>
      <c r="J24" s="263"/>
      <c r="K24" s="262"/>
      <c r="L24" s="263"/>
      <c r="M24" s="262"/>
      <c r="N24" s="263"/>
      <c r="O24" s="262"/>
      <c r="P24" s="263"/>
      <c r="Q24" s="235" t="b">
        <f t="shared" si="1"/>
        <v>0</v>
      </c>
      <c r="R24" s="262"/>
      <c r="S24" s="263"/>
      <c r="T24" s="262"/>
      <c r="U24" s="263"/>
      <c r="V24" s="262"/>
      <c r="W24" s="265"/>
      <c r="X24" s="265"/>
      <c r="Y24" s="263"/>
      <c r="Z24" s="235">
        <f t="shared" si="2"/>
        <v>0</v>
      </c>
      <c r="AA24" s="262"/>
      <c r="AB24" s="265"/>
      <c r="AC24" s="263"/>
      <c r="AD24" s="235">
        <f t="shared" si="3"/>
        <v>0</v>
      </c>
      <c r="AE24" s="262"/>
      <c r="AF24" s="265"/>
      <c r="AG24" s="263"/>
      <c r="AH24" s="235">
        <f t="shared" si="4"/>
        <v>0</v>
      </c>
      <c r="AI24" s="262"/>
      <c r="AJ24" s="265"/>
      <c r="AK24" s="263"/>
      <c r="AL24" s="235">
        <f t="shared" si="5"/>
        <v>0</v>
      </c>
      <c r="AM24" s="262"/>
      <c r="AN24" s="265"/>
      <c r="AO24" s="263"/>
      <c r="AP24" s="262"/>
      <c r="AQ24" s="263"/>
      <c r="AR24" s="262"/>
      <c r="AS24" s="263"/>
      <c r="AT24" s="262"/>
      <c r="AU24" s="265"/>
      <c r="AV24" s="263"/>
      <c r="AW24" s="262"/>
      <c r="AX24" s="265"/>
      <c r="AY24" s="263"/>
      <c r="AZ24" s="24">
        <f t="shared" si="6"/>
        <v>0</v>
      </c>
    </row>
    <row r="25" spans="2:52" s="24" customFormat="1" ht="21.95" customHeight="1" x14ac:dyDescent="0.25">
      <c r="B25" s="269"/>
      <c r="C25" s="270"/>
      <c r="D25" s="271"/>
      <c r="E25" s="236">
        <f t="shared" si="0"/>
        <v>0</v>
      </c>
      <c r="F25" s="269"/>
      <c r="G25" s="270"/>
      <c r="H25" s="271"/>
      <c r="I25" s="262"/>
      <c r="J25" s="263"/>
      <c r="K25" s="262"/>
      <c r="L25" s="263"/>
      <c r="M25" s="262"/>
      <c r="N25" s="263"/>
      <c r="O25" s="262"/>
      <c r="P25" s="263"/>
      <c r="Q25" s="235" t="b">
        <f t="shared" si="1"/>
        <v>0</v>
      </c>
      <c r="R25" s="262"/>
      <c r="S25" s="263"/>
      <c r="T25" s="262"/>
      <c r="U25" s="263"/>
      <c r="V25" s="262"/>
      <c r="W25" s="265"/>
      <c r="X25" s="265"/>
      <c r="Y25" s="263"/>
      <c r="Z25" s="235">
        <f t="shared" si="2"/>
        <v>0</v>
      </c>
      <c r="AA25" s="262"/>
      <c r="AB25" s="265"/>
      <c r="AC25" s="263"/>
      <c r="AD25" s="235">
        <f t="shared" si="3"/>
        <v>0</v>
      </c>
      <c r="AE25" s="262"/>
      <c r="AF25" s="265"/>
      <c r="AG25" s="263"/>
      <c r="AH25" s="235">
        <f t="shared" si="4"/>
        <v>0</v>
      </c>
      <c r="AI25" s="262"/>
      <c r="AJ25" s="265"/>
      <c r="AK25" s="263"/>
      <c r="AL25" s="235">
        <f t="shared" si="5"/>
        <v>0</v>
      </c>
      <c r="AM25" s="262"/>
      <c r="AN25" s="265"/>
      <c r="AO25" s="263"/>
      <c r="AP25" s="262"/>
      <c r="AQ25" s="263"/>
      <c r="AR25" s="262"/>
      <c r="AS25" s="263"/>
      <c r="AT25" s="262"/>
      <c r="AU25" s="265"/>
      <c r="AV25" s="263"/>
      <c r="AW25" s="262"/>
      <c r="AX25" s="265"/>
      <c r="AY25" s="263"/>
      <c r="AZ25" s="24">
        <f t="shared" si="6"/>
        <v>0</v>
      </c>
    </row>
    <row r="26" spans="2:52" s="24" customFormat="1" ht="21.95" customHeight="1" x14ac:dyDescent="0.25">
      <c r="B26" s="269"/>
      <c r="C26" s="270"/>
      <c r="D26" s="271"/>
      <c r="E26" s="236">
        <f t="shared" si="0"/>
        <v>0</v>
      </c>
      <c r="F26" s="269"/>
      <c r="G26" s="270"/>
      <c r="H26" s="271"/>
      <c r="I26" s="262"/>
      <c r="J26" s="263"/>
      <c r="K26" s="262"/>
      <c r="L26" s="263"/>
      <c r="M26" s="262"/>
      <c r="N26" s="263"/>
      <c r="O26" s="262"/>
      <c r="P26" s="263"/>
      <c r="Q26" s="235" t="b">
        <f t="shared" si="1"/>
        <v>0</v>
      </c>
      <c r="R26" s="262"/>
      <c r="S26" s="263"/>
      <c r="T26" s="262"/>
      <c r="U26" s="263"/>
      <c r="V26" s="262"/>
      <c r="W26" s="265"/>
      <c r="X26" s="265"/>
      <c r="Y26" s="263"/>
      <c r="Z26" s="235">
        <f t="shared" si="2"/>
        <v>0</v>
      </c>
      <c r="AA26" s="262"/>
      <c r="AB26" s="265"/>
      <c r="AC26" s="263"/>
      <c r="AD26" s="235">
        <f t="shared" si="3"/>
        <v>0</v>
      </c>
      <c r="AE26" s="262"/>
      <c r="AF26" s="265"/>
      <c r="AG26" s="263"/>
      <c r="AH26" s="235">
        <f t="shared" si="4"/>
        <v>0</v>
      </c>
      <c r="AI26" s="262"/>
      <c r="AJ26" s="265"/>
      <c r="AK26" s="263"/>
      <c r="AL26" s="235">
        <f t="shared" si="5"/>
        <v>0</v>
      </c>
      <c r="AM26" s="262"/>
      <c r="AN26" s="265"/>
      <c r="AO26" s="263"/>
      <c r="AP26" s="262"/>
      <c r="AQ26" s="263"/>
      <c r="AR26" s="262"/>
      <c r="AS26" s="263"/>
      <c r="AT26" s="262"/>
      <c r="AU26" s="265"/>
      <c r="AV26" s="263"/>
      <c r="AW26" s="262"/>
      <c r="AX26" s="265"/>
      <c r="AY26" s="263"/>
      <c r="AZ26" s="24">
        <f t="shared" si="6"/>
        <v>0</v>
      </c>
    </row>
    <row r="27" spans="2:52" s="24" customFormat="1" ht="21.95" customHeight="1" x14ac:dyDescent="0.25">
      <c r="B27" s="269"/>
      <c r="C27" s="270"/>
      <c r="D27" s="271"/>
      <c r="E27" s="236">
        <f t="shared" si="0"/>
        <v>0</v>
      </c>
      <c r="F27" s="269"/>
      <c r="G27" s="270"/>
      <c r="H27" s="271"/>
      <c r="I27" s="262"/>
      <c r="J27" s="263"/>
      <c r="K27" s="262"/>
      <c r="L27" s="263"/>
      <c r="M27" s="262"/>
      <c r="N27" s="263"/>
      <c r="O27" s="262"/>
      <c r="P27" s="263"/>
      <c r="Q27" s="235" t="b">
        <f t="shared" si="1"/>
        <v>0</v>
      </c>
      <c r="R27" s="262"/>
      <c r="S27" s="263"/>
      <c r="T27" s="262"/>
      <c r="U27" s="263"/>
      <c r="V27" s="262"/>
      <c r="W27" s="265"/>
      <c r="X27" s="265"/>
      <c r="Y27" s="263"/>
      <c r="Z27" s="235">
        <f t="shared" si="2"/>
        <v>0</v>
      </c>
      <c r="AA27" s="262"/>
      <c r="AB27" s="265"/>
      <c r="AC27" s="263"/>
      <c r="AD27" s="235">
        <f t="shared" si="3"/>
        <v>0</v>
      </c>
      <c r="AE27" s="262"/>
      <c r="AF27" s="265"/>
      <c r="AG27" s="263"/>
      <c r="AH27" s="235">
        <f t="shared" si="4"/>
        <v>0</v>
      </c>
      <c r="AI27" s="262"/>
      <c r="AJ27" s="265"/>
      <c r="AK27" s="263"/>
      <c r="AL27" s="235">
        <f t="shared" si="5"/>
        <v>0</v>
      </c>
      <c r="AM27" s="262"/>
      <c r="AN27" s="265"/>
      <c r="AO27" s="263"/>
      <c r="AP27" s="262"/>
      <c r="AQ27" s="263"/>
      <c r="AR27" s="262"/>
      <c r="AS27" s="263"/>
      <c r="AT27" s="262"/>
      <c r="AU27" s="265"/>
      <c r="AV27" s="263"/>
      <c r="AW27" s="262"/>
      <c r="AX27" s="265"/>
      <c r="AY27" s="263"/>
      <c r="AZ27" s="24">
        <f t="shared" si="6"/>
        <v>0</v>
      </c>
    </row>
    <row r="28" spans="2:52" s="24" customFormat="1" ht="21.95" customHeight="1" x14ac:dyDescent="0.25">
      <c r="B28" s="269"/>
      <c r="C28" s="270"/>
      <c r="D28" s="271"/>
      <c r="E28" s="236">
        <f t="shared" si="0"/>
        <v>0</v>
      </c>
      <c r="F28" s="269"/>
      <c r="G28" s="270"/>
      <c r="H28" s="271"/>
      <c r="I28" s="262"/>
      <c r="J28" s="263"/>
      <c r="K28" s="262"/>
      <c r="L28" s="263"/>
      <c r="M28" s="262"/>
      <c r="N28" s="263"/>
      <c r="O28" s="262"/>
      <c r="P28" s="263"/>
      <c r="Q28" s="235" t="b">
        <f t="shared" si="1"/>
        <v>0</v>
      </c>
      <c r="R28" s="262"/>
      <c r="S28" s="263"/>
      <c r="T28" s="262"/>
      <c r="U28" s="263"/>
      <c r="V28" s="262"/>
      <c r="W28" s="265"/>
      <c r="X28" s="265"/>
      <c r="Y28" s="263"/>
      <c r="Z28" s="235">
        <f t="shared" si="2"/>
        <v>0</v>
      </c>
      <c r="AA28" s="262"/>
      <c r="AB28" s="265"/>
      <c r="AC28" s="263"/>
      <c r="AD28" s="235">
        <f t="shared" si="3"/>
        <v>0</v>
      </c>
      <c r="AE28" s="262"/>
      <c r="AF28" s="265"/>
      <c r="AG28" s="263"/>
      <c r="AH28" s="235">
        <f t="shared" si="4"/>
        <v>0</v>
      </c>
      <c r="AI28" s="262"/>
      <c r="AJ28" s="265"/>
      <c r="AK28" s="263"/>
      <c r="AL28" s="235">
        <f t="shared" si="5"/>
        <v>0</v>
      </c>
      <c r="AM28" s="262"/>
      <c r="AN28" s="265"/>
      <c r="AO28" s="263"/>
      <c r="AP28" s="262"/>
      <c r="AQ28" s="263"/>
      <c r="AR28" s="262"/>
      <c r="AS28" s="263"/>
      <c r="AT28" s="262"/>
      <c r="AU28" s="265"/>
      <c r="AV28" s="263"/>
      <c r="AW28" s="262"/>
      <c r="AX28" s="265"/>
      <c r="AY28" s="263"/>
      <c r="AZ28" s="24">
        <f t="shared" si="6"/>
        <v>0</v>
      </c>
    </row>
    <row r="29" spans="2:52" s="24" customFormat="1" ht="21.95" customHeight="1" x14ac:dyDescent="0.25">
      <c r="B29" s="269"/>
      <c r="C29" s="270"/>
      <c r="D29" s="271"/>
      <c r="E29" s="236">
        <f t="shared" si="0"/>
        <v>0</v>
      </c>
      <c r="F29" s="269"/>
      <c r="G29" s="270"/>
      <c r="H29" s="271"/>
      <c r="I29" s="262"/>
      <c r="J29" s="263"/>
      <c r="K29" s="262"/>
      <c r="L29" s="263"/>
      <c r="M29" s="262"/>
      <c r="N29" s="263"/>
      <c r="O29" s="262"/>
      <c r="P29" s="263"/>
      <c r="Q29" s="235" t="b">
        <f t="shared" si="1"/>
        <v>0</v>
      </c>
      <c r="R29" s="262"/>
      <c r="S29" s="263"/>
      <c r="T29" s="262"/>
      <c r="U29" s="263"/>
      <c r="V29" s="262"/>
      <c r="W29" s="265"/>
      <c r="X29" s="265"/>
      <c r="Y29" s="263"/>
      <c r="Z29" s="235">
        <f t="shared" si="2"/>
        <v>0</v>
      </c>
      <c r="AA29" s="262"/>
      <c r="AB29" s="265"/>
      <c r="AC29" s="263"/>
      <c r="AD29" s="235">
        <f t="shared" si="3"/>
        <v>0</v>
      </c>
      <c r="AE29" s="262"/>
      <c r="AF29" s="265"/>
      <c r="AG29" s="263"/>
      <c r="AH29" s="235">
        <f t="shared" si="4"/>
        <v>0</v>
      </c>
      <c r="AI29" s="262"/>
      <c r="AJ29" s="265"/>
      <c r="AK29" s="263"/>
      <c r="AL29" s="235">
        <f t="shared" si="5"/>
        <v>0</v>
      </c>
      <c r="AM29" s="262"/>
      <c r="AN29" s="265"/>
      <c r="AO29" s="263"/>
      <c r="AP29" s="262"/>
      <c r="AQ29" s="263"/>
      <c r="AR29" s="262"/>
      <c r="AS29" s="263"/>
      <c r="AT29" s="262"/>
      <c r="AU29" s="265"/>
      <c r="AV29" s="263"/>
      <c r="AW29" s="262"/>
      <c r="AX29" s="265"/>
      <c r="AY29" s="263"/>
      <c r="AZ29" s="24">
        <f t="shared" si="6"/>
        <v>0</v>
      </c>
    </row>
    <row r="30" spans="2:52" s="24" customFormat="1" ht="21.95" customHeight="1" x14ac:dyDescent="0.25">
      <c r="B30" s="269"/>
      <c r="C30" s="270"/>
      <c r="D30" s="271"/>
      <c r="E30" s="236">
        <f t="shared" si="0"/>
        <v>0</v>
      </c>
      <c r="F30" s="269"/>
      <c r="G30" s="270"/>
      <c r="H30" s="271"/>
      <c r="I30" s="262"/>
      <c r="J30" s="263"/>
      <c r="K30" s="262"/>
      <c r="L30" s="263"/>
      <c r="M30" s="262"/>
      <c r="N30" s="263"/>
      <c r="O30" s="262"/>
      <c r="P30" s="263"/>
      <c r="Q30" s="235" t="b">
        <f t="shared" si="1"/>
        <v>0</v>
      </c>
      <c r="R30" s="262"/>
      <c r="S30" s="263"/>
      <c r="T30" s="262"/>
      <c r="U30" s="263"/>
      <c r="V30" s="262"/>
      <c r="W30" s="265"/>
      <c r="X30" s="265"/>
      <c r="Y30" s="263"/>
      <c r="Z30" s="235">
        <f t="shared" si="2"/>
        <v>0</v>
      </c>
      <c r="AA30" s="262"/>
      <c r="AB30" s="265"/>
      <c r="AC30" s="263"/>
      <c r="AD30" s="235">
        <f t="shared" si="3"/>
        <v>0</v>
      </c>
      <c r="AE30" s="262"/>
      <c r="AF30" s="265"/>
      <c r="AG30" s="263"/>
      <c r="AH30" s="235">
        <f t="shared" si="4"/>
        <v>0</v>
      </c>
      <c r="AI30" s="262"/>
      <c r="AJ30" s="265"/>
      <c r="AK30" s="263"/>
      <c r="AL30" s="235">
        <f t="shared" si="5"/>
        <v>0</v>
      </c>
      <c r="AM30" s="262"/>
      <c r="AN30" s="265"/>
      <c r="AO30" s="263"/>
      <c r="AP30" s="262"/>
      <c r="AQ30" s="263"/>
      <c r="AR30" s="262"/>
      <c r="AS30" s="263"/>
      <c r="AT30" s="262"/>
      <c r="AU30" s="265"/>
      <c r="AV30" s="263"/>
      <c r="AW30" s="262"/>
      <c r="AX30" s="265"/>
      <c r="AY30" s="263"/>
      <c r="AZ30" s="24">
        <f t="shared" si="6"/>
        <v>0</v>
      </c>
    </row>
    <row r="31" spans="2:52" s="24" customFormat="1" ht="21.95" customHeight="1" x14ac:dyDescent="0.25">
      <c r="B31" s="269"/>
      <c r="C31" s="270"/>
      <c r="D31" s="271"/>
      <c r="E31" s="236">
        <f t="shared" si="0"/>
        <v>0</v>
      </c>
      <c r="F31" s="269"/>
      <c r="G31" s="270"/>
      <c r="H31" s="271"/>
      <c r="I31" s="262"/>
      <c r="J31" s="263"/>
      <c r="K31" s="262"/>
      <c r="L31" s="263"/>
      <c r="M31" s="262"/>
      <c r="N31" s="263"/>
      <c r="O31" s="262"/>
      <c r="P31" s="263"/>
      <c r="Q31" s="235" t="b">
        <f t="shared" si="1"/>
        <v>0</v>
      </c>
      <c r="R31" s="262"/>
      <c r="S31" s="263"/>
      <c r="T31" s="262"/>
      <c r="U31" s="263"/>
      <c r="V31" s="262"/>
      <c r="W31" s="265"/>
      <c r="X31" s="265"/>
      <c r="Y31" s="263"/>
      <c r="Z31" s="235">
        <f t="shared" si="2"/>
        <v>0</v>
      </c>
      <c r="AA31" s="262"/>
      <c r="AB31" s="265"/>
      <c r="AC31" s="263"/>
      <c r="AD31" s="235">
        <f t="shared" si="3"/>
        <v>0</v>
      </c>
      <c r="AE31" s="262"/>
      <c r="AF31" s="265"/>
      <c r="AG31" s="263"/>
      <c r="AH31" s="235">
        <f t="shared" si="4"/>
        <v>0</v>
      </c>
      <c r="AI31" s="262"/>
      <c r="AJ31" s="265"/>
      <c r="AK31" s="263"/>
      <c r="AL31" s="235">
        <f t="shared" si="5"/>
        <v>0</v>
      </c>
      <c r="AM31" s="262"/>
      <c r="AN31" s="265"/>
      <c r="AO31" s="263"/>
      <c r="AP31" s="262"/>
      <c r="AQ31" s="263"/>
      <c r="AR31" s="262"/>
      <c r="AS31" s="263"/>
      <c r="AT31" s="262"/>
      <c r="AU31" s="265"/>
      <c r="AV31" s="263"/>
      <c r="AW31" s="262"/>
      <c r="AX31" s="265"/>
      <c r="AY31" s="263"/>
      <c r="AZ31" s="24">
        <f t="shared" si="6"/>
        <v>0</v>
      </c>
    </row>
    <row r="32" spans="2:52" s="24" customFormat="1" ht="21.95" customHeight="1" x14ac:dyDescent="0.25">
      <c r="B32" s="269"/>
      <c r="C32" s="270"/>
      <c r="D32" s="271"/>
      <c r="E32" s="236">
        <f t="shared" si="0"/>
        <v>0</v>
      </c>
      <c r="F32" s="269"/>
      <c r="G32" s="270"/>
      <c r="H32" s="271"/>
      <c r="I32" s="262"/>
      <c r="J32" s="263"/>
      <c r="K32" s="262"/>
      <c r="L32" s="263"/>
      <c r="M32" s="262"/>
      <c r="N32" s="263"/>
      <c r="O32" s="262"/>
      <c r="P32" s="263"/>
      <c r="Q32" s="235" t="b">
        <f t="shared" si="1"/>
        <v>0</v>
      </c>
      <c r="R32" s="262"/>
      <c r="S32" s="263"/>
      <c r="T32" s="262"/>
      <c r="U32" s="263"/>
      <c r="V32" s="262"/>
      <c r="W32" s="265"/>
      <c r="X32" s="265"/>
      <c r="Y32" s="263"/>
      <c r="Z32" s="235">
        <f t="shared" si="2"/>
        <v>0</v>
      </c>
      <c r="AA32" s="262"/>
      <c r="AB32" s="265"/>
      <c r="AC32" s="263"/>
      <c r="AD32" s="235">
        <f t="shared" si="3"/>
        <v>0</v>
      </c>
      <c r="AE32" s="262"/>
      <c r="AF32" s="265"/>
      <c r="AG32" s="263"/>
      <c r="AH32" s="235">
        <f t="shared" si="4"/>
        <v>0</v>
      </c>
      <c r="AI32" s="262"/>
      <c r="AJ32" s="265"/>
      <c r="AK32" s="263"/>
      <c r="AL32" s="235">
        <f t="shared" si="5"/>
        <v>0</v>
      </c>
      <c r="AM32" s="262"/>
      <c r="AN32" s="265"/>
      <c r="AO32" s="263"/>
      <c r="AP32" s="262"/>
      <c r="AQ32" s="263"/>
      <c r="AR32" s="262"/>
      <c r="AS32" s="263"/>
      <c r="AT32" s="262"/>
      <c r="AU32" s="265"/>
      <c r="AV32" s="263"/>
      <c r="AW32" s="262"/>
      <c r="AX32" s="265"/>
      <c r="AY32" s="263"/>
      <c r="AZ32" s="24">
        <f t="shared" si="6"/>
        <v>0</v>
      </c>
    </row>
    <row r="33" spans="2:52" s="24" customFormat="1" ht="21.95" customHeight="1" x14ac:dyDescent="0.25">
      <c r="B33" s="269"/>
      <c r="C33" s="270"/>
      <c r="D33" s="271"/>
      <c r="E33" s="236">
        <f t="shared" si="0"/>
        <v>0</v>
      </c>
      <c r="F33" s="269"/>
      <c r="G33" s="270"/>
      <c r="H33" s="271"/>
      <c r="I33" s="262"/>
      <c r="J33" s="263"/>
      <c r="K33" s="262"/>
      <c r="L33" s="263"/>
      <c r="M33" s="262"/>
      <c r="N33" s="263"/>
      <c r="O33" s="262"/>
      <c r="P33" s="263"/>
      <c r="Q33" s="235" t="b">
        <f t="shared" si="1"/>
        <v>0</v>
      </c>
      <c r="R33" s="262"/>
      <c r="S33" s="263"/>
      <c r="T33" s="262"/>
      <c r="U33" s="263"/>
      <c r="V33" s="262"/>
      <c r="W33" s="265"/>
      <c r="X33" s="265"/>
      <c r="Y33" s="263"/>
      <c r="Z33" s="235">
        <f t="shared" si="2"/>
        <v>0</v>
      </c>
      <c r="AA33" s="262"/>
      <c r="AB33" s="265"/>
      <c r="AC33" s="263"/>
      <c r="AD33" s="235">
        <f t="shared" si="3"/>
        <v>0</v>
      </c>
      <c r="AE33" s="262"/>
      <c r="AF33" s="265"/>
      <c r="AG33" s="263"/>
      <c r="AH33" s="235">
        <f t="shared" si="4"/>
        <v>0</v>
      </c>
      <c r="AI33" s="262"/>
      <c r="AJ33" s="265"/>
      <c r="AK33" s="263"/>
      <c r="AL33" s="235">
        <f t="shared" si="5"/>
        <v>0</v>
      </c>
      <c r="AM33" s="262"/>
      <c r="AN33" s="265"/>
      <c r="AO33" s="263"/>
      <c r="AP33" s="262"/>
      <c r="AQ33" s="263"/>
      <c r="AR33" s="262"/>
      <c r="AS33" s="263"/>
      <c r="AT33" s="262"/>
      <c r="AU33" s="265"/>
      <c r="AV33" s="263"/>
      <c r="AW33" s="262"/>
      <c r="AX33" s="265"/>
      <c r="AY33" s="263"/>
      <c r="AZ33" s="24">
        <f t="shared" si="6"/>
        <v>0</v>
      </c>
    </row>
    <row r="34" spans="2:52" s="24" customFormat="1" ht="21.95" customHeight="1" x14ac:dyDescent="0.25">
      <c r="B34" s="269"/>
      <c r="C34" s="270"/>
      <c r="D34" s="271"/>
      <c r="E34" s="236">
        <f t="shared" si="0"/>
        <v>0</v>
      </c>
      <c r="F34" s="269"/>
      <c r="G34" s="270"/>
      <c r="H34" s="271"/>
      <c r="I34" s="262"/>
      <c r="J34" s="263"/>
      <c r="K34" s="262"/>
      <c r="L34" s="263"/>
      <c r="M34" s="262"/>
      <c r="N34" s="263"/>
      <c r="O34" s="262"/>
      <c r="P34" s="263"/>
      <c r="Q34" s="235" t="b">
        <f t="shared" si="1"/>
        <v>0</v>
      </c>
      <c r="R34" s="262"/>
      <c r="S34" s="263"/>
      <c r="T34" s="262"/>
      <c r="U34" s="263"/>
      <c r="V34" s="262"/>
      <c r="W34" s="265"/>
      <c r="X34" s="265"/>
      <c r="Y34" s="263"/>
      <c r="Z34" s="235">
        <f t="shared" si="2"/>
        <v>0</v>
      </c>
      <c r="AA34" s="262"/>
      <c r="AB34" s="265"/>
      <c r="AC34" s="263"/>
      <c r="AD34" s="235">
        <f t="shared" si="3"/>
        <v>0</v>
      </c>
      <c r="AE34" s="262"/>
      <c r="AF34" s="265"/>
      <c r="AG34" s="263"/>
      <c r="AH34" s="235">
        <f t="shared" si="4"/>
        <v>0</v>
      </c>
      <c r="AI34" s="262"/>
      <c r="AJ34" s="265"/>
      <c r="AK34" s="263"/>
      <c r="AL34" s="235">
        <f t="shared" si="5"/>
        <v>0</v>
      </c>
      <c r="AM34" s="262"/>
      <c r="AN34" s="265"/>
      <c r="AO34" s="263"/>
      <c r="AP34" s="262"/>
      <c r="AQ34" s="263"/>
      <c r="AR34" s="262"/>
      <c r="AS34" s="263"/>
      <c r="AT34" s="262"/>
      <c r="AU34" s="265"/>
      <c r="AV34" s="263"/>
      <c r="AW34" s="262"/>
      <c r="AX34" s="265"/>
      <c r="AY34" s="263"/>
      <c r="AZ34" s="24">
        <f t="shared" si="6"/>
        <v>0</v>
      </c>
    </row>
    <row r="35" spans="2:52" s="24" customFormat="1" ht="21.95" customHeight="1" x14ac:dyDescent="0.25">
      <c r="B35" s="269"/>
      <c r="C35" s="270"/>
      <c r="D35" s="271"/>
      <c r="E35" s="236">
        <f t="shared" si="0"/>
        <v>0</v>
      </c>
      <c r="F35" s="269"/>
      <c r="G35" s="270"/>
      <c r="H35" s="271"/>
      <c r="I35" s="262"/>
      <c r="J35" s="263"/>
      <c r="K35" s="262"/>
      <c r="L35" s="263"/>
      <c r="M35" s="262"/>
      <c r="N35" s="263"/>
      <c r="O35" s="262"/>
      <c r="P35" s="263"/>
      <c r="Q35" s="235" t="b">
        <f t="shared" si="1"/>
        <v>0</v>
      </c>
      <c r="R35" s="262"/>
      <c r="S35" s="263"/>
      <c r="T35" s="262"/>
      <c r="U35" s="263"/>
      <c r="V35" s="262"/>
      <c r="W35" s="265"/>
      <c r="X35" s="265"/>
      <c r="Y35" s="263"/>
      <c r="Z35" s="235">
        <f t="shared" si="2"/>
        <v>0</v>
      </c>
      <c r="AA35" s="262"/>
      <c r="AB35" s="265"/>
      <c r="AC35" s="263"/>
      <c r="AD35" s="235">
        <f t="shared" si="3"/>
        <v>0</v>
      </c>
      <c r="AE35" s="262"/>
      <c r="AF35" s="265"/>
      <c r="AG35" s="263"/>
      <c r="AH35" s="235">
        <f t="shared" si="4"/>
        <v>0</v>
      </c>
      <c r="AI35" s="262"/>
      <c r="AJ35" s="265"/>
      <c r="AK35" s="263"/>
      <c r="AL35" s="235">
        <f t="shared" si="5"/>
        <v>0</v>
      </c>
      <c r="AM35" s="262"/>
      <c r="AN35" s="265"/>
      <c r="AO35" s="263"/>
      <c r="AP35" s="262"/>
      <c r="AQ35" s="263"/>
      <c r="AR35" s="262"/>
      <c r="AS35" s="263"/>
      <c r="AT35" s="262"/>
      <c r="AU35" s="265"/>
      <c r="AV35" s="263"/>
      <c r="AW35" s="262"/>
      <c r="AX35" s="265"/>
      <c r="AY35" s="263"/>
      <c r="AZ35" s="24">
        <f t="shared" si="6"/>
        <v>0</v>
      </c>
    </row>
    <row r="36" spans="2:52" s="24" customFormat="1" ht="21.95" customHeight="1" x14ac:dyDescent="0.25">
      <c r="B36" s="269"/>
      <c r="C36" s="270"/>
      <c r="D36" s="271"/>
      <c r="E36" s="236">
        <f t="shared" si="0"/>
        <v>0</v>
      </c>
      <c r="F36" s="269"/>
      <c r="G36" s="270"/>
      <c r="H36" s="271"/>
      <c r="I36" s="262"/>
      <c r="J36" s="263"/>
      <c r="K36" s="262"/>
      <c r="L36" s="263"/>
      <c r="M36" s="262"/>
      <c r="N36" s="263"/>
      <c r="O36" s="262"/>
      <c r="P36" s="263"/>
      <c r="Q36" s="235" t="b">
        <f t="shared" si="1"/>
        <v>0</v>
      </c>
      <c r="R36" s="262"/>
      <c r="S36" s="263"/>
      <c r="T36" s="262"/>
      <c r="U36" s="263"/>
      <c r="V36" s="262"/>
      <c r="W36" s="265"/>
      <c r="X36" s="265"/>
      <c r="Y36" s="263"/>
      <c r="Z36" s="235">
        <f t="shared" si="2"/>
        <v>0</v>
      </c>
      <c r="AA36" s="262"/>
      <c r="AB36" s="265"/>
      <c r="AC36" s="263"/>
      <c r="AD36" s="235">
        <f t="shared" si="3"/>
        <v>0</v>
      </c>
      <c r="AE36" s="262"/>
      <c r="AF36" s="265"/>
      <c r="AG36" s="263"/>
      <c r="AH36" s="235">
        <f t="shared" si="4"/>
        <v>0</v>
      </c>
      <c r="AI36" s="262"/>
      <c r="AJ36" s="265"/>
      <c r="AK36" s="263"/>
      <c r="AL36" s="235">
        <f t="shared" si="5"/>
        <v>0</v>
      </c>
      <c r="AM36" s="262"/>
      <c r="AN36" s="265"/>
      <c r="AO36" s="263"/>
      <c r="AP36" s="262"/>
      <c r="AQ36" s="263"/>
      <c r="AR36" s="262"/>
      <c r="AS36" s="263"/>
      <c r="AT36" s="262"/>
      <c r="AU36" s="265"/>
      <c r="AV36" s="263"/>
      <c r="AW36" s="262"/>
      <c r="AX36" s="265"/>
      <c r="AY36" s="263"/>
      <c r="AZ36" s="24">
        <f t="shared" si="6"/>
        <v>0</v>
      </c>
    </row>
    <row r="37" spans="2:52" s="24" customFormat="1" ht="21.95" customHeight="1" x14ac:dyDescent="0.25">
      <c r="B37" s="269"/>
      <c r="C37" s="270"/>
      <c r="D37" s="271"/>
      <c r="E37" s="236">
        <f t="shared" si="0"/>
        <v>0</v>
      </c>
      <c r="F37" s="269"/>
      <c r="G37" s="270"/>
      <c r="H37" s="271"/>
      <c r="I37" s="262"/>
      <c r="J37" s="263"/>
      <c r="K37" s="262"/>
      <c r="L37" s="263"/>
      <c r="M37" s="262"/>
      <c r="N37" s="263"/>
      <c r="O37" s="262"/>
      <c r="P37" s="263"/>
      <c r="Q37" s="235" t="b">
        <f t="shared" si="1"/>
        <v>0</v>
      </c>
      <c r="R37" s="262"/>
      <c r="S37" s="263"/>
      <c r="T37" s="262"/>
      <c r="U37" s="263"/>
      <c r="V37" s="262"/>
      <c r="W37" s="265"/>
      <c r="X37" s="265"/>
      <c r="Y37" s="263"/>
      <c r="Z37" s="235">
        <f t="shared" si="2"/>
        <v>0</v>
      </c>
      <c r="AA37" s="262"/>
      <c r="AB37" s="265"/>
      <c r="AC37" s="263"/>
      <c r="AD37" s="235">
        <f t="shared" si="3"/>
        <v>0</v>
      </c>
      <c r="AE37" s="262"/>
      <c r="AF37" s="265"/>
      <c r="AG37" s="263"/>
      <c r="AH37" s="235">
        <f t="shared" si="4"/>
        <v>0</v>
      </c>
      <c r="AI37" s="262"/>
      <c r="AJ37" s="265"/>
      <c r="AK37" s="263"/>
      <c r="AL37" s="235">
        <f t="shared" si="5"/>
        <v>0</v>
      </c>
      <c r="AM37" s="262"/>
      <c r="AN37" s="265"/>
      <c r="AO37" s="263"/>
      <c r="AP37" s="262"/>
      <c r="AQ37" s="263"/>
      <c r="AR37" s="262"/>
      <c r="AS37" s="263"/>
      <c r="AT37" s="262"/>
      <c r="AU37" s="265"/>
      <c r="AV37" s="263"/>
      <c r="AW37" s="262"/>
      <c r="AX37" s="265"/>
      <c r="AY37" s="263"/>
      <c r="AZ37" s="24">
        <f t="shared" si="6"/>
        <v>0</v>
      </c>
    </row>
    <row r="38" spans="2:52" s="24" customFormat="1" ht="21.95" customHeight="1" x14ac:dyDescent="0.25">
      <c r="B38" s="269"/>
      <c r="C38" s="270"/>
      <c r="D38" s="271"/>
      <c r="E38" s="236">
        <f t="shared" si="0"/>
        <v>0</v>
      </c>
      <c r="F38" s="269"/>
      <c r="G38" s="270"/>
      <c r="H38" s="271"/>
      <c r="I38" s="262"/>
      <c r="J38" s="263"/>
      <c r="K38" s="262"/>
      <c r="L38" s="263"/>
      <c r="M38" s="262"/>
      <c r="N38" s="263"/>
      <c r="O38" s="262"/>
      <c r="P38" s="263"/>
      <c r="Q38" s="235" t="b">
        <f t="shared" si="1"/>
        <v>0</v>
      </c>
      <c r="R38" s="262"/>
      <c r="S38" s="263"/>
      <c r="T38" s="262"/>
      <c r="U38" s="263"/>
      <c r="V38" s="262"/>
      <c r="W38" s="265"/>
      <c r="X38" s="265"/>
      <c r="Y38" s="263"/>
      <c r="Z38" s="235">
        <f t="shared" si="2"/>
        <v>0</v>
      </c>
      <c r="AA38" s="262"/>
      <c r="AB38" s="265"/>
      <c r="AC38" s="263"/>
      <c r="AD38" s="235">
        <f t="shared" si="3"/>
        <v>0</v>
      </c>
      <c r="AE38" s="262"/>
      <c r="AF38" s="265"/>
      <c r="AG38" s="263"/>
      <c r="AH38" s="235">
        <f t="shared" si="4"/>
        <v>0</v>
      </c>
      <c r="AI38" s="262"/>
      <c r="AJ38" s="265"/>
      <c r="AK38" s="263"/>
      <c r="AL38" s="235">
        <f t="shared" si="5"/>
        <v>0</v>
      </c>
      <c r="AM38" s="262"/>
      <c r="AN38" s="265"/>
      <c r="AO38" s="263"/>
      <c r="AP38" s="262"/>
      <c r="AQ38" s="263"/>
      <c r="AR38" s="262"/>
      <c r="AS38" s="263"/>
      <c r="AT38" s="262"/>
      <c r="AU38" s="265"/>
      <c r="AV38" s="263"/>
      <c r="AW38" s="262"/>
      <c r="AX38" s="265"/>
      <c r="AY38" s="263"/>
      <c r="AZ38" s="24">
        <f t="shared" si="6"/>
        <v>0</v>
      </c>
    </row>
    <row r="39" spans="2:52" s="24" customFormat="1" ht="21.95" customHeight="1" x14ac:dyDescent="0.25">
      <c r="B39" s="269"/>
      <c r="C39" s="270"/>
      <c r="D39" s="271"/>
      <c r="E39" s="236">
        <f t="shared" si="0"/>
        <v>0</v>
      </c>
      <c r="F39" s="269"/>
      <c r="G39" s="270"/>
      <c r="H39" s="271"/>
      <c r="I39" s="262"/>
      <c r="J39" s="263"/>
      <c r="K39" s="262"/>
      <c r="L39" s="263"/>
      <c r="M39" s="262"/>
      <c r="N39" s="263"/>
      <c r="O39" s="262"/>
      <c r="P39" s="263"/>
      <c r="Q39" s="235" t="b">
        <f t="shared" si="1"/>
        <v>0</v>
      </c>
      <c r="R39" s="262"/>
      <c r="S39" s="263"/>
      <c r="T39" s="262"/>
      <c r="U39" s="263"/>
      <c r="V39" s="262"/>
      <c r="W39" s="265"/>
      <c r="X39" s="265"/>
      <c r="Y39" s="263"/>
      <c r="Z39" s="235">
        <f t="shared" si="2"/>
        <v>0</v>
      </c>
      <c r="AA39" s="262"/>
      <c r="AB39" s="265"/>
      <c r="AC39" s="263"/>
      <c r="AD39" s="235">
        <f t="shared" si="3"/>
        <v>0</v>
      </c>
      <c r="AE39" s="262"/>
      <c r="AF39" s="265"/>
      <c r="AG39" s="263"/>
      <c r="AH39" s="235">
        <f t="shared" si="4"/>
        <v>0</v>
      </c>
      <c r="AI39" s="262"/>
      <c r="AJ39" s="265"/>
      <c r="AK39" s="263"/>
      <c r="AL39" s="235">
        <f t="shared" si="5"/>
        <v>0</v>
      </c>
      <c r="AM39" s="262"/>
      <c r="AN39" s="265"/>
      <c r="AO39" s="263"/>
      <c r="AP39" s="262"/>
      <c r="AQ39" s="263"/>
      <c r="AR39" s="262"/>
      <c r="AS39" s="263"/>
      <c r="AT39" s="262"/>
      <c r="AU39" s="265"/>
      <c r="AV39" s="263"/>
      <c r="AW39" s="262"/>
      <c r="AX39" s="265"/>
      <c r="AY39" s="263"/>
      <c r="AZ39" s="24">
        <f t="shared" si="6"/>
        <v>0</v>
      </c>
    </row>
    <row r="40" spans="2:52" s="24" customFormat="1" ht="21.95" customHeight="1" x14ac:dyDescent="0.25">
      <c r="B40" s="269"/>
      <c r="C40" s="270"/>
      <c r="D40" s="271"/>
      <c r="E40" s="236">
        <f t="shared" si="0"/>
        <v>0</v>
      </c>
      <c r="F40" s="269"/>
      <c r="G40" s="270"/>
      <c r="H40" s="271"/>
      <c r="I40" s="262"/>
      <c r="J40" s="263"/>
      <c r="K40" s="262"/>
      <c r="L40" s="263"/>
      <c r="M40" s="262"/>
      <c r="N40" s="263"/>
      <c r="O40" s="262"/>
      <c r="P40" s="263"/>
      <c r="Q40" s="235" t="b">
        <f t="shared" si="1"/>
        <v>0</v>
      </c>
      <c r="R40" s="262"/>
      <c r="S40" s="263"/>
      <c r="T40" s="262"/>
      <c r="U40" s="263"/>
      <c r="V40" s="262"/>
      <c r="W40" s="265"/>
      <c r="X40" s="265"/>
      <c r="Y40" s="263"/>
      <c r="Z40" s="235">
        <f t="shared" si="2"/>
        <v>0</v>
      </c>
      <c r="AA40" s="262"/>
      <c r="AB40" s="265"/>
      <c r="AC40" s="263"/>
      <c r="AD40" s="235">
        <f t="shared" si="3"/>
        <v>0</v>
      </c>
      <c r="AE40" s="262"/>
      <c r="AF40" s="265"/>
      <c r="AG40" s="263"/>
      <c r="AH40" s="235">
        <f t="shared" si="4"/>
        <v>0</v>
      </c>
      <c r="AI40" s="262"/>
      <c r="AJ40" s="265"/>
      <c r="AK40" s="263"/>
      <c r="AL40" s="235">
        <f t="shared" si="5"/>
        <v>0</v>
      </c>
      <c r="AM40" s="262"/>
      <c r="AN40" s="265"/>
      <c r="AO40" s="263"/>
      <c r="AP40" s="262"/>
      <c r="AQ40" s="263"/>
      <c r="AR40" s="262"/>
      <c r="AS40" s="263"/>
      <c r="AT40" s="262"/>
      <c r="AU40" s="265"/>
      <c r="AV40" s="263"/>
      <c r="AW40" s="262"/>
      <c r="AX40" s="265"/>
      <c r="AY40" s="263"/>
      <c r="AZ40" s="24">
        <f t="shared" si="6"/>
        <v>0</v>
      </c>
    </row>
    <row r="41" spans="2:52" s="24" customFormat="1" ht="21.95" customHeight="1" x14ac:dyDescent="0.25">
      <c r="B41" s="269"/>
      <c r="C41" s="270"/>
      <c r="D41" s="271"/>
      <c r="E41" s="236">
        <f t="shared" si="0"/>
        <v>0</v>
      </c>
      <c r="F41" s="269"/>
      <c r="G41" s="270"/>
      <c r="H41" s="271"/>
      <c r="I41" s="262"/>
      <c r="J41" s="263"/>
      <c r="K41" s="262"/>
      <c r="L41" s="263"/>
      <c r="M41" s="262"/>
      <c r="N41" s="263"/>
      <c r="O41" s="262"/>
      <c r="P41" s="263"/>
      <c r="Q41" s="235" t="b">
        <f t="shared" si="1"/>
        <v>0</v>
      </c>
      <c r="R41" s="262"/>
      <c r="S41" s="263"/>
      <c r="T41" s="262"/>
      <c r="U41" s="263"/>
      <c r="V41" s="262"/>
      <c r="W41" s="265"/>
      <c r="X41" s="265"/>
      <c r="Y41" s="263"/>
      <c r="Z41" s="235">
        <f t="shared" si="2"/>
        <v>0</v>
      </c>
      <c r="AA41" s="262"/>
      <c r="AB41" s="265"/>
      <c r="AC41" s="263"/>
      <c r="AD41" s="235">
        <f t="shared" si="3"/>
        <v>0</v>
      </c>
      <c r="AE41" s="262"/>
      <c r="AF41" s="265"/>
      <c r="AG41" s="263"/>
      <c r="AH41" s="235">
        <f t="shared" si="4"/>
        <v>0</v>
      </c>
      <c r="AI41" s="262"/>
      <c r="AJ41" s="265"/>
      <c r="AK41" s="263"/>
      <c r="AL41" s="235">
        <f t="shared" si="5"/>
        <v>0</v>
      </c>
      <c r="AM41" s="262"/>
      <c r="AN41" s="265"/>
      <c r="AO41" s="263"/>
      <c r="AP41" s="262"/>
      <c r="AQ41" s="263"/>
      <c r="AR41" s="262"/>
      <c r="AS41" s="263"/>
      <c r="AT41" s="262"/>
      <c r="AU41" s="265"/>
      <c r="AV41" s="263"/>
      <c r="AW41" s="262"/>
      <c r="AX41" s="265"/>
      <c r="AY41" s="263"/>
      <c r="AZ41" s="24">
        <f t="shared" si="6"/>
        <v>0</v>
      </c>
    </row>
    <row r="42" spans="2:52" s="24" customFormat="1" ht="21.95" customHeight="1" x14ac:dyDescent="0.25">
      <c r="B42" s="269"/>
      <c r="C42" s="270"/>
      <c r="D42" s="271"/>
      <c r="E42" s="236">
        <f t="shared" si="0"/>
        <v>0</v>
      </c>
      <c r="F42" s="269"/>
      <c r="G42" s="270"/>
      <c r="H42" s="271"/>
      <c r="I42" s="262"/>
      <c r="J42" s="263"/>
      <c r="K42" s="262"/>
      <c r="L42" s="263"/>
      <c r="M42" s="262"/>
      <c r="N42" s="263"/>
      <c r="O42" s="262"/>
      <c r="P42" s="263"/>
      <c r="Q42" s="235" t="b">
        <f t="shared" si="1"/>
        <v>0</v>
      </c>
      <c r="R42" s="262"/>
      <c r="S42" s="263"/>
      <c r="T42" s="262"/>
      <c r="U42" s="263"/>
      <c r="V42" s="262"/>
      <c r="W42" s="265"/>
      <c r="X42" s="265"/>
      <c r="Y42" s="263"/>
      <c r="Z42" s="235">
        <f t="shared" si="2"/>
        <v>0</v>
      </c>
      <c r="AA42" s="262"/>
      <c r="AB42" s="265"/>
      <c r="AC42" s="263"/>
      <c r="AD42" s="235">
        <f t="shared" si="3"/>
        <v>0</v>
      </c>
      <c r="AE42" s="262"/>
      <c r="AF42" s="265"/>
      <c r="AG42" s="263"/>
      <c r="AH42" s="235">
        <f t="shared" si="4"/>
        <v>0</v>
      </c>
      <c r="AI42" s="262"/>
      <c r="AJ42" s="265"/>
      <c r="AK42" s="263"/>
      <c r="AL42" s="235">
        <f t="shared" si="5"/>
        <v>0</v>
      </c>
      <c r="AM42" s="262"/>
      <c r="AN42" s="265"/>
      <c r="AO42" s="263"/>
      <c r="AP42" s="262"/>
      <c r="AQ42" s="263"/>
      <c r="AR42" s="262"/>
      <c r="AS42" s="263"/>
      <c r="AT42" s="262"/>
      <c r="AU42" s="265"/>
      <c r="AV42" s="263"/>
      <c r="AW42" s="262"/>
      <c r="AX42" s="265"/>
      <c r="AY42" s="263"/>
      <c r="AZ42" s="24">
        <f t="shared" si="6"/>
        <v>0</v>
      </c>
    </row>
    <row r="43" spans="2:52" s="24" customFormat="1" ht="21.95" customHeight="1" x14ac:dyDescent="0.25">
      <c r="B43" s="269"/>
      <c r="C43" s="270"/>
      <c r="D43" s="271"/>
      <c r="E43" s="236">
        <f t="shared" si="0"/>
        <v>0</v>
      </c>
      <c r="F43" s="269"/>
      <c r="G43" s="270"/>
      <c r="H43" s="271"/>
      <c r="I43" s="262"/>
      <c r="J43" s="263"/>
      <c r="K43" s="262"/>
      <c r="L43" s="263"/>
      <c r="M43" s="262"/>
      <c r="N43" s="263"/>
      <c r="O43" s="262"/>
      <c r="P43" s="263"/>
      <c r="Q43" s="235" t="b">
        <f t="shared" si="1"/>
        <v>0</v>
      </c>
      <c r="R43" s="262"/>
      <c r="S43" s="263"/>
      <c r="T43" s="262"/>
      <c r="U43" s="263"/>
      <c r="V43" s="262"/>
      <c r="W43" s="265"/>
      <c r="X43" s="265"/>
      <c r="Y43" s="263"/>
      <c r="Z43" s="235">
        <f t="shared" si="2"/>
        <v>0</v>
      </c>
      <c r="AA43" s="262"/>
      <c r="AB43" s="265"/>
      <c r="AC43" s="263"/>
      <c r="AD43" s="235">
        <f t="shared" si="3"/>
        <v>0</v>
      </c>
      <c r="AE43" s="262"/>
      <c r="AF43" s="265"/>
      <c r="AG43" s="263"/>
      <c r="AH43" s="235">
        <f t="shared" si="4"/>
        <v>0</v>
      </c>
      <c r="AI43" s="262"/>
      <c r="AJ43" s="265"/>
      <c r="AK43" s="263"/>
      <c r="AL43" s="235">
        <f t="shared" si="5"/>
        <v>0</v>
      </c>
      <c r="AM43" s="262"/>
      <c r="AN43" s="265"/>
      <c r="AO43" s="263"/>
      <c r="AP43" s="262"/>
      <c r="AQ43" s="263"/>
      <c r="AR43" s="262"/>
      <c r="AS43" s="263"/>
      <c r="AT43" s="262"/>
      <c r="AU43" s="265"/>
      <c r="AV43" s="263"/>
      <c r="AW43" s="262"/>
      <c r="AX43" s="265"/>
      <c r="AY43" s="263"/>
      <c r="AZ43" s="24">
        <f t="shared" si="6"/>
        <v>0</v>
      </c>
    </row>
    <row r="44" spans="2:52" s="24" customFormat="1" ht="21.95" customHeight="1" x14ac:dyDescent="0.25">
      <c r="B44" s="269"/>
      <c r="C44" s="270"/>
      <c r="D44" s="271"/>
      <c r="E44" s="236">
        <f t="shared" si="0"/>
        <v>0</v>
      </c>
      <c r="F44" s="269"/>
      <c r="G44" s="270"/>
      <c r="H44" s="271"/>
      <c r="I44" s="262"/>
      <c r="J44" s="263"/>
      <c r="K44" s="262"/>
      <c r="L44" s="263"/>
      <c r="M44" s="262"/>
      <c r="N44" s="263"/>
      <c r="O44" s="262"/>
      <c r="P44" s="263"/>
      <c r="Q44" s="235" t="b">
        <f t="shared" si="1"/>
        <v>0</v>
      </c>
      <c r="R44" s="262"/>
      <c r="S44" s="263"/>
      <c r="T44" s="262"/>
      <c r="U44" s="263"/>
      <c r="V44" s="262"/>
      <c r="W44" s="265"/>
      <c r="X44" s="265"/>
      <c r="Y44" s="263"/>
      <c r="Z44" s="235">
        <f t="shared" si="2"/>
        <v>0</v>
      </c>
      <c r="AA44" s="262"/>
      <c r="AB44" s="265"/>
      <c r="AC44" s="263"/>
      <c r="AD44" s="235">
        <f t="shared" si="3"/>
        <v>0</v>
      </c>
      <c r="AE44" s="262"/>
      <c r="AF44" s="265"/>
      <c r="AG44" s="263"/>
      <c r="AH44" s="235">
        <f t="shared" si="4"/>
        <v>0</v>
      </c>
      <c r="AI44" s="262"/>
      <c r="AJ44" s="265"/>
      <c r="AK44" s="263"/>
      <c r="AL44" s="235">
        <f t="shared" si="5"/>
        <v>0</v>
      </c>
      <c r="AM44" s="262"/>
      <c r="AN44" s="265"/>
      <c r="AO44" s="263"/>
      <c r="AP44" s="262"/>
      <c r="AQ44" s="263"/>
      <c r="AR44" s="262"/>
      <c r="AS44" s="263"/>
      <c r="AT44" s="262"/>
      <c r="AU44" s="265"/>
      <c r="AV44" s="263"/>
      <c r="AW44" s="262"/>
      <c r="AX44" s="265"/>
      <c r="AY44" s="263"/>
      <c r="AZ44" s="24">
        <f t="shared" si="6"/>
        <v>0</v>
      </c>
    </row>
    <row r="45" spans="2:52" s="24" customFormat="1" ht="21.95" customHeight="1" x14ac:dyDescent="0.25">
      <c r="B45" s="269"/>
      <c r="C45" s="270"/>
      <c r="D45" s="271"/>
      <c r="E45" s="236">
        <f t="shared" si="0"/>
        <v>0</v>
      </c>
      <c r="F45" s="269"/>
      <c r="G45" s="270"/>
      <c r="H45" s="271"/>
      <c r="I45" s="262"/>
      <c r="J45" s="263"/>
      <c r="K45" s="262"/>
      <c r="L45" s="263"/>
      <c r="M45" s="262"/>
      <c r="N45" s="263"/>
      <c r="O45" s="262"/>
      <c r="P45" s="263"/>
      <c r="Q45" s="235" t="b">
        <f t="shared" si="1"/>
        <v>0</v>
      </c>
      <c r="R45" s="262"/>
      <c r="S45" s="263"/>
      <c r="T45" s="262"/>
      <c r="U45" s="263"/>
      <c r="V45" s="262"/>
      <c r="W45" s="265"/>
      <c r="X45" s="265"/>
      <c r="Y45" s="263"/>
      <c r="Z45" s="235">
        <f t="shared" si="2"/>
        <v>0</v>
      </c>
      <c r="AA45" s="262"/>
      <c r="AB45" s="265"/>
      <c r="AC45" s="263"/>
      <c r="AD45" s="235">
        <f t="shared" si="3"/>
        <v>0</v>
      </c>
      <c r="AE45" s="262"/>
      <c r="AF45" s="265"/>
      <c r="AG45" s="263"/>
      <c r="AH45" s="235">
        <f t="shared" si="4"/>
        <v>0</v>
      </c>
      <c r="AI45" s="262"/>
      <c r="AJ45" s="265"/>
      <c r="AK45" s="263"/>
      <c r="AL45" s="235">
        <f t="shared" si="5"/>
        <v>0</v>
      </c>
      <c r="AM45" s="262"/>
      <c r="AN45" s="265"/>
      <c r="AO45" s="263"/>
      <c r="AP45" s="262"/>
      <c r="AQ45" s="263"/>
      <c r="AR45" s="262"/>
      <c r="AS45" s="263"/>
      <c r="AT45" s="262"/>
      <c r="AU45" s="265"/>
      <c r="AV45" s="263"/>
      <c r="AW45" s="262"/>
      <c r="AX45" s="265"/>
      <c r="AY45" s="263"/>
      <c r="AZ45" s="24">
        <f t="shared" si="6"/>
        <v>0</v>
      </c>
    </row>
    <row r="46" spans="2:52" s="24" customFormat="1" ht="21.95" customHeight="1" x14ac:dyDescent="0.25">
      <c r="B46" s="269"/>
      <c r="C46" s="270"/>
      <c r="D46" s="271"/>
      <c r="E46" s="236">
        <f t="shared" si="0"/>
        <v>0</v>
      </c>
      <c r="F46" s="269"/>
      <c r="G46" s="270"/>
      <c r="H46" s="271"/>
      <c r="I46" s="262"/>
      <c r="J46" s="263"/>
      <c r="K46" s="262"/>
      <c r="L46" s="263"/>
      <c r="M46" s="262"/>
      <c r="N46" s="263"/>
      <c r="O46" s="262"/>
      <c r="P46" s="263"/>
      <c r="Q46" s="235" t="b">
        <f t="shared" si="1"/>
        <v>0</v>
      </c>
      <c r="R46" s="262"/>
      <c r="S46" s="263"/>
      <c r="T46" s="262"/>
      <c r="U46" s="263"/>
      <c r="V46" s="262"/>
      <c r="W46" s="265"/>
      <c r="X46" s="265"/>
      <c r="Y46" s="263"/>
      <c r="Z46" s="235">
        <f t="shared" si="2"/>
        <v>0</v>
      </c>
      <c r="AA46" s="262"/>
      <c r="AB46" s="265"/>
      <c r="AC46" s="263"/>
      <c r="AD46" s="235">
        <f t="shared" si="3"/>
        <v>0</v>
      </c>
      <c r="AE46" s="262"/>
      <c r="AF46" s="265"/>
      <c r="AG46" s="263"/>
      <c r="AH46" s="235">
        <f t="shared" si="4"/>
        <v>0</v>
      </c>
      <c r="AI46" s="262"/>
      <c r="AJ46" s="265"/>
      <c r="AK46" s="263"/>
      <c r="AL46" s="235">
        <f t="shared" si="5"/>
        <v>0</v>
      </c>
      <c r="AM46" s="262"/>
      <c r="AN46" s="265"/>
      <c r="AO46" s="263"/>
      <c r="AP46" s="262"/>
      <c r="AQ46" s="263"/>
      <c r="AR46" s="262"/>
      <c r="AS46" s="263"/>
      <c r="AT46" s="262"/>
      <c r="AU46" s="265"/>
      <c r="AV46" s="263"/>
      <c r="AW46" s="262"/>
      <c r="AX46" s="265"/>
      <c r="AY46" s="263"/>
      <c r="AZ46" s="24">
        <f t="shared" si="6"/>
        <v>0</v>
      </c>
    </row>
    <row r="47" spans="2:52" s="24" customFormat="1" ht="21.95" customHeight="1" x14ac:dyDescent="0.25">
      <c r="B47" s="269"/>
      <c r="C47" s="270"/>
      <c r="D47" s="271"/>
      <c r="E47" s="236">
        <f t="shared" si="0"/>
        <v>0</v>
      </c>
      <c r="F47" s="269"/>
      <c r="G47" s="270"/>
      <c r="H47" s="271"/>
      <c r="I47" s="262"/>
      <c r="J47" s="263"/>
      <c r="K47" s="262"/>
      <c r="L47" s="263"/>
      <c r="M47" s="262"/>
      <c r="N47" s="263"/>
      <c r="O47" s="262"/>
      <c r="P47" s="263"/>
      <c r="Q47" s="235" t="b">
        <f t="shared" si="1"/>
        <v>0</v>
      </c>
      <c r="R47" s="262"/>
      <c r="S47" s="263"/>
      <c r="T47" s="262"/>
      <c r="U47" s="263"/>
      <c r="V47" s="262"/>
      <c r="W47" s="265"/>
      <c r="X47" s="265"/>
      <c r="Y47" s="263"/>
      <c r="Z47" s="235">
        <f t="shared" si="2"/>
        <v>0</v>
      </c>
      <c r="AA47" s="262"/>
      <c r="AB47" s="265"/>
      <c r="AC47" s="263"/>
      <c r="AD47" s="235">
        <f t="shared" si="3"/>
        <v>0</v>
      </c>
      <c r="AE47" s="262"/>
      <c r="AF47" s="265"/>
      <c r="AG47" s="263"/>
      <c r="AH47" s="235">
        <f t="shared" si="4"/>
        <v>0</v>
      </c>
      <c r="AI47" s="262"/>
      <c r="AJ47" s="265"/>
      <c r="AK47" s="263"/>
      <c r="AL47" s="235">
        <f t="shared" si="5"/>
        <v>0</v>
      </c>
      <c r="AM47" s="262"/>
      <c r="AN47" s="265"/>
      <c r="AO47" s="263"/>
      <c r="AP47" s="262"/>
      <c r="AQ47" s="263"/>
      <c r="AR47" s="262"/>
      <c r="AS47" s="263"/>
      <c r="AT47" s="262"/>
      <c r="AU47" s="265"/>
      <c r="AV47" s="263"/>
      <c r="AW47" s="262"/>
      <c r="AX47" s="265"/>
      <c r="AY47" s="263"/>
      <c r="AZ47" s="24">
        <f t="shared" si="6"/>
        <v>0</v>
      </c>
    </row>
    <row r="48" spans="2:52" s="24" customFormat="1" ht="21.95" customHeight="1" x14ac:dyDescent="0.25">
      <c r="B48" s="269"/>
      <c r="C48" s="270"/>
      <c r="D48" s="271"/>
      <c r="E48" s="236">
        <f t="shared" si="0"/>
        <v>0</v>
      </c>
      <c r="F48" s="269"/>
      <c r="G48" s="270"/>
      <c r="H48" s="271"/>
      <c r="I48" s="262"/>
      <c r="J48" s="263"/>
      <c r="K48" s="262"/>
      <c r="L48" s="263"/>
      <c r="M48" s="262"/>
      <c r="N48" s="263"/>
      <c r="O48" s="262"/>
      <c r="P48" s="263"/>
      <c r="Q48" s="235" t="b">
        <f t="shared" si="1"/>
        <v>0</v>
      </c>
      <c r="R48" s="262"/>
      <c r="S48" s="263"/>
      <c r="T48" s="262"/>
      <c r="U48" s="263"/>
      <c r="V48" s="262"/>
      <c r="W48" s="265"/>
      <c r="X48" s="265"/>
      <c r="Y48" s="263"/>
      <c r="Z48" s="235">
        <f t="shared" si="2"/>
        <v>0</v>
      </c>
      <c r="AA48" s="262"/>
      <c r="AB48" s="265"/>
      <c r="AC48" s="263"/>
      <c r="AD48" s="235">
        <f t="shared" si="3"/>
        <v>0</v>
      </c>
      <c r="AE48" s="262"/>
      <c r="AF48" s="265"/>
      <c r="AG48" s="263"/>
      <c r="AH48" s="235">
        <f t="shared" si="4"/>
        <v>0</v>
      </c>
      <c r="AI48" s="262"/>
      <c r="AJ48" s="265"/>
      <c r="AK48" s="263"/>
      <c r="AL48" s="235">
        <f t="shared" si="5"/>
        <v>0</v>
      </c>
      <c r="AM48" s="262"/>
      <c r="AN48" s="265"/>
      <c r="AO48" s="263"/>
      <c r="AP48" s="262"/>
      <c r="AQ48" s="263"/>
      <c r="AR48" s="262"/>
      <c r="AS48" s="263"/>
      <c r="AT48" s="262"/>
      <c r="AU48" s="265"/>
      <c r="AV48" s="263"/>
      <c r="AW48" s="262"/>
      <c r="AX48" s="265"/>
      <c r="AY48" s="263"/>
      <c r="AZ48" s="24">
        <f t="shared" si="6"/>
        <v>0</v>
      </c>
    </row>
    <row r="49" spans="2:52" s="24" customFormat="1" ht="21.95" customHeight="1" x14ac:dyDescent="0.25">
      <c r="B49" s="269"/>
      <c r="C49" s="270"/>
      <c r="D49" s="271"/>
      <c r="E49" s="236">
        <f t="shared" si="0"/>
        <v>0</v>
      </c>
      <c r="F49" s="269"/>
      <c r="G49" s="270"/>
      <c r="H49" s="271"/>
      <c r="I49" s="262"/>
      <c r="J49" s="263"/>
      <c r="K49" s="262"/>
      <c r="L49" s="263"/>
      <c r="M49" s="262"/>
      <c r="N49" s="263"/>
      <c r="O49" s="262"/>
      <c r="P49" s="263"/>
      <c r="Q49" s="235" t="b">
        <f t="shared" si="1"/>
        <v>0</v>
      </c>
      <c r="R49" s="262"/>
      <c r="S49" s="263"/>
      <c r="T49" s="262"/>
      <c r="U49" s="263"/>
      <c r="V49" s="262"/>
      <c r="W49" s="265"/>
      <c r="X49" s="265"/>
      <c r="Y49" s="263"/>
      <c r="Z49" s="235">
        <f t="shared" si="2"/>
        <v>0</v>
      </c>
      <c r="AA49" s="262"/>
      <c r="AB49" s="265"/>
      <c r="AC49" s="263"/>
      <c r="AD49" s="235">
        <f t="shared" si="3"/>
        <v>0</v>
      </c>
      <c r="AE49" s="262"/>
      <c r="AF49" s="265"/>
      <c r="AG49" s="263"/>
      <c r="AH49" s="235">
        <f t="shared" si="4"/>
        <v>0</v>
      </c>
      <c r="AI49" s="262"/>
      <c r="AJ49" s="265"/>
      <c r="AK49" s="263"/>
      <c r="AL49" s="235">
        <f t="shared" si="5"/>
        <v>0</v>
      </c>
      <c r="AM49" s="262"/>
      <c r="AN49" s="265"/>
      <c r="AO49" s="263"/>
      <c r="AP49" s="262"/>
      <c r="AQ49" s="263"/>
      <c r="AR49" s="262"/>
      <c r="AS49" s="263"/>
      <c r="AT49" s="262"/>
      <c r="AU49" s="265"/>
      <c r="AV49" s="263"/>
      <c r="AW49" s="262"/>
      <c r="AX49" s="265"/>
      <c r="AY49" s="263"/>
      <c r="AZ49" s="24">
        <f t="shared" si="6"/>
        <v>0</v>
      </c>
    </row>
    <row r="50" spans="2:52" s="24" customFormat="1" ht="21.95" customHeight="1" x14ac:dyDescent="0.25">
      <c r="B50" s="269"/>
      <c r="C50" s="270"/>
      <c r="D50" s="271"/>
      <c r="E50" s="236">
        <f t="shared" si="0"/>
        <v>0</v>
      </c>
      <c r="F50" s="269"/>
      <c r="G50" s="270"/>
      <c r="H50" s="271"/>
      <c r="I50" s="262"/>
      <c r="J50" s="263"/>
      <c r="K50" s="262"/>
      <c r="L50" s="263"/>
      <c r="M50" s="262"/>
      <c r="N50" s="263"/>
      <c r="O50" s="262"/>
      <c r="P50" s="263"/>
      <c r="Q50" s="235" t="b">
        <f t="shared" si="1"/>
        <v>0</v>
      </c>
      <c r="R50" s="262"/>
      <c r="S50" s="263"/>
      <c r="T50" s="262"/>
      <c r="U50" s="263"/>
      <c r="V50" s="262"/>
      <c r="W50" s="265"/>
      <c r="X50" s="265"/>
      <c r="Y50" s="263"/>
      <c r="Z50" s="235">
        <f t="shared" si="2"/>
        <v>0</v>
      </c>
      <c r="AA50" s="262"/>
      <c r="AB50" s="265"/>
      <c r="AC50" s="263"/>
      <c r="AD50" s="235">
        <f t="shared" si="3"/>
        <v>0</v>
      </c>
      <c r="AE50" s="262"/>
      <c r="AF50" s="265"/>
      <c r="AG50" s="263"/>
      <c r="AH50" s="235">
        <f t="shared" si="4"/>
        <v>0</v>
      </c>
      <c r="AI50" s="262"/>
      <c r="AJ50" s="265"/>
      <c r="AK50" s="263"/>
      <c r="AL50" s="235">
        <f t="shared" si="5"/>
        <v>0</v>
      </c>
      <c r="AM50" s="262"/>
      <c r="AN50" s="265"/>
      <c r="AO50" s="263"/>
      <c r="AP50" s="262"/>
      <c r="AQ50" s="263"/>
      <c r="AR50" s="262"/>
      <c r="AS50" s="263"/>
      <c r="AT50" s="262"/>
      <c r="AU50" s="265"/>
      <c r="AV50" s="263"/>
      <c r="AW50" s="262"/>
      <c r="AX50" s="265"/>
      <c r="AY50" s="263"/>
      <c r="AZ50" s="24">
        <f t="shared" si="6"/>
        <v>0</v>
      </c>
    </row>
    <row r="51" spans="2:52" s="24" customFormat="1" ht="21.95" customHeight="1" x14ac:dyDescent="0.25">
      <c r="B51" s="269"/>
      <c r="C51" s="270"/>
      <c r="D51" s="271"/>
      <c r="E51" s="236">
        <f t="shared" si="0"/>
        <v>0</v>
      </c>
      <c r="F51" s="269"/>
      <c r="G51" s="270"/>
      <c r="H51" s="271"/>
      <c r="I51" s="262"/>
      <c r="J51" s="263"/>
      <c r="K51" s="262"/>
      <c r="L51" s="263"/>
      <c r="M51" s="262"/>
      <c r="N51" s="263"/>
      <c r="O51" s="262"/>
      <c r="P51" s="263"/>
      <c r="Q51" s="235" t="b">
        <f t="shared" si="1"/>
        <v>0</v>
      </c>
      <c r="R51" s="262"/>
      <c r="S51" s="263"/>
      <c r="T51" s="262"/>
      <c r="U51" s="263"/>
      <c r="V51" s="262"/>
      <c r="W51" s="265"/>
      <c r="X51" s="265"/>
      <c r="Y51" s="263"/>
      <c r="Z51" s="235">
        <f t="shared" si="2"/>
        <v>0</v>
      </c>
      <c r="AA51" s="262"/>
      <c r="AB51" s="265"/>
      <c r="AC51" s="263"/>
      <c r="AD51" s="235">
        <f t="shared" si="3"/>
        <v>0</v>
      </c>
      <c r="AE51" s="262"/>
      <c r="AF51" s="265"/>
      <c r="AG51" s="263"/>
      <c r="AH51" s="235">
        <f t="shared" si="4"/>
        <v>0</v>
      </c>
      <c r="AI51" s="262"/>
      <c r="AJ51" s="265"/>
      <c r="AK51" s="263"/>
      <c r="AL51" s="235">
        <f t="shared" si="5"/>
        <v>0</v>
      </c>
      <c r="AM51" s="262"/>
      <c r="AN51" s="265"/>
      <c r="AO51" s="263"/>
      <c r="AP51" s="262"/>
      <c r="AQ51" s="263"/>
      <c r="AR51" s="262"/>
      <c r="AS51" s="263"/>
      <c r="AT51" s="262"/>
      <c r="AU51" s="265"/>
      <c r="AV51" s="263"/>
      <c r="AW51" s="262"/>
      <c r="AX51" s="265"/>
      <c r="AY51" s="263"/>
      <c r="AZ51" s="24">
        <f t="shared" si="6"/>
        <v>0</v>
      </c>
    </row>
    <row r="52" spans="2:52" s="24" customFormat="1" ht="21.95" customHeight="1" x14ac:dyDescent="0.25">
      <c r="B52" s="269"/>
      <c r="C52" s="270"/>
      <c r="D52" s="271"/>
      <c r="E52" s="236">
        <f t="shared" si="0"/>
        <v>0</v>
      </c>
      <c r="F52" s="269"/>
      <c r="G52" s="270"/>
      <c r="H52" s="271"/>
      <c r="I52" s="262"/>
      <c r="J52" s="263"/>
      <c r="K52" s="262"/>
      <c r="L52" s="263"/>
      <c r="M52" s="262"/>
      <c r="N52" s="263"/>
      <c r="O52" s="262"/>
      <c r="P52" s="263"/>
      <c r="Q52" s="235" t="b">
        <f t="shared" si="1"/>
        <v>0</v>
      </c>
      <c r="R52" s="262"/>
      <c r="S52" s="263"/>
      <c r="T52" s="262"/>
      <c r="U52" s="263"/>
      <c r="V52" s="262"/>
      <c r="W52" s="265"/>
      <c r="X52" s="265"/>
      <c r="Y52" s="263"/>
      <c r="Z52" s="235">
        <f t="shared" si="2"/>
        <v>0</v>
      </c>
      <c r="AA52" s="262"/>
      <c r="AB52" s="265"/>
      <c r="AC52" s="263"/>
      <c r="AD52" s="235">
        <f t="shared" si="3"/>
        <v>0</v>
      </c>
      <c r="AE52" s="262"/>
      <c r="AF52" s="265"/>
      <c r="AG52" s="263"/>
      <c r="AH52" s="235">
        <f t="shared" si="4"/>
        <v>0</v>
      </c>
      <c r="AI52" s="262"/>
      <c r="AJ52" s="265"/>
      <c r="AK52" s="263"/>
      <c r="AL52" s="235">
        <f t="shared" si="5"/>
        <v>0</v>
      </c>
      <c r="AM52" s="262"/>
      <c r="AN52" s="265"/>
      <c r="AO52" s="263"/>
      <c r="AP52" s="262"/>
      <c r="AQ52" s="263"/>
      <c r="AR52" s="262"/>
      <c r="AS52" s="263"/>
      <c r="AT52" s="262"/>
      <c r="AU52" s="265"/>
      <c r="AV52" s="263"/>
      <c r="AW52" s="262"/>
      <c r="AX52" s="265"/>
      <c r="AY52" s="263"/>
      <c r="AZ52" s="24">
        <f t="shared" si="6"/>
        <v>0</v>
      </c>
    </row>
    <row r="53" spans="2:52" s="24" customFormat="1" ht="21.95" customHeight="1" x14ac:dyDescent="0.25">
      <c r="B53" s="269"/>
      <c r="C53" s="270"/>
      <c r="D53" s="271"/>
      <c r="E53" s="236">
        <f t="shared" si="0"/>
        <v>0</v>
      </c>
      <c r="F53" s="269"/>
      <c r="G53" s="270"/>
      <c r="H53" s="271"/>
      <c r="I53" s="262"/>
      <c r="J53" s="263"/>
      <c r="K53" s="262"/>
      <c r="L53" s="263"/>
      <c r="M53" s="262"/>
      <c r="N53" s="263"/>
      <c r="O53" s="262"/>
      <c r="P53" s="263"/>
      <c r="Q53" s="235" t="b">
        <f t="shared" si="1"/>
        <v>0</v>
      </c>
      <c r="R53" s="262"/>
      <c r="S53" s="263"/>
      <c r="T53" s="262"/>
      <c r="U53" s="263"/>
      <c r="V53" s="262"/>
      <c r="W53" s="265"/>
      <c r="X53" s="265"/>
      <c r="Y53" s="263"/>
      <c r="Z53" s="235">
        <f t="shared" si="2"/>
        <v>0</v>
      </c>
      <c r="AA53" s="262"/>
      <c r="AB53" s="265"/>
      <c r="AC53" s="263"/>
      <c r="AD53" s="235">
        <f t="shared" si="3"/>
        <v>0</v>
      </c>
      <c r="AE53" s="262"/>
      <c r="AF53" s="265"/>
      <c r="AG53" s="263"/>
      <c r="AH53" s="235">
        <f t="shared" si="4"/>
        <v>0</v>
      </c>
      <c r="AI53" s="262"/>
      <c r="AJ53" s="265"/>
      <c r="AK53" s="263"/>
      <c r="AL53" s="235">
        <f t="shared" si="5"/>
        <v>0</v>
      </c>
      <c r="AM53" s="262"/>
      <c r="AN53" s="265"/>
      <c r="AO53" s="263"/>
      <c r="AP53" s="262"/>
      <c r="AQ53" s="263"/>
      <c r="AR53" s="262"/>
      <c r="AS53" s="263"/>
      <c r="AT53" s="262"/>
      <c r="AU53" s="265"/>
      <c r="AV53" s="263"/>
      <c r="AW53" s="262"/>
      <c r="AX53" s="265"/>
      <c r="AY53" s="263"/>
      <c r="AZ53" s="24">
        <f t="shared" si="6"/>
        <v>0</v>
      </c>
    </row>
    <row r="54" spans="2:52" s="24" customFormat="1" ht="21.95" customHeight="1" x14ac:dyDescent="0.25">
      <c r="B54" s="269"/>
      <c r="C54" s="270"/>
      <c r="D54" s="271"/>
      <c r="E54" s="236">
        <f t="shared" si="0"/>
        <v>0</v>
      </c>
      <c r="F54" s="269"/>
      <c r="G54" s="270"/>
      <c r="H54" s="271"/>
      <c r="I54" s="262"/>
      <c r="J54" s="263"/>
      <c r="K54" s="262"/>
      <c r="L54" s="263"/>
      <c r="M54" s="262"/>
      <c r="N54" s="263"/>
      <c r="O54" s="262"/>
      <c r="P54" s="263"/>
      <c r="Q54" s="235" t="b">
        <f t="shared" si="1"/>
        <v>0</v>
      </c>
      <c r="R54" s="262"/>
      <c r="S54" s="263"/>
      <c r="T54" s="262"/>
      <c r="U54" s="263"/>
      <c r="V54" s="262"/>
      <c r="W54" s="265"/>
      <c r="X54" s="265"/>
      <c r="Y54" s="263"/>
      <c r="Z54" s="235">
        <f t="shared" si="2"/>
        <v>0</v>
      </c>
      <c r="AA54" s="262"/>
      <c r="AB54" s="265"/>
      <c r="AC54" s="263"/>
      <c r="AD54" s="235">
        <f t="shared" si="3"/>
        <v>0</v>
      </c>
      <c r="AE54" s="262"/>
      <c r="AF54" s="265"/>
      <c r="AG54" s="263"/>
      <c r="AH54" s="235">
        <f t="shared" si="4"/>
        <v>0</v>
      </c>
      <c r="AI54" s="262"/>
      <c r="AJ54" s="265"/>
      <c r="AK54" s="263"/>
      <c r="AL54" s="235">
        <f t="shared" si="5"/>
        <v>0</v>
      </c>
      <c r="AM54" s="262"/>
      <c r="AN54" s="265"/>
      <c r="AO54" s="263"/>
      <c r="AP54" s="262"/>
      <c r="AQ54" s="263"/>
      <c r="AR54" s="262"/>
      <c r="AS54" s="263"/>
      <c r="AT54" s="262"/>
      <c r="AU54" s="265"/>
      <c r="AV54" s="263"/>
      <c r="AW54" s="262"/>
      <c r="AX54" s="265"/>
      <c r="AY54" s="263"/>
      <c r="AZ54" s="24">
        <f t="shared" si="6"/>
        <v>0</v>
      </c>
    </row>
    <row r="55" spans="2:52" s="24" customFormat="1" ht="21.95" customHeight="1" x14ac:dyDescent="0.25">
      <c r="B55" s="269"/>
      <c r="C55" s="270"/>
      <c r="D55" s="271"/>
      <c r="E55" s="236">
        <f t="shared" si="0"/>
        <v>0</v>
      </c>
      <c r="F55" s="269"/>
      <c r="G55" s="270"/>
      <c r="H55" s="271"/>
      <c r="I55" s="262"/>
      <c r="J55" s="263"/>
      <c r="K55" s="262"/>
      <c r="L55" s="263"/>
      <c r="M55" s="262"/>
      <c r="N55" s="263"/>
      <c r="O55" s="262"/>
      <c r="P55" s="263"/>
      <c r="Q55" s="235" t="b">
        <f t="shared" si="1"/>
        <v>0</v>
      </c>
      <c r="R55" s="262"/>
      <c r="S55" s="263"/>
      <c r="T55" s="262"/>
      <c r="U55" s="263"/>
      <c r="V55" s="262"/>
      <c r="W55" s="265"/>
      <c r="X55" s="265"/>
      <c r="Y55" s="263"/>
      <c r="Z55" s="235">
        <f t="shared" si="2"/>
        <v>0</v>
      </c>
      <c r="AA55" s="262"/>
      <c r="AB55" s="265"/>
      <c r="AC55" s="263"/>
      <c r="AD55" s="235">
        <f t="shared" si="3"/>
        <v>0</v>
      </c>
      <c r="AE55" s="262"/>
      <c r="AF55" s="265"/>
      <c r="AG55" s="263"/>
      <c r="AH55" s="235">
        <f t="shared" si="4"/>
        <v>0</v>
      </c>
      <c r="AI55" s="262"/>
      <c r="AJ55" s="265"/>
      <c r="AK55" s="263"/>
      <c r="AL55" s="235">
        <f t="shared" si="5"/>
        <v>0</v>
      </c>
      <c r="AM55" s="262"/>
      <c r="AN55" s="265"/>
      <c r="AO55" s="263"/>
      <c r="AP55" s="262"/>
      <c r="AQ55" s="263"/>
      <c r="AR55" s="262"/>
      <c r="AS55" s="263"/>
      <c r="AT55" s="262"/>
      <c r="AU55" s="265"/>
      <c r="AV55" s="263"/>
      <c r="AW55" s="262"/>
      <c r="AX55" s="265"/>
      <c r="AY55" s="263"/>
      <c r="AZ55" s="24">
        <f t="shared" si="6"/>
        <v>0</v>
      </c>
    </row>
    <row r="56" spans="2:52" s="24" customFormat="1" ht="21.95" customHeight="1" x14ac:dyDescent="0.25">
      <c r="B56" s="269"/>
      <c r="C56" s="270"/>
      <c r="D56" s="271"/>
      <c r="E56" s="236">
        <f t="shared" si="0"/>
        <v>0</v>
      </c>
      <c r="F56" s="269"/>
      <c r="G56" s="270"/>
      <c r="H56" s="271"/>
      <c r="I56" s="262"/>
      <c r="J56" s="263"/>
      <c r="K56" s="262"/>
      <c r="L56" s="263"/>
      <c r="M56" s="262"/>
      <c r="N56" s="263"/>
      <c r="O56" s="262"/>
      <c r="P56" s="263"/>
      <c r="Q56" s="235" t="b">
        <f t="shared" si="1"/>
        <v>0</v>
      </c>
      <c r="R56" s="262"/>
      <c r="S56" s="263"/>
      <c r="T56" s="262"/>
      <c r="U56" s="263"/>
      <c r="V56" s="262"/>
      <c r="W56" s="265"/>
      <c r="X56" s="265"/>
      <c r="Y56" s="263"/>
      <c r="Z56" s="235">
        <f t="shared" si="2"/>
        <v>0</v>
      </c>
      <c r="AA56" s="262"/>
      <c r="AB56" s="265"/>
      <c r="AC56" s="263"/>
      <c r="AD56" s="235">
        <f t="shared" si="3"/>
        <v>0</v>
      </c>
      <c r="AE56" s="262"/>
      <c r="AF56" s="265"/>
      <c r="AG56" s="263"/>
      <c r="AH56" s="235">
        <f t="shared" si="4"/>
        <v>0</v>
      </c>
      <c r="AI56" s="262"/>
      <c r="AJ56" s="265"/>
      <c r="AK56" s="263"/>
      <c r="AL56" s="235">
        <f t="shared" si="5"/>
        <v>0</v>
      </c>
      <c r="AM56" s="262"/>
      <c r="AN56" s="265"/>
      <c r="AO56" s="263"/>
      <c r="AP56" s="262"/>
      <c r="AQ56" s="263"/>
      <c r="AR56" s="262"/>
      <c r="AS56" s="263"/>
      <c r="AT56" s="262"/>
      <c r="AU56" s="265"/>
      <c r="AV56" s="263"/>
      <c r="AW56" s="262"/>
      <c r="AX56" s="265"/>
      <c r="AY56" s="263"/>
      <c r="AZ56" s="24">
        <f t="shared" si="6"/>
        <v>0</v>
      </c>
    </row>
    <row r="57" spans="2:52" s="24" customFormat="1" ht="21.95" customHeight="1" x14ac:dyDescent="0.25">
      <c r="B57" s="269"/>
      <c r="C57" s="270"/>
      <c r="D57" s="271"/>
      <c r="E57" s="236">
        <f t="shared" si="0"/>
        <v>0</v>
      </c>
      <c r="F57" s="269"/>
      <c r="G57" s="270"/>
      <c r="H57" s="271"/>
      <c r="I57" s="262"/>
      <c r="J57" s="263"/>
      <c r="K57" s="262"/>
      <c r="L57" s="263"/>
      <c r="M57" s="262"/>
      <c r="N57" s="263"/>
      <c r="O57" s="262"/>
      <c r="P57" s="263"/>
      <c r="Q57" s="235" t="b">
        <f t="shared" si="1"/>
        <v>0</v>
      </c>
      <c r="R57" s="262"/>
      <c r="S57" s="263"/>
      <c r="T57" s="262"/>
      <c r="U57" s="263"/>
      <c r="V57" s="262"/>
      <c r="W57" s="265"/>
      <c r="X57" s="265"/>
      <c r="Y57" s="263"/>
      <c r="Z57" s="235">
        <f t="shared" si="2"/>
        <v>0</v>
      </c>
      <c r="AA57" s="262"/>
      <c r="AB57" s="265"/>
      <c r="AC57" s="263"/>
      <c r="AD57" s="235">
        <f t="shared" si="3"/>
        <v>0</v>
      </c>
      <c r="AE57" s="262"/>
      <c r="AF57" s="265"/>
      <c r="AG57" s="263"/>
      <c r="AH57" s="235">
        <f t="shared" si="4"/>
        <v>0</v>
      </c>
      <c r="AI57" s="262"/>
      <c r="AJ57" s="265"/>
      <c r="AK57" s="263"/>
      <c r="AL57" s="235">
        <f t="shared" si="5"/>
        <v>0</v>
      </c>
      <c r="AM57" s="262"/>
      <c r="AN57" s="265"/>
      <c r="AO57" s="263"/>
      <c r="AP57" s="262"/>
      <c r="AQ57" s="263"/>
      <c r="AR57" s="262"/>
      <c r="AS57" s="263"/>
      <c r="AT57" s="262"/>
      <c r="AU57" s="265"/>
      <c r="AV57" s="263"/>
      <c r="AW57" s="262"/>
      <c r="AX57" s="265"/>
      <c r="AY57" s="263"/>
      <c r="AZ57" s="24">
        <f t="shared" si="6"/>
        <v>0</v>
      </c>
    </row>
    <row r="58" spans="2:52" s="24" customFormat="1" ht="21.95" customHeight="1" x14ac:dyDescent="0.25">
      <c r="B58" s="269"/>
      <c r="C58" s="270"/>
      <c r="D58" s="271"/>
      <c r="E58" s="236">
        <f t="shared" si="0"/>
        <v>0</v>
      </c>
      <c r="F58" s="269"/>
      <c r="G58" s="270"/>
      <c r="H58" s="271"/>
      <c r="I58" s="262"/>
      <c r="J58" s="263"/>
      <c r="K58" s="262"/>
      <c r="L58" s="263"/>
      <c r="M58" s="262"/>
      <c r="N58" s="263"/>
      <c r="O58" s="262"/>
      <c r="P58" s="263"/>
      <c r="Q58" s="235" t="b">
        <f t="shared" si="1"/>
        <v>0</v>
      </c>
      <c r="R58" s="262"/>
      <c r="S58" s="263"/>
      <c r="T58" s="262"/>
      <c r="U58" s="263"/>
      <c r="V58" s="262"/>
      <c r="W58" s="265"/>
      <c r="X58" s="265"/>
      <c r="Y58" s="263"/>
      <c r="Z58" s="235">
        <f t="shared" si="2"/>
        <v>0</v>
      </c>
      <c r="AA58" s="262"/>
      <c r="AB58" s="265"/>
      <c r="AC58" s="263"/>
      <c r="AD58" s="235">
        <f t="shared" si="3"/>
        <v>0</v>
      </c>
      <c r="AE58" s="262"/>
      <c r="AF58" s="265"/>
      <c r="AG58" s="263"/>
      <c r="AH58" s="235">
        <f t="shared" si="4"/>
        <v>0</v>
      </c>
      <c r="AI58" s="262"/>
      <c r="AJ58" s="265"/>
      <c r="AK58" s="263"/>
      <c r="AL58" s="235">
        <f t="shared" si="5"/>
        <v>0</v>
      </c>
      <c r="AM58" s="262"/>
      <c r="AN58" s="265"/>
      <c r="AO58" s="263"/>
      <c r="AP58" s="262"/>
      <c r="AQ58" s="263"/>
      <c r="AR58" s="262"/>
      <c r="AS58" s="263"/>
      <c r="AT58" s="262"/>
      <c r="AU58" s="265"/>
      <c r="AV58" s="263"/>
      <c r="AW58" s="262"/>
      <c r="AX58" s="265"/>
      <c r="AY58" s="263"/>
      <c r="AZ58" s="24">
        <f t="shared" si="6"/>
        <v>0</v>
      </c>
    </row>
    <row r="59" spans="2:52" s="24" customFormat="1" ht="21.95" customHeight="1" x14ac:dyDescent="0.25">
      <c r="B59" s="269"/>
      <c r="C59" s="270"/>
      <c r="D59" s="271"/>
      <c r="E59" s="236">
        <f t="shared" si="0"/>
        <v>0</v>
      </c>
      <c r="F59" s="269"/>
      <c r="G59" s="270"/>
      <c r="H59" s="271"/>
      <c r="I59" s="262"/>
      <c r="J59" s="263"/>
      <c r="K59" s="262"/>
      <c r="L59" s="263"/>
      <c r="M59" s="262"/>
      <c r="N59" s="263"/>
      <c r="O59" s="262"/>
      <c r="P59" s="263"/>
      <c r="Q59" s="235" t="b">
        <f t="shared" si="1"/>
        <v>0</v>
      </c>
      <c r="R59" s="262"/>
      <c r="S59" s="263"/>
      <c r="T59" s="262"/>
      <c r="U59" s="263"/>
      <c r="V59" s="262"/>
      <c r="W59" s="265"/>
      <c r="X59" s="265"/>
      <c r="Y59" s="263"/>
      <c r="Z59" s="235">
        <f t="shared" si="2"/>
        <v>0</v>
      </c>
      <c r="AA59" s="262"/>
      <c r="AB59" s="265"/>
      <c r="AC59" s="263"/>
      <c r="AD59" s="235">
        <f t="shared" si="3"/>
        <v>0</v>
      </c>
      <c r="AE59" s="262"/>
      <c r="AF59" s="265"/>
      <c r="AG59" s="263"/>
      <c r="AH59" s="235">
        <f t="shared" si="4"/>
        <v>0</v>
      </c>
      <c r="AI59" s="262"/>
      <c r="AJ59" s="265"/>
      <c r="AK59" s="263"/>
      <c r="AL59" s="235">
        <f t="shared" si="5"/>
        <v>0</v>
      </c>
      <c r="AM59" s="262"/>
      <c r="AN59" s="265"/>
      <c r="AO59" s="263"/>
      <c r="AP59" s="262"/>
      <c r="AQ59" s="263"/>
      <c r="AR59" s="262"/>
      <c r="AS59" s="263"/>
      <c r="AT59" s="262"/>
      <c r="AU59" s="265"/>
      <c r="AV59" s="263"/>
      <c r="AW59" s="262"/>
      <c r="AX59" s="265"/>
      <c r="AY59" s="263"/>
      <c r="AZ59" s="24">
        <f t="shared" si="6"/>
        <v>0</v>
      </c>
    </row>
    <row r="60" spans="2:52" s="24" customFormat="1" ht="21.95" customHeight="1" x14ac:dyDescent="0.25">
      <c r="B60" s="269"/>
      <c r="C60" s="270"/>
      <c r="D60" s="271"/>
      <c r="E60" s="236">
        <f t="shared" si="0"/>
        <v>0</v>
      </c>
      <c r="F60" s="269"/>
      <c r="G60" s="270"/>
      <c r="H60" s="271"/>
      <c r="I60" s="262"/>
      <c r="J60" s="263"/>
      <c r="K60" s="262"/>
      <c r="L60" s="263"/>
      <c r="M60" s="262"/>
      <c r="N60" s="263"/>
      <c r="O60" s="262"/>
      <c r="P60" s="263"/>
      <c r="Q60" s="235" t="b">
        <f t="shared" si="1"/>
        <v>0</v>
      </c>
      <c r="R60" s="262"/>
      <c r="S60" s="263"/>
      <c r="T60" s="262"/>
      <c r="U60" s="263"/>
      <c r="V60" s="262"/>
      <c r="W60" s="265"/>
      <c r="X60" s="265"/>
      <c r="Y60" s="263"/>
      <c r="Z60" s="235">
        <f t="shared" si="2"/>
        <v>0</v>
      </c>
      <c r="AA60" s="262"/>
      <c r="AB60" s="265"/>
      <c r="AC60" s="263"/>
      <c r="AD60" s="235">
        <f t="shared" si="3"/>
        <v>0</v>
      </c>
      <c r="AE60" s="262"/>
      <c r="AF60" s="265"/>
      <c r="AG60" s="263"/>
      <c r="AH60" s="235">
        <f t="shared" si="4"/>
        <v>0</v>
      </c>
      <c r="AI60" s="262"/>
      <c r="AJ60" s="265"/>
      <c r="AK60" s="263"/>
      <c r="AL60" s="235">
        <f t="shared" si="5"/>
        <v>0</v>
      </c>
      <c r="AM60" s="262"/>
      <c r="AN60" s="265"/>
      <c r="AO60" s="263"/>
      <c r="AP60" s="262"/>
      <c r="AQ60" s="263"/>
      <c r="AR60" s="262"/>
      <c r="AS60" s="263"/>
      <c r="AT60" s="262"/>
      <c r="AU60" s="265"/>
      <c r="AV60" s="263"/>
      <c r="AW60" s="262"/>
      <c r="AX60" s="265"/>
      <c r="AY60" s="263"/>
      <c r="AZ60" s="24">
        <f t="shared" si="6"/>
        <v>0</v>
      </c>
    </row>
    <row r="61" spans="2:52" s="24" customFormat="1" ht="21.95" customHeight="1" x14ac:dyDescent="0.25">
      <c r="B61" s="269"/>
      <c r="C61" s="270"/>
      <c r="D61" s="271"/>
      <c r="E61" s="236">
        <f t="shared" si="0"/>
        <v>0</v>
      </c>
      <c r="F61" s="269"/>
      <c r="G61" s="270"/>
      <c r="H61" s="271"/>
      <c r="I61" s="262"/>
      <c r="J61" s="263"/>
      <c r="K61" s="262"/>
      <c r="L61" s="263"/>
      <c r="M61" s="262"/>
      <c r="N61" s="263"/>
      <c r="O61" s="262"/>
      <c r="P61" s="263"/>
      <c r="Q61" s="235" t="b">
        <f t="shared" si="1"/>
        <v>0</v>
      </c>
      <c r="R61" s="262"/>
      <c r="S61" s="263"/>
      <c r="T61" s="262"/>
      <c r="U61" s="263"/>
      <c r="V61" s="262"/>
      <c r="W61" s="265"/>
      <c r="X61" s="265"/>
      <c r="Y61" s="263"/>
      <c r="Z61" s="235">
        <f t="shared" si="2"/>
        <v>0</v>
      </c>
      <c r="AA61" s="262"/>
      <c r="AB61" s="265"/>
      <c r="AC61" s="263"/>
      <c r="AD61" s="235">
        <f t="shared" si="3"/>
        <v>0</v>
      </c>
      <c r="AE61" s="262"/>
      <c r="AF61" s="265"/>
      <c r="AG61" s="263"/>
      <c r="AH61" s="235">
        <f t="shared" si="4"/>
        <v>0</v>
      </c>
      <c r="AI61" s="262"/>
      <c r="AJ61" s="265"/>
      <c r="AK61" s="263"/>
      <c r="AL61" s="235">
        <f t="shared" si="5"/>
        <v>0</v>
      </c>
      <c r="AM61" s="262"/>
      <c r="AN61" s="265"/>
      <c r="AO61" s="263"/>
      <c r="AP61" s="262"/>
      <c r="AQ61" s="263"/>
      <c r="AR61" s="262"/>
      <c r="AS61" s="263"/>
      <c r="AT61" s="262"/>
      <c r="AU61" s="265"/>
      <c r="AV61" s="263"/>
      <c r="AW61" s="262"/>
      <c r="AX61" s="265"/>
      <c r="AY61" s="263"/>
      <c r="AZ61" s="24">
        <f t="shared" si="6"/>
        <v>0</v>
      </c>
    </row>
    <row r="62" spans="2:52" s="24" customFormat="1" ht="21.95" customHeight="1" x14ac:dyDescent="0.25">
      <c r="B62" s="269"/>
      <c r="C62" s="270"/>
      <c r="D62" s="271"/>
      <c r="E62" s="236">
        <f t="shared" si="0"/>
        <v>0</v>
      </c>
      <c r="F62" s="269"/>
      <c r="G62" s="270"/>
      <c r="H62" s="271"/>
      <c r="I62" s="262"/>
      <c r="J62" s="263"/>
      <c r="K62" s="262"/>
      <c r="L62" s="263"/>
      <c r="M62" s="262"/>
      <c r="N62" s="263"/>
      <c r="O62" s="262"/>
      <c r="P62" s="263"/>
      <c r="Q62" s="235" t="b">
        <f t="shared" si="1"/>
        <v>0</v>
      </c>
      <c r="R62" s="262"/>
      <c r="S62" s="263"/>
      <c r="T62" s="262"/>
      <c r="U62" s="263"/>
      <c r="V62" s="262"/>
      <c r="W62" s="265"/>
      <c r="X62" s="265"/>
      <c r="Y62" s="263"/>
      <c r="Z62" s="235">
        <f t="shared" si="2"/>
        <v>0</v>
      </c>
      <c r="AA62" s="262"/>
      <c r="AB62" s="265"/>
      <c r="AC62" s="263"/>
      <c r="AD62" s="235">
        <f t="shared" si="3"/>
        <v>0</v>
      </c>
      <c r="AE62" s="262"/>
      <c r="AF62" s="265"/>
      <c r="AG62" s="263"/>
      <c r="AH62" s="235">
        <f t="shared" si="4"/>
        <v>0</v>
      </c>
      <c r="AI62" s="262"/>
      <c r="AJ62" s="265"/>
      <c r="AK62" s="263"/>
      <c r="AL62" s="235">
        <f t="shared" si="5"/>
        <v>0</v>
      </c>
      <c r="AM62" s="262"/>
      <c r="AN62" s="265"/>
      <c r="AO62" s="263"/>
      <c r="AP62" s="262"/>
      <c r="AQ62" s="263"/>
      <c r="AR62" s="262"/>
      <c r="AS62" s="263"/>
      <c r="AT62" s="262"/>
      <c r="AU62" s="265"/>
      <c r="AV62" s="263"/>
      <c r="AW62" s="262"/>
      <c r="AX62" s="265"/>
      <c r="AY62" s="263"/>
      <c r="AZ62" s="24">
        <f t="shared" si="6"/>
        <v>0</v>
      </c>
    </row>
    <row r="63" spans="2:52" s="24" customFormat="1" ht="21.95" customHeight="1" x14ac:dyDescent="0.25">
      <c r="B63" s="269"/>
      <c r="C63" s="270"/>
      <c r="D63" s="271"/>
      <c r="E63" s="236">
        <f t="shared" si="0"/>
        <v>0</v>
      </c>
      <c r="F63" s="269"/>
      <c r="G63" s="270"/>
      <c r="H63" s="271"/>
      <c r="I63" s="262"/>
      <c r="J63" s="263"/>
      <c r="K63" s="262"/>
      <c r="L63" s="263"/>
      <c r="M63" s="262"/>
      <c r="N63" s="263"/>
      <c r="O63" s="262"/>
      <c r="P63" s="263"/>
      <c r="Q63" s="235" t="b">
        <f t="shared" si="1"/>
        <v>0</v>
      </c>
      <c r="R63" s="262"/>
      <c r="S63" s="263"/>
      <c r="T63" s="262"/>
      <c r="U63" s="263"/>
      <c r="V63" s="262"/>
      <c r="W63" s="265"/>
      <c r="X63" s="265"/>
      <c r="Y63" s="263"/>
      <c r="Z63" s="235">
        <f t="shared" si="2"/>
        <v>0</v>
      </c>
      <c r="AA63" s="262"/>
      <c r="AB63" s="265"/>
      <c r="AC63" s="263"/>
      <c r="AD63" s="235">
        <f t="shared" si="3"/>
        <v>0</v>
      </c>
      <c r="AE63" s="262"/>
      <c r="AF63" s="265"/>
      <c r="AG63" s="263"/>
      <c r="AH63" s="235">
        <f t="shared" si="4"/>
        <v>0</v>
      </c>
      <c r="AI63" s="262"/>
      <c r="AJ63" s="265"/>
      <c r="AK63" s="263"/>
      <c r="AL63" s="235">
        <f t="shared" si="5"/>
        <v>0</v>
      </c>
      <c r="AM63" s="262"/>
      <c r="AN63" s="265"/>
      <c r="AO63" s="263"/>
      <c r="AP63" s="262"/>
      <c r="AQ63" s="263"/>
      <c r="AR63" s="262"/>
      <c r="AS63" s="263"/>
      <c r="AT63" s="262"/>
      <c r="AU63" s="265"/>
      <c r="AV63" s="263"/>
      <c r="AW63" s="262"/>
      <c r="AX63" s="265"/>
      <c r="AY63" s="263"/>
      <c r="AZ63" s="24">
        <f t="shared" si="6"/>
        <v>0</v>
      </c>
    </row>
    <row r="64" spans="2:52" s="24" customFormat="1" ht="21.95" customHeight="1" x14ac:dyDescent="0.25">
      <c r="B64" s="269"/>
      <c r="C64" s="270"/>
      <c r="D64" s="271"/>
      <c r="E64" s="236">
        <f t="shared" si="0"/>
        <v>0</v>
      </c>
      <c r="F64" s="269"/>
      <c r="G64" s="270"/>
      <c r="H64" s="271"/>
      <c r="I64" s="262"/>
      <c r="J64" s="263"/>
      <c r="K64" s="262"/>
      <c r="L64" s="263"/>
      <c r="M64" s="262"/>
      <c r="N64" s="263"/>
      <c r="O64" s="262"/>
      <c r="P64" s="263"/>
      <c r="Q64" s="235" t="b">
        <f t="shared" si="1"/>
        <v>0</v>
      </c>
      <c r="R64" s="262"/>
      <c r="S64" s="263"/>
      <c r="T64" s="262"/>
      <c r="U64" s="263"/>
      <c r="V64" s="262"/>
      <c r="W64" s="265"/>
      <c r="X64" s="265"/>
      <c r="Y64" s="263"/>
      <c r="Z64" s="235">
        <f t="shared" si="2"/>
        <v>0</v>
      </c>
      <c r="AA64" s="262"/>
      <c r="AB64" s="265"/>
      <c r="AC64" s="263"/>
      <c r="AD64" s="235">
        <f t="shared" si="3"/>
        <v>0</v>
      </c>
      <c r="AE64" s="262"/>
      <c r="AF64" s="265"/>
      <c r="AG64" s="263"/>
      <c r="AH64" s="235">
        <f t="shared" si="4"/>
        <v>0</v>
      </c>
      <c r="AI64" s="262"/>
      <c r="AJ64" s="265"/>
      <c r="AK64" s="263"/>
      <c r="AL64" s="235">
        <f t="shared" si="5"/>
        <v>0</v>
      </c>
      <c r="AM64" s="262"/>
      <c r="AN64" s="265"/>
      <c r="AO64" s="263"/>
      <c r="AP64" s="262"/>
      <c r="AQ64" s="263"/>
      <c r="AR64" s="262"/>
      <c r="AS64" s="263"/>
      <c r="AT64" s="262"/>
      <c r="AU64" s="265"/>
      <c r="AV64" s="263"/>
      <c r="AW64" s="262"/>
      <c r="AX64" s="265"/>
      <c r="AY64" s="263"/>
      <c r="AZ64" s="24">
        <f t="shared" si="6"/>
        <v>0</v>
      </c>
    </row>
    <row r="65" spans="2:52" s="24" customFormat="1" ht="21.95" customHeight="1" x14ac:dyDescent="0.25">
      <c r="B65" s="269"/>
      <c r="C65" s="270"/>
      <c r="D65" s="271"/>
      <c r="E65" s="236">
        <f t="shared" si="0"/>
        <v>0</v>
      </c>
      <c r="F65" s="269"/>
      <c r="G65" s="270"/>
      <c r="H65" s="271"/>
      <c r="I65" s="262"/>
      <c r="J65" s="263"/>
      <c r="K65" s="262"/>
      <c r="L65" s="263"/>
      <c r="M65" s="262"/>
      <c r="N65" s="263"/>
      <c r="O65" s="262"/>
      <c r="P65" s="263"/>
      <c r="Q65" s="235" t="b">
        <f t="shared" si="1"/>
        <v>0</v>
      </c>
      <c r="R65" s="262"/>
      <c r="S65" s="263"/>
      <c r="T65" s="262"/>
      <c r="U65" s="263"/>
      <c r="V65" s="262"/>
      <c r="W65" s="265"/>
      <c r="X65" s="265"/>
      <c r="Y65" s="263"/>
      <c r="Z65" s="235">
        <f t="shared" si="2"/>
        <v>0</v>
      </c>
      <c r="AA65" s="262"/>
      <c r="AB65" s="265"/>
      <c r="AC65" s="263"/>
      <c r="AD65" s="235">
        <f t="shared" si="3"/>
        <v>0</v>
      </c>
      <c r="AE65" s="262"/>
      <c r="AF65" s="265"/>
      <c r="AG65" s="263"/>
      <c r="AH65" s="235">
        <f t="shared" si="4"/>
        <v>0</v>
      </c>
      <c r="AI65" s="262"/>
      <c r="AJ65" s="265"/>
      <c r="AK65" s="263"/>
      <c r="AL65" s="235">
        <f t="shared" si="5"/>
        <v>0</v>
      </c>
      <c r="AM65" s="262"/>
      <c r="AN65" s="265"/>
      <c r="AO65" s="263"/>
      <c r="AP65" s="262"/>
      <c r="AQ65" s="263"/>
      <c r="AR65" s="262"/>
      <c r="AS65" s="263"/>
      <c r="AT65" s="262"/>
      <c r="AU65" s="265"/>
      <c r="AV65" s="263"/>
      <c r="AW65" s="262"/>
      <c r="AX65" s="265"/>
      <c r="AY65" s="263"/>
      <c r="AZ65" s="24">
        <f t="shared" si="6"/>
        <v>0</v>
      </c>
    </row>
    <row r="66" spans="2:52" s="24" customFormat="1" ht="21.95" customHeight="1" x14ac:dyDescent="0.25">
      <c r="B66" s="269"/>
      <c r="C66" s="270"/>
      <c r="D66" s="271"/>
      <c r="E66" s="236">
        <f t="shared" si="0"/>
        <v>0</v>
      </c>
      <c r="F66" s="269"/>
      <c r="G66" s="270"/>
      <c r="H66" s="271"/>
      <c r="I66" s="262"/>
      <c r="J66" s="263"/>
      <c r="K66" s="262"/>
      <c r="L66" s="263"/>
      <c r="M66" s="262"/>
      <c r="N66" s="263"/>
      <c r="O66" s="262"/>
      <c r="P66" s="263"/>
      <c r="Q66" s="235" t="b">
        <f t="shared" si="1"/>
        <v>0</v>
      </c>
      <c r="R66" s="262"/>
      <c r="S66" s="263"/>
      <c r="T66" s="262"/>
      <c r="U66" s="263"/>
      <c r="V66" s="262"/>
      <c r="W66" s="265"/>
      <c r="X66" s="265"/>
      <c r="Y66" s="263"/>
      <c r="Z66" s="235">
        <f t="shared" si="2"/>
        <v>0</v>
      </c>
      <c r="AA66" s="262"/>
      <c r="AB66" s="265"/>
      <c r="AC66" s="263"/>
      <c r="AD66" s="235">
        <f t="shared" si="3"/>
        <v>0</v>
      </c>
      <c r="AE66" s="262"/>
      <c r="AF66" s="265"/>
      <c r="AG66" s="263"/>
      <c r="AH66" s="235">
        <f t="shared" si="4"/>
        <v>0</v>
      </c>
      <c r="AI66" s="262"/>
      <c r="AJ66" s="265"/>
      <c r="AK66" s="263"/>
      <c r="AL66" s="235">
        <f t="shared" si="5"/>
        <v>0</v>
      </c>
      <c r="AM66" s="262"/>
      <c r="AN66" s="265"/>
      <c r="AO66" s="263"/>
      <c r="AP66" s="262"/>
      <c r="AQ66" s="263"/>
      <c r="AR66" s="262"/>
      <c r="AS66" s="263"/>
      <c r="AT66" s="262"/>
      <c r="AU66" s="265"/>
      <c r="AV66" s="263"/>
      <c r="AW66" s="262"/>
      <c r="AX66" s="265"/>
      <c r="AY66" s="263"/>
      <c r="AZ66" s="24">
        <f t="shared" si="6"/>
        <v>0</v>
      </c>
    </row>
    <row r="67" spans="2:52" s="24" customFormat="1" ht="21.95" customHeight="1" x14ac:dyDescent="0.25">
      <c r="B67" s="269"/>
      <c r="C67" s="270"/>
      <c r="D67" s="271"/>
      <c r="E67" s="236">
        <f t="shared" si="0"/>
        <v>0</v>
      </c>
      <c r="F67" s="269"/>
      <c r="G67" s="270"/>
      <c r="H67" s="271"/>
      <c r="I67" s="262"/>
      <c r="J67" s="263"/>
      <c r="K67" s="262"/>
      <c r="L67" s="263"/>
      <c r="M67" s="262"/>
      <c r="N67" s="263"/>
      <c r="O67" s="262"/>
      <c r="P67" s="263"/>
      <c r="Q67" s="235" t="b">
        <f t="shared" si="1"/>
        <v>0</v>
      </c>
      <c r="R67" s="262"/>
      <c r="S67" s="263"/>
      <c r="T67" s="262"/>
      <c r="U67" s="263"/>
      <c r="V67" s="262"/>
      <c r="W67" s="265"/>
      <c r="X67" s="265"/>
      <c r="Y67" s="263"/>
      <c r="Z67" s="235">
        <f t="shared" si="2"/>
        <v>0</v>
      </c>
      <c r="AA67" s="262"/>
      <c r="AB67" s="265"/>
      <c r="AC67" s="263"/>
      <c r="AD67" s="235">
        <f t="shared" si="3"/>
        <v>0</v>
      </c>
      <c r="AE67" s="262"/>
      <c r="AF67" s="265"/>
      <c r="AG67" s="263"/>
      <c r="AH67" s="235">
        <f t="shared" si="4"/>
        <v>0</v>
      </c>
      <c r="AI67" s="262"/>
      <c r="AJ67" s="265"/>
      <c r="AK67" s="263"/>
      <c r="AL67" s="235">
        <f t="shared" si="5"/>
        <v>0</v>
      </c>
      <c r="AM67" s="262"/>
      <c r="AN67" s="265"/>
      <c r="AO67" s="263"/>
      <c r="AP67" s="262"/>
      <c r="AQ67" s="263"/>
      <c r="AR67" s="262"/>
      <c r="AS67" s="263"/>
      <c r="AT67" s="262"/>
      <c r="AU67" s="265"/>
      <c r="AV67" s="263"/>
      <c r="AW67" s="262"/>
      <c r="AX67" s="265"/>
      <c r="AY67" s="263"/>
      <c r="AZ67" s="24">
        <f t="shared" si="6"/>
        <v>0</v>
      </c>
    </row>
    <row r="68" spans="2:52" s="24" customFormat="1" ht="21.95" customHeight="1" x14ac:dyDescent="0.25">
      <c r="B68" s="269"/>
      <c r="C68" s="270"/>
      <c r="D68" s="271"/>
      <c r="E68" s="236">
        <f t="shared" si="0"/>
        <v>0</v>
      </c>
      <c r="F68" s="269"/>
      <c r="G68" s="270"/>
      <c r="H68" s="271"/>
      <c r="I68" s="262"/>
      <c r="J68" s="263"/>
      <c r="K68" s="262"/>
      <c r="L68" s="263"/>
      <c r="M68" s="262"/>
      <c r="N68" s="263"/>
      <c r="O68" s="262"/>
      <c r="P68" s="263"/>
      <c r="Q68" s="235" t="b">
        <f t="shared" si="1"/>
        <v>0</v>
      </c>
      <c r="R68" s="262"/>
      <c r="S68" s="263"/>
      <c r="T68" s="262"/>
      <c r="U68" s="263"/>
      <c r="V68" s="262"/>
      <c r="W68" s="265"/>
      <c r="X68" s="265"/>
      <c r="Y68" s="263"/>
      <c r="Z68" s="235">
        <f t="shared" si="2"/>
        <v>0</v>
      </c>
      <c r="AA68" s="262"/>
      <c r="AB68" s="265"/>
      <c r="AC68" s="263"/>
      <c r="AD68" s="235">
        <f t="shared" si="3"/>
        <v>0</v>
      </c>
      <c r="AE68" s="262"/>
      <c r="AF68" s="265"/>
      <c r="AG68" s="263"/>
      <c r="AH68" s="235">
        <f t="shared" si="4"/>
        <v>0</v>
      </c>
      <c r="AI68" s="262"/>
      <c r="AJ68" s="265"/>
      <c r="AK68" s="263"/>
      <c r="AL68" s="235">
        <f t="shared" si="5"/>
        <v>0</v>
      </c>
      <c r="AM68" s="262"/>
      <c r="AN68" s="265"/>
      <c r="AO68" s="263"/>
      <c r="AP68" s="262"/>
      <c r="AQ68" s="263"/>
      <c r="AR68" s="262"/>
      <c r="AS68" s="263"/>
      <c r="AT68" s="262"/>
      <c r="AU68" s="265"/>
      <c r="AV68" s="263"/>
      <c r="AW68" s="262"/>
      <c r="AX68" s="265"/>
      <c r="AY68" s="263"/>
      <c r="AZ68" s="24">
        <f t="shared" si="6"/>
        <v>0</v>
      </c>
    </row>
    <row r="69" spans="2:52" s="24" customFormat="1" ht="21.95" customHeight="1" x14ac:dyDescent="0.25">
      <c r="B69" s="269"/>
      <c r="C69" s="270"/>
      <c r="D69" s="271"/>
      <c r="E69" s="236">
        <f t="shared" si="0"/>
        <v>0</v>
      </c>
      <c r="F69" s="269"/>
      <c r="G69" s="270"/>
      <c r="H69" s="271"/>
      <c r="I69" s="262"/>
      <c r="J69" s="263"/>
      <c r="K69" s="262"/>
      <c r="L69" s="263"/>
      <c r="M69" s="262"/>
      <c r="N69" s="263"/>
      <c r="O69" s="262"/>
      <c r="P69" s="263"/>
      <c r="Q69" s="235" t="b">
        <f t="shared" si="1"/>
        <v>0</v>
      </c>
      <c r="R69" s="262"/>
      <c r="S69" s="263"/>
      <c r="T69" s="262"/>
      <c r="U69" s="263"/>
      <c r="V69" s="262"/>
      <c r="W69" s="265"/>
      <c r="X69" s="265"/>
      <c r="Y69" s="263"/>
      <c r="Z69" s="235">
        <f t="shared" si="2"/>
        <v>0</v>
      </c>
      <c r="AA69" s="262"/>
      <c r="AB69" s="265"/>
      <c r="AC69" s="263"/>
      <c r="AD69" s="235">
        <f t="shared" si="3"/>
        <v>0</v>
      </c>
      <c r="AE69" s="262"/>
      <c r="AF69" s="265"/>
      <c r="AG69" s="263"/>
      <c r="AH69" s="235">
        <f t="shared" si="4"/>
        <v>0</v>
      </c>
      <c r="AI69" s="262"/>
      <c r="AJ69" s="265"/>
      <c r="AK69" s="263"/>
      <c r="AL69" s="235">
        <f t="shared" si="5"/>
        <v>0</v>
      </c>
      <c r="AM69" s="262"/>
      <c r="AN69" s="265"/>
      <c r="AO69" s="263"/>
      <c r="AP69" s="262"/>
      <c r="AQ69" s="263"/>
      <c r="AR69" s="262"/>
      <c r="AS69" s="263"/>
      <c r="AT69" s="262"/>
      <c r="AU69" s="265"/>
      <c r="AV69" s="263"/>
      <c r="AW69" s="262"/>
      <c r="AX69" s="265"/>
      <c r="AY69" s="263"/>
      <c r="AZ69" s="24">
        <f t="shared" si="6"/>
        <v>0</v>
      </c>
    </row>
    <row r="70" spans="2:52" s="24" customFormat="1" ht="21.95" customHeight="1" x14ac:dyDescent="0.25">
      <c r="B70" s="269"/>
      <c r="C70" s="270"/>
      <c r="D70" s="271"/>
      <c r="E70" s="236">
        <f t="shared" si="0"/>
        <v>0</v>
      </c>
      <c r="F70" s="269"/>
      <c r="G70" s="270"/>
      <c r="H70" s="271"/>
      <c r="I70" s="262"/>
      <c r="J70" s="263"/>
      <c r="K70" s="262"/>
      <c r="L70" s="263"/>
      <c r="M70" s="262"/>
      <c r="N70" s="263"/>
      <c r="O70" s="262"/>
      <c r="P70" s="263"/>
      <c r="Q70" s="235" t="b">
        <f t="shared" si="1"/>
        <v>0</v>
      </c>
      <c r="R70" s="262"/>
      <c r="S70" s="263"/>
      <c r="T70" s="262"/>
      <c r="U70" s="263"/>
      <c r="V70" s="262"/>
      <c r="W70" s="265"/>
      <c r="X70" s="265"/>
      <c r="Y70" s="263"/>
      <c r="Z70" s="235">
        <f t="shared" si="2"/>
        <v>0</v>
      </c>
      <c r="AA70" s="262"/>
      <c r="AB70" s="265"/>
      <c r="AC70" s="263"/>
      <c r="AD70" s="235">
        <f t="shared" si="3"/>
        <v>0</v>
      </c>
      <c r="AE70" s="262"/>
      <c r="AF70" s="265"/>
      <c r="AG70" s="263"/>
      <c r="AH70" s="235">
        <f t="shared" si="4"/>
        <v>0</v>
      </c>
      <c r="AI70" s="262"/>
      <c r="AJ70" s="265"/>
      <c r="AK70" s="263"/>
      <c r="AL70" s="235">
        <f t="shared" si="5"/>
        <v>0</v>
      </c>
      <c r="AM70" s="262"/>
      <c r="AN70" s="265"/>
      <c r="AO70" s="263"/>
      <c r="AP70" s="262"/>
      <c r="AQ70" s="263"/>
      <c r="AR70" s="262"/>
      <c r="AS70" s="263"/>
      <c r="AT70" s="262"/>
      <c r="AU70" s="265"/>
      <c r="AV70" s="263"/>
      <c r="AW70" s="262"/>
      <c r="AX70" s="265"/>
      <c r="AY70" s="263"/>
      <c r="AZ70" s="24">
        <f t="shared" si="6"/>
        <v>0</v>
      </c>
    </row>
    <row r="71" spans="2:52" s="24" customFormat="1" ht="21.95" customHeight="1" x14ac:dyDescent="0.25">
      <c r="B71" s="269"/>
      <c r="C71" s="270"/>
      <c r="D71" s="271"/>
      <c r="E71" s="236">
        <f t="shared" si="0"/>
        <v>0</v>
      </c>
      <c r="F71" s="269"/>
      <c r="G71" s="270"/>
      <c r="H71" s="271"/>
      <c r="I71" s="262"/>
      <c r="J71" s="263"/>
      <c r="K71" s="262"/>
      <c r="L71" s="263"/>
      <c r="M71" s="262"/>
      <c r="N71" s="263"/>
      <c r="O71" s="262"/>
      <c r="P71" s="263"/>
      <c r="Q71" s="235" t="b">
        <f t="shared" si="1"/>
        <v>0</v>
      </c>
      <c r="R71" s="262"/>
      <c r="S71" s="263"/>
      <c r="T71" s="262"/>
      <c r="U71" s="263"/>
      <c r="V71" s="262"/>
      <c r="W71" s="265"/>
      <c r="X71" s="265"/>
      <c r="Y71" s="263"/>
      <c r="Z71" s="235">
        <f t="shared" si="2"/>
        <v>0</v>
      </c>
      <c r="AA71" s="262"/>
      <c r="AB71" s="265"/>
      <c r="AC71" s="263"/>
      <c r="AD71" s="235">
        <f t="shared" si="3"/>
        <v>0</v>
      </c>
      <c r="AE71" s="262"/>
      <c r="AF71" s="265"/>
      <c r="AG71" s="263"/>
      <c r="AH71" s="235">
        <f t="shared" si="4"/>
        <v>0</v>
      </c>
      <c r="AI71" s="262"/>
      <c r="AJ71" s="265"/>
      <c r="AK71" s="263"/>
      <c r="AL71" s="235">
        <f t="shared" si="5"/>
        <v>0</v>
      </c>
      <c r="AM71" s="262"/>
      <c r="AN71" s="265"/>
      <c r="AO71" s="263"/>
      <c r="AP71" s="262"/>
      <c r="AQ71" s="263"/>
      <c r="AR71" s="262"/>
      <c r="AS71" s="263"/>
      <c r="AT71" s="262"/>
      <c r="AU71" s="265"/>
      <c r="AV71" s="263"/>
      <c r="AW71" s="262"/>
      <c r="AX71" s="265"/>
      <c r="AY71" s="263"/>
      <c r="AZ71" s="24">
        <f t="shared" si="6"/>
        <v>0</v>
      </c>
    </row>
    <row r="72" spans="2:52" s="24" customFormat="1" ht="21.95" customHeight="1" x14ac:dyDescent="0.25">
      <c r="B72" s="269"/>
      <c r="C72" s="270"/>
      <c r="D72" s="271"/>
      <c r="E72" s="236">
        <f t="shared" si="0"/>
        <v>0</v>
      </c>
      <c r="F72" s="269"/>
      <c r="G72" s="270"/>
      <c r="H72" s="271"/>
      <c r="I72" s="262"/>
      <c r="J72" s="263"/>
      <c r="K72" s="262"/>
      <c r="L72" s="263"/>
      <c r="M72" s="262"/>
      <c r="N72" s="263"/>
      <c r="O72" s="262"/>
      <c r="P72" s="263"/>
      <c r="Q72" s="235" t="b">
        <f t="shared" si="1"/>
        <v>0</v>
      </c>
      <c r="R72" s="262"/>
      <c r="S72" s="263"/>
      <c r="T72" s="262"/>
      <c r="U72" s="263"/>
      <c r="V72" s="262"/>
      <c r="W72" s="265"/>
      <c r="X72" s="265"/>
      <c r="Y72" s="263"/>
      <c r="Z72" s="235">
        <f t="shared" si="2"/>
        <v>0</v>
      </c>
      <c r="AA72" s="262"/>
      <c r="AB72" s="265"/>
      <c r="AC72" s="263"/>
      <c r="AD72" s="235">
        <f t="shared" si="3"/>
        <v>0</v>
      </c>
      <c r="AE72" s="262"/>
      <c r="AF72" s="265"/>
      <c r="AG72" s="263"/>
      <c r="AH72" s="235">
        <f t="shared" si="4"/>
        <v>0</v>
      </c>
      <c r="AI72" s="262"/>
      <c r="AJ72" s="265"/>
      <c r="AK72" s="263"/>
      <c r="AL72" s="235">
        <f t="shared" si="5"/>
        <v>0</v>
      </c>
      <c r="AM72" s="262"/>
      <c r="AN72" s="265"/>
      <c r="AO72" s="263"/>
      <c r="AP72" s="262"/>
      <c r="AQ72" s="263"/>
      <c r="AR72" s="262"/>
      <c r="AS72" s="263"/>
      <c r="AT72" s="262"/>
      <c r="AU72" s="265"/>
      <c r="AV72" s="263"/>
      <c r="AW72" s="262"/>
      <c r="AX72" s="265"/>
      <c r="AY72" s="263"/>
      <c r="AZ72" s="24">
        <f t="shared" si="6"/>
        <v>0</v>
      </c>
    </row>
    <row r="73" spans="2:52" s="24" customFormat="1" ht="21.95" customHeight="1" x14ac:dyDescent="0.25">
      <c r="B73" s="269"/>
      <c r="C73" s="270"/>
      <c r="D73" s="271"/>
      <c r="E73" s="236">
        <f t="shared" si="0"/>
        <v>0</v>
      </c>
      <c r="F73" s="269"/>
      <c r="G73" s="270"/>
      <c r="H73" s="271"/>
      <c r="I73" s="262"/>
      <c r="J73" s="263"/>
      <c r="K73" s="262"/>
      <c r="L73" s="263"/>
      <c r="M73" s="262"/>
      <c r="N73" s="263"/>
      <c r="O73" s="262"/>
      <c r="P73" s="263"/>
      <c r="Q73" s="235" t="b">
        <f t="shared" ref="Q73:Q136" si="7">IF(O73="Health Facility",3,IF(O73="Outreach Session",1,IF(O73="Mobile Clinic",2)))</f>
        <v>0</v>
      </c>
      <c r="R73" s="262"/>
      <c r="S73" s="263"/>
      <c r="T73" s="262"/>
      <c r="U73" s="263"/>
      <c r="V73" s="262"/>
      <c r="W73" s="265"/>
      <c r="X73" s="265"/>
      <c r="Y73" s="263"/>
      <c r="Z73" s="235">
        <f t="shared" si="2"/>
        <v>0</v>
      </c>
      <c r="AA73" s="262"/>
      <c r="AB73" s="265"/>
      <c r="AC73" s="263"/>
      <c r="AD73" s="235">
        <f t="shared" si="3"/>
        <v>0</v>
      </c>
      <c r="AE73" s="262"/>
      <c r="AF73" s="265"/>
      <c r="AG73" s="263"/>
      <c r="AH73" s="235">
        <f t="shared" si="4"/>
        <v>0</v>
      </c>
      <c r="AI73" s="262"/>
      <c r="AJ73" s="265"/>
      <c r="AK73" s="263"/>
      <c r="AL73" s="235">
        <f t="shared" si="5"/>
        <v>0</v>
      </c>
      <c r="AM73" s="262"/>
      <c r="AN73" s="265"/>
      <c r="AO73" s="263"/>
      <c r="AP73" s="262"/>
      <c r="AQ73" s="263"/>
      <c r="AR73" s="262"/>
      <c r="AS73" s="263"/>
      <c r="AT73" s="262"/>
      <c r="AU73" s="265"/>
      <c r="AV73" s="263"/>
      <c r="AW73" s="262"/>
      <c r="AX73" s="265"/>
      <c r="AY73" s="263"/>
      <c r="AZ73" s="24">
        <f t="shared" si="6"/>
        <v>0</v>
      </c>
    </row>
    <row r="74" spans="2:52" s="24" customFormat="1" ht="21.95" customHeight="1" x14ac:dyDescent="0.25">
      <c r="B74" s="269"/>
      <c r="C74" s="270"/>
      <c r="D74" s="271"/>
      <c r="E74" s="236">
        <f t="shared" ref="E74:E137" si="8">IF(F74="",0,1)</f>
        <v>0</v>
      </c>
      <c r="F74" s="269"/>
      <c r="G74" s="270"/>
      <c r="H74" s="271"/>
      <c r="I74" s="262"/>
      <c r="J74" s="263"/>
      <c r="K74" s="262"/>
      <c r="L74" s="263"/>
      <c r="M74" s="262"/>
      <c r="N74" s="263"/>
      <c r="O74" s="262"/>
      <c r="P74" s="263"/>
      <c r="Q74" s="235" t="b">
        <f t="shared" si="7"/>
        <v>0</v>
      </c>
      <c r="R74" s="262"/>
      <c r="S74" s="263"/>
      <c r="T74" s="262"/>
      <c r="U74" s="263"/>
      <c r="V74" s="262"/>
      <c r="W74" s="265"/>
      <c r="X74" s="265"/>
      <c r="Y74" s="263"/>
      <c r="Z74" s="235">
        <f t="shared" ref="Z74:Z137" si="9">IF(AA74="",0,1)</f>
        <v>0</v>
      </c>
      <c r="AA74" s="262"/>
      <c r="AB74" s="265"/>
      <c r="AC74" s="263"/>
      <c r="AD74" s="235">
        <f t="shared" ref="AD74:AD137" si="10">IF(AE74="",0,1)</f>
        <v>0</v>
      </c>
      <c r="AE74" s="262"/>
      <c r="AF74" s="265"/>
      <c r="AG74" s="263"/>
      <c r="AH74" s="235">
        <f t="shared" ref="AH74:AH137" si="11">IF(AI74="",0,1)</f>
        <v>0</v>
      </c>
      <c r="AI74" s="262"/>
      <c r="AJ74" s="265"/>
      <c r="AK74" s="263"/>
      <c r="AL74" s="235">
        <f t="shared" ref="AL74:AL137" si="12">IF(AM74="",0,1)</f>
        <v>0</v>
      </c>
      <c r="AM74" s="262"/>
      <c r="AN74" s="265"/>
      <c r="AO74" s="263"/>
      <c r="AP74" s="262"/>
      <c r="AQ74" s="263"/>
      <c r="AR74" s="262"/>
      <c r="AS74" s="263"/>
      <c r="AT74" s="262"/>
      <c r="AU74" s="265"/>
      <c r="AV74" s="263"/>
      <c r="AW74" s="262"/>
      <c r="AX74" s="265"/>
      <c r="AY74" s="263"/>
      <c r="AZ74" s="24">
        <f t="shared" ref="AZ74:AZ137" si="13">IF(AW74="YES",1,0)</f>
        <v>0</v>
      </c>
    </row>
    <row r="75" spans="2:52" s="24" customFormat="1" ht="21.95" customHeight="1" x14ac:dyDescent="0.25">
      <c r="B75" s="269"/>
      <c r="C75" s="270"/>
      <c r="D75" s="271"/>
      <c r="E75" s="236">
        <f t="shared" si="8"/>
        <v>0</v>
      </c>
      <c r="F75" s="269"/>
      <c r="G75" s="270"/>
      <c r="H75" s="271"/>
      <c r="I75" s="262"/>
      <c r="J75" s="263"/>
      <c r="K75" s="262"/>
      <c r="L75" s="263"/>
      <c r="M75" s="262"/>
      <c r="N75" s="263"/>
      <c r="O75" s="262"/>
      <c r="P75" s="263"/>
      <c r="Q75" s="235" t="b">
        <f t="shared" si="7"/>
        <v>0</v>
      </c>
      <c r="R75" s="262"/>
      <c r="S75" s="263"/>
      <c r="T75" s="262"/>
      <c r="U75" s="263"/>
      <c r="V75" s="262"/>
      <c r="W75" s="265"/>
      <c r="X75" s="265"/>
      <c r="Y75" s="263"/>
      <c r="Z75" s="235">
        <f t="shared" si="9"/>
        <v>0</v>
      </c>
      <c r="AA75" s="262"/>
      <c r="AB75" s="265"/>
      <c r="AC75" s="263"/>
      <c r="AD75" s="235">
        <f t="shared" si="10"/>
        <v>0</v>
      </c>
      <c r="AE75" s="262"/>
      <c r="AF75" s="265"/>
      <c r="AG75" s="263"/>
      <c r="AH75" s="235">
        <f t="shared" si="11"/>
        <v>0</v>
      </c>
      <c r="AI75" s="262"/>
      <c r="AJ75" s="265"/>
      <c r="AK75" s="263"/>
      <c r="AL75" s="235">
        <f t="shared" si="12"/>
        <v>0</v>
      </c>
      <c r="AM75" s="262"/>
      <c r="AN75" s="265"/>
      <c r="AO75" s="263"/>
      <c r="AP75" s="262"/>
      <c r="AQ75" s="263"/>
      <c r="AR75" s="262"/>
      <c r="AS75" s="263"/>
      <c r="AT75" s="262"/>
      <c r="AU75" s="265"/>
      <c r="AV75" s="263"/>
      <c r="AW75" s="262"/>
      <c r="AX75" s="265"/>
      <c r="AY75" s="263"/>
      <c r="AZ75" s="24">
        <f t="shared" si="13"/>
        <v>0</v>
      </c>
    </row>
    <row r="76" spans="2:52" s="24" customFormat="1" ht="21.95" customHeight="1" x14ac:dyDescent="0.25">
      <c r="B76" s="269"/>
      <c r="C76" s="270"/>
      <c r="D76" s="271"/>
      <c r="E76" s="236">
        <f t="shared" si="8"/>
        <v>0</v>
      </c>
      <c r="F76" s="269"/>
      <c r="G76" s="270"/>
      <c r="H76" s="271"/>
      <c r="I76" s="262"/>
      <c r="J76" s="263"/>
      <c r="K76" s="262"/>
      <c r="L76" s="263"/>
      <c r="M76" s="262"/>
      <c r="N76" s="263"/>
      <c r="O76" s="262"/>
      <c r="P76" s="263"/>
      <c r="Q76" s="235" t="b">
        <f t="shared" si="7"/>
        <v>0</v>
      </c>
      <c r="R76" s="262"/>
      <c r="S76" s="263"/>
      <c r="T76" s="262"/>
      <c r="U76" s="263"/>
      <c r="V76" s="262"/>
      <c r="W76" s="265"/>
      <c r="X76" s="265"/>
      <c r="Y76" s="263"/>
      <c r="Z76" s="235">
        <f t="shared" si="9"/>
        <v>0</v>
      </c>
      <c r="AA76" s="262"/>
      <c r="AB76" s="265"/>
      <c r="AC76" s="263"/>
      <c r="AD76" s="235">
        <f t="shared" si="10"/>
        <v>0</v>
      </c>
      <c r="AE76" s="262"/>
      <c r="AF76" s="265"/>
      <c r="AG76" s="263"/>
      <c r="AH76" s="235">
        <f t="shared" si="11"/>
        <v>0</v>
      </c>
      <c r="AI76" s="262"/>
      <c r="AJ76" s="265"/>
      <c r="AK76" s="263"/>
      <c r="AL76" s="235">
        <f t="shared" si="12"/>
        <v>0</v>
      </c>
      <c r="AM76" s="262"/>
      <c r="AN76" s="265"/>
      <c r="AO76" s="263"/>
      <c r="AP76" s="262"/>
      <c r="AQ76" s="263"/>
      <c r="AR76" s="262"/>
      <c r="AS76" s="263"/>
      <c r="AT76" s="262"/>
      <c r="AU76" s="265"/>
      <c r="AV76" s="263"/>
      <c r="AW76" s="262"/>
      <c r="AX76" s="265"/>
      <c r="AY76" s="263"/>
      <c r="AZ76" s="24">
        <f t="shared" si="13"/>
        <v>0</v>
      </c>
    </row>
    <row r="77" spans="2:52" s="24" customFormat="1" ht="21.95" customHeight="1" x14ac:dyDescent="0.25">
      <c r="B77" s="269"/>
      <c r="C77" s="270"/>
      <c r="D77" s="271"/>
      <c r="E77" s="236">
        <f t="shared" si="8"/>
        <v>0</v>
      </c>
      <c r="F77" s="269"/>
      <c r="G77" s="270"/>
      <c r="H77" s="271"/>
      <c r="I77" s="262"/>
      <c r="J77" s="263"/>
      <c r="K77" s="262"/>
      <c r="L77" s="263"/>
      <c r="M77" s="262"/>
      <c r="N77" s="263"/>
      <c r="O77" s="262"/>
      <c r="P77" s="263"/>
      <c r="Q77" s="235" t="b">
        <f t="shared" si="7"/>
        <v>0</v>
      </c>
      <c r="R77" s="262"/>
      <c r="S77" s="263"/>
      <c r="T77" s="262"/>
      <c r="U77" s="263"/>
      <c r="V77" s="262"/>
      <c r="W77" s="265"/>
      <c r="X77" s="265"/>
      <c r="Y77" s="263"/>
      <c r="Z77" s="235">
        <f t="shared" si="9"/>
        <v>0</v>
      </c>
      <c r="AA77" s="262"/>
      <c r="AB77" s="265"/>
      <c r="AC77" s="263"/>
      <c r="AD77" s="235">
        <f t="shared" si="10"/>
        <v>0</v>
      </c>
      <c r="AE77" s="262"/>
      <c r="AF77" s="265"/>
      <c r="AG77" s="263"/>
      <c r="AH77" s="235">
        <f t="shared" si="11"/>
        <v>0</v>
      </c>
      <c r="AI77" s="262"/>
      <c r="AJ77" s="265"/>
      <c r="AK77" s="263"/>
      <c r="AL77" s="235">
        <f t="shared" si="12"/>
        <v>0</v>
      </c>
      <c r="AM77" s="262"/>
      <c r="AN77" s="265"/>
      <c r="AO77" s="263"/>
      <c r="AP77" s="262"/>
      <c r="AQ77" s="263"/>
      <c r="AR77" s="262"/>
      <c r="AS77" s="263"/>
      <c r="AT77" s="262"/>
      <c r="AU77" s="265"/>
      <c r="AV77" s="263"/>
      <c r="AW77" s="262"/>
      <c r="AX77" s="265"/>
      <c r="AY77" s="263"/>
      <c r="AZ77" s="24">
        <f t="shared" si="13"/>
        <v>0</v>
      </c>
    </row>
    <row r="78" spans="2:52" s="24" customFormat="1" ht="21.95" customHeight="1" x14ac:dyDescent="0.25">
      <c r="B78" s="269"/>
      <c r="C78" s="270"/>
      <c r="D78" s="271"/>
      <c r="E78" s="236">
        <f t="shared" si="8"/>
        <v>0</v>
      </c>
      <c r="F78" s="269"/>
      <c r="G78" s="270"/>
      <c r="H78" s="271"/>
      <c r="I78" s="262"/>
      <c r="J78" s="263"/>
      <c r="K78" s="262"/>
      <c r="L78" s="263"/>
      <c r="M78" s="262"/>
      <c r="N78" s="263"/>
      <c r="O78" s="262"/>
      <c r="P78" s="263"/>
      <c r="Q78" s="235" t="b">
        <f t="shared" si="7"/>
        <v>0</v>
      </c>
      <c r="R78" s="262"/>
      <c r="S78" s="263"/>
      <c r="T78" s="262"/>
      <c r="U78" s="263"/>
      <c r="V78" s="262"/>
      <c r="W78" s="265"/>
      <c r="X78" s="265"/>
      <c r="Y78" s="263"/>
      <c r="Z78" s="235">
        <f t="shared" si="9"/>
        <v>0</v>
      </c>
      <c r="AA78" s="262"/>
      <c r="AB78" s="265"/>
      <c r="AC78" s="263"/>
      <c r="AD78" s="235">
        <f t="shared" si="10"/>
        <v>0</v>
      </c>
      <c r="AE78" s="262"/>
      <c r="AF78" s="265"/>
      <c r="AG78" s="263"/>
      <c r="AH78" s="235">
        <f t="shared" si="11"/>
        <v>0</v>
      </c>
      <c r="AI78" s="262"/>
      <c r="AJ78" s="265"/>
      <c r="AK78" s="263"/>
      <c r="AL78" s="235">
        <f t="shared" si="12"/>
        <v>0</v>
      </c>
      <c r="AM78" s="262"/>
      <c r="AN78" s="265"/>
      <c r="AO78" s="263"/>
      <c r="AP78" s="262"/>
      <c r="AQ78" s="263"/>
      <c r="AR78" s="262"/>
      <c r="AS78" s="263"/>
      <c r="AT78" s="262"/>
      <c r="AU78" s="265"/>
      <c r="AV78" s="263"/>
      <c r="AW78" s="262"/>
      <c r="AX78" s="265"/>
      <c r="AY78" s="263"/>
      <c r="AZ78" s="24">
        <f t="shared" si="13"/>
        <v>0</v>
      </c>
    </row>
    <row r="79" spans="2:52" s="24" customFormat="1" ht="21.95" customHeight="1" x14ac:dyDescent="0.25">
      <c r="B79" s="269"/>
      <c r="C79" s="270"/>
      <c r="D79" s="271"/>
      <c r="E79" s="236">
        <f t="shared" si="8"/>
        <v>0</v>
      </c>
      <c r="F79" s="269"/>
      <c r="G79" s="270"/>
      <c r="H79" s="271"/>
      <c r="I79" s="262"/>
      <c r="J79" s="263"/>
      <c r="K79" s="262"/>
      <c r="L79" s="263"/>
      <c r="M79" s="262"/>
      <c r="N79" s="263"/>
      <c r="O79" s="262"/>
      <c r="P79" s="263"/>
      <c r="Q79" s="235" t="b">
        <f t="shared" si="7"/>
        <v>0</v>
      </c>
      <c r="R79" s="262"/>
      <c r="S79" s="263"/>
      <c r="T79" s="262"/>
      <c r="U79" s="263"/>
      <c r="V79" s="262"/>
      <c r="W79" s="265"/>
      <c r="X79" s="265"/>
      <c r="Y79" s="263"/>
      <c r="Z79" s="235">
        <f t="shared" si="9"/>
        <v>0</v>
      </c>
      <c r="AA79" s="262"/>
      <c r="AB79" s="265"/>
      <c r="AC79" s="263"/>
      <c r="AD79" s="235">
        <f t="shared" si="10"/>
        <v>0</v>
      </c>
      <c r="AE79" s="262"/>
      <c r="AF79" s="265"/>
      <c r="AG79" s="263"/>
      <c r="AH79" s="235">
        <f t="shared" si="11"/>
        <v>0</v>
      </c>
      <c r="AI79" s="262"/>
      <c r="AJ79" s="265"/>
      <c r="AK79" s="263"/>
      <c r="AL79" s="235">
        <f t="shared" si="12"/>
        <v>0</v>
      </c>
      <c r="AM79" s="262"/>
      <c r="AN79" s="265"/>
      <c r="AO79" s="263"/>
      <c r="AP79" s="262"/>
      <c r="AQ79" s="263"/>
      <c r="AR79" s="262"/>
      <c r="AS79" s="263"/>
      <c r="AT79" s="262"/>
      <c r="AU79" s="265"/>
      <c r="AV79" s="263"/>
      <c r="AW79" s="262"/>
      <c r="AX79" s="265"/>
      <c r="AY79" s="263"/>
      <c r="AZ79" s="24">
        <f t="shared" si="13"/>
        <v>0</v>
      </c>
    </row>
    <row r="80" spans="2:52" s="24" customFormat="1" ht="21.95" customHeight="1" x14ac:dyDescent="0.25">
      <c r="B80" s="269"/>
      <c r="C80" s="270"/>
      <c r="D80" s="271"/>
      <c r="E80" s="236">
        <f t="shared" si="8"/>
        <v>0</v>
      </c>
      <c r="F80" s="269"/>
      <c r="G80" s="270"/>
      <c r="H80" s="271"/>
      <c r="I80" s="262"/>
      <c r="J80" s="263"/>
      <c r="K80" s="262"/>
      <c r="L80" s="263"/>
      <c r="M80" s="262"/>
      <c r="N80" s="263"/>
      <c r="O80" s="262"/>
      <c r="P80" s="263"/>
      <c r="Q80" s="235" t="b">
        <f t="shared" si="7"/>
        <v>0</v>
      </c>
      <c r="R80" s="262"/>
      <c r="S80" s="263"/>
      <c r="T80" s="262"/>
      <c r="U80" s="263"/>
      <c r="V80" s="262"/>
      <c r="W80" s="265"/>
      <c r="X80" s="265"/>
      <c r="Y80" s="263"/>
      <c r="Z80" s="235">
        <f t="shared" si="9"/>
        <v>0</v>
      </c>
      <c r="AA80" s="262"/>
      <c r="AB80" s="265"/>
      <c r="AC80" s="263"/>
      <c r="AD80" s="235">
        <f t="shared" si="10"/>
        <v>0</v>
      </c>
      <c r="AE80" s="262"/>
      <c r="AF80" s="265"/>
      <c r="AG80" s="263"/>
      <c r="AH80" s="235">
        <f t="shared" si="11"/>
        <v>0</v>
      </c>
      <c r="AI80" s="262"/>
      <c r="AJ80" s="265"/>
      <c r="AK80" s="263"/>
      <c r="AL80" s="235">
        <f t="shared" si="12"/>
        <v>0</v>
      </c>
      <c r="AM80" s="262"/>
      <c r="AN80" s="265"/>
      <c r="AO80" s="263"/>
      <c r="AP80" s="262"/>
      <c r="AQ80" s="263"/>
      <c r="AR80" s="262"/>
      <c r="AS80" s="263"/>
      <c r="AT80" s="262"/>
      <c r="AU80" s="265"/>
      <c r="AV80" s="263"/>
      <c r="AW80" s="262"/>
      <c r="AX80" s="265"/>
      <c r="AY80" s="263"/>
      <c r="AZ80" s="24">
        <f t="shared" si="13"/>
        <v>0</v>
      </c>
    </row>
    <row r="81" spans="2:52" s="24" customFormat="1" ht="21.95" customHeight="1" x14ac:dyDescent="0.25">
      <c r="B81" s="269"/>
      <c r="C81" s="270"/>
      <c r="D81" s="271"/>
      <c r="E81" s="236">
        <f t="shared" si="8"/>
        <v>0</v>
      </c>
      <c r="F81" s="269"/>
      <c r="G81" s="270"/>
      <c r="H81" s="271"/>
      <c r="I81" s="262"/>
      <c r="J81" s="263"/>
      <c r="K81" s="262"/>
      <c r="L81" s="263"/>
      <c r="M81" s="262"/>
      <c r="N81" s="263"/>
      <c r="O81" s="262"/>
      <c r="P81" s="263"/>
      <c r="Q81" s="235" t="b">
        <f t="shared" si="7"/>
        <v>0</v>
      </c>
      <c r="R81" s="262"/>
      <c r="S81" s="263"/>
      <c r="T81" s="262"/>
      <c r="U81" s="263"/>
      <c r="V81" s="262"/>
      <c r="W81" s="265"/>
      <c r="X81" s="265"/>
      <c r="Y81" s="263"/>
      <c r="Z81" s="235">
        <f t="shared" si="9"/>
        <v>0</v>
      </c>
      <c r="AA81" s="262"/>
      <c r="AB81" s="265"/>
      <c r="AC81" s="263"/>
      <c r="AD81" s="235">
        <f t="shared" si="10"/>
        <v>0</v>
      </c>
      <c r="AE81" s="262"/>
      <c r="AF81" s="265"/>
      <c r="AG81" s="263"/>
      <c r="AH81" s="235">
        <f t="shared" si="11"/>
        <v>0</v>
      </c>
      <c r="AI81" s="262"/>
      <c r="AJ81" s="265"/>
      <c r="AK81" s="263"/>
      <c r="AL81" s="235">
        <f t="shared" si="12"/>
        <v>0</v>
      </c>
      <c r="AM81" s="262"/>
      <c r="AN81" s="265"/>
      <c r="AO81" s="263"/>
      <c r="AP81" s="262"/>
      <c r="AQ81" s="263"/>
      <c r="AR81" s="262"/>
      <c r="AS81" s="263"/>
      <c r="AT81" s="262"/>
      <c r="AU81" s="265"/>
      <c r="AV81" s="263"/>
      <c r="AW81" s="262"/>
      <c r="AX81" s="265"/>
      <c r="AY81" s="263"/>
      <c r="AZ81" s="24">
        <f t="shared" si="13"/>
        <v>0</v>
      </c>
    </row>
    <row r="82" spans="2:52" s="24" customFormat="1" ht="21.95" customHeight="1" x14ac:dyDescent="0.25">
      <c r="B82" s="269"/>
      <c r="C82" s="270"/>
      <c r="D82" s="271"/>
      <c r="E82" s="236">
        <f t="shared" si="8"/>
        <v>0</v>
      </c>
      <c r="F82" s="269"/>
      <c r="G82" s="270"/>
      <c r="H82" s="271"/>
      <c r="I82" s="262"/>
      <c r="J82" s="263"/>
      <c r="K82" s="262"/>
      <c r="L82" s="263"/>
      <c r="M82" s="262"/>
      <c r="N82" s="263"/>
      <c r="O82" s="262"/>
      <c r="P82" s="263"/>
      <c r="Q82" s="235" t="b">
        <f t="shared" si="7"/>
        <v>0</v>
      </c>
      <c r="R82" s="262"/>
      <c r="S82" s="263"/>
      <c r="T82" s="262"/>
      <c r="U82" s="263"/>
      <c r="V82" s="262"/>
      <c r="W82" s="265"/>
      <c r="X82" s="265"/>
      <c r="Y82" s="263"/>
      <c r="Z82" s="235">
        <f t="shared" si="9"/>
        <v>0</v>
      </c>
      <c r="AA82" s="262"/>
      <c r="AB82" s="265"/>
      <c r="AC82" s="263"/>
      <c r="AD82" s="235">
        <f t="shared" si="10"/>
        <v>0</v>
      </c>
      <c r="AE82" s="262"/>
      <c r="AF82" s="265"/>
      <c r="AG82" s="263"/>
      <c r="AH82" s="235">
        <f t="shared" si="11"/>
        <v>0</v>
      </c>
      <c r="AI82" s="262"/>
      <c r="AJ82" s="265"/>
      <c r="AK82" s="263"/>
      <c r="AL82" s="235">
        <f t="shared" si="12"/>
        <v>0</v>
      </c>
      <c r="AM82" s="262"/>
      <c r="AN82" s="265"/>
      <c r="AO82" s="263"/>
      <c r="AP82" s="262"/>
      <c r="AQ82" s="263"/>
      <c r="AR82" s="262"/>
      <c r="AS82" s="263"/>
      <c r="AT82" s="262"/>
      <c r="AU82" s="265"/>
      <c r="AV82" s="263"/>
      <c r="AW82" s="262"/>
      <c r="AX82" s="265"/>
      <c r="AY82" s="263"/>
      <c r="AZ82" s="24">
        <f t="shared" si="13"/>
        <v>0</v>
      </c>
    </row>
    <row r="83" spans="2:52" s="24" customFormat="1" ht="21.95" customHeight="1" x14ac:dyDescent="0.25">
      <c r="B83" s="269"/>
      <c r="C83" s="270"/>
      <c r="D83" s="271"/>
      <c r="E83" s="236">
        <f t="shared" si="8"/>
        <v>0</v>
      </c>
      <c r="F83" s="269"/>
      <c r="G83" s="270"/>
      <c r="H83" s="271"/>
      <c r="I83" s="262"/>
      <c r="J83" s="263"/>
      <c r="K83" s="262"/>
      <c r="L83" s="263"/>
      <c r="M83" s="262"/>
      <c r="N83" s="263"/>
      <c r="O83" s="262"/>
      <c r="P83" s="263"/>
      <c r="Q83" s="235" t="b">
        <f t="shared" si="7"/>
        <v>0</v>
      </c>
      <c r="R83" s="262"/>
      <c r="S83" s="263"/>
      <c r="T83" s="262"/>
      <c r="U83" s="263"/>
      <c r="V83" s="262"/>
      <c r="W83" s="265"/>
      <c r="X83" s="265"/>
      <c r="Y83" s="263"/>
      <c r="Z83" s="235">
        <f t="shared" si="9"/>
        <v>0</v>
      </c>
      <c r="AA83" s="262"/>
      <c r="AB83" s="265"/>
      <c r="AC83" s="263"/>
      <c r="AD83" s="235">
        <f t="shared" si="10"/>
        <v>0</v>
      </c>
      <c r="AE83" s="262"/>
      <c r="AF83" s="265"/>
      <c r="AG83" s="263"/>
      <c r="AH83" s="235">
        <f t="shared" si="11"/>
        <v>0</v>
      </c>
      <c r="AI83" s="262"/>
      <c r="AJ83" s="265"/>
      <c r="AK83" s="263"/>
      <c r="AL83" s="235">
        <f t="shared" si="12"/>
        <v>0</v>
      </c>
      <c r="AM83" s="262"/>
      <c r="AN83" s="265"/>
      <c r="AO83" s="263"/>
      <c r="AP83" s="262"/>
      <c r="AQ83" s="263"/>
      <c r="AR83" s="262"/>
      <c r="AS83" s="263"/>
      <c r="AT83" s="262"/>
      <c r="AU83" s="265"/>
      <c r="AV83" s="263"/>
      <c r="AW83" s="262"/>
      <c r="AX83" s="265"/>
      <c r="AY83" s="263"/>
      <c r="AZ83" s="24">
        <f t="shared" si="13"/>
        <v>0</v>
      </c>
    </row>
    <row r="84" spans="2:52" s="24" customFormat="1" ht="21.95" customHeight="1" x14ac:dyDescent="0.25">
      <c r="B84" s="269"/>
      <c r="C84" s="270"/>
      <c r="D84" s="271"/>
      <c r="E84" s="236">
        <f t="shared" si="8"/>
        <v>0</v>
      </c>
      <c r="F84" s="269"/>
      <c r="G84" s="270"/>
      <c r="H84" s="271"/>
      <c r="I84" s="262"/>
      <c r="J84" s="263"/>
      <c r="K84" s="262"/>
      <c r="L84" s="263"/>
      <c r="M84" s="262"/>
      <c r="N84" s="263"/>
      <c r="O84" s="262"/>
      <c r="P84" s="263"/>
      <c r="Q84" s="235" t="b">
        <f t="shared" si="7"/>
        <v>0</v>
      </c>
      <c r="R84" s="262"/>
      <c r="S84" s="263"/>
      <c r="T84" s="262"/>
      <c r="U84" s="263"/>
      <c r="V84" s="262"/>
      <c r="W84" s="265"/>
      <c r="X84" s="265"/>
      <c r="Y84" s="263"/>
      <c r="Z84" s="235">
        <f t="shared" si="9"/>
        <v>0</v>
      </c>
      <c r="AA84" s="262"/>
      <c r="AB84" s="265"/>
      <c r="AC84" s="263"/>
      <c r="AD84" s="235">
        <f t="shared" si="10"/>
        <v>0</v>
      </c>
      <c r="AE84" s="262"/>
      <c r="AF84" s="265"/>
      <c r="AG84" s="263"/>
      <c r="AH84" s="235">
        <f t="shared" si="11"/>
        <v>0</v>
      </c>
      <c r="AI84" s="262"/>
      <c r="AJ84" s="265"/>
      <c r="AK84" s="263"/>
      <c r="AL84" s="235">
        <f t="shared" si="12"/>
        <v>0</v>
      </c>
      <c r="AM84" s="262"/>
      <c r="AN84" s="265"/>
      <c r="AO84" s="263"/>
      <c r="AP84" s="262"/>
      <c r="AQ84" s="263"/>
      <c r="AR84" s="262"/>
      <c r="AS84" s="263"/>
      <c r="AT84" s="262"/>
      <c r="AU84" s="265"/>
      <c r="AV84" s="263"/>
      <c r="AW84" s="262"/>
      <c r="AX84" s="265"/>
      <c r="AY84" s="263"/>
      <c r="AZ84" s="24">
        <f t="shared" si="13"/>
        <v>0</v>
      </c>
    </row>
    <row r="85" spans="2:52" s="24" customFormat="1" ht="21.95" customHeight="1" x14ac:dyDescent="0.25">
      <c r="B85" s="269"/>
      <c r="C85" s="270"/>
      <c r="D85" s="271"/>
      <c r="E85" s="236">
        <f t="shared" si="8"/>
        <v>0</v>
      </c>
      <c r="F85" s="269"/>
      <c r="G85" s="270"/>
      <c r="H85" s="271"/>
      <c r="I85" s="262"/>
      <c r="J85" s="263"/>
      <c r="K85" s="262"/>
      <c r="L85" s="263"/>
      <c r="M85" s="262"/>
      <c r="N85" s="263"/>
      <c r="O85" s="262"/>
      <c r="P85" s="263"/>
      <c r="Q85" s="235" t="b">
        <f t="shared" si="7"/>
        <v>0</v>
      </c>
      <c r="R85" s="262"/>
      <c r="S85" s="263"/>
      <c r="T85" s="262"/>
      <c r="U85" s="263"/>
      <c r="V85" s="262"/>
      <c r="W85" s="265"/>
      <c r="X85" s="265"/>
      <c r="Y85" s="263"/>
      <c r="Z85" s="235">
        <f t="shared" si="9"/>
        <v>0</v>
      </c>
      <c r="AA85" s="262"/>
      <c r="AB85" s="265"/>
      <c r="AC85" s="263"/>
      <c r="AD85" s="235">
        <f t="shared" si="10"/>
        <v>0</v>
      </c>
      <c r="AE85" s="262"/>
      <c r="AF85" s="265"/>
      <c r="AG85" s="263"/>
      <c r="AH85" s="235">
        <f t="shared" si="11"/>
        <v>0</v>
      </c>
      <c r="AI85" s="262"/>
      <c r="AJ85" s="265"/>
      <c r="AK85" s="263"/>
      <c r="AL85" s="235">
        <f t="shared" si="12"/>
        <v>0</v>
      </c>
      <c r="AM85" s="262"/>
      <c r="AN85" s="265"/>
      <c r="AO85" s="263"/>
      <c r="AP85" s="262"/>
      <c r="AQ85" s="263"/>
      <c r="AR85" s="262"/>
      <c r="AS85" s="263"/>
      <c r="AT85" s="262"/>
      <c r="AU85" s="265"/>
      <c r="AV85" s="263"/>
      <c r="AW85" s="262"/>
      <c r="AX85" s="265"/>
      <c r="AY85" s="263"/>
      <c r="AZ85" s="24">
        <f t="shared" si="13"/>
        <v>0</v>
      </c>
    </row>
    <row r="86" spans="2:52" s="24" customFormat="1" ht="21.95" customHeight="1" x14ac:dyDescent="0.25">
      <c r="B86" s="269"/>
      <c r="C86" s="270"/>
      <c r="D86" s="271"/>
      <c r="E86" s="236">
        <f t="shared" si="8"/>
        <v>0</v>
      </c>
      <c r="F86" s="269"/>
      <c r="G86" s="270"/>
      <c r="H86" s="271"/>
      <c r="I86" s="262"/>
      <c r="J86" s="263"/>
      <c r="K86" s="262"/>
      <c r="L86" s="263"/>
      <c r="M86" s="262"/>
      <c r="N86" s="263"/>
      <c r="O86" s="262"/>
      <c r="P86" s="263"/>
      <c r="Q86" s="235" t="b">
        <f t="shared" si="7"/>
        <v>0</v>
      </c>
      <c r="R86" s="262"/>
      <c r="S86" s="263"/>
      <c r="T86" s="262"/>
      <c r="U86" s="263"/>
      <c r="V86" s="262"/>
      <c r="W86" s="265"/>
      <c r="X86" s="265"/>
      <c r="Y86" s="263"/>
      <c r="Z86" s="235">
        <f t="shared" si="9"/>
        <v>0</v>
      </c>
      <c r="AA86" s="262"/>
      <c r="AB86" s="265"/>
      <c r="AC86" s="263"/>
      <c r="AD86" s="235">
        <f t="shared" si="10"/>
        <v>0</v>
      </c>
      <c r="AE86" s="262"/>
      <c r="AF86" s="265"/>
      <c r="AG86" s="263"/>
      <c r="AH86" s="235">
        <f t="shared" si="11"/>
        <v>0</v>
      </c>
      <c r="AI86" s="262"/>
      <c r="AJ86" s="265"/>
      <c r="AK86" s="263"/>
      <c r="AL86" s="235">
        <f t="shared" si="12"/>
        <v>0</v>
      </c>
      <c r="AM86" s="262"/>
      <c r="AN86" s="265"/>
      <c r="AO86" s="263"/>
      <c r="AP86" s="262"/>
      <c r="AQ86" s="263"/>
      <c r="AR86" s="262"/>
      <c r="AS86" s="263"/>
      <c r="AT86" s="262"/>
      <c r="AU86" s="265"/>
      <c r="AV86" s="263"/>
      <c r="AW86" s="262"/>
      <c r="AX86" s="265"/>
      <c r="AY86" s="263"/>
      <c r="AZ86" s="24">
        <f t="shared" si="13"/>
        <v>0</v>
      </c>
    </row>
    <row r="87" spans="2:52" s="24" customFormat="1" ht="21.95" customHeight="1" x14ac:dyDescent="0.25">
      <c r="B87" s="269"/>
      <c r="C87" s="270"/>
      <c r="D87" s="271"/>
      <c r="E87" s="236">
        <f t="shared" si="8"/>
        <v>0</v>
      </c>
      <c r="F87" s="269"/>
      <c r="G87" s="270"/>
      <c r="H87" s="271"/>
      <c r="I87" s="262"/>
      <c r="J87" s="263"/>
      <c r="K87" s="262"/>
      <c r="L87" s="263"/>
      <c r="M87" s="262"/>
      <c r="N87" s="263"/>
      <c r="O87" s="262"/>
      <c r="P87" s="263"/>
      <c r="Q87" s="235" t="b">
        <f t="shared" si="7"/>
        <v>0</v>
      </c>
      <c r="R87" s="262"/>
      <c r="S87" s="263"/>
      <c r="T87" s="262"/>
      <c r="U87" s="263"/>
      <c r="V87" s="262"/>
      <c r="W87" s="265"/>
      <c r="X87" s="265"/>
      <c r="Y87" s="263"/>
      <c r="Z87" s="235">
        <f t="shared" si="9"/>
        <v>0</v>
      </c>
      <c r="AA87" s="262"/>
      <c r="AB87" s="265"/>
      <c r="AC87" s="263"/>
      <c r="AD87" s="235">
        <f t="shared" si="10"/>
        <v>0</v>
      </c>
      <c r="AE87" s="262"/>
      <c r="AF87" s="265"/>
      <c r="AG87" s="263"/>
      <c r="AH87" s="235">
        <f t="shared" si="11"/>
        <v>0</v>
      </c>
      <c r="AI87" s="262"/>
      <c r="AJ87" s="265"/>
      <c r="AK87" s="263"/>
      <c r="AL87" s="235">
        <f t="shared" si="12"/>
        <v>0</v>
      </c>
      <c r="AM87" s="262"/>
      <c r="AN87" s="265"/>
      <c r="AO87" s="263"/>
      <c r="AP87" s="262"/>
      <c r="AQ87" s="263"/>
      <c r="AR87" s="262"/>
      <c r="AS87" s="263"/>
      <c r="AT87" s="262"/>
      <c r="AU87" s="265"/>
      <c r="AV87" s="263"/>
      <c r="AW87" s="262"/>
      <c r="AX87" s="265"/>
      <c r="AY87" s="263"/>
      <c r="AZ87" s="24">
        <f t="shared" si="13"/>
        <v>0</v>
      </c>
    </row>
    <row r="88" spans="2:52" s="24" customFormat="1" ht="21.95" customHeight="1" x14ac:dyDescent="0.25">
      <c r="B88" s="269"/>
      <c r="C88" s="270"/>
      <c r="D88" s="271"/>
      <c r="E88" s="236">
        <f t="shared" si="8"/>
        <v>0</v>
      </c>
      <c r="F88" s="269"/>
      <c r="G88" s="270"/>
      <c r="H88" s="271"/>
      <c r="I88" s="262"/>
      <c r="J88" s="263"/>
      <c r="K88" s="262"/>
      <c r="L88" s="263"/>
      <c r="M88" s="262"/>
      <c r="N88" s="263"/>
      <c r="O88" s="262"/>
      <c r="P88" s="263"/>
      <c r="Q88" s="235" t="b">
        <f t="shared" si="7"/>
        <v>0</v>
      </c>
      <c r="R88" s="262"/>
      <c r="S88" s="263"/>
      <c r="T88" s="262"/>
      <c r="U88" s="263"/>
      <c r="V88" s="262"/>
      <c r="W88" s="265"/>
      <c r="X88" s="265"/>
      <c r="Y88" s="263"/>
      <c r="Z88" s="235">
        <f t="shared" si="9"/>
        <v>0</v>
      </c>
      <c r="AA88" s="262"/>
      <c r="AB88" s="265"/>
      <c r="AC88" s="263"/>
      <c r="AD88" s="235">
        <f t="shared" si="10"/>
        <v>0</v>
      </c>
      <c r="AE88" s="262"/>
      <c r="AF88" s="265"/>
      <c r="AG88" s="263"/>
      <c r="AH88" s="235">
        <f t="shared" si="11"/>
        <v>0</v>
      </c>
      <c r="AI88" s="262"/>
      <c r="AJ88" s="265"/>
      <c r="AK88" s="263"/>
      <c r="AL88" s="235">
        <f t="shared" si="12"/>
        <v>0</v>
      </c>
      <c r="AM88" s="262"/>
      <c r="AN88" s="265"/>
      <c r="AO88" s="263"/>
      <c r="AP88" s="262"/>
      <c r="AQ88" s="263"/>
      <c r="AR88" s="262"/>
      <c r="AS88" s="263"/>
      <c r="AT88" s="262"/>
      <c r="AU88" s="265"/>
      <c r="AV88" s="263"/>
      <c r="AW88" s="262"/>
      <c r="AX88" s="265"/>
      <c r="AY88" s="263"/>
      <c r="AZ88" s="24">
        <f t="shared" si="13"/>
        <v>0</v>
      </c>
    </row>
    <row r="89" spans="2:52" s="24" customFormat="1" ht="21.95" customHeight="1" x14ac:dyDescent="0.25">
      <c r="B89" s="269"/>
      <c r="C89" s="270"/>
      <c r="D89" s="271"/>
      <c r="E89" s="236">
        <f t="shared" si="8"/>
        <v>0</v>
      </c>
      <c r="F89" s="269"/>
      <c r="G89" s="270"/>
      <c r="H89" s="271"/>
      <c r="I89" s="262"/>
      <c r="J89" s="263"/>
      <c r="K89" s="262"/>
      <c r="L89" s="263"/>
      <c r="M89" s="262"/>
      <c r="N89" s="263"/>
      <c r="O89" s="262"/>
      <c r="P89" s="263"/>
      <c r="Q89" s="235" t="b">
        <f t="shared" si="7"/>
        <v>0</v>
      </c>
      <c r="R89" s="262"/>
      <c r="S89" s="263"/>
      <c r="T89" s="262"/>
      <c r="U89" s="263"/>
      <c r="V89" s="262"/>
      <c r="W89" s="265"/>
      <c r="X89" s="265"/>
      <c r="Y89" s="263"/>
      <c r="Z89" s="235">
        <f t="shared" si="9"/>
        <v>0</v>
      </c>
      <c r="AA89" s="262"/>
      <c r="AB89" s="265"/>
      <c r="AC89" s="263"/>
      <c r="AD89" s="235">
        <f t="shared" si="10"/>
        <v>0</v>
      </c>
      <c r="AE89" s="262"/>
      <c r="AF89" s="265"/>
      <c r="AG89" s="263"/>
      <c r="AH89" s="235">
        <f t="shared" si="11"/>
        <v>0</v>
      </c>
      <c r="AI89" s="262"/>
      <c r="AJ89" s="265"/>
      <c r="AK89" s="263"/>
      <c r="AL89" s="235">
        <f t="shared" si="12"/>
        <v>0</v>
      </c>
      <c r="AM89" s="262"/>
      <c r="AN89" s="265"/>
      <c r="AO89" s="263"/>
      <c r="AP89" s="262"/>
      <c r="AQ89" s="263"/>
      <c r="AR89" s="262"/>
      <c r="AS89" s="263"/>
      <c r="AT89" s="262"/>
      <c r="AU89" s="265"/>
      <c r="AV89" s="263"/>
      <c r="AW89" s="262"/>
      <c r="AX89" s="265"/>
      <c r="AY89" s="263"/>
      <c r="AZ89" s="24">
        <f t="shared" si="13"/>
        <v>0</v>
      </c>
    </row>
    <row r="90" spans="2:52" s="24" customFormat="1" ht="21.95" customHeight="1" x14ac:dyDescent="0.25">
      <c r="B90" s="269"/>
      <c r="C90" s="270"/>
      <c r="D90" s="271"/>
      <c r="E90" s="236">
        <f t="shared" si="8"/>
        <v>0</v>
      </c>
      <c r="F90" s="269"/>
      <c r="G90" s="270"/>
      <c r="H90" s="271"/>
      <c r="I90" s="262"/>
      <c r="J90" s="263"/>
      <c r="K90" s="262"/>
      <c r="L90" s="263"/>
      <c r="M90" s="262"/>
      <c r="N90" s="263"/>
      <c r="O90" s="262"/>
      <c r="P90" s="263"/>
      <c r="Q90" s="235" t="b">
        <f t="shared" si="7"/>
        <v>0</v>
      </c>
      <c r="R90" s="262"/>
      <c r="S90" s="263"/>
      <c r="T90" s="262"/>
      <c r="U90" s="263"/>
      <c r="V90" s="262"/>
      <c r="W90" s="265"/>
      <c r="X90" s="265"/>
      <c r="Y90" s="263"/>
      <c r="Z90" s="235">
        <f t="shared" si="9"/>
        <v>0</v>
      </c>
      <c r="AA90" s="262"/>
      <c r="AB90" s="265"/>
      <c r="AC90" s="263"/>
      <c r="AD90" s="235">
        <f t="shared" si="10"/>
        <v>0</v>
      </c>
      <c r="AE90" s="262"/>
      <c r="AF90" s="265"/>
      <c r="AG90" s="263"/>
      <c r="AH90" s="235">
        <f t="shared" si="11"/>
        <v>0</v>
      </c>
      <c r="AI90" s="262"/>
      <c r="AJ90" s="265"/>
      <c r="AK90" s="263"/>
      <c r="AL90" s="235">
        <f t="shared" si="12"/>
        <v>0</v>
      </c>
      <c r="AM90" s="262"/>
      <c r="AN90" s="265"/>
      <c r="AO90" s="263"/>
      <c r="AP90" s="262"/>
      <c r="AQ90" s="263"/>
      <c r="AR90" s="262"/>
      <c r="AS90" s="263"/>
      <c r="AT90" s="262"/>
      <c r="AU90" s="265"/>
      <c r="AV90" s="263"/>
      <c r="AW90" s="262"/>
      <c r="AX90" s="265"/>
      <c r="AY90" s="263"/>
      <c r="AZ90" s="24">
        <f t="shared" si="13"/>
        <v>0</v>
      </c>
    </row>
    <row r="91" spans="2:52" s="24" customFormat="1" ht="21.95" customHeight="1" x14ac:dyDescent="0.25">
      <c r="B91" s="269"/>
      <c r="C91" s="270"/>
      <c r="D91" s="271"/>
      <c r="E91" s="236">
        <f t="shared" si="8"/>
        <v>0</v>
      </c>
      <c r="F91" s="269"/>
      <c r="G91" s="270"/>
      <c r="H91" s="271"/>
      <c r="I91" s="262"/>
      <c r="J91" s="263"/>
      <c r="K91" s="262"/>
      <c r="L91" s="263"/>
      <c r="M91" s="262"/>
      <c r="N91" s="263"/>
      <c r="O91" s="262"/>
      <c r="P91" s="263"/>
      <c r="Q91" s="235" t="b">
        <f t="shared" si="7"/>
        <v>0</v>
      </c>
      <c r="R91" s="262"/>
      <c r="S91" s="263"/>
      <c r="T91" s="262"/>
      <c r="U91" s="263"/>
      <c r="V91" s="262"/>
      <c r="W91" s="265"/>
      <c r="X91" s="265"/>
      <c r="Y91" s="263"/>
      <c r="Z91" s="235">
        <f t="shared" si="9"/>
        <v>0</v>
      </c>
      <c r="AA91" s="262"/>
      <c r="AB91" s="265"/>
      <c r="AC91" s="263"/>
      <c r="AD91" s="235">
        <f t="shared" si="10"/>
        <v>0</v>
      </c>
      <c r="AE91" s="262"/>
      <c r="AF91" s="265"/>
      <c r="AG91" s="263"/>
      <c r="AH91" s="235">
        <f t="shared" si="11"/>
        <v>0</v>
      </c>
      <c r="AI91" s="262"/>
      <c r="AJ91" s="265"/>
      <c r="AK91" s="263"/>
      <c r="AL91" s="235">
        <f t="shared" si="12"/>
        <v>0</v>
      </c>
      <c r="AM91" s="262"/>
      <c r="AN91" s="265"/>
      <c r="AO91" s="263"/>
      <c r="AP91" s="262"/>
      <c r="AQ91" s="263"/>
      <c r="AR91" s="262"/>
      <c r="AS91" s="263"/>
      <c r="AT91" s="262"/>
      <c r="AU91" s="265"/>
      <c r="AV91" s="263"/>
      <c r="AW91" s="262"/>
      <c r="AX91" s="265"/>
      <c r="AY91" s="263"/>
      <c r="AZ91" s="24">
        <f t="shared" si="13"/>
        <v>0</v>
      </c>
    </row>
    <row r="92" spans="2:52" s="24" customFormat="1" ht="21.95" customHeight="1" x14ac:dyDescent="0.25">
      <c r="B92" s="269"/>
      <c r="C92" s="270"/>
      <c r="D92" s="271"/>
      <c r="E92" s="236">
        <f t="shared" si="8"/>
        <v>0</v>
      </c>
      <c r="F92" s="269"/>
      <c r="G92" s="270"/>
      <c r="H92" s="271"/>
      <c r="I92" s="262"/>
      <c r="J92" s="263"/>
      <c r="K92" s="262"/>
      <c r="L92" s="263"/>
      <c r="M92" s="262"/>
      <c r="N92" s="263"/>
      <c r="O92" s="262"/>
      <c r="P92" s="263"/>
      <c r="Q92" s="235" t="b">
        <f t="shared" si="7"/>
        <v>0</v>
      </c>
      <c r="R92" s="262"/>
      <c r="S92" s="263"/>
      <c r="T92" s="262"/>
      <c r="U92" s="263"/>
      <c r="V92" s="262"/>
      <c r="W92" s="265"/>
      <c r="X92" s="265"/>
      <c r="Y92" s="263"/>
      <c r="Z92" s="235">
        <f t="shared" si="9"/>
        <v>0</v>
      </c>
      <c r="AA92" s="262"/>
      <c r="AB92" s="265"/>
      <c r="AC92" s="263"/>
      <c r="AD92" s="235">
        <f t="shared" si="10"/>
        <v>0</v>
      </c>
      <c r="AE92" s="262"/>
      <c r="AF92" s="265"/>
      <c r="AG92" s="263"/>
      <c r="AH92" s="235">
        <f t="shared" si="11"/>
        <v>0</v>
      </c>
      <c r="AI92" s="262"/>
      <c r="AJ92" s="265"/>
      <c r="AK92" s="263"/>
      <c r="AL92" s="235">
        <f t="shared" si="12"/>
        <v>0</v>
      </c>
      <c r="AM92" s="262"/>
      <c r="AN92" s="265"/>
      <c r="AO92" s="263"/>
      <c r="AP92" s="262"/>
      <c r="AQ92" s="263"/>
      <c r="AR92" s="262"/>
      <c r="AS92" s="263"/>
      <c r="AT92" s="262"/>
      <c r="AU92" s="265"/>
      <c r="AV92" s="263"/>
      <c r="AW92" s="262"/>
      <c r="AX92" s="265"/>
      <c r="AY92" s="263"/>
      <c r="AZ92" s="24">
        <f t="shared" si="13"/>
        <v>0</v>
      </c>
    </row>
    <row r="93" spans="2:52" s="24" customFormat="1" ht="21.95" customHeight="1" x14ac:dyDescent="0.25">
      <c r="B93" s="269"/>
      <c r="C93" s="270"/>
      <c r="D93" s="271"/>
      <c r="E93" s="236">
        <f t="shared" si="8"/>
        <v>0</v>
      </c>
      <c r="F93" s="269"/>
      <c r="G93" s="270"/>
      <c r="H93" s="271"/>
      <c r="I93" s="262"/>
      <c r="J93" s="263"/>
      <c r="K93" s="262"/>
      <c r="L93" s="263"/>
      <c r="M93" s="262"/>
      <c r="N93" s="263"/>
      <c r="O93" s="262"/>
      <c r="P93" s="263"/>
      <c r="Q93" s="235" t="b">
        <f t="shared" si="7"/>
        <v>0</v>
      </c>
      <c r="R93" s="262"/>
      <c r="S93" s="263"/>
      <c r="T93" s="262"/>
      <c r="U93" s="263"/>
      <c r="V93" s="262"/>
      <c r="W93" s="265"/>
      <c r="X93" s="265"/>
      <c r="Y93" s="263"/>
      <c r="Z93" s="235">
        <f t="shared" si="9"/>
        <v>0</v>
      </c>
      <c r="AA93" s="262"/>
      <c r="AB93" s="265"/>
      <c r="AC93" s="263"/>
      <c r="AD93" s="235">
        <f t="shared" si="10"/>
        <v>0</v>
      </c>
      <c r="AE93" s="262"/>
      <c r="AF93" s="265"/>
      <c r="AG93" s="263"/>
      <c r="AH93" s="235">
        <f t="shared" si="11"/>
        <v>0</v>
      </c>
      <c r="AI93" s="262"/>
      <c r="AJ93" s="265"/>
      <c r="AK93" s="263"/>
      <c r="AL93" s="235">
        <f t="shared" si="12"/>
        <v>0</v>
      </c>
      <c r="AM93" s="262"/>
      <c r="AN93" s="265"/>
      <c r="AO93" s="263"/>
      <c r="AP93" s="262"/>
      <c r="AQ93" s="263"/>
      <c r="AR93" s="262"/>
      <c r="AS93" s="263"/>
      <c r="AT93" s="262"/>
      <c r="AU93" s="265"/>
      <c r="AV93" s="263"/>
      <c r="AW93" s="262"/>
      <c r="AX93" s="265"/>
      <c r="AY93" s="263"/>
      <c r="AZ93" s="24">
        <f t="shared" si="13"/>
        <v>0</v>
      </c>
    </row>
    <row r="94" spans="2:52" s="24" customFormat="1" ht="21.95" customHeight="1" x14ac:dyDescent="0.25">
      <c r="B94" s="269"/>
      <c r="C94" s="270"/>
      <c r="D94" s="271"/>
      <c r="E94" s="236">
        <f t="shared" si="8"/>
        <v>0</v>
      </c>
      <c r="F94" s="269"/>
      <c r="G94" s="270"/>
      <c r="H94" s="271"/>
      <c r="I94" s="262"/>
      <c r="J94" s="263"/>
      <c r="K94" s="262"/>
      <c r="L94" s="263"/>
      <c r="M94" s="262"/>
      <c r="N94" s="263"/>
      <c r="O94" s="262"/>
      <c r="P94" s="263"/>
      <c r="Q94" s="235" t="b">
        <f t="shared" si="7"/>
        <v>0</v>
      </c>
      <c r="R94" s="262"/>
      <c r="S94" s="263"/>
      <c r="T94" s="262"/>
      <c r="U94" s="263"/>
      <c r="V94" s="262"/>
      <c r="W94" s="265"/>
      <c r="X94" s="265"/>
      <c r="Y94" s="263"/>
      <c r="Z94" s="235">
        <f t="shared" si="9"/>
        <v>0</v>
      </c>
      <c r="AA94" s="262"/>
      <c r="AB94" s="265"/>
      <c r="AC94" s="263"/>
      <c r="AD94" s="235">
        <f t="shared" si="10"/>
        <v>0</v>
      </c>
      <c r="AE94" s="262"/>
      <c r="AF94" s="265"/>
      <c r="AG94" s="263"/>
      <c r="AH94" s="235">
        <f t="shared" si="11"/>
        <v>0</v>
      </c>
      <c r="AI94" s="262"/>
      <c r="AJ94" s="265"/>
      <c r="AK94" s="263"/>
      <c r="AL94" s="235">
        <f t="shared" si="12"/>
        <v>0</v>
      </c>
      <c r="AM94" s="262"/>
      <c r="AN94" s="265"/>
      <c r="AO94" s="263"/>
      <c r="AP94" s="262"/>
      <c r="AQ94" s="263"/>
      <c r="AR94" s="262"/>
      <c r="AS94" s="263"/>
      <c r="AT94" s="262"/>
      <c r="AU94" s="265"/>
      <c r="AV94" s="263"/>
      <c r="AW94" s="262"/>
      <c r="AX94" s="265"/>
      <c r="AY94" s="263"/>
      <c r="AZ94" s="24">
        <f t="shared" si="13"/>
        <v>0</v>
      </c>
    </row>
    <row r="95" spans="2:52" s="24" customFormat="1" ht="21.95" customHeight="1" x14ac:dyDescent="0.25">
      <c r="B95" s="269"/>
      <c r="C95" s="270"/>
      <c r="D95" s="271"/>
      <c r="E95" s="236">
        <f t="shared" si="8"/>
        <v>0</v>
      </c>
      <c r="F95" s="269"/>
      <c r="G95" s="270"/>
      <c r="H95" s="271"/>
      <c r="I95" s="262"/>
      <c r="J95" s="263"/>
      <c r="K95" s="262"/>
      <c r="L95" s="263"/>
      <c r="M95" s="262"/>
      <c r="N95" s="263"/>
      <c r="O95" s="262"/>
      <c r="P95" s="263"/>
      <c r="Q95" s="235" t="b">
        <f t="shared" si="7"/>
        <v>0</v>
      </c>
      <c r="R95" s="262"/>
      <c r="S95" s="263"/>
      <c r="T95" s="262"/>
      <c r="U95" s="263"/>
      <c r="V95" s="262"/>
      <c r="W95" s="265"/>
      <c r="X95" s="265"/>
      <c r="Y95" s="263"/>
      <c r="Z95" s="235">
        <f t="shared" si="9"/>
        <v>0</v>
      </c>
      <c r="AA95" s="262"/>
      <c r="AB95" s="265"/>
      <c r="AC95" s="263"/>
      <c r="AD95" s="235">
        <f t="shared" si="10"/>
        <v>0</v>
      </c>
      <c r="AE95" s="262"/>
      <c r="AF95" s="265"/>
      <c r="AG95" s="263"/>
      <c r="AH95" s="235">
        <f t="shared" si="11"/>
        <v>0</v>
      </c>
      <c r="AI95" s="262"/>
      <c r="AJ95" s="265"/>
      <c r="AK95" s="263"/>
      <c r="AL95" s="235">
        <f t="shared" si="12"/>
        <v>0</v>
      </c>
      <c r="AM95" s="262"/>
      <c r="AN95" s="265"/>
      <c r="AO95" s="263"/>
      <c r="AP95" s="262"/>
      <c r="AQ95" s="263"/>
      <c r="AR95" s="262"/>
      <c r="AS95" s="263"/>
      <c r="AT95" s="262"/>
      <c r="AU95" s="265"/>
      <c r="AV95" s="263"/>
      <c r="AW95" s="262"/>
      <c r="AX95" s="265"/>
      <c r="AY95" s="263"/>
      <c r="AZ95" s="24">
        <f t="shared" si="13"/>
        <v>0</v>
      </c>
    </row>
    <row r="96" spans="2:52" s="24" customFormat="1" ht="21.95" customHeight="1" x14ac:dyDescent="0.25">
      <c r="B96" s="269"/>
      <c r="C96" s="270"/>
      <c r="D96" s="271"/>
      <c r="E96" s="236">
        <f t="shared" si="8"/>
        <v>0</v>
      </c>
      <c r="F96" s="269"/>
      <c r="G96" s="270"/>
      <c r="H96" s="271"/>
      <c r="I96" s="262"/>
      <c r="J96" s="263"/>
      <c r="K96" s="262"/>
      <c r="L96" s="263"/>
      <c r="M96" s="262"/>
      <c r="N96" s="263"/>
      <c r="O96" s="262"/>
      <c r="P96" s="263"/>
      <c r="Q96" s="235" t="b">
        <f t="shared" si="7"/>
        <v>0</v>
      </c>
      <c r="R96" s="262"/>
      <c r="S96" s="263"/>
      <c r="T96" s="262"/>
      <c r="U96" s="263"/>
      <c r="V96" s="262"/>
      <c r="W96" s="265"/>
      <c r="X96" s="265"/>
      <c r="Y96" s="263"/>
      <c r="Z96" s="235">
        <f t="shared" si="9"/>
        <v>0</v>
      </c>
      <c r="AA96" s="262"/>
      <c r="AB96" s="265"/>
      <c r="AC96" s="263"/>
      <c r="AD96" s="235">
        <f t="shared" si="10"/>
        <v>0</v>
      </c>
      <c r="AE96" s="262"/>
      <c r="AF96" s="265"/>
      <c r="AG96" s="263"/>
      <c r="AH96" s="235">
        <f t="shared" si="11"/>
        <v>0</v>
      </c>
      <c r="AI96" s="262"/>
      <c r="AJ96" s="265"/>
      <c r="AK96" s="263"/>
      <c r="AL96" s="235">
        <f t="shared" si="12"/>
        <v>0</v>
      </c>
      <c r="AM96" s="262"/>
      <c r="AN96" s="265"/>
      <c r="AO96" s="263"/>
      <c r="AP96" s="262"/>
      <c r="AQ96" s="263"/>
      <c r="AR96" s="262"/>
      <c r="AS96" s="263"/>
      <c r="AT96" s="262"/>
      <c r="AU96" s="265"/>
      <c r="AV96" s="263"/>
      <c r="AW96" s="262"/>
      <c r="AX96" s="265"/>
      <c r="AY96" s="263"/>
      <c r="AZ96" s="24">
        <f t="shared" si="13"/>
        <v>0</v>
      </c>
    </row>
    <row r="97" spans="2:52" s="24" customFormat="1" ht="21.95" customHeight="1" x14ac:dyDescent="0.25">
      <c r="B97" s="269"/>
      <c r="C97" s="270"/>
      <c r="D97" s="271"/>
      <c r="E97" s="236">
        <f t="shared" si="8"/>
        <v>0</v>
      </c>
      <c r="F97" s="269"/>
      <c r="G97" s="270"/>
      <c r="H97" s="271"/>
      <c r="I97" s="262"/>
      <c r="J97" s="263"/>
      <c r="K97" s="262"/>
      <c r="L97" s="263"/>
      <c r="M97" s="262"/>
      <c r="N97" s="263"/>
      <c r="O97" s="262"/>
      <c r="P97" s="263"/>
      <c r="Q97" s="235" t="b">
        <f t="shared" si="7"/>
        <v>0</v>
      </c>
      <c r="R97" s="262"/>
      <c r="S97" s="263"/>
      <c r="T97" s="262"/>
      <c r="U97" s="263"/>
      <c r="V97" s="262"/>
      <c r="W97" s="265"/>
      <c r="X97" s="265"/>
      <c r="Y97" s="263"/>
      <c r="Z97" s="235">
        <f t="shared" si="9"/>
        <v>0</v>
      </c>
      <c r="AA97" s="262"/>
      <c r="AB97" s="265"/>
      <c r="AC97" s="263"/>
      <c r="AD97" s="235">
        <f t="shared" si="10"/>
        <v>0</v>
      </c>
      <c r="AE97" s="262"/>
      <c r="AF97" s="265"/>
      <c r="AG97" s="263"/>
      <c r="AH97" s="235">
        <f t="shared" si="11"/>
        <v>0</v>
      </c>
      <c r="AI97" s="262"/>
      <c r="AJ97" s="265"/>
      <c r="AK97" s="263"/>
      <c r="AL97" s="235">
        <f t="shared" si="12"/>
        <v>0</v>
      </c>
      <c r="AM97" s="262"/>
      <c r="AN97" s="265"/>
      <c r="AO97" s="263"/>
      <c r="AP97" s="262"/>
      <c r="AQ97" s="263"/>
      <c r="AR97" s="262"/>
      <c r="AS97" s="263"/>
      <c r="AT97" s="262"/>
      <c r="AU97" s="265"/>
      <c r="AV97" s="263"/>
      <c r="AW97" s="262"/>
      <c r="AX97" s="265"/>
      <c r="AY97" s="263"/>
      <c r="AZ97" s="24">
        <f t="shared" si="13"/>
        <v>0</v>
      </c>
    </row>
    <row r="98" spans="2:52" s="24" customFormat="1" ht="21.95" customHeight="1" x14ac:dyDescent="0.25">
      <c r="B98" s="269"/>
      <c r="C98" s="270"/>
      <c r="D98" s="271"/>
      <c r="E98" s="236">
        <f t="shared" si="8"/>
        <v>0</v>
      </c>
      <c r="F98" s="269"/>
      <c r="G98" s="270"/>
      <c r="H98" s="271"/>
      <c r="I98" s="262"/>
      <c r="J98" s="263"/>
      <c r="K98" s="262"/>
      <c r="L98" s="263"/>
      <c r="M98" s="262"/>
      <c r="N98" s="263"/>
      <c r="O98" s="262"/>
      <c r="P98" s="263"/>
      <c r="Q98" s="235" t="b">
        <f t="shared" si="7"/>
        <v>0</v>
      </c>
      <c r="R98" s="262"/>
      <c r="S98" s="263"/>
      <c r="T98" s="262"/>
      <c r="U98" s="263"/>
      <c r="V98" s="262"/>
      <c r="W98" s="265"/>
      <c r="X98" s="265"/>
      <c r="Y98" s="263"/>
      <c r="Z98" s="235">
        <f t="shared" si="9"/>
        <v>0</v>
      </c>
      <c r="AA98" s="262"/>
      <c r="AB98" s="265"/>
      <c r="AC98" s="263"/>
      <c r="AD98" s="235">
        <f t="shared" si="10"/>
        <v>0</v>
      </c>
      <c r="AE98" s="262"/>
      <c r="AF98" s="265"/>
      <c r="AG98" s="263"/>
      <c r="AH98" s="235">
        <f t="shared" si="11"/>
        <v>0</v>
      </c>
      <c r="AI98" s="262"/>
      <c r="AJ98" s="265"/>
      <c r="AK98" s="263"/>
      <c r="AL98" s="235">
        <f t="shared" si="12"/>
        <v>0</v>
      </c>
      <c r="AM98" s="262"/>
      <c r="AN98" s="265"/>
      <c r="AO98" s="263"/>
      <c r="AP98" s="262"/>
      <c r="AQ98" s="263"/>
      <c r="AR98" s="262"/>
      <c r="AS98" s="263"/>
      <c r="AT98" s="262"/>
      <c r="AU98" s="265"/>
      <c r="AV98" s="263"/>
      <c r="AW98" s="262"/>
      <c r="AX98" s="265"/>
      <c r="AY98" s="263"/>
      <c r="AZ98" s="24">
        <f t="shared" si="13"/>
        <v>0</v>
      </c>
    </row>
    <row r="99" spans="2:52" s="24" customFormat="1" ht="21.95" customHeight="1" x14ac:dyDescent="0.25">
      <c r="B99" s="269"/>
      <c r="C99" s="270"/>
      <c r="D99" s="271"/>
      <c r="E99" s="236">
        <f t="shared" si="8"/>
        <v>0</v>
      </c>
      <c r="F99" s="269"/>
      <c r="G99" s="270"/>
      <c r="H99" s="271"/>
      <c r="I99" s="262"/>
      <c r="J99" s="263"/>
      <c r="K99" s="262"/>
      <c r="L99" s="263"/>
      <c r="M99" s="262"/>
      <c r="N99" s="263"/>
      <c r="O99" s="262"/>
      <c r="P99" s="263"/>
      <c r="Q99" s="235" t="b">
        <f t="shared" si="7"/>
        <v>0</v>
      </c>
      <c r="R99" s="262"/>
      <c r="S99" s="263"/>
      <c r="T99" s="262"/>
      <c r="U99" s="263"/>
      <c r="V99" s="262"/>
      <c r="W99" s="265"/>
      <c r="X99" s="265"/>
      <c r="Y99" s="263"/>
      <c r="Z99" s="235">
        <f t="shared" si="9"/>
        <v>0</v>
      </c>
      <c r="AA99" s="262"/>
      <c r="AB99" s="265"/>
      <c r="AC99" s="263"/>
      <c r="AD99" s="235">
        <f t="shared" si="10"/>
        <v>0</v>
      </c>
      <c r="AE99" s="262"/>
      <c r="AF99" s="265"/>
      <c r="AG99" s="263"/>
      <c r="AH99" s="235">
        <f t="shared" si="11"/>
        <v>0</v>
      </c>
      <c r="AI99" s="262"/>
      <c r="AJ99" s="265"/>
      <c r="AK99" s="263"/>
      <c r="AL99" s="235">
        <f t="shared" si="12"/>
        <v>0</v>
      </c>
      <c r="AM99" s="262"/>
      <c r="AN99" s="265"/>
      <c r="AO99" s="263"/>
      <c r="AP99" s="262"/>
      <c r="AQ99" s="263"/>
      <c r="AR99" s="262"/>
      <c r="AS99" s="263"/>
      <c r="AT99" s="262"/>
      <c r="AU99" s="265"/>
      <c r="AV99" s="263"/>
      <c r="AW99" s="262"/>
      <c r="AX99" s="265"/>
      <c r="AY99" s="263"/>
      <c r="AZ99" s="24">
        <f t="shared" si="13"/>
        <v>0</v>
      </c>
    </row>
    <row r="100" spans="2:52" s="24" customFormat="1" ht="21.95" customHeight="1" x14ac:dyDescent="0.25">
      <c r="B100" s="269"/>
      <c r="C100" s="270"/>
      <c r="D100" s="271"/>
      <c r="E100" s="236">
        <f t="shared" si="8"/>
        <v>0</v>
      </c>
      <c r="F100" s="269"/>
      <c r="G100" s="270"/>
      <c r="H100" s="271"/>
      <c r="I100" s="262"/>
      <c r="J100" s="263"/>
      <c r="K100" s="262"/>
      <c r="L100" s="263"/>
      <c r="M100" s="262"/>
      <c r="N100" s="263"/>
      <c r="O100" s="262"/>
      <c r="P100" s="263"/>
      <c r="Q100" s="235" t="b">
        <f t="shared" si="7"/>
        <v>0</v>
      </c>
      <c r="R100" s="262"/>
      <c r="S100" s="263"/>
      <c r="T100" s="262"/>
      <c r="U100" s="263"/>
      <c r="V100" s="262"/>
      <c r="W100" s="265"/>
      <c r="X100" s="265"/>
      <c r="Y100" s="263"/>
      <c r="Z100" s="235">
        <f t="shared" si="9"/>
        <v>0</v>
      </c>
      <c r="AA100" s="262"/>
      <c r="AB100" s="265"/>
      <c r="AC100" s="263"/>
      <c r="AD100" s="235">
        <f t="shared" si="10"/>
        <v>0</v>
      </c>
      <c r="AE100" s="262"/>
      <c r="AF100" s="265"/>
      <c r="AG100" s="263"/>
      <c r="AH100" s="235">
        <f t="shared" si="11"/>
        <v>0</v>
      </c>
      <c r="AI100" s="262"/>
      <c r="AJ100" s="265"/>
      <c r="AK100" s="263"/>
      <c r="AL100" s="235">
        <f t="shared" si="12"/>
        <v>0</v>
      </c>
      <c r="AM100" s="262"/>
      <c r="AN100" s="265"/>
      <c r="AO100" s="263"/>
      <c r="AP100" s="262"/>
      <c r="AQ100" s="263"/>
      <c r="AR100" s="262"/>
      <c r="AS100" s="263"/>
      <c r="AT100" s="262"/>
      <c r="AU100" s="265"/>
      <c r="AV100" s="263"/>
      <c r="AW100" s="262"/>
      <c r="AX100" s="265"/>
      <c r="AY100" s="263"/>
      <c r="AZ100" s="24">
        <f t="shared" si="13"/>
        <v>0</v>
      </c>
    </row>
    <row r="101" spans="2:52" s="24" customFormat="1" ht="21.95" customHeight="1" x14ac:dyDescent="0.25">
      <c r="B101" s="269"/>
      <c r="C101" s="270"/>
      <c r="D101" s="271"/>
      <c r="E101" s="236">
        <f t="shared" si="8"/>
        <v>0</v>
      </c>
      <c r="F101" s="269"/>
      <c r="G101" s="270"/>
      <c r="H101" s="271"/>
      <c r="I101" s="262"/>
      <c r="J101" s="263"/>
      <c r="K101" s="262"/>
      <c r="L101" s="263"/>
      <c r="M101" s="262"/>
      <c r="N101" s="263"/>
      <c r="O101" s="262"/>
      <c r="P101" s="263"/>
      <c r="Q101" s="235" t="b">
        <f t="shared" si="7"/>
        <v>0</v>
      </c>
      <c r="R101" s="262"/>
      <c r="S101" s="263"/>
      <c r="T101" s="262"/>
      <c r="U101" s="263"/>
      <c r="V101" s="262"/>
      <c r="W101" s="265"/>
      <c r="X101" s="265"/>
      <c r="Y101" s="263"/>
      <c r="Z101" s="235">
        <f t="shared" si="9"/>
        <v>0</v>
      </c>
      <c r="AA101" s="262"/>
      <c r="AB101" s="265"/>
      <c r="AC101" s="263"/>
      <c r="AD101" s="235">
        <f t="shared" si="10"/>
        <v>0</v>
      </c>
      <c r="AE101" s="262"/>
      <c r="AF101" s="265"/>
      <c r="AG101" s="263"/>
      <c r="AH101" s="235">
        <f t="shared" si="11"/>
        <v>0</v>
      </c>
      <c r="AI101" s="262"/>
      <c r="AJ101" s="265"/>
      <c r="AK101" s="263"/>
      <c r="AL101" s="235">
        <f t="shared" si="12"/>
        <v>0</v>
      </c>
      <c r="AM101" s="262"/>
      <c r="AN101" s="265"/>
      <c r="AO101" s="263"/>
      <c r="AP101" s="262"/>
      <c r="AQ101" s="263"/>
      <c r="AR101" s="262"/>
      <c r="AS101" s="263"/>
      <c r="AT101" s="262"/>
      <c r="AU101" s="265"/>
      <c r="AV101" s="263"/>
      <c r="AW101" s="262"/>
      <c r="AX101" s="265"/>
      <c r="AY101" s="263"/>
      <c r="AZ101" s="24">
        <f t="shared" si="13"/>
        <v>0</v>
      </c>
    </row>
    <row r="102" spans="2:52" s="24" customFormat="1" ht="21.95" customHeight="1" x14ac:dyDescent="0.25">
      <c r="B102" s="269"/>
      <c r="C102" s="270"/>
      <c r="D102" s="271"/>
      <c r="E102" s="236">
        <f t="shared" si="8"/>
        <v>0</v>
      </c>
      <c r="F102" s="269"/>
      <c r="G102" s="270"/>
      <c r="H102" s="271"/>
      <c r="I102" s="262"/>
      <c r="J102" s="263"/>
      <c r="K102" s="262"/>
      <c r="L102" s="263"/>
      <c r="M102" s="262"/>
      <c r="N102" s="263"/>
      <c r="O102" s="262"/>
      <c r="P102" s="263"/>
      <c r="Q102" s="235" t="b">
        <f t="shared" si="7"/>
        <v>0</v>
      </c>
      <c r="R102" s="262"/>
      <c r="S102" s="263"/>
      <c r="T102" s="262"/>
      <c r="U102" s="263"/>
      <c r="V102" s="262"/>
      <c r="W102" s="265"/>
      <c r="X102" s="265"/>
      <c r="Y102" s="263"/>
      <c r="Z102" s="235">
        <f t="shared" si="9"/>
        <v>0</v>
      </c>
      <c r="AA102" s="262"/>
      <c r="AB102" s="265"/>
      <c r="AC102" s="263"/>
      <c r="AD102" s="235">
        <f t="shared" si="10"/>
        <v>0</v>
      </c>
      <c r="AE102" s="262"/>
      <c r="AF102" s="265"/>
      <c r="AG102" s="263"/>
      <c r="AH102" s="235">
        <f t="shared" si="11"/>
        <v>0</v>
      </c>
      <c r="AI102" s="262"/>
      <c r="AJ102" s="265"/>
      <c r="AK102" s="263"/>
      <c r="AL102" s="235">
        <f t="shared" si="12"/>
        <v>0</v>
      </c>
      <c r="AM102" s="262"/>
      <c r="AN102" s="265"/>
      <c r="AO102" s="263"/>
      <c r="AP102" s="262"/>
      <c r="AQ102" s="263"/>
      <c r="AR102" s="262"/>
      <c r="AS102" s="263"/>
      <c r="AT102" s="262"/>
      <c r="AU102" s="265"/>
      <c r="AV102" s="263"/>
      <c r="AW102" s="262"/>
      <c r="AX102" s="265"/>
      <c r="AY102" s="263"/>
      <c r="AZ102" s="24">
        <f t="shared" si="13"/>
        <v>0</v>
      </c>
    </row>
    <row r="103" spans="2:52" s="24" customFormat="1" ht="21.95" customHeight="1" x14ac:dyDescent="0.25">
      <c r="B103" s="269"/>
      <c r="C103" s="270"/>
      <c r="D103" s="271"/>
      <c r="E103" s="236">
        <f t="shared" si="8"/>
        <v>0</v>
      </c>
      <c r="F103" s="269"/>
      <c r="G103" s="270"/>
      <c r="H103" s="271"/>
      <c r="I103" s="262"/>
      <c r="J103" s="263"/>
      <c r="K103" s="262"/>
      <c r="L103" s="263"/>
      <c r="M103" s="262"/>
      <c r="N103" s="263"/>
      <c r="O103" s="262"/>
      <c r="P103" s="263"/>
      <c r="Q103" s="235" t="b">
        <f t="shared" si="7"/>
        <v>0</v>
      </c>
      <c r="R103" s="262"/>
      <c r="S103" s="263"/>
      <c r="T103" s="262"/>
      <c r="U103" s="263"/>
      <c r="V103" s="262"/>
      <c r="W103" s="265"/>
      <c r="X103" s="265"/>
      <c r="Y103" s="263"/>
      <c r="Z103" s="235">
        <f t="shared" si="9"/>
        <v>0</v>
      </c>
      <c r="AA103" s="262"/>
      <c r="AB103" s="265"/>
      <c r="AC103" s="263"/>
      <c r="AD103" s="235">
        <f t="shared" si="10"/>
        <v>0</v>
      </c>
      <c r="AE103" s="262"/>
      <c r="AF103" s="265"/>
      <c r="AG103" s="263"/>
      <c r="AH103" s="235">
        <f t="shared" si="11"/>
        <v>0</v>
      </c>
      <c r="AI103" s="262"/>
      <c r="AJ103" s="265"/>
      <c r="AK103" s="263"/>
      <c r="AL103" s="235">
        <f t="shared" si="12"/>
        <v>0</v>
      </c>
      <c r="AM103" s="262"/>
      <c r="AN103" s="265"/>
      <c r="AO103" s="263"/>
      <c r="AP103" s="262"/>
      <c r="AQ103" s="263"/>
      <c r="AR103" s="262"/>
      <c r="AS103" s="263"/>
      <c r="AT103" s="262"/>
      <c r="AU103" s="265"/>
      <c r="AV103" s="263"/>
      <c r="AW103" s="262"/>
      <c r="AX103" s="265"/>
      <c r="AY103" s="263"/>
      <c r="AZ103" s="24">
        <f t="shared" si="13"/>
        <v>0</v>
      </c>
    </row>
    <row r="104" spans="2:52" s="24" customFormat="1" ht="21.95" customHeight="1" x14ac:dyDescent="0.25">
      <c r="B104" s="269"/>
      <c r="C104" s="270"/>
      <c r="D104" s="271"/>
      <c r="E104" s="236">
        <f t="shared" si="8"/>
        <v>0</v>
      </c>
      <c r="F104" s="269"/>
      <c r="G104" s="270"/>
      <c r="H104" s="271"/>
      <c r="I104" s="262"/>
      <c r="J104" s="263"/>
      <c r="K104" s="262"/>
      <c r="L104" s="263"/>
      <c r="M104" s="262"/>
      <c r="N104" s="263"/>
      <c r="O104" s="262"/>
      <c r="P104" s="263"/>
      <c r="Q104" s="235" t="b">
        <f t="shared" si="7"/>
        <v>0</v>
      </c>
      <c r="R104" s="262"/>
      <c r="S104" s="263"/>
      <c r="T104" s="262"/>
      <c r="U104" s="263"/>
      <c r="V104" s="262"/>
      <c r="W104" s="265"/>
      <c r="X104" s="265"/>
      <c r="Y104" s="263"/>
      <c r="Z104" s="235">
        <f t="shared" si="9"/>
        <v>0</v>
      </c>
      <c r="AA104" s="262"/>
      <c r="AB104" s="265"/>
      <c r="AC104" s="263"/>
      <c r="AD104" s="235">
        <f t="shared" si="10"/>
        <v>0</v>
      </c>
      <c r="AE104" s="262"/>
      <c r="AF104" s="265"/>
      <c r="AG104" s="263"/>
      <c r="AH104" s="235">
        <f t="shared" si="11"/>
        <v>0</v>
      </c>
      <c r="AI104" s="262"/>
      <c r="AJ104" s="265"/>
      <c r="AK104" s="263"/>
      <c r="AL104" s="235">
        <f t="shared" si="12"/>
        <v>0</v>
      </c>
      <c r="AM104" s="262"/>
      <c r="AN104" s="265"/>
      <c r="AO104" s="263"/>
      <c r="AP104" s="262"/>
      <c r="AQ104" s="263"/>
      <c r="AR104" s="262"/>
      <c r="AS104" s="263"/>
      <c r="AT104" s="262"/>
      <c r="AU104" s="265"/>
      <c r="AV104" s="263"/>
      <c r="AW104" s="262"/>
      <c r="AX104" s="265"/>
      <c r="AY104" s="263"/>
      <c r="AZ104" s="24">
        <f t="shared" si="13"/>
        <v>0</v>
      </c>
    </row>
    <row r="105" spans="2:52" s="24" customFormat="1" ht="21.95" customHeight="1" x14ac:dyDescent="0.25">
      <c r="B105" s="269"/>
      <c r="C105" s="270"/>
      <c r="D105" s="271"/>
      <c r="E105" s="236">
        <f t="shared" si="8"/>
        <v>0</v>
      </c>
      <c r="F105" s="269"/>
      <c r="G105" s="270"/>
      <c r="H105" s="271"/>
      <c r="I105" s="262"/>
      <c r="J105" s="263"/>
      <c r="K105" s="262"/>
      <c r="L105" s="263"/>
      <c r="M105" s="262"/>
      <c r="N105" s="263"/>
      <c r="O105" s="262"/>
      <c r="P105" s="263"/>
      <c r="Q105" s="235" t="b">
        <f t="shared" si="7"/>
        <v>0</v>
      </c>
      <c r="R105" s="262"/>
      <c r="S105" s="263"/>
      <c r="T105" s="262"/>
      <c r="U105" s="263"/>
      <c r="V105" s="262"/>
      <c r="W105" s="265"/>
      <c r="X105" s="265"/>
      <c r="Y105" s="263"/>
      <c r="Z105" s="235">
        <f t="shared" si="9"/>
        <v>0</v>
      </c>
      <c r="AA105" s="262"/>
      <c r="AB105" s="265"/>
      <c r="AC105" s="263"/>
      <c r="AD105" s="235">
        <f t="shared" si="10"/>
        <v>0</v>
      </c>
      <c r="AE105" s="262"/>
      <c r="AF105" s="265"/>
      <c r="AG105" s="263"/>
      <c r="AH105" s="235">
        <f t="shared" si="11"/>
        <v>0</v>
      </c>
      <c r="AI105" s="262"/>
      <c r="AJ105" s="265"/>
      <c r="AK105" s="263"/>
      <c r="AL105" s="235">
        <f t="shared" si="12"/>
        <v>0</v>
      </c>
      <c r="AM105" s="262"/>
      <c r="AN105" s="265"/>
      <c r="AO105" s="263"/>
      <c r="AP105" s="262"/>
      <c r="AQ105" s="263"/>
      <c r="AR105" s="262"/>
      <c r="AS105" s="263"/>
      <c r="AT105" s="262"/>
      <c r="AU105" s="265"/>
      <c r="AV105" s="263"/>
      <c r="AW105" s="262"/>
      <c r="AX105" s="265"/>
      <c r="AY105" s="263"/>
      <c r="AZ105" s="24">
        <f t="shared" si="13"/>
        <v>0</v>
      </c>
    </row>
    <row r="106" spans="2:52" s="24" customFormat="1" ht="21.95" customHeight="1" x14ac:dyDescent="0.25">
      <c r="B106" s="269"/>
      <c r="C106" s="270"/>
      <c r="D106" s="271"/>
      <c r="E106" s="236">
        <f t="shared" si="8"/>
        <v>0</v>
      </c>
      <c r="F106" s="269"/>
      <c r="G106" s="270"/>
      <c r="H106" s="271"/>
      <c r="I106" s="262"/>
      <c r="J106" s="263"/>
      <c r="K106" s="262"/>
      <c r="L106" s="263"/>
      <c r="M106" s="262"/>
      <c r="N106" s="263"/>
      <c r="O106" s="262"/>
      <c r="P106" s="263"/>
      <c r="Q106" s="235" t="b">
        <f t="shared" si="7"/>
        <v>0</v>
      </c>
      <c r="R106" s="262"/>
      <c r="S106" s="263"/>
      <c r="T106" s="262"/>
      <c r="U106" s="263"/>
      <c r="V106" s="262"/>
      <c r="W106" s="265"/>
      <c r="X106" s="265"/>
      <c r="Y106" s="263"/>
      <c r="Z106" s="235">
        <f t="shared" si="9"/>
        <v>0</v>
      </c>
      <c r="AA106" s="262"/>
      <c r="AB106" s="265"/>
      <c r="AC106" s="263"/>
      <c r="AD106" s="235">
        <f t="shared" si="10"/>
        <v>0</v>
      </c>
      <c r="AE106" s="262"/>
      <c r="AF106" s="265"/>
      <c r="AG106" s="263"/>
      <c r="AH106" s="235">
        <f t="shared" si="11"/>
        <v>0</v>
      </c>
      <c r="AI106" s="262"/>
      <c r="AJ106" s="265"/>
      <c r="AK106" s="263"/>
      <c r="AL106" s="235">
        <f t="shared" si="12"/>
        <v>0</v>
      </c>
      <c r="AM106" s="262"/>
      <c r="AN106" s="265"/>
      <c r="AO106" s="263"/>
      <c r="AP106" s="262"/>
      <c r="AQ106" s="263"/>
      <c r="AR106" s="262"/>
      <c r="AS106" s="263"/>
      <c r="AT106" s="262"/>
      <c r="AU106" s="265"/>
      <c r="AV106" s="263"/>
      <c r="AW106" s="262"/>
      <c r="AX106" s="265"/>
      <c r="AY106" s="263"/>
      <c r="AZ106" s="24">
        <f t="shared" si="13"/>
        <v>0</v>
      </c>
    </row>
    <row r="107" spans="2:52" s="24" customFormat="1" ht="21.95" customHeight="1" x14ac:dyDescent="0.25">
      <c r="B107" s="269"/>
      <c r="C107" s="270"/>
      <c r="D107" s="271"/>
      <c r="E107" s="236">
        <f t="shared" si="8"/>
        <v>0</v>
      </c>
      <c r="F107" s="269"/>
      <c r="G107" s="270"/>
      <c r="H107" s="271"/>
      <c r="I107" s="262"/>
      <c r="J107" s="263"/>
      <c r="K107" s="262"/>
      <c r="L107" s="263"/>
      <c r="M107" s="262"/>
      <c r="N107" s="263"/>
      <c r="O107" s="262"/>
      <c r="P107" s="263"/>
      <c r="Q107" s="235" t="b">
        <f t="shared" si="7"/>
        <v>0</v>
      </c>
      <c r="R107" s="262"/>
      <c r="S107" s="263"/>
      <c r="T107" s="262"/>
      <c r="U107" s="263"/>
      <c r="V107" s="262"/>
      <c r="W107" s="265"/>
      <c r="X107" s="265"/>
      <c r="Y107" s="263"/>
      <c r="Z107" s="235">
        <f t="shared" si="9"/>
        <v>0</v>
      </c>
      <c r="AA107" s="262"/>
      <c r="AB107" s="265"/>
      <c r="AC107" s="263"/>
      <c r="AD107" s="235">
        <f t="shared" si="10"/>
        <v>0</v>
      </c>
      <c r="AE107" s="262"/>
      <c r="AF107" s="265"/>
      <c r="AG107" s="263"/>
      <c r="AH107" s="235">
        <f t="shared" si="11"/>
        <v>0</v>
      </c>
      <c r="AI107" s="262"/>
      <c r="AJ107" s="265"/>
      <c r="AK107" s="263"/>
      <c r="AL107" s="235">
        <f t="shared" si="12"/>
        <v>0</v>
      </c>
      <c r="AM107" s="262"/>
      <c r="AN107" s="265"/>
      <c r="AO107" s="263"/>
      <c r="AP107" s="262"/>
      <c r="AQ107" s="263"/>
      <c r="AR107" s="262"/>
      <c r="AS107" s="263"/>
      <c r="AT107" s="262"/>
      <c r="AU107" s="265"/>
      <c r="AV107" s="263"/>
      <c r="AW107" s="262"/>
      <c r="AX107" s="265"/>
      <c r="AY107" s="263"/>
      <c r="AZ107" s="24">
        <f t="shared" si="13"/>
        <v>0</v>
      </c>
    </row>
    <row r="108" spans="2:52" s="24" customFormat="1" ht="21.95" customHeight="1" x14ac:dyDescent="0.25">
      <c r="B108" s="269"/>
      <c r="C108" s="270"/>
      <c r="D108" s="271"/>
      <c r="E108" s="236">
        <f t="shared" si="8"/>
        <v>0</v>
      </c>
      <c r="F108" s="269"/>
      <c r="G108" s="270"/>
      <c r="H108" s="271"/>
      <c r="I108" s="262"/>
      <c r="J108" s="263"/>
      <c r="K108" s="262"/>
      <c r="L108" s="263"/>
      <c r="M108" s="262"/>
      <c r="N108" s="263"/>
      <c r="O108" s="262"/>
      <c r="P108" s="263"/>
      <c r="Q108" s="235" t="b">
        <f t="shared" si="7"/>
        <v>0</v>
      </c>
      <c r="R108" s="262"/>
      <c r="S108" s="263"/>
      <c r="T108" s="262"/>
      <c r="U108" s="263"/>
      <c r="V108" s="262"/>
      <c r="W108" s="265"/>
      <c r="X108" s="265"/>
      <c r="Y108" s="263"/>
      <c r="Z108" s="235">
        <f t="shared" si="9"/>
        <v>0</v>
      </c>
      <c r="AA108" s="262"/>
      <c r="AB108" s="265"/>
      <c r="AC108" s="263"/>
      <c r="AD108" s="235">
        <f t="shared" si="10"/>
        <v>0</v>
      </c>
      <c r="AE108" s="262"/>
      <c r="AF108" s="265"/>
      <c r="AG108" s="263"/>
      <c r="AH108" s="235">
        <f t="shared" si="11"/>
        <v>0</v>
      </c>
      <c r="AI108" s="262"/>
      <c r="AJ108" s="265"/>
      <c r="AK108" s="263"/>
      <c r="AL108" s="235">
        <f t="shared" si="12"/>
        <v>0</v>
      </c>
      <c r="AM108" s="262"/>
      <c r="AN108" s="265"/>
      <c r="AO108" s="263"/>
      <c r="AP108" s="262"/>
      <c r="AQ108" s="263"/>
      <c r="AR108" s="262"/>
      <c r="AS108" s="263"/>
      <c r="AT108" s="262"/>
      <c r="AU108" s="265"/>
      <c r="AV108" s="263"/>
      <c r="AW108" s="262"/>
      <c r="AX108" s="265"/>
      <c r="AY108" s="263"/>
      <c r="AZ108" s="24">
        <f t="shared" si="13"/>
        <v>0</v>
      </c>
    </row>
    <row r="109" spans="2:52" s="24" customFormat="1" ht="21.95" customHeight="1" x14ac:dyDescent="0.25">
      <c r="B109" s="269"/>
      <c r="C109" s="270"/>
      <c r="D109" s="271"/>
      <c r="E109" s="236">
        <f t="shared" si="8"/>
        <v>0</v>
      </c>
      <c r="F109" s="269"/>
      <c r="G109" s="270"/>
      <c r="H109" s="271"/>
      <c r="I109" s="262"/>
      <c r="J109" s="263"/>
      <c r="K109" s="262"/>
      <c r="L109" s="263"/>
      <c r="M109" s="262"/>
      <c r="N109" s="263"/>
      <c r="O109" s="262"/>
      <c r="P109" s="263"/>
      <c r="Q109" s="235" t="b">
        <f t="shared" si="7"/>
        <v>0</v>
      </c>
      <c r="R109" s="262"/>
      <c r="S109" s="263"/>
      <c r="T109" s="262"/>
      <c r="U109" s="263"/>
      <c r="V109" s="262"/>
      <c r="W109" s="265"/>
      <c r="X109" s="265"/>
      <c r="Y109" s="263"/>
      <c r="Z109" s="235">
        <f t="shared" si="9"/>
        <v>0</v>
      </c>
      <c r="AA109" s="262"/>
      <c r="AB109" s="265"/>
      <c r="AC109" s="263"/>
      <c r="AD109" s="235">
        <f t="shared" si="10"/>
        <v>0</v>
      </c>
      <c r="AE109" s="262"/>
      <c r="AF109" s="265"/>
      <c r="AG109" s="263"/>
      <c r="AH109" s="235">
        <f t="shared" si="11"/>
        <v>0</v>
      </c>
      <c r="AI109" s="262"/>
      <c r="AJ109" s="265"/>
      <c r="AK109" s="263"/>
      <c r="AL109" s="235">
        <f t="shared" si="12"/>
        <v>0</v>
      </c>
      <c r="AM109" s="262"/>
      <c r="AN109" s="265"/>
      <c r="AO109" s="263"/>
      <c r="AP109" s="262"/>
      <c r="AQ109" s="263"/>
      <c r="AR109" s="262"/>
      <c r="AS109" s="263"/>
      <c r="AT109" s="262"/>
      <c r="AU109" s="265"/>
      <c r="AV109" s="263"/>
      <c r="AW109" s="262"/>
      <c r="AX109" s="265"/>
      <c r="AY109" s="263"/>
      <c r="AZ109" s="24">
        <f t="shared" si="13"/>
        <v>0</v>
      </c>
    </row>
    <row r="110" spans="2:52" s="24" customFormat="1" ht="21.95" customHeight="1" x14ac:dyDescent="0.25">
      <c r="B110" s="269"/>
      <c r="C110" s="270"/>
      <c r="D110" s="271"/>
      <c r="E110" s="236">
        <f t="shared" si="8"/>
        <v>0</v>
      </c>
      <c r="F110" s="269"/>
      <c r="G110" s="270"/>
      <c r="H110" s="271"/>
      <c r="I110" s="262"/>
      <c r="J110" s="263"/>
      <c r="K110" s="262"/>
      <c r="L110" s="263"/>
      <c r="M110" s="262"/>
      <c r="N110" s="263"/>
      <c r="O110" s="262"/>
      <c r="P110" s="263"/>
      <c r="Q110" s="235" t="b">
        <f t="shared" si="7"/>
        <v>0</v>
      </c>
      <c r="R110" s="262"/>
      <c r="S110" s="263"/>
      <c r="T110" s="262"/>
      <c r="U110" s="263"/>
      <c r="V110" s="262"/>
      <c r="W110" s="265"/>
      <c r="X110" s="265"/>
      <c r="Y110" s="263"/>
      <c r="Z110" s="235">
        <f t="shared" si="9"/>
        <v>0</v>
      </c>
      <c r="AA110" s="262"/>
      <c r="AB110" s="265"/>
      <c r="AC110" s="263"/>
      <c r="AD110" s="235">
        <f t="shared" si="10"/>
        <v>0</v>
      </c>
      <c r="AE110" s="262"/>
      <c r="AF110" s="265"/>
      <c r="AG110" s="263"/>
      <c r="AH110" s="235">
        <f t="shared" si="11"/>
        <v>0</v>
      </c>
      <c r="AI110" s="262"/>
      <c r="AJ110" s="265"/>
      <c r="AK110" s="263"/>
      <c r="AL110" s="235">
        <f t="shared" si="12"/>
        <v>0</v>
      </c>
      <c r="AM110" s="262"/>
      <c r="AN110" s="265"/>
      <c r="AO110" s="263"/>
      <c r="AP110" s="262"/>
      <c r="AQ110" s="263"/>
      <c r="AR110" s="262"/>
      <c r="AS110" s="263"/>
      <c r="AT110" s="262"/>
      <c r="AU110" s="265"/>
      <c r="AV110" s="263"/>
      <c r="AW110" s="262"/>
      <c r="AX110" s="265"/>
      <c r="AY110" s="263"/>
      <c r="AZ110" s="24">
        <f t="shared" si="13"/>
        <v>0</v>
      </c>
    </row>
    <row r="111" spans="2:52" s="24" customFormat="1" ht="21.95" customHeight="1" x14ac:dyDescent="0.25">
      <c r="B111" s="269"/>
      <c r="C111" s="270"/>
      <c r="D111" s="271"/>
      <c r="E111" s="236">
        <f t="shared" si="8"/>
        <v>0</v>
      </c>
      <c r="F111" s="269"/>
      <c r="G111" s="270"/>
      <c r="H111" s="271"/>
      <c r="I111" s="262"/>
      <c r="J111" s="263"/>
      <c r="K111" s="262"/>
      <c r="L111" s="263"/>
      <c r="M111" s="262"/>
      <c r="N111" s="263"/>
      <c r="O111" s="262"/>
      <c r="P111" s="263"/>
      <c r="Q111" s="235" t="b">
        <f t="shared" si="7"/>
        <v>0</v>
      </c>
      <c r="R111" s="262"/>
      <c r="S111" s="263"/>
      <c r="T111" s="262"/>
      <c r="U111" s="263"/>
      <c r="V111" s="262"/>
      <c r="W111" s="265"/>
      <c r="X111" s="265"/>
      <c r="Y111" s="263"/>
      <c r="Z111" s="235">
        <f t="shared" si="9"/>
        <v>0</v>
      </c>
      <c r="AA111" s="262"/>
      <c r="AB111" s="265"/>
      <c r="AC111" s="263"/>
      <c r="AD111" s="235">
        <f t="shared" si="10"/>
        <v>0</v>
      </c>
      <c r="AE111" s="262"/>
      <c r="AF111" s="265"/>
      <c r="AG111" s="263"/>
      <c r="AH111" s="235">
        <f t="shared" si="11"/>
        <v>0</v>
      </c>
      <c r="AI111" s="262"/>
      <c r="AJ111" s="265"/>
      <c r="AK111" s="263"/>
      <c r="AL111" s="235">
        <f t="shared" si="12"/>
        <v>0</v>
      </c>
      <c r="AM111" s="262"/>
      <c r="AN111" s="265"/>
      <c r="AO111" s="263"/>
      <c r="AP111" s="262"/>
      <c r="AQ111" s="263"/>
      <c r="AR111" s="262"/>
      <c r="AS111" s="263"/>
      <c r="AT111" s="262"/>
      <c r="AU111" s="265"/>
      <c r="AV111" s="263"/>
      <c r="AW111" s="262"/>
      <c r="AX111" s="265"/>
      <c r="AY111" s="263"/>
      <c r="AZ111" s="24">
        <f t="shared" si="13"/>
        <v>0</v>
      </c>
    </row>
    <row r="112" spans="2:52" s="24" customFormat="1" ht="21.95" customHeight="1" x14ac:dyDescent="0.25">
      <c r="B112" s="269"/>
      <c r="C112" s="270"/>
      <c r="D112" s="271"/>
      <c r="E112" s="236">
        <f t="shared" si="8"/>
        <v>0</v>
      </c>
      <c r="F112" s="269"/>
      <c r="G112" s="270"/>
      <c r="H112" s="271"/>
      <c r="I112" s="262"/>
      <c r="J112" s="263"/>
      <c r="K112" s="262"/>
      <c r="L112" s="263"/>
      <c r="M112" s="262"/>
      <c r="N112" s="263"/>
      <c r="O112" s="262"/>
      <c r="P112" s="263"/>
      <c r="Q112" s="235" t="b">
        <f t="shared" si="7"/>
        <v>0</v>
      </c>
      <c r="R112" s="262"/>
      <c r="S112" s="263"/>
      <c r="T112" s="262"/>
      <c r="U112" s="263"/>
      <c r="V112" s="262"/>
      <c r="W112" s="265"/>
      <c r="X112" s="265"/>
      <c r="Y112" s="263"/>
      <c r="Z112" s="235">
        <f t="shared" si="9"/>
        <v>0</v>
      </c>
      <c r="AA112" s="262"/>
      <c r="AB112" s="265"/>
      <c r="AC112" s="263"/>
      <c r="AD112" s="235">
        <f t="shared" si="10"/>
        <v>0</v>
      </c>
      <c r="AE112" s="262"/>
      <c r="AF112" s="265"/>
      <c r="AG112" s="263"/>
      <c r="AH112" s="235">
        <f t="shared" si="11"/>
        <v>0</v>
      </c>
      <c r="AI112" s="262"/>
      <c r="AJ112" s="265"/>
      <c r="AK112" s="263"/>
      <c r="AL112" s="235">
        <f t="shared" si="12"/>
        <v>0</v>
      </c>
      <c r="AM112" s="262"/>
      <c r="AN112" s="265"/>
      <c r="AO112" s="263"/>
      <c r="AP112" s="262"/>
      <c r="AQ112" s="263"/>
      <c r="AR112" s="262"/>
      <c r="AS112" s="263"/>
      <c r="AT112" s="262"/>
      <c r="AU112" s="265"/>
      <c r="AV112" s="263"/>
      <c r="AW112" s="262"/>
      <c r="AX112" s="265"/>
      <c r="AY112" s="263"/>
      <c r="AZ112" s="24">
        <f t="shared" si="13"/>
        <v>0</v>
      </c>
    </row>
    <row r="113" spans="2:52" s="24" customFormat="1" ht="21.95" customHeight="1" x14ac:dyDescent="0.25">
      <c r="B113" s="269"/>
      <c r="C113" s="270"/>
      <c r="D113" s="271"/>
      <c r="E113" s="236">
        <f t="shared" si="8"/>
        <v>0</v>
      </c>
      <c r="F113" s="269"/>
      <c r="G113" s="270"/>
      <c r="H113" s="271"/>
      <c r="I113" s="262"/>
      <c r="J113" s="263"/>
      <c r="K113" s="262"/>
      <c r="L113" s="263"/>
      <c r="M113" s="262"/>
      <c r="N113" s="263"/>
      <c r="O113" s="262"/>
      <c r="P113" s="263"/>
      <c r="Q113" s="235" t="b">
        <f t="shared" si="7"/>
        <v>0</v>
      </c>
      <c r="R113" s="262"/>
      <c r="S113" s="263"/>
      <c r="T113" s="262"/>
      <c r="U113" s="263"/>
      <c r="V113" s="262"/>
      <c r="W113" s="265"/>
      <c r="X113" s="265"/>
      <c r="Y113" s="263"/>
      <c r="Z113" s="235">
        <f t="shared" si="9"/>
        <v>0</v>
      </c>
      <c r="AA113" s="262"/>
      <c r="AB113" s="265"/>
      <c r="AC113" s="263"/>
      <c r="AD113" s="235">
        <f t="shared" si="10"/>
        <v>0</v>
      </c>
      <c r="AE113" s="262"/>
      <c r="AF113" s="265"/>
      <c r="AG113" s="263"/>
      <c r="AH113" s="235">
        <f t="shared" si="11"/>
        <v>0</v>
      </c>
      <c r="AI113" s="262"/>
      <c r="AJ113" s="265"/>
      <c r="AK113" s="263"/>
      <c r="AL113" s="235">
        <f t="shared" si="12"/>
        <v>0</v>
      </c>
      <c r="AM113" s="262"/>
      <c r="AN113" s="265"/>
      <c r="AO113" s="263"/>
      <c r="AP113" s="262"/>
      <c r="AQ113" s="263"/>
      <c r="AR113" s="262"/>
      <c r="AS113" s="263"/>
      <c r="AT113" s="262"/>
      <c r="AU113" s="265"/>
      <c r="AV113" s="263"/>
      <c r="AW113" s="262"/>
      <c r="AX113" s="265"/>
      <c r="AY113" s="263"/>
      <c r="AZ113" s="24">
        <f t="shared" si="13"/>
        <v>0</v>
      </c>
    </row>
    <row r="114" spans="2:52" s="24" customFormat="1" ht="21.95" customHeight="1" x14ac:dyDescent="0.25">
      <c r="B114" s="269"/>
      <c r="C114" s="270"/>
      <c r="D114" s="271"/>
      <c r="E114" s="236">
        <f t="shared" si="8"/>
        <v>0</v>
      </c>
      <c r="F114" s="269"/>
      <c r="G114" s="270"/>
      <c r="H114" s="271"/>
      <c r="I114" s="262"/>
      <c r="J114" s="263"/>
      <c r="K114" s="262"/>
      <c r="L114" s="263"/>
      <c r="M114" s="262"/>
      <c r="N114" s="263"/>
      <c r="O114" s="262"/>
      <c r="P114" s="263"/>
      <c r="Q114" s="235" t="b">
        <f t="shared" si="7"/>
        <v>0</v>
      </c>
      <c r="R114" s="262"/>
      <c r="S114" s="263"/>
      <c r="T114" s="262"/>
      <c r="U114" s="263"/>
      <c r="V114" s="262"/>
      <c r="W114" s="265"/>
      <c r="X114" s="265"/>
      <c r="Y114" s="263"/>
      <c r="Z114" s="235">
        <f t="shared" si="9"/>
        <v>0</v>
      </c>
      <c r="AA114" s="262"/>
      <c r="AB114" s="265"/>
      <c r="AC114" s="263"/>
      <c r="AD114" s="235">
        <f t="shared" si="10"/>
        <v>0</v>
      </c>
      <c r="AE114" s="262"/>
      <c r="AF114" s="265"/>
      <c r="AG114" s="263"/>
      <c r="AH114" s="235">
        <f t="shared" si="11"/>
        <v>0</v>
      </c>
      <c r="AI114" s="262"/>
      <c r="AJ114" s="265"/>
      <c r="AK114" s="263"/>
      <c r="AL114" s="235">
        <f t="shared" si="12"/>
        <v>0</v>
      </c>
      <c r="AM114" s="262"/>
      <c r="AN114" s="265"/>
      <c r="AO114" s="263"/>
      <c r="AP114" s="262"/>
      <c r="AQ114" s="263"/>
      <c r="AR114" s="262"/>
      <c r="AS114" s="263"/>
      <c r="AT114" s="262"/>
      <c r="AU114" s="265"/>
      <c r="AV114" s="263"/>
      <c r="AW114" s="262"/>
      <c r="AX114" s="265"/>
      <c r="AY114" s="263"/>
      <c r="AZ114" s="24">
        <f t="shared" si="13"/>
        <v>0</v>
      </c>
    </row>
    <row r="115" spans="2:52" s="24" customFormat="1" ht="21.95" customHeight="1" x14ac:dyDescent="0.25">
      <c r="B115" s="269"/>
      <c r="C115" s="270"/>
      <c r="D115" s="271"/>
      <c r="E115" s="236">
        <f t="shared" si="8"/>
        <v>0</v>
      </c>
      <c r="F115" s="269"/>
      <c r="G115" s="270"/>
      <c r="H115" s="271"/>
      <c r="I115" s="262"/>
      <c r="J115" s="263"/>
      <c r="K115" s="262"/>
      <c r="L115" s="263"/>
      <c r="M115" s="262"/>
      <c r="N115" s="263"/>
      <c r="O115" s="262"/>
      <c r="P115" s="263"/>
      <c r="Q115" s="235" t="b">
        <f t="shared" si="7"/>
        <v>0</v>
      </c>
      <c r="R115" s="262"/>
      <c r="S115" s="263"/>
      <c r="T115" s="262"/>
      <c r="U115" s="263"/>
      <c r="V115" s="262"/>
      <c r="W115" s="265"/>
      <c r="X115" s="265"/>
      <c r="Y115" s="263"/>
      <c r="Z115" s="235">
        <f t="shared" si="9"/>
        <v>0</v>
      </c>
      <c r="AA115" s="262"/>
      <c r="AB115" s="265"/>
      <c r="AC115" s="263"/>
      <c r="AD115" s="235">
        <f t="shared" si="10"/>
        <v>0</v>
      </c>
      <c r="AE115" s="262"/>
      <c r="AF115" s="265"/>
      <c r="AG115" s="263"/>
      <c r="AH115" s="235">
        <f t="shared" si="11"/>
        <v>0</v>
      </c>
      <c r="AI115" s="262"/>
      <c r="AJ115" s="265"/>
      <c r="AK115" s="263"/>
      <c r="AL115" s="235">
        <f t="shared" si="12"/>
        <v>0</v>
      </c>
      <c r="AM115" s="262"/>
      <c r="AN115" s="265"/>
      <c r="AO115" s="263"/>
      <c r="AP115" s="262"/>
      <c r="AQ115" s="263"/>
      <c r="AR115" s="262"/>
      <c r="AS115" s="263"/>
      <c r="AT115" s="262"/>
      <c r="AU115" s="265"/>
      <c r="AV115" s="263"/>
      <c r="AW115" s="262"/>
      <c r="AX115" s="265"/>
      <c r="AY115" s="263"/>
      <c r="AZ115" s="24">
        <f t="shared" si="13"/>
        <v>0</v>
      </c>
    </row>
    <row r="116" spans="2:52" s="24" customFormat="1" ht="21.95" customHeight="1" x14ac:dyDescent="0.25">
      <c r="B116" s="269"/>
      <c r="C116" s="270"/>
      <c r="D116" s="271"/>
      <c r="E116" s="236">
        <f t="shared" si="8"/>
        <v>0</v>
      </c>
      <c r="F116" s="269"/>
      <c r="G116" s="270"/>
      <c r="H116" s="271"/>
      <c r="I116" s="262"/>
      <c r="J116" s="263"/>
      <c r="K116" s="262"/>
      <c r="L116" s="263"/>
      <c r="M116" s="262"/>
      <c r="N116" s="263"/>
      <c r="O116" s="262"/>
      <c r="P116" s="263"/>
      <c r="Q116" s="235" t="b">
        <f t="shared" si="7"/>
        <v>0</v>
      </c>
      <c r="R116" s="262"/>
      <c r="S116" s="263"/>
      <c r="T116" s="262"/>
      <c r="U116" s="263"/>
      <c r="V116" s="262"/>
      <c r="W116" s="265"/>
      <c r="X116" s="265"/>
      <c r="Y116" s="263"/>
      <c r="Z116" s="235">
        <f t="shared" si="9"/>
        <v>0</v>
      </c>
      <c r="AA116" s="262"/>
      <c r="AB116" s="265"/>
      <c r="AC116" s="263"/>
      <c r="AD116" s="235">
        <f t="shared" si="10"/>
        <v>0</v>
      </c>
      <c r="AE116" s="262"/>
      <c r="AF116" s="265"/>
      <c r="AG116" s="263"/>
      <c r="AH116" s="235">
        <f t="shared" si="11"/>
        <v>0</v>
      </c>
      <c r="AI116" s="262"/>
      <c r="AJ116" s="265"/>
      <c r="AK116" s="263"/>
      <c r="AL116" s="235">
        <f t="shared" si="12"/>
        <v>0</v>
      </c>
      <c r="AM116" s="262"/>
      <c r="AN116" s="265"/>
      <c r="AO116" s="263"/>
      <c r="AP116" s="262"/>
      <c r="AQ116" s="263"/>
      <c r="AR116" s="262"/>
      <c r="AS116" s="263"/>
      <c r="AT116" s="262"/>
      <c r="AU116" s="265"/>
      <c r="AV116" s="263"/>
      <c r="AW116" s="262"/>
      <c r="AX116" s="265"/>
      <c r="AY116" s="263"/>
      <c r="AZ116" s="24">
        <f t="shared" si="13"/>
        <v>0</v>
      </c>
    </row>
    <row r="117" spans="2:52" s="24" customFormat="1" ht="21.95" customHeight="1" x14ac:dyDescent="0.25">
      <c r="B117" s="269"/>
      <c r="C117" s="270"/>
      <c r="D117" s="271"/>
      <c r="E117" s="236">
        <f t="shared" si="8"/>
        <v>0</v>
      </c>
      <c r="F117" s="269"/>
      <c r="G117" s="270"/>
      <c r="H117" s="271"/>
      <c r="I117" s="262"/>
      <c r="J117" s="263"/>
      <c r="K117" s="262"/>
      <c r="L117" s="263"/>
      <c r="M117" s="262"/>
      <c r="N117" s="263"/>
      <c r="O117" s="262"/>
      <c r="P117" s="263"/>
      <c r="Q117" s="235" t="b">
        <f t="shared" si="7"/>
        <v>0</v>
      </c>
      <c r="R117" s="262"/>
      <c r="S117" s="263"/>
      <c r="T117" s="262"/>
      <c r="U117" s="263"/>
      <c r="V117" s="262"/>
      <c r="W117" s="265"/>
      <c r="X117" s="265"/>
      <c r="Y117" s="263"/>
      <c r="Z117" s="235">
        <f t="shared" si="9"/>
        <v>0</v>
      </c>
      <c r="AA117" s="262"/>
      <c r="AB117" s="265"/>
      <c r="AC117" s="263"/>
      <c r="AD117" s="235">
        <f t="shared" si="10"/>
        <v>0</v>
      </c>
      <c r="AE117" s="262"/>
      <c r="AF117" s="265"/>
      <c r="AG117" s="263"/>
      <c r="AH117" s="235">
        <f t="shared" si="11"/>
        <v>0</v>
      </c>
      <c r="AI117" s="262"/>
      <c r="AJ117" s="265"/>
      <c r="AK117" s="263"/>
      <c r="AL117" s="235">
        <f t="shared" si="12"/>
        <v>0</v>
      </c>
      <c r="AM117" s="262"/>
      <c r="AN117" s="265"/>
      <c r="AO117" s="263"/>
      <c r="AP117" s="262"/>
      <c r="AQ117" s="263"/>
      <c r="AR117" s="262"/>
      <c r="AS117" s="263"/>
      <c r="AT117" s="262"/>
      <c r="AU117" s="265"/>
      <c r="AV117" s="263"/>
      <c r="AW117" s="262"/>
      <c r="AX117" s="265"/>
      <c r="AY117" s="263"/>
      <c r="AZ117" s="24">
        <f t="shared" si="13"/>
        <v>0</v>
      </c>
    </row>
    <row r="118" spans="2:52" s="24" customFormat="1" ht="21.95" customHeight="1" x14ac:dyDescent="0.25">
      <c r="B118" s="269"/>
      <c r="C118" s="270"/>
      <c r="D118" s="271"/>
      <c r="E118" s="236">
        <f t="shared" si="8"/>
        <v>0</v>
      </c>
      <c r="F118" s="269"/>
      <c r="G118" s="270"/>
      <c r="H118" s="271"/>
      <c r="I118" s="262"/>
      <c r="J118" s="263"/>
      <c r="K118" s="262"/>
      <c r="L118" s="263"/>
      <c r="M118" s="262"/>
      <c r="N118" s="263"/>
      <c r="O118" s="262"/>
      <c r="P118" s="263"/>
      <c r="Q118" s="235" t="b">
        <f t="shared" si="7"/>
        <v>0</v>
      </c>
      <c r="R118" s="262"/>
      <c r="S118" s="263"/>
      <c r="T118" s="262"/>
      <c r="U118" s="263"/>
      <c r="V118" s="262"/>
      <c r="W118" s="265"/>
      <c r="X118" s="265"/>
      <c r="Y118" s="263"/>
      <c r="Z118" s="235">
        <f t="shared" si="9"/>
        <v>0</v>
      </c>
      <c r="AA118" s="262"/>
      <c r="AB118" s="265"/>
      <c r="AC118" s="263"/>
      <c r="AD118" s="235">
        <f t="shared" si="10"/>
        <v>0</v>
      </c>
      <c r="AE118" s="262"/>
      <c r="AF118" s="265"/>
      <c r="AG118" s="263"/>
      <c r="AH118" s="235">
        <f t="shared" si="11"/>
        <v>0</v>
      </c>
      <c r="AI118" s="262"/>
      <c r="AJ118" s="265"/>
      <c r="AK118" s="263"/>
      <c r="AL118" s="235">
        <f t="shared" si="12"/>
        <v>0</v>
      </c>
      <c r="AM118" s="262"/>
      <c r="AN118" s="265"/>
      <c r="AO118" s="263"/>
      <c r="AP118" s="262"/>
      <c r="AQ118" s="263"/>
      <c r="AR118" s="262"/>
      <c r="AS118" s="263"/>
      <c r="AT118" s="262"/>
      <c r="AU118" s="265"/>
      <c r="AV118" s="263"/>
      <c r="AW118" s="262"/>
      <c r="AX118" s="265"/>
      <c r="AY118" s="263"/>
      <c r="AZ118" s="24">
        <f t="shared" si="13"/>
        <v>0</v>
      </c>
    </row>
    <row r="119" spans="2:52" s="24" customFormat="1" ht="21.95" customHeight="1" x14ac:dyDescent="0.25">
      <c r="B119" s="269"/>
      <c r="C119" s="270"/>
      <c r="D119" s="271"/>
      <c r="E119" s="236">
        <f t="shared" si="8"/>
        <v>0</v>
      </c>
      <c r="F119" s="269"/>
      <c r="G119" s="270"/>
      <c r="H119" s="271"/>
      <c r="I119" s="262"/>
      <c r="J119" s="263"/>
      <c r="K119" s="262"/>
      <c r="L119" s="263"/>
      <c r="M119" s="262"/>
      <c r="N119" s="263"/>
      <c r="O119" s="262"/>
      <c r="P119" s="263"/>
      <c r="Q119" s="235" t="b">
        <f t="shared" si="7"/>
        <v>0</v>
      </c>
      <c r="R119" s="262"/>
      <c r="S119" s="263"/>
      <c r="T119" s="262"/>
      <c r="U119" s="263"/>
      <c r="V119" s="262"/>
      <c r="W119" s="265"/>
      <c r="X119" s="265"/>
      <c r="Y119" s="263"/>
      <c r="Z119" s="235">
        <f t="shared" si="9"/>
        <v>0</v>
      </c>
      <c r="AA119" s="262"/>
      <c r="AB119" s="265"/>
      <c r="AC119" s="263"/>
      <c r="AD119" s="235">
        <f t="shared" si="10"/>
        <v>0</v>
      </c>
      <c r="AE119" s="262"/>
      <c r="AF119" s="265"/>
      <c r="AG119" s="263"/>
      <c r="AH119" s="235">
        <f t="shared" si="11"/>
        <v>0</v>
      </c>
      <c r="AI119" s="262"/>
      <c r="AJ119" s="265"/>
      <c r="AK119" s="263"/>
      <c r="AL119" s="235">
        <f t="shared" si="12"/>
        <v>0</v>
      </c>
      <c r="AM119" s="262"/>
      <c r="AN119" s="265"/>
      <c r="AO119" s="263"/>
      <c r="AP119" s="262"/>
      <c r="AQ119" s="263"/>
      <c r="AR119" s="262"/>
      <c r="AS119" s="263"/>
      <c r="AT119" s="262"/>
      <c r="AU119" s="265"/>
      <c r="AV119" s="263"/>
      <c r="AW119" s="262"/>
      <c r="AX119" s="265"/>
      <c r="AY119" s="263"/>
      <c r="AZ119" s="24">
        <f t="shared" si="13"/>
        <v>0</v>
      </c>
    </row>
    <row r="120" spans="2:52" s="24" customFormat="1" ht="21.95" customHeight="1" x14ac:dyDescent="0.25">
      <c r="B120" s="269"/>
      <c r="C120" s="270"/>
      <c r="D120" s="271"/>
      <c r="E120" s="236">
        <f t="shared" si="8"/>
        <v>0</v>
      </c>
      <c r="F120" s="269"/>
      <c r="G120" s="270"/>
      <c r="H120" s="271"/>
      <c r="I120" s="262"/>
      <c r="J120" s="263"/>
      <c r="K120" s="262"/>
      <c r="L120" s="263"/>
      <c r="M120" s="262"/>
      <c r="N120" s="263"/>
      <c r="O120" s="262"/>
      <c r="P120" s="263"/>
      <c r="Q120" s="235" t="b">
        <f t="shared" si="7"/>
        <v>0</v>
      </c>
      <c r="R120" s="262"/>
      <c r="S120" s="263"/>
      <c r="T120" s="262"/>
      <c r="U120" s="263"/>
      <c r="V120" s="262"/>
      <c r="W120" s="265"/>
      <c r="X120" s="265"/>
      <c r="Y120" s="263"/>
      <c r="Z120" s="235">
        <f t="shared" si="9"/>
        <v>0</v>
      </c>
      <c r="AA120" s="262"/>
      <c r="AB120" s="265"/>
      <c r="AC120" s="263"/>
      <c r="AD120" s="235">
        <f t="shared" si="10"/>
        <v>0</v>
      </c>
      <c r="AE120" s="262"/>
      <c r="AF120" s="265"/>
      <c r="AG120" s="263"/>
      <c r="AH120" s="235">
        <f t="shared" si="11"/>
        <v>0</v>
      </c>
      <c r="AI120" s="262"/>
      <c r="AJ120" s="265"/>
      <c r="AK120" s="263"/>
      <c r="AL120" s="235">
        <f t="shared" si="12"/>
        <v>0</v>
      </c>
      <c r="AM120" s="262"/>
      <c r="AN120" s="265"/>
      <c r="AO120" s="263"/>
      <c r="AP120" s="262"/>
      <c r="AQ120" s="263"/>
      <c r="AR120" s="262"/>
      <c r="AS120" s="263"/>
      <c r="AT120" s="262"/>
      <c r="AU120" s="265"/>
      <c r="AV120" s="263"/>
      <c r="AW120" s="262"/>
      <c r="AX120" s="265"/>
      <c r="AY120" s="263"/>
      <c r="AZ120" s="24">
        <f t="shared" si="13"/>
        <v>0</v>
      </c>
    </row>
    <row r="121" spans="2:52" s="24" customFormat="1" ht="21.95" customHeight="1" x14ac:dyDescent="0.25">
      <c r="B121" s="269"/>
      <c r="C121" s="270"/>
      <c r="D121" s="271"/>
      <c r="E121" s="236">
        <f t="shared" si="8"/>
        <v>0</v>
      </c>
      <c r="F121" s="269"/>
      <c r="G121" s="270"/>
      <c r="H121" s="271"/>
      <c r="I121" s="262"/>
      <c r="J121" s="263"/>
      <c r="K121" s="262"/>
      <c r="L121" s="263"/>
      <c r="M121" s="262"/>
      <c r="N121" s="263"/>
      <c r="O121" s="262"/>
      <c r="P121" s="263"/>
      <c r="Q121" s="235" t="b">
        <f t="shared" si="7"/>
        <v>0</v>
      </c>
      <c r="R121" s="262"/>
      <c r="S121" s="263"/>
      <c r="T121" s="262"/>
      <c r="U121" s="263"/>
      <c r="V121" s="262"/>
      <c r="W121" s="265"/>
      <c r="X121" s="265"/>
      <c r="Y121" s="263"/>
      <c r="Z121" s="235">
        <f t="shared" si="9"/>
        <v>0</v>
      </c>
      <c r="AA121" s="262"/>
      <c r="AB121" s="265"/>
      <c r="AC121" s="263"/>
      <c r="AD121" s="235">
        <f t="shared" si="10"/>
        <v>0</v>
      </c>
      <c r="AE121" s="262"/>
      <c r="AF121" s="265"/>
      <c r="AG121" s="263"/>
      <c r="AH121" s="235">
        <f t="shared" si="11"/>
        <v>0</v>
      </c>
      <c r="AI121" s="262"/>
      <c r="AJ121" s="265"/>
      <c r="AK121" s="263"/>
      <c r="AL121" s="235">
        <f t="shared" si="12"/>
        <v>0</v>
      </c>
      <c r="AM121" s="262"/>
      <c r="AN121" s="265"/>
      <c r="AO121" s="263"/>
      <c r="AP121" s="262"/>
      <c r="AQ121" s="263"/>
      <c r="AR121" s="262"/>
      <c r="AS121" s="263"/>
      <c r="AT121" s="262"/>
      <c r="AU121" s="265"/>
      <c r="AV121" s="263"/>
      <c r="AW121" s="262"/>
      <c r="AX121" s="265"/>
      <c r="AY121" s="263"/>
      <c r="AZ121" s="24">
        <f t="shared" si="13"/>
        <v>0</v>
      </c>
    </row>
    <row r="122" spans="2:52" s="24" customFormat="1" ht="21.95" customHeight="1" x14ac:dyDescent="0.25">
      <c r="B122" s="269"/>
      <c r="C122" s="270"/>
      <c r="D122" s="271"/>
      <c r="E122" s="236">
        <f t="shared" si="8"/>
        <v>0</v>
      </c>
      <c r="F122" s="269"/>
      <c r="G122" s="270"/>
      <c r="H122" s="271"/>
      <c r="I122" s="262"/>
      <c r="J122" s="263"/>
      <c r="K122" s="262"/>
      <c r="L122" s="263"/>
      <c r="M122" s="262"/>
      <c r="N122" s="263"/>
      <c r="O122" s="262"/>
      <c r="P122" s="263"/>
      <c r="Q122" s="235" t="b">
        <f t="shared" si="7"/>
        <v>0</v>
      </c>
      <c r="R122" s="262"/>
      <c r="S122" s="263"/>
      <c r="T122" s="262"/>
      <c r="U122" s="263"/>
      <c r="V122" s="262"/>
      <c r="W122" s="265"/>
      <c r="X122" s="265"/>
      <c r="Y122" s="263"/>
      <c r="Z122" s="235">
        <f t="shared" si="9"/>
        <v>0</v>
      </c>
      <c r="AA122" s="262"/>
      <c r="AB122" s="265"/>
      <c r="AC122" s="263"/>
      <c r="AD122" s="235">
        <f t="shared" si="10"/>
        <v>0</v>
      </c>
      <c r="AE122" s="262"/>
      <c r="AF122" s="265"/>
      <c r="AG122" s="263"/>
      <c r="AH122" s="235">
        <f t="shared" si="11"/>
        <v>0</v>
      </c>
      <c r="AI122" s="262"/>
      <c r="AJ122" s="265"/>
      <c r="AK122" s="263"/>
      <c r="AL122" s="235">
        <f t="shared" si="12"/>
        <v>0</v>
      </c>
      <c r="AM122" s="262"/>
      <c r="AN122" s="265"/>
      <c r="AO122" s="263"/>
      <c r="AP122" s="262"/>
      <c r="AQ122" s="263"/>
      <c r="AR122" s="262"/>
      <c r="AS122" s="263"/>
      <c r="AT122" s="262"/>
      <c r="AU122" s="265"/>
      <c r="AV122" s="263"/>
      <c r="AW122" s="262"/>
      <c r="AX122" s="265"/>
      <c r="AY122" s="263"/>
      <c r="AZ122" s="24">
        <f t="shared" si="13"/>
        <v>0</v>
      </c>
    </row>
    <row r="123" spans="2:52" s="24" customFormat="1" ht="21.95" customHeight="1" x14ac:dyDescent="0.25">
      <c r="B123" s="269"/>
      <c r="C123" s="270"/>
      <c r="D123" s="271"/>
      <c r="E123" s="236">
        <f t="shared" si="8"/>
        <v>0</v>
      </c>
      <c r="F123" s="269"/>
      <c r="G123" s="270"/>
      <c r="H123" s="271"/>
      <c r="I123" s="262"/>
      <c r="J123" s="263"/>
      <c r="K123" s="262"/>
      <c r="L123" s="263"/>
      <c r="M123" s="262"/>
      <c r="N123" s="263"/>
      <c r="O123" s="262"/>
      <c r="P123" s="263"/>
      <c r="Q123" s="235" t="b">
        <f t="shared" si="7"/>
        <v>0</v>
      </c>
      <c r="R123" s="262"/>
      <c r="S123" s="263"/>
      <c r="T123" s="262"/>
      <c r="U123" s="263"/>
      <c r="V123" s="262"/>
      <c r="W123" s="265"/>
      <c r="X123" s="265"/>
      <c r="Y123" s="263"/>
      <c r="Z123" s="235">
        <f t="shared" si="9"/>
        <v>0</v>
      </c>
      <c r="AA123" s="262"/>
      <c r="AB123" s="265"/>
      <c r="AC123" s="263"/>
      <c r="AD123" s="235">
        <f t="shared" si="10"/>
        <v>0</v>
      </c>
      <c r="AE123" s="262"/>
      <c r="AF123" s="265"/>
      <c r="AG123" s="263"/>
      <c r="AH123" s="235">
        <f t="shared" si="11"/>
        <v>0</v>
      </c>
      <c r="AI123" s="262"/>
      <c r="AJ123" s="265"/>
      <c r="AK123" s="263"/>
      <c r="AL123" s="235">
        <f t="shared" si="12"/>
        <v>0</v>
      </c>
      <c r="AM123" s="262"/>
      <c r="AN123" s="265"/>
      <c r="AO123" s="263"/>
      <c r="AP123" s="262"/>
      <c r="AQ123" s="263"/>
      <c r="AR123" s="262"/>
      <c r="AS123" s="263"/>
      <c r="AT123" s="262"/>
      <c r="AU123" s="265"/>
      <c r="AV123" s="263"/>
      <c r="AW123" s="262"/>
      <c r="AX123" s="265"/>
      <c r="AY123" s="263"/>
      <c r="AZ123" s="24">
        <f t="shared" si="13"/>
        <v>0</v>
      </c>
    </row>
    <row r="124" spans="2:52" s="24" customFormat="1" ht="21.95" customHeight="1" x14ac:dyDescent="0.25">
      <c r="B124" s="269"/>
      <c r="C124" s="270"/>
      <c r="D124" s="271"/>
      <c r="E124" s="236">
        <f t="shared" si="8"/>
        <v>0</v>
      </c>
      <c r="F124" s="269"/>
      <c r="G124" s="270"/>
      <c r="H124" s="271"/>
      <c r="I124" s="262"/>
      <c r="J124" s="263"/>
      <c r="K124" s="262"/>
      <c r="L124" s="263"/>
      <c r="M124" s="262"/>
      <c r="N124" s="263"/>
      <c r="O124" s="262"/>
      <c r="P124" s="263"/>
      <c r="Q124" s="235" t="b">
        <f t="shared" si="7"/>
        <v>0</v>
      </c>
      <c r="R124" s="262"/>
      <c r="S124" s="263"/>
      <c r="T124" s="262"/>
      <c r="U124" s="263"/>
      <c r="V124" s="262"/>
      <c r="W124" s="265"/>
      <c r="X124" s="265"/>
      <c r="Y124" s="263"/>
      <c r="Z124" s="235">
        <f t="shared" si="9"/>
        <v>0</v>
      </c>
      <c r="AA124" s="262"/>
      <c r="AB124" s="265"/>
      <c r="AC124" s="263"/>
      <c r="AD124" s="235">
        <f t="shared" si="10"/>
        <v>0</v>
      </c>
      <c r="AE124" s="262"/>
      <c r="AF124" s="265"/>
      <c r="AG124" s="263"/>
      <c r="AH124" s="235">
        <f t="shared" si="11"/>
        <v>0</v>
      </c>
      <c r="AI124" s="262"/>
      <c r="AJ124" s="265"/>
      <c r="AK124" s="263"/>
      <c r="AL124" s="235">
        <f t="shared" si="12"/>
        <v>0</v>
      </c>
      <c r="AM124" s="262"/>
      <c r="AN124" s="265"/>
      <c r="AO124" s="263"/>
      <c r="AP124" s="262"/>
      <c r="AQ124" s="263"/>
      <c r="AR124" s="262"/>
      <c r="AS124" s="263"/>
      <c r="AT124" s="262"/>
      <c r="AU124" s="265"/>
      <c r="AV124" s="263"/>
      <c r="AW124" s="262"/>
      <c r="AX124" s="265"/>
      <c r="AY124" s="263"/>
      <c r="AZ124" s="24">
        <f t="shared" si="13"/>
        <v>0</v>
      </c>
    </row>
    <row r="125" spans="2:52" s="24" customFormat="1" ht="21.95" customHeight="1" x14ac:dyDescent="0.25">
      <c r="B125" s="269"/>
      <c r="C125" s="270"/>
      <c r="D125" s="271"/>
      <c r="E125" s="236">
        <f t="shared" si="8"/>
        <v>0</v>
      </c>
      <c r="F125" s="269"/>
      <c r="G125" s="270"/>
      <c r="H125" s="271"/>
      <c r="I125" s="262"/>
      <c r="J125" s="263"/>
      <c r="K125" s="262"/>
      <c r="L125" s="263"/>
      <c r="M125" s="262"/>
      <c r="N125" s="263"/>
      <c r="O125" s="262"/>
      <c r="P125" s="263"/>
      <c r="Q125" s="235" t="b">
        <f t="shared" si="7"/>
        <v>0</v>
      </c>
      <c r="R125" s="262"/>
      <c r="S125" s="263"/>
      <c r="T125" s="262"/>
      <c r="U125" s="263"/>
      <c r="V125" s="262"/>
      <c r="W125" s="265"/>
      <c r="X125" s="265"/>
      <c r="Y125" s="263"/>
      <c r="Z125" s="235">
        <f t="shared" si="9"/>
        <v>0</v>
      </c>
      <c r="AA125" s="262"/>
      <c r="AB125" s="265"/>
      <c r="AC125" s="263"/>
      <c r="AD125" s="235">
        <f t="shared" si="10"/>
        <v>0</v>
      </c>
      <c r="AE125" s="262"/>
      <c r="AF125" s="265"/>
      <c r="AG125" s="263"/>
      <c r="AH125" s="235">
        <f t="shared" si="11"/>
        <v>0</v>
      </c>
      <c r="AI125" s="262"/>
      <c r="AJ125" s="265"/>
      <c r="AK125" s="263"/>
      <c r="AL125" s="235">
        <f t="shared" si="12"/>
        <v>0</v>
      </c>
      <c r="AM125" s="262"/>
      <c r="AN125" s="265"/>
      <c r="AO125" s="263"/>
      <c r="AP125" s="262"/>
      <c r="AQ125" s="263"/>
      <c r="AR125" s="262"/>
      <c r="AS125" s="263"/>
      <c r="AT125" s="262"/>
      <c r="AU125" s="265"/>
      <c r="AV125" s="263"/>
      <c r="AW125" s="262"/>
      <c r="AX125" s="265"/>
      <c r="AY125" s="263"/>
      <c r="AZ125" s="24">
        <f t="shared" si="13"/>
        <v>0</v>
      </c>
    </row>
    <row r="126" spans="2:52" s="24" customFormat="1" ht="21.95" customHeight="1" x14ac:dyDescent="0.25">
      <c r="B126" s="269"/>
      <c r="C126" s="270"/>
      <c r="D126" s="271"/>
      <c r="E126" s="236">
        <f t="shared" si="8"/>
        <v>0</v>
      </c>
      <c r="F126" s="269"/>
      <c r="G126" s="270"/>
      <c r="H126" s="271"/>
      <c r="I126" s="262"/>
      <c r="J126" s="263"/>
      <c r="K126" s="262"/>
      <c r="L126" s="263"/>
      <c r="M126" s="262"/>
      <c r="N126" s="263"/>
      <c r="O126" s="262"/>
      <c r="P126" s="263"/>
      <c r="Q126" s="235" t="b">
        <f t="shared" si="7"/>
        <v>0</v>
      </c>
      <c r="R126" s="262"/>
      <c r="S126" s="263"/>
      <c r="T126" s="262"/>
      <c r="U126" s="263"/>
      <c r="V126" s="262"/>
      <c r="W126" s="265"/>
      <c r="X126" s="265"/>
      <c r="Y126" s="263"/>
      <c r="Z126" s="235">
        <f t="shared" si="9"/>
        <v>0</v>
      </c>
      <c r="AA126" s="262"/>
      <c r="AB126" s="265"/>
      <c r="AC126" s="263"/>
      <c r="AD126" s="235">
        <f t="shared" si="10"/>
        <v>0</v>
      </c>
      <c r="AE126" s="262"/>
      <c r="AF126" s="265"/>
      <c r="AG126" s="263"/>
      <c r="AH126" s="235">
        <f t="shared" si="11"/>
        <v>0</v>
      </c>
      <c r="AI126" s="262"/>
      <c r="AJ126" s="265"/>
      <c r="AK126" s="263"/>
      <c r="AL126" s="235">
        <f t="shared" si="12"/>
        <v>0</v>
      </c>
      <c r="AM126" s="262"/>
      <c r="AN126" s="265"/>
      <c r="AO126" s="263"/>
      <c r="AP126" s="262"/>
      <c r="AQ126" s="263"/>
      <c r="AR126" s="262"/>
      <c r="AS126" s="263"/>
      <c r="AT126" s="262"/>
      <c r="AU126" s="265"/>
      <c r="AV126" s="263"/>
      <c r="AW126" s="262"/>
      <c r="AX126" s="265"/>
      <c r="AY126" s="263"/>
      <c r="AZ126" s="24">
        <f t="shared" si="13"/>
        <v>0</v>
      </c>
    </row>
    <row r="127" spans="2:52" s="24" customFormat="1" ht="21.95" customHeight="1" x14ac:dyDescent="0.25">
      <c r="B127" s="269"/>
      <c r="C127" s="270"/>
      <c r="D127" s="271"/>
      <c r="E127" s="236">
        <f t="shared" si="8"/>
        <v>0</v>
      </c>
      <c r="F127" s="269"/>
      <c r="G127" s="270"/>
      <c r="H127" s="271"/>
      <c r="I127" s="262"/>
      <c r="J127" s="263"/>
      <c r="K127" s="262"/>
      <c r="L127" s="263"/>
      <c r="M127" s="262"/>
      <c r="N127" s="263"/>
      <c r="O127" s="262"/>
      <c r="P127" s="263"/>
      <c r="Q127" s="235" t="b">
        <f t="shared" si="7"/>
        <v>0</v>
      </c>
      <c r="R127" s="262"/>
      <c r="S127" s="263"/>
      <c r="T127" s="262"/>
      <c r="U127" s="263"/>
      <c r="V127" s="262"/>
      <c r="W127" s="265"/>
      <c r="X127" s="265"/>
      <c r="Y127" s="263"/>
      <c r="Z127" s="235">
        <f t="shared" si="9"/>
        <v>0</v>
      </c>
      <c r="AA127" s="262"/>
      <c r="AB127" s="265"/>
      <c r="AC127" s="263"/>
      <c r="AD127" s="235">
        <f t="shared" si="10"/>
        <v>0</v>
      </c>
      <c r="AE127" s="262"/>
      <c r="AF127" s="265"/>
      <c r="AG127" s="263"/>
      <c r="AH127" s="235">
        <f t="shared" si="11"/>
        <v>0</v>
      </c>
      <c r="AI127" s="262"/>
      <c r="AJ127" s="265"/>
      <c r="AK127" s="263"/>
      <c r="AL127" s="235">
        <f t="shared" si="12"/>
        <v>0</v>
      </c>
      <c r="AM127" s="262"/>
      <c r="AN127" s="265"/>
      <c r="AO127" s="263"/>
      <c r="AP127" s="262"/>
      <c r="AQ127" s="263"/>
      <c r="AR127" s="262"/>
      <c r="AS127" s="263"/>
      <c r="AT127" s="262"/>
      <c r="AU127" s="265"/>
      <c r="AV127" s="263"/>
      <c r="AW127" s="262"/>
      <c r="AX127" s="265"/>
      <c r="AY127" s="263"/>
      <c r="AZ127" s="24">
        <f t="shared" si="13"/>
        <v>0</v>
      </c>
    </row>
    <row r="128" spans="2:52" s="24" customFormat="1" ht="21.95" customHeight="1" x14ac:dyDescent="0.25">
      <c r="B128" s="269"/>
      <c r="C128" s="270"/>
      <c r="D128" s="271"/>
      <c r="E128" s="236">
        <f t="shared" si="8"/>
        <v>0</v>
      </c>
      <c r="F128" s="269"/>
      <c r="G128" s="270"/>
      <c r="H128" s="271"/>
      <c r="I128" s="262"/>
      <c r="J128" s="263"/>
      <c r="K128" s="262"/>
      <c r="L128" s="263"/>
      <c r="M128" s="262"/>
      <c r="N128" s="263"/>
      <c r="O128" s="262"/>
      <c r="P128" s="263"/>
      <c r="Q128" s="235" t="b">
        <f t="shared" si="7"/>
        <v>0</v>
      </c>
      <c r="R128" s="262"/>
      <c r="S128" s="263"/>
      <c r="T128" s="262"/>
      <c r="U128" s="263"/>
      <c r="V128" s="262"/>
      <c r="W128" s="265"/>
      <c r="X128" s="265"/>
      <c r="Y128" s="263"/>
      <c r="Z128" s="235">
        <f t="shared" si="9"/>
        <v>0</v>
      </c>
      <c r="AA128" s="262"/>
      <c r="AB128" s="265"/>
      <c r="AC128" s="263"/>
      <c r="AD128" s="235">
        <f t="shared" si="10"/>
        <v>0</v>
      </c>
      <c r="AE128" s="262"/>
      <c r="AF128" s="265"/>
      <c r="AG128" s="263"/>
      <c r="AH128" s="235">
        <f t="shared" si="11"/>
        <v>0</v>
      </c>
      <c r="AI128" s="262"/>
      <c r="AJ128" s="265"/>
      <c r="AK128" s="263"/>
      <c r="AL128" s="235">
        <f t="shared" si="12"/>
        <v>0</v>
      </c>
      <c r="AM128" s="262"/>
      <c r="AN128" s="265"/>
      <c r="AO128" s="263"/>
      <c r="AP128" s="262"/>
      <c r="AQ128" s="263"/>
      <c r="AR128" s="262"/>
      <c r="AS128" s="263"/>
      <c r="AT128" s="262"/>
      <c r="AU128" s="265"/>
      <c r="AV128" s="263"/>
      <c r="AW128" s="262"/>
      <c r="AX128" s="265"/>
      <c r="AY128" s="263"/>
      <c r="AZ128" s="24">
        <f t="shared" si="13"/>
        <v>0</v>
      </c>
    </row>
    <row r="129" spans="2:52" s="24" customFormat="1" ht="21.95" customHeight="1" x14ac:dyDescent="0.25">
      <c r="B129" s="269"/>
      <c r="C129" s="270"/>
      <c r="D129" s="271"/>
      <c r="E129" s="236">
        <f t="shared" si="8"/>
        <v>0</v>
      </c>
      <c r="F129" s="269"/>
      <c r="G129" s="270"/>
      <c r="H129" s="271"/>
      <c r="I129" s="262"/>
      <c r="J129" s="263"/>
      <c r="K129" s="262"/>
      <c r="L129" s="263"/>
      <c r="M129" s="262"/>
      <c r="N129" s="263"/>
      <c r="O129" s="262"/>
      <c r="P129" s="263"/>
      <c r="Q129" s="235" t="b">
        <f t="shared" si="7"/>
        <v>0</v>
      </c>
      <c r="R129" s="262"/>
      <c r="S129" s="263"/>
      <c r="T129" s="262"/>
      <c r="U129" s="263"/>
      <c r="V129" s="262"/>
      <c r="W129" s="265"/>
      <c r="X129" s="265"/>
      <c r="Y129" s="263"/>
      <c r="Z129" s="235">
        <f t="shared" si="9"/>
        <v>0</v>
      </c>
      <c r="AA129" s="262"/>
      <c r="AB129" s="265"/>
      <c r="AC129" s="263"/>
      <c r="AD129" s="235">
        <f t="shared" si="10"/>
        <v>0</v>
      </c>
      <c r="AE129" s="262"/>
      <c r="AF129" s="265"/>
      <c r="AG129" s="263"/>
      <c r="AH129" s="235">
        <f t="shared" si="11"/>
        <v>0</v>
      </c>
      <c r="AI129" s="262"/>
      <c r="AJ129" s="265"/>
      <c r="AK129" s="263"/>
      <c r="AL129" s="235">
        <f t="shared" si="12"/>
        <v>0</v>
      </c>
      <c r="AM129" s="262"/>
      <c r="AN129" s="265"/>
      <c r="AO129" s="263"/>
      <c r="AP129" s="262"/>
      <c r="AQ129" s="263"/>
      <c r="AR129" s="262"/>
      <c r="AS129" s="263"/>
      <c r="AT129" s="262"/>
      <c r="AU129" s="265"/>
      <c r="AV129" s="263"/>
      <c r="AW129" s="262"/>
      <c r="AX129" s="265"/>
      <c r="AY129" s="263"/>
      <c r="AZ129" s="24">
        <f t="shared" si="13"/>
        <v>0</v>
      </c>
    </row>
    <row r="130" spans="2:52" s="24" customFormat="1" ht="21.95" customHeight="1" x14ac:dyDescent="0.25">
      <c r="B130" s="269"/>
      <c r="C130" s="270"/>
      <c r="D130" s="271"/>
      <c r="E130" s="236">
        <f t="shared" si="8"/>
        <v>0</v>
      </c>
      <c r="F130" s="269"/>
      <c r="G130" s="270"/>
      <c r="H130" s="271"/>
      <c r="I130" s="262"/>
      <c r="J130" s="263"/>
      <c r="K130" s="262"/>
      <c r="L130" s="263"/>
      <c r="M130" s="262"/>
      <c r="N130" s="263"/>
      <c r="O130" s="262"/>
      <c r="P130" s="263"/>
      <c r="Q130" s="235" t="b">
        <f t="shared" si="7"/>
        <v>0</v>
      </c>
      <c r="R130" s="262"/>
      <c r="S130" s="263"/>
      <c r="T130" s="262"/>
      <c r="U130" s="263"/>
      <c r="V130" s="262"/>
      <c r="W130" s="265"/>
      <c r="X130" s="265"/>
      <c r="Y130" s="263"/>
      <c r="Z130" s="235">
        <f t="shared" si="9"/>
        <v>0</v>
      </c>
      <c r="AA130" s="262"/>
      <c r="AB130" s="265"/>
      <c r="AC130" s="263"/>
      <c r="AD130" s="235">
        <f t="shared" si="10"/>
        <v>0</v>
      </c>
      <c r="AE130" s="262"/>
      <c r="AF130" s="265"/>
      <c r="AG130" s="263"/>
      <c r="AH130" s="235">
        <f t="shared" si="11"/>
        <v>0</v>
      </c>
      <c r="AI130" s="262"/>
      <c r="AJ130" s="265"/>
      <c r="AK130" s="263"/>
      <c r="AL130" s="235">
        <f t="shared" si="12"/>
        <v>0</v>
      </c>
      <c r="AM130" s="262"/>
      <c r="AN130" s="265"/>
      <c r="AO130" s="263"/>
      <c r="AP130" s="262"/>
      <c r="AQ130" s="263"/>
      <c r="AR130" s="262"/>
      <c r="AS130" s="263"/>
      <c r="AT130" s="262"/>
      <c r="AU130" s="265"/>
      <c r="AV130" s="263"/>
      <c r="AW130" s="262"/>
      <c r="AX130" s="265"/>
      <c r="AY130" s="263"/>
      <c r="AZ130" s="24">
        <f t="shared" si="13"/>
        <v>0</v>
      </c>
    </row>
    <row r="131" spans="2:52" s="24" customFormat="1" ht="21.95" customHeight="1" x14ac:dyDescent="0.25">
      <c r="B131" s="269"/>
      <c r="C131" s="270"/>
      <c r="D131" s="271"/>
      <c r="E131" s="236">
        <f t="shared" si="8"/>
        <v>0</v>
      </c>
      <c r="F131" s="269"/>
      <c r="G131" s="270"/>
      <c r="H131" s="271"/>
      <c r="I131" s="262"/>
      <c r="J131" s="263"/>
      <c r="K131" s="262"/>
      <c r="L131" s="263"/>
      <c r="M131" s="262"/>
      <c r="N131" s="263"/>
      <c r="O131" s="262"/>
      <c r="P131" s="263"/>
      <c r="Q131" s="235" t="b">
        <f t="shared" si="7"/>
        <v>0</v>
      </c>
      <c r="R131" s="262"/>
      <c r="S131" s="263"/>
      <c r="T131" s="262"/>
      <c r="U131" s="263"/>
      <c r="V131" s="262"/>
      <c r="W131" s="265"/>
      <c r="X131" s="265"/>
      <c r="Y131" s="263"/>
      <c r="Z131" s="235">
        <f t="shared" si="9"/>
        <v>0</v>
      </c>
      <c r="AA131" s="262"/>
      <c r="AB131" s="265"/>
      <c r="AC131" s="263"/>
      <c r="AD131" s="235">
        <f t="shared" si="10"/>
        <v>0</v>
      </c>
      <c r="AE131" s="262"/>
      <c r="AF131" s="265"/>
      <c r="AG131" s="263"/>
      <c r="AH131" s="235">
        <f t="shared" si="11"/>
        <v>0</v>
      </c>
      <c r="AI131" s="262"/>
      <c r="AJ131" s="265"/>
      <c r="AK131" s="263"/>
      <c r="AL131" s="235">
        <f t="shared" si="12"/>
        <v>0</v>
      </c>
      <c r="AM131" s="262"/>
      <c r="AN131" s="265"/>
      <c r="AO131" s="263"/>
      <c r="AP131" s="262"/>
      <c r="AQ131" s="263"/>
      <c r="AR131" s="262"/>
      <c r="AS131" s="263"/>
      <c r="AT131" s="262"/>
      <c r="AU131" s="265"/>
      <c r="AV131" s="263"/>
      <c r="AW131" s="262"/>
      <c r="AX131" s="265"/>
      <c r="AY131" s="263"/>
      <c r="AZ131" s="24">
        <f t="shared" si="13"/>
        <v>0</v>
      </c>
    </row>
    <row r="132" spans="2:52" s="24" customFormat="1" ht="21.95" customHeight="1" x14ac:dyDescent="0.25">
      <c r="B132" s="269"/>
      <c r="C132" s="270"/>
      <c r="D132" s="271"/>
      <c r="E132" s="236">
        <f t="shared" si="8"/>
        <v>0</v>
      </c>
      <c r="F132" s="269"/>
      <c r="G132" s="270"/>
      <c r="H132" s="271"/>
      <c r="I132" s="262"/>
      <c r="J132" s="263"/>
      <c r="K132" s="262"/>
      <c r="L132" s="263"/>
      <c r="M132" s="262"/>
      <c r="N132" s="263"/>
      <c r="O132" s="262"/>
      <c r="P132" s="263"/>
      <c r="Q132" s="235" t="b">
        <f t="shared" si="7"/>
        <v>0</v>
      </c>
      <c r="R132" s="262"/>
      <c r="S132" s="263"/>
      <c r="T132" s="262"/>
      <c r="U132" s="263"/>
      <c r="V132" s="262"/>
      <c r="W132" s="265"/>
      <c r="X132" s="265"/>
      <c r="Y132" s="263"/>
      <c r="Z132" s="235">
        <f t="shared" si="9"/>
        <v>0</v>
      </c>
      <c r="AA132" s="262"/>
      <c r="AB132" s="265"/>
      <c r="AC132" s="263"/>
      <c r="AD132" s="235">
        <f t="shared" si="10"/>
        <v>0</v>
      </c>
      <c r="AE132" s="262"/>
      <c r="AF132" s="265"/>
      <c r="AG132" s="263"/>
      <c r="AH132" s="235">
        <f t="shared" si="11"/>
        <v>0</v>
      </c>
      <c r="AI132" s="262"/>
      <c r="AJ132" s="265"/>
      <c r="AK132" s="263"/>
      <c r="AL132" s="235">
        <f t="shared" si="12"/>
        <v>0</v>
      </c>
      <c r="AM132" s="262"/>
      <c r="AN132" s="265"/>
      <c r="AO132" s="263"/>
      <c r="AP132" s="262"/>
      <c r="AQ132" s="263"/>
      <c r="AR132" s="262"/>
      <c r="AS132" s="263"/>
      <c r="AT132" s="262"/>
      <c r="AU132" s="265"/>
      <c r="AV132" s="263"/>
      <c r="AW132" s="262"/>
      <c r="AX132" s="265"/>
      <c r="AY132" s="263"/>
      <c r="AZ132" s="24">
        <f t="shared" si="13"/>
        <v>0</v>
      </c>
    </row>
    <row r="133" spans="2:52" s="24" customFormat="1" ht="21.95" customHeight="1" x14ac:dyDescent="0.25">
      <c r="B133" s="269"/>
      <c r="C133" s="270"/>
      <c r="D133" s="271"/>
      <c r="E133" s="236">
        <f t="shared" si="8"/>
        <v>0</v>
      </c>
      <c r="F133" s="269"/>
      <c r="G133" s="270"/>
      <c r="H133" s="271"/>
      <c r="I133" s="262"/>
      <c r="J133" s="263"/>
      <c r="K133" s="262"/>
      <c r="L133" s="263"/>
      <c r="M133" s="262"/>
      <c r="N133" s="263"/>
      <c r="O133" s="262"/>
      <c r="P133" s="263"/>
      <c r="Q133" s="235" t="b">
        <f t="shared" si="7"/>
        <v>0</v>
      </c>
      <c r="R133" s="262"/>
      <c r="S133" s="263"/>
      <c r="T133" s="262"/>
      <c r="U133" s="263"/>
      <c r="V133" s="262"/>
      <c r="W133" s="265"/>
      <c r="X133" s="265"/>
      <c r="Y133" s="263"/>
      <c r="Z133" s="235">
        <f t="shared" si="9"/>
        <v>0</v>
      </c>
      <c r="AA133" s="262"/>
      <c r="AB133" s="265"/>
      <c r="AC133" s="263"/>
      <c r="AD133" s="235">
        <f t="shared" si="10"/>
        <v>0</v>
      </c>
      <c r="AE133" s="262"/>
      <c r="AF133" s="265"/>
      <c r="AG133" s="263"/>
      <c r="AH133" s="235">
        <f t="shared" si="11"/>
        <v>0</v>
      </c>
      <c r="AI133" s="262"/>
      <c r="AJ133" s="265"/>
      <c r="AK133" s="263"/>
      <c r="AL133" s="235">
        <f t="shared" si="12"/>
        <v>0</v>
      </c>
      <c r="AM133" s="262"/>
      <c r="AN133" s="265"/>
      <c r="AO133" s="263"/>
      <c r="AP133" s="262"/>
      <c r="AQ133" s="263"/>
      <c r="AR133" s="262"/>
      <c r="AS133" s="263"/>
      <c r="AT133" s="262"/>
      <c r="AU133" s="265"/>
      <c r="AV133" s="263"/>
      <c r="AW133" s="262"/>
      <c r="AX133" s="265"/>
      <c r="AY133" s="263"/>
      <c r="AZ133" s="24">
        <f t="shared" si="13"/>
        <v>0</v>
      </c>
    </row>
    <row r="134" spans="2:52" s="24" customFormat="1" ht="21.95" customHeight="1" x14ac:dyDescent="0.25">
      <c r="B134" s="269"/>
      <c r="C134" s="270"/>
      <c r="D134" s="271"/>
      <c r="E134" s="236">
        <f t="shared" si="8"/>
        <v>0</v>
      </c>
      <c r="F134" s="269"/>
      <c r="G134" s="270"/>
      <c r="H134" s="271"/>
      <c r="I134" s="262"/>
      <c r="J134" s="263"/>
      <c r="K134" s="262"/>
      <c r="L134" s="263"/>
      <c r="M134" s="262"/>
      <c r="N134" s="263"/>
      <c r="O134" s="262"/>
      <c r="P134" s="263"/>
      <c r="Q134" s="235" t="b">
        <f t="shared" si="7"/>
        <v>0</v>
      </c>
      <c r="R134" s="262"/>
      <c r="S134" s="263"/>
      <c r="T134" s="262"/>
      <c r="U134" s="263"/>
      <c r="V134" s="262"/>
      <c r="W134" s="265"/>
      <c r="X134" s="265"/>
      <c r="Y134" s="263"/>
      <c r="Z134" s="235">
        <f t="shared" si="9"/>
        <v>0</v>
      </c>
      <c r="AA134" s="262"/>
      <c r="AB134" s="265"/>
      <c r="AC134" s="263"/>
      <c r="AD134" s="235">
        <f t="shared" si="10"/>
        <v>0</v>
      </c>
      <c r="AE134" s="262"/>
      <c r="AF134" s="265"/>
      <c r="AG134" s="263"/>
      <c r="AH134" s="235">
        <f t="shared" si="11"/>
        <v>0</v>
      </c>
      <c r="AI134" s="262"/>
      <c r="AJ134" s="265"/>
      <c r="AK134" s="263"/>
      <c r="AL134" s="235">
        <f t="shared" si="12"/>
        <v>0</v>
      </c>
      <c r="AM134" s="262"/>
      <c r="AN134" s="265"/>
      <c r="AO134" s="263"/>
      <c r="AP134" s="262"/>
      <c r="AQ134" s="263"/>
      <c r="AR134" s="262"/>
      <c r="AS134" s="263"/>
      <c r="AT134" s="262"/>
      <c r="AU134" s="265"/>
      <c r="AV134" s="263"/>
      <c r="AW134" s="262"/>
      <c r="AX134" s="265"/>
      <c r="AY134" s="263"/>
      <c r="AZ134" s="24">
        <f t="shared" si="13"/>
        <v>0</v>
      </c>
    </row>
    <row r="135" spans="2:52" s="24" customFormat="1" ht="21.95" customHeight="1" x14ac:dyDescent="0.25">
      <c r="B135" s="269"/>
      <c r="C135" s="270"/>
      <c r="D135" s="271"/>
      <c r="E135" s="236">
        <f t="shared" si="8"/>
        <v>0</v>
      </c>
      <c r="F135" s="269"/>
      <c r="G135" s="270"/>
      <c r="H135" s="271"/>
      <c r="I135" s="262"/>
      <c r="J135" s="263"/>
      <c r="K135" s="262"/>
      <c r="L135" s="263"/>
      <c r="M135" s="262"/>
      <c r="N135" s="263"/>
      <c r="O135" s="262"/>
      <c r="P135" s="263"/>
      <c r="Q135" s="235" t="b">
        <f t="shared" si="7"/>
        <v>0</v>
      </c>
      <c r="R135" s="262"/>
      <c r="S135" s="263"/>
      <c r="T135" s="262"/>
      <c r="U135" s="263"/>
      <c r="V135" s="262"/>
      <c r="W135" s="265"/>
      <c r="X135" s="265"/>
      <c r="Y135" s="263"/>
      <c r="Z135" s="235">
        <f t="shared" si="9"/>
        <v>0</v>
      </c>
      <c r="AA135" s="262"/>
      <c r="AB135" s="265"/>
      <c r="AC135" s="263"/>
      <c r="AD135" s="235">
        <f t="shared" si="10"/>
        <v>0</v>
      </c>
      <c r="AE135" s="262"/>
      <c r="AF135" s="265"/>
      <c r="AG135" s="263"/>
      <c r="AH135" s="235">
        <f t="shared" si="11"/>
        <v>0</v>
      </c>
      <c r="AI135" s="262"/>
      <c r="AJ135" s="265"/>
      <c r="AK135" s="263"/>
      <c r="AL135" s="235">
        <f t="shared" si="12"/>
        <v>0</v>
      </c>
      <c r="AM135" s="262"/>
      <c r="AN135" s="265"/>
      <c r="AO135" s="263"/>
      <c r="AP135" s="262"/>
      <c r="AQ135" s="263"/>
      <c r="AR135" s="262"/>
      <c r="AS135" s="263"/>
      <c r="AT135" s="262"/>
      <c r="AU135" s="265"/>
      <c r="AV135" s="263"/>
      <c r="AW135" s="262"/>
      <c r="AX135" s="265"/>
      <c r="AY135" s="263"/>
      <c r="AZ135" s="24">
        <f t="shared" si="13"/>
        <v>0</v>
      </c>
    </row>
    <row r="136" spans="2:52" s="24" customFormat="1" ht="21.95" customHeight="1" x14ac:dyDescent="0.25">
      <c r="B136" s="269"/>
      <c r="C136" s="270"/>
      <c r="D136" s="271"/>
      <c r="E136" s="236">
        <f t="shared" si="8"/>
        <v>0</v>
      </c>
      <c r="F136" s="269"/>
      <c r="G136" s="270"/>
      <c r="H136" s="271"/>
      <c r="I136" s="262"/>
      <c r="J136" s="263"/>
      <c r="K136" s="262"/>
      <c r="L136" s="263"/>
      <c r="M136" s="262"/>
      <c r="N136" s="263"/>
      <c r="O136" s="262"/>
      <c r="P136" s="263"/>
      <c r="Q136" s="235" t="b">
        <f t="shared" si="7"/>
        <v>0</v>
      </c>
      <c r="R136" s="262"/>
      <c r="S136" s="263"/>
      <c r="T136" s="262"/>
      <c r="U136" s="263"/>
      <c r="V136" s="262"/>
      <c r="W136" s="265"/>
      <c r="X136" s="265"/>
      <c r="Y136" s="263"/>
      <c r="Z136" s="235">
        <f t="shared" si="9"/>
        <v>0</v>
      </c>
      <c r="AA136" s="262"/>
      <c r="AB136" s="265"/>
      <c r="AC136" s="263"/>
      <c r="AD136" s="235">
        <f t="shared" si="10"/>
        <v>0</v>
      </c>
      <c r="AE136" s="262"/>
      <c r="AF136" s="265"/>
      <c r="AG136" s="263"/>
      <c r="AH136" s="235">
        <f t="shared" si="11"/>
        <v>0</v>
      </c>
      <c r="AI136" s="262"/>
      <c r="AJ136" s="265"/>
      <c r="AK136" s="263"/>
      <c r="AL136" s="235">
        <f t="shared" si="12"/>
        <v>0</v>
      </c>
      <c r="AM136" s="262"/>
      <c r="AN136" s="265"/>
      <c r="AO136" s="263"/>
      <c r="AP136" s="262"/>
      <c r="AQ136" s="263"/>
      <c r="AR136" s="262"/>
      <c r="AS136" s="263"/>
      <c r="AT136" s="262"/>
      <c r="AU136" s="265"/>
      <c r="AV136" s="263"/>
      <c r="AW136" s="262"/>
      <c r="AX136" s="265"/>
      <c r="AY136" s="263"/>
      <c r="AZ136" s="24">
        <f t="shared" si="13"/>
        <v>0</v>
      </c>
    </row>
    <row r="137" spans="2:52" s="24" customFormat="1" ht="21.95" customHeight="1" x14ac:dyDescent="0.25">
      <c r="B137" s="269"/>
      <c r="C137" s="270"/>
      <c r="D137" s="271"/>
      <c r="E137" s="236">
        <f t="shared" si="8"/>
        <v>0</v>
      </c>
      <c r="F137" s="269"/>
      <c r="G137" s="270"/>
      <c r="H137" s="271"/>
      <c r="I137" s="262"/>
      <c r="J137" s="263"/>
      <c r="K137" s="262"/>
      <c r="L137" s="263"/>
      <c r="M137" s="262"/>
      <c r="N137" s="263"/>
      <c r="O137" s="262"/>
      <c r="P137" s="263"/>
      <c r="Q137" s="235" t="b">
        <f t="shared" ref="Q137:Q200" si="14">IF(O137="Health Facility",3,IF(O137="Outreach Session",1,IF(O137="Mobile Clinic",2)))</f>
        <v>0</v>
      </c>
      <c r="R137" s="262"/>
      <c r="S137" s="263"/>
      <c r="T137" s="262"/>
      <c r="U137" s="263"/>
      <c r="V137" s="262"/>
      <c r="W137" s="265"/>
      <c r="X137" s="265"/>
      <c r="Y137" s="263"/>
      <c r="Z137" s="235">
        <f t="shared" si="9"/>
        <v>0</v>
      </c>
      <c r="AA137" s="262"/>
      <c r="AB137" s="265"/>
      <c r="AC137" s="263"/>
      <c r="AD137" s="235">
        <f t="shared" si="10"/>
        <v>0</v>
      </c>
      <c r="AE137" s="262"/>
      <c r="AF137" s="265"/>
      <c r="AG137" s="263"/>
      <c r="AH137" s="235">
        <f t="shared" si="11"/>
        <v>0</v>
      </c>
      <c r="AI137" s="262"/>
      <c r="AJ137" s="265"/>
      <c r="AK137" s="263"/>
      <c r="AL137" s="235">
        <f t="shared" si="12"/>
        <v>0</v>
      </c>
      <c r="AM137" s="262"/>
      <c r="AN137" s="265"/>
      <c r="AO137" s="263"/>
      <c r="AP137" s="262"/>
      <c r="AQ137" s="263"/>
      <c r="AR137" s="262"/>
      <c r="AS137" s="263"/>
      <c r="AT137" s="262"/>
      <c r="AU137" s="265"/>
      <c r="AV137" s="263"/>
      <c r="AW137" s="262"/>
      <c r="AX137" s="265"/>
      <c r="AY137" s="263"/>
      <c r="AZ137" s="24">
        <f t="shared" si="13"/>
        <v>0</v>
      </c>
    </row>
    <row r="138" spans="2:52" s="24" customFormat="1" ht="21.95" customHeight="1" x14ac:dyDescent="0.25">
      <c r="B138" s="269"/>
      <c r="C138" s="270"/>
      <c r="D138" s="271"/>
      <c r="E138" s="236">
        <f t="shared" ref="E138:E201" si="15">IF(F138="",0,1)</f>
        <v>0</v>
      </c>
      <c r="F138" s="269"/>
      <c r="G138" s="270"/>
      <c r="H138" s="271"/>
      <c r="I138" s="262"/>
      <c r="J138" s="263"/>
      <c r="K138" s="262"/>
      <c r="L138" s="263"/>
      <c r="M138" s="262"/>
      <c r="N138" s="263"/>
      <c r="O138" s="262"/>
      <c r="P138" s="263"/>
      <c r="Q138" s="235" t="b">
        <f t="shared" si="14"/>
        <v>0</v>
      </c>
      <c r="R138" s="262"/>
      <c r="S138" s="263"/>
      <c r="T138" s="262"/>
      <c r="U138" s="263"/>
      <c r="V138" s="262"/>
      <c r="W138" s="265"/>
      <c r="X138" s="265"/>
      <c r="Y138" s="263"/>
      <c r="Z138" s="235">
        <f t="shared" ref="Z138:Z201" si="16">IF(AA138="",0,1)</f>
        <v>0</v>
      </c>
      <c r="AA138" s="262"/>
      <c r="AB138" s="265"/>
      <c r="AC138" s="263"/>
      <c r="AD138" s="235">
        <f t="shared" ref="AD138:AD201" si="17">IF(AE138="",0,1)</f>
        <v>0</v>
      </c>
      <c r="AE138" s="262"/>
      <c r="AF138" s="265"/>
      <c r="AG138" s="263"/>
      <c r="AH138" s="235">
        <f t="shared" ref="AH138:AH201" si="18">IF(AI138="",0,1)</f>
        <v>0</v>
      </c>
      <c r="AI138" s="262"/>
      <c r="AJ138" s="265"/>
      <c r="AK138" s="263"/>
      <c r="AL138" s="235">
        <f t="shared" ref="AL138:AL201" si="19">IF(AM138="",0,1)</f>
        <v>0</v>
      </c>
      <c r="AM138" s="262"/>
      <c r="AN138" s="265"/>
      <c r="AO138" s="263"/>
      <c r="AP138" s="262"/>
      <c r="AQ138" s="263"/>
      <c r="AR138" s="262"/>
      <c r="AS138" s="263"/>
      <c r="AT138" s="262"/>
      <c r="AU138" s="265"/>
      <c r="AV138" s="263"/>
      <c r="AW138" s="262"/>
      <c r="AX138" s="265"/>
      <c r="AY138" s="263"/>
      <c r="AZ138" s="24">
        <f t="shared" ref="AZ138:AZ201" si="20">IF(AW138="YES",1,0)</f>
        <v>0</v>
      </c>
    </row>
    <row r="139" spans="2:52" s="24" customFormat="1" ht="21.95" customHeight="1" x14ac:dyDescent="0.25">
      <c r="B139" s="269"/>
      <c r="C139" s="270"/>
      <c r="D139" s="271"/>
      <c r="E139" s="236">
        <f t="shared" si="15"/>
        <v>0</v>
      </c>
      <c r="F139" s="269"/>
      <c r="G139" s="270"/>
      <c r="H139" s="271"/>
      <c r="I139" s="262"/>
      <c r="J139" s="263"/>
      <c r="K139" s="262"/>
      <c r="L139" s="263"/>
      <c r="M139" s="262"/>
      <c r="N139" s="263"/>
      <c r="O139" s="262"/>
      <c r="P139" s="263"/>
      <c r="Q139" s="235" t="b">
        <f t="shared" si="14"/>
        <v>0</v>
      </c>
      <c r="R139" s="262"/>
      <c r="S139" s="263"/>
      <c r="T139" s="262"/>
      <c r="U139" s="263"/>
      <c r="V139" s="262"/>
      <c r="W139" s="265"/>
      <c r="X139" s="265"/>
      <c r="Y139" s="263"/>
      <c r="Z139" s="235">
        <f t="shared" si="16"/>
        <v>0</v>
      </c>
      <c r="AA139" s="262"/>
      <c r="AB139" s="265"/>
      <c r="AC139" s="263"/>
      <c r="AD139" s="235">
        <f t="shared" si="17"/>
        <v>0</v>
      </c>
      <c r="AE139" s="262"/>
      <c r="AF139" s="265"/>
      <c r="AG139" s="263"/>
      <c r="AH139" s="235">
        <f t="shared" si="18"/>
        <v>0</v>
      </c>
      <c r="AI139" s="262"/>
      <c r="AJ139" s="265"/>
      <c r="AK139" s="263"/>
      <c r="AL139" s="235">
        <f t="shared" si="19"/>
        <v>0</v>
      </c>
      <c r="AM139" s="262"/>
      <c r="AN139" s="265"/>
      <c r="AO139" s="263"/>
      <c r="AP139" s="262"/>
      <c r="AQ139" s="263"/>
      <c r="AR139" s="262"/>
      <c r="AS139" s="263"/>
      <c r="AT139" s="262"/>
      <c r="AU139" s="265"/>
      <c r="AV139" s="263"/>
      <c r="AW139" s="262"/>
      <c r="AX139" s="265"/>
      <c r="AY139" s="263"/>
      <c r="AZ139" s="24">
        <f t="shared" si="20"/>
        <v>0</v>
      </c>
    </row>
    <row r="140" spans="2:52" s="24" customFormat="1" ht="21.95" customHeight="1" x14ac:dyDescent="0.25">
      <c r="B140" s="269"/>
      <c r="C140" s="270"/>
      <c r="D140" s="271"/>
      <c r="E140" s="236">
        <f t="shared" si="15"/>
        <v>0</v>
      </c>
      <c r="F140" s="269"/>
      <c r="G140" s="270"/>
      <c r="H140" s="271"/>
      <c r="I140" s="262"/>
      <c r="J140" s="263"/>
      <c r="K140" s="262"/>
      <c r="L140" s="263"/>
      <c r="M140" s="262"/>
      <c r="N140" s="263"/>
      <c r="O140" s="262"/>
      <c r="P140" s="263"/>
      <c r="Q140" s="235" t="b">
        <f t="shared" si="14"/>
        <v>0</v>
      </c>
      <c r="R140" s="262"/>
      <c r="S140" s="263"/>
      <c r="T140" s="262"/>
      <c r="U140" s="263"/>
      <c r="V140" s="262"/>
      <c r="W140" s="265"/>
      <c r="X140" s="265"/>
      <c r="Y140" s="263"/>
      <c r="Z140" s="235">
        <f t="shared" si="16"/>
        <v>0</v>
      </c>
      <c r="AA140" s="262"/>
      <c r="AB140" s="265"/>
      <c r="AC140" s="263"/>
      <c r="AD140" s="235">
        <f t="shared" si="17"/>
        <v>0</v>
      </c>
      <c r="AE140" s="262"/>
      <c r="AF140" s="265"/>
      <c r="AG140" s="263"/>
      <c r="AH140" s="235">
        <f t="shared" si="18"/>
        <v>0</v>
      </c>
      <c r="AI140" s="262"/>
      <c r="AJ140" s="265"/>
      <c r="AK140" s="263"/>
      <c r="AL140" s="235">
        <f t="shared" si="19"/>
        <v>0</v>
      </c>
      <c r="AM140" s="262"/>
      <c r="AN140" s="265"/>
      <c r="AO140" s="263"/>
      <c r="AP140" s="262"/>
      <c r="AQ140" s="263"/>
      <c r="AR140" s="262"/>
      <c r="AS140" s="263"/>
      <c r="AT140" s="262"/>
      <c r="AU140" s="265"/>
      <c r="AV140" s="263"/>
      <c r="AW140" s="262"/>
      <c r="AX140" s="265"/>
      <c r="AY140" s="263"/>
      <c r="AZ140" s="24">
        <f t="shared" si="20"/>
        <v>0</v>
      </c>
    </row>
    <row r="141" spans="2:52" s="24" customFormat="1" ht="21.95" customHeight="1" x14ac:dyDescent="0.25">
      <c r="B141" s="269"/>
      <c r="C141" s="270"/>
      <c r="D141" s="271"/>
      <c r="E141" s="236">
        <f t="shared" si="15"/>
        <v>0</v>
      </c>
      <c r="F141" s="269"/>
      <c r="G141" s="270"/>
      <c r="H141" s="271"/>
      <c r="I141" s="262"/>
      <c r="J141" s="263"/>
      <c r="K141" s="262"/>
      <c r="L141" s="263"/>
      <c r="M141" s="262"/>
      <c r="N141" s="263"/>
      <c r="O141" s="262"/>
      <c r="P141" s="263"/>
      <c r="Q141" s="235" t="b">
        <f t="shared" si="14"/>
        <v>0</v>
      </c>
      <c r="R141" s="262"/>
      <c r="S141" s="263"/>
      <c r="T141" s="262"/>
      <c r="U141" s="263"/>
      <c r="V141" s="262"/>
      <c r="W141" s="265"/>
      <c r="X141" s="265"/>
      <c r="Y141" s="263"/>
      <c r="Z141" s="235">
        <f t="shared" si="16"/>
        <v>0</v>
      </c>
      <c r="AA141" s="262"/>
      <c r="AB141" s="265"/>
      <c r="AC141" s="263"/>
      <c r="AD141" s="235">
        <f t="shared" si="17"/>
        <v>0</v>
      </c>
      <c r="AE141" s="262"/>
      <c r="AF141" s="265"/>
      <c r="AG141" s="263"/>
      <c r="AH141" s="235">
        <f t="shared" si="18"/>
        <v>0</v>
      </c>
      <c r="AI141" s="262"/>
      <c r="AJ141" s="265"/>
      <c r="AK141" s="263"/>
      <c r="AL141" s="235">
        <f t="shared" si="19"/>
        <v>0</v>
      </c>
      <c r="AM141" s="262"/>
      <c r="AN141" s="265"/>
      <c r="AO141" s="263"/>
      <c r="AP141" s="262"/>
      <c r="AQ141" s="263"/>
      <c r="AR141" s="262"/>
      <c r="AS141" s="263"/>
      <c r="AT141" s="262"/>
      <c r="AU141" s="265"/>
      <c r="AV141" s="263"/>
      <c r="AW141" s="262"/>
      <c r="AX141" s="265"/>
      <c r="AY141" s="263"/>
      <c r="AZ141" s="24">
        <f t="shared" si="20"/>
        <v>0</v>
      </c>
    </row>
    <row r="142" spans="2:52" s="24" customFormat="1" ht="21.95" customHeight="1" x14ac:dyDescent="0.25">
      <c r="B142" s="269"/>
      <c r="C142" s="270"/>
      <c r="D142" s="271"/>
      <c r="E142" s="236">
        <f t="shared" si="15"/>
        <v>0</v>
      </c>
      <c r="F142" s="269"/>
      <c r="G142" s="270"/>
      <c r="H142" s="271"/>
      <c r="I142" s="262"/>
      <c r="J142" s="263"/>
      <c r="K142" s="262"/>
      <c r="L142" s="263"/>
      <c r="M142" s="262"/>
      <c r="N142" s="263"/>
      <c r="O142" s="262"/>
      <c r="P142" s="263"/>
      <c r="Q142" s="235" t="b">
        <f t="shared" si="14"/>
        <v>0</v>
      </c>
      <c r="R142" s="262"/>
      <c r="S142" s="263"/>
      <c r="T142" s="262"/>
      <c r="U142" s="263"/>
      <c r="V142" s="262"/>
      <c r="W142" s="265"/>
      <c r="X142" s="265"/>
      <c r="Y142" s="263"/>
      <c r="Z142" s="235">
        <f t="shared" si="16"/>
        <v>0</v>
      </c>
      <c r="AA142" s="262"/>
      <c r="AB142" s="265"/>
      <c r="AC142" s="263"/>
      <c r="AD142" s="235">
        <f t="shared" si="17"/>
        <v>0</v>
      </c>
      <c r="AE142" s="262"/>
      <c r="AF142" s="265"/>
      <c r="AG142" s="263"/>
      <c r="AH142" s="235">
        <f t="shared" si="18"/>
        <v>0</v>
      </c>
      <c r="AI142" s="262"/>
      <c r="AJ142" s="265"/>
      <c r="AK142" s="263"/>
      <c r="AL142" s="235">
        <f t="shared" si="19"/>
        <v>0</v>
      </c>
      <c r="AM142" s="262"/>
      <c r="AN142" s="265"/>
      <c r="AO142" s="263"/>
      <c r="AP142" s="262"/>
      <c r="AQ142" s="263"/>
      <c r="AR142" s="262"/>
      <c r="AS142" s="263"/>
      <c r="AT142" s="262"/>
      <c r="AU142" s="265"/>
      <c r="AV142" s="263"/>
      <c r="AW142" s="262"/>
      <c r="AX142" s="265"/>
      <c r="AY142" s="263"/>
      <c r="AZ142" s="24">
        <f t="shared" si="20"/>
        <v>0</v>
      </c>
    </row>
    <row r="143" spans="2:52" s="24" customFormat="1" ht="21.95" customHeight="1" x14ac:dyDescent="0.25">
      <c r="B143" s="269"/>
      <c r="C143" s="270"/>
      <c r="D143" s="271"/>
      <c r="E143" s="236">
        <f t="shared" si="15"/>
        <v>0</v>
      </c>
      <c r="F143" s="269"/>
      <c r="G143" s="270"/>
      <c r="H143" s="271"/>
      <c r="I143" s="262"/>
      <c r="J143" s="263"/>
      <c r="K143" s="262"/>
      <c r="L143" s="263"/>
      <c r="M143" s="262"/>
      <c r="N143" s="263"/>
      <c r="O143" s="262"/>
      <c r="P143" s="263"/>
      <c r="Q143" s="235" t="b">
        <f t="shared" si="14"/>
        <v>0</v>
      </c>
      <c r="R143" s="262"/>
      <c r="S143" s="263"/>
      <c r="T143" s="262"/>
      <c r="U143" s="263"/>
      <c r="V143" s="262"/>
      <c r="W143" s="265"/>
      <c r="X143" s="265"/>
      <c r="Y143" s="263"/>
      <c r="Z143" s="235">
        <f t="shared" si="16"/>
        <v>0</v>
      </c>
      <c r="AA143" s="262"/>
      <c r="AB143" s="265"/>
      <c r="AC143" s="263"/>
      <c r="AD143" s="235">
        <f t="shared" si="17"/>
        <v>0</v>
      </c>
      <c r="AE143" s="262"/>
      <c r="AF143" s="265"/>
      <c r="AG143" s="263"/>
      <c r="AH143" s="235">
        <f t="shared" si="18"/>
        <v>0</v>
      </c>
      <c r="AI143" s="262"/>
      <c r="AJ143" s="265"/>
      <c r="AK143" s="263"/>
      <c r="AL143" s="235">
        <f t="shared" si="19"/>
        <v>0</v>
      </c>
      <c r="AM143" s="262"/>
      <c r="AN143" s="265"/>
      <c r="AO143" s="263"/>
      <c r="AP143" s="262"/>
      <c r="AQ143" s="263"/>
      <c r="AR143" s="262"/>
      <c r="AS143" s="263"/>
      <c r="AT143" s="262"/>
      <c r="AU143" s="265"/>
      <c r="AV143" s="263"/>
      <c r="AW143" s="262"/>
      <c r="AX143" s="265"/>
      <c r="AY143" s="263"/>
      <c r="AZ143" s="24">
        <f t="shared" si="20"/>
        <v>0</v>
      </c>
    </row>
    <row r="144" spans="2:52" s="24" customFormat="1" ht="21.95" customHeight="1" x14ac:dyDescent="0.25">
      <c r="B144" s="269"/>
      <c r="C144" s="270"/>
      <c r="D144" s="271"/>
      <c r="E144" s="236">
        <f t="shared" si="15"/>
        <v>0</v>
      </c>
      <c r="F144" s="269"/>
      <c r="G144" s="270"/>
      <c r="H144" s="271"/>
      <c r="I144" s="262"/>
      <c r="J144" s="263"/>
      <c r="K144" s="262"/>
      <c r="L144" s="263"/>
      <c r="M144" s="262"/>
      <c r="N144" s="263"/>
      <c r="O144" s="262"/>
      <c r="P144" s="263"/>
      <c r="Q144" s="235" t="b">
        <f t="shared" si="14"/>
        <v>0</v>
      </c>
      <c r="R144" s="262"/>
      <c r="S144" s="263"/>
      <c r="T144" s="262"/>
      <c r="U144" s="263"/>
      <c r="V144" s="262"/>
      <c r="W144" s="265"/>
      <c r="X144" s="265"/>
      <c r="Y144" s="263"/>
      <c r="Z144" s="235">
        <f t="shared" si="16"/>
        <v>0</v>
      </c>
      <c r="AA144" s="262"/>
      <c r="AB144" s="265"/>
      <c r="AC144" s="263"/>
      <c r="AD144" s="235">
        <f t="shared" si="17"/>
        <v>0</v>
      </c>
      <c r="AE144" s="262"/>
      <c r="AF144" s="265"/>
      <c r="AG144" s="263"/>
      <c r="AH144" s="235">
        <f t="shared" si="18"/>
        <v>0</v>
      </c>
      <c r="AI144" s="262"/>
      <c r="AJ144" s="265"/>
      <c r="AK144" s="263"/>
      <c r="AL144" s="235">
        <f t="shared" si="19"/>
        <v>0</v>
      </c>
      <c r="AM144" s="262"/>
      <c r="AN144" s="265"/>
      <c r="AO144" s="263"/>
      <c r="AP144" s="262"/>
      <c r="AQ144" s="263"/>
      <c r="AR144" s="262"/>
      <c r="AS144" s="263"/>
      <c r="AT144" s="262"/>
      <c r="AU144" s="265"/>
      <c r="AV144" s="263"/>
      <c r="AW144" s="262"/>
      <c r="AX144" s="265"/>
      <c r="AY144" s="263"/>
      <c r="AZ144" s="24">
        <f t="shared" si="20"/>
        <v>0</v>
      </c>
    </row>
    <row r="145" spans="2:52" s="24" customFormat="1" ht="21.95" customHeight="1" x14ac:dyDescent="0.25">
      <c r="B145" s="269"/>
      <c r="C145" s="270"/>
      <c r="D145" s="271"/>
      <c r="E145" s="236">
        <f t="shared" si="15"/>
        <v>0</v>
      </c>
      <c r="F145" s="269"/>
      <c r="G145" s="270"/>
      <c r="H145" s="271"/>
      <c r="I145" s="262"/>
      <c r="J145" s="263"/>
      <c r="K145" s="262"/>
      <c r="L145" s="263"/>
      <c r="M145" s="262"/>
      <c r="N145" s="263"/>
      <c r="O145" s="262"/>
      <c r="P145" s="263"/>
      <c r="Q145" s="235" t="b">
        <f t="shared" si="14"/>
        <v>0</v>
      </c>
      <c r="R145" s="262"/>
      <c r="S145" s="263"/>
      <c r="T145" s="262"/>
      <c r="U145" s="263"/>
      <c r="V145" s="262"/>
      <c r="W145" s="265"/>
      <c r="X145" s="265"/>
      <c r="Y145" s="263"/>
      <c r="Z145" s="235">
        <f t="shared" si="16"/>
        <v>0</v>
      </c>
      <c r="AA145" s="262"/>
      <c r="AB145" s="265"/>
      <c r="AC145" s="263"/>
      <c r="AD145" s="235">
        <f t="shared" si="17"/>
        <v>0</v>
      </c>
      <c r="AE145" s="262"/>
      <c r="AF145" s="265"/>
      <c r="AG145" s="263"/>
      <c r="AH145" s="235">
        <f t="shared" si="18"/>
        <v>0</v>
      </c>
      <c r="AI145" s="262"/>
      <c r="AJ145" s="265"/>
      <c r="AK145" s="263"/>
      <c r="AL145" s="235">
        <f t="shared" si="19"/>
        <v>0</v>
      </c>
      <c r="AM145" s="262"/>
      <c r="AN145" s="265"/>
      <c r="AO145" s="263"/>
      <c r="AP145" s="262"/>
      <c r="AQ145" s="263"/>
      <c r="AR145" s="262"/>
      <c r="AS145" s="263"/>
      <c r="AT145" s="262"/>
      <c r="AU145" s="265"/>
      <c r="AV145" s="263"/>
      <c r="AW145" s="262"/>
      <c r="AX145" s="265"/>
      <c r="AY145" s="263"/>
      <c r="AZ145" s="24">
        <f t="shared" si="20"/>
        <v>0</v>
      </c>
    </row>
    <row r="146" spans="2:52" s="24" customFormat="1" ht="21.95" customHeight="1" x14ac:dyDescent="0.25">
      <c r="B146" s="269"/>
      <c r="C146" s="270"/>
      <c r="D146" s="271"/>
      <c r="E146" s="236">
        <f t="shared" si="15"/>
        <v>0</v>
      </c>
      <c r="F146" s="269"/>
      <c r="G146" s="270"/>
      <c r="H146" s="271"/>
      <c r="I146" s="262"/>
      <c r="J146" s="263"/>
      <c r="K146" s="262"/>
      <c r="L146" s="263"/>
      <c r="M146" s="262"/>
      <c r="N146" s="263"/>
      <c r="O146" s="262"/>
      <c r="P146" s="263"/>
      <c r="Q146" s="235" t="b">
        <f t="shared" si="14"/>
        <v>0</v>
      </c>
      <c r="R146" s="262"/>
      <c r="S146" s="263"/>
      <c r="T146" s="262"/>
      <c r="U146" s="263"/>
      <c r="V146" s="262"/>
      <c r="W146" s="265"/>
      <c r="X146" s="265"/>
      <c r="Y146" s="263"/>
      <c r="Z146" s="235">
        <f t="shared" si="16"/>
        <v>0</v>
      </c>
      <c r="AA146" s="262"/>
      <c r="AB146" s="265"/>
      <c r="AC146" s="263"/>
      <c r="AD146" s="235">
        <f t="shared" si="17"/>
        <v>0</v>
      </c>
      <c r="AE146" s="262"/>
      <c r="AF146" s="265"/>
      <c r="AG146" s="263"/>
      <c r="AH146" s="235">
        <f t="shared" si="18"/>
        <v>0</v>
      </c>
      <c r="AI146" s="262"/>
      <c r="AJ146" s="265"/>
      <c r="AK146" s="263"/>
      <c r="AL146" s="235">
        <f t="shared" si="19"/>
        <v>0</v>
      </c>
      <c r="AM146" s="262"/>
      <c r="AN146" s="265"/>
      <c r="AO146" s="263"/>
      <c r="AP146" s="262"/>
      <c r="AQ146" s="263"/>
      <c r="AR146" s="272"/>
      <c r="AS146" s="263"/>
      <c r="AT146" s="262"/>
      <c r="AU146" s="265"/>
      <c r="AV146" s="263"/>
      <c r="AW146" s="262"/>
      <c r="AX146" s="265"/>
      <c r="AY146" s="263"/>
      <c r="AZ146" s="24">
        <f t="shared" si="20"/>
        <v>0</v>
      </c>
    </row>
    <row r="147" spans="2:52" s="24" customFormat="1" ht="21.95" customHeight="1" x14ac:dyDescent="0.25">
      <c r="B147" s="269"/>
      <c r="C147" s="270"/>
      <c r="D147" s="271"/>
      <c r="E147" s="236">
        <f t="shared" si="15"/>
        <v>0</v>
      </c>
      <c r="F147" s="269"/>
      <c r="G147" s="270"/>
      <c r="H147" s="271"/>
      <c r="I147" s="262"/>
      <c r="J147" s="263"/>
      <c r="K147" s="262"/>
      <c r="L147" s="263"/>
      <c r="M147" s="262"/>
      <c r="N147" s="263"/>
      <c r="O147" s="262"/>
      <c r="P147" s="263"/>
      <c r="Q147" s="235" t="b">
        <f t="shared" si="14"/>
        <v>0</v>
      </c>
      <c r="R147" s="262"/>
      <c r="S147" s="263"/>
      <c r="T147" s="262"/>
      <c r="U147" s="263"/>
      <c r="V147" s="262"/>
      <c r="W147" s="265"/>
      <c r="X147" s="265"/>
      <c r="Y147" s="263"/>
      <c r="Z147" s="235">
        <f t="shared" si="16"/>
        <v>0</v>
      </c>
      <c r="AA147" s="262"/>
      <c r="AB147" s="265"/>
      <c r="AC147" s="263"/>
      <c r="AD147" s="235">
        <f t="shared" si="17"/>
        <v>0</v>
      </c>
      <c r="AE147" s="262"/>
      <c r="AF147" s="265"/>
      <c r="AG147" s="263"/>
      <c r="AH147" s="235">
        <f t="shared" si="18"/>
        <v>0</v>
      </c>
      <c r="AI147" s="262"/>
      <c r="AJ147" s="265"/>
      <c r="AK147" s="263"/>
      <c r="AL147" s="235">
        <f t="shared" si="19"/>
        <v>0</v>
      </c>
      <c r="AM147" s="262"/>
      <c r="AN147" s="265"/>
      <c r="AO147" s="263"/>
      <c r="AP147" s="262"/>
      <c r="AQ147" s="263"/>
      <c r="AR147" s="262"/>
      <c r="AS147" s="263"/>
      <c r="AT147" s="262"/>
      <c r="AU147" s="265"/>
      <c r="AV147" s="263"/>
      <c r="AW147" s="262"/>
      <c r="AX147" s="265"/>
      <c r="AY147" s="263"/>
      <c r="AZ147" s="24">
        <f t="shared" si="20"/>
        <v>0</v>
      </c>
    </row>
    <row r="148" spans="2:52" s="24" customFormat="1" ht="21.95" customHeight="1" x14ac:dyDescent="0.25">
      <c r="B148" s="269"/>
      <c r="C148" s="270"/>
      <c r="D148" s="271"/>
      <c r="E148" s="236">
        <f t="shared" si="15"/>
        <v>0</v>
      </c>
      <c r="F148" s="269"/>
      <c r="G148" s="270"/>
      <c r="H148" s="271"/>
      <c r="I148" s="262"/>
      <c r="J148" s="263"/>
      <c r="K148" s="262"/>
      <c r="L148" s="263"/>
      <c r="M148" s="262"/>
      <c r="N148" s="263"/>
      <c r="O148" s="262"/>
      <c r="P148" s="263"/>
      <c r="Q148" s="235" t="b">
        <f t="shared" si="14"/>
        <v>0</v>
      </c>
      <c r="R148" s="262"/>
      <c r="S148" s="263"/>
      <c r="T148" s="262"/>
      <c r="U148" s="263"/>
      <c r="V148" s="262"/>
      <c r="W148" s="265"/>
      <c r="X148" s="265"/>
      <c r="Y148" s="263"/>
      <c r="Z148" s="235">
        <f t="shared" si="16"/>
        <v>0</v>
      </c>
      <c r="AA148" s="262"/>
      <c r="AB148" s="265"/>
      <c r="AC148" s="263"/>
      <c r="AD148" s="235">
        <f t="shared" si="17"/>
        <v>0</v>
      </c>
      <c r="AE148" s="262"/>
      <c r="AF148" s="265"/>
      <c r="AG148" s="263"/>
      <c r="AH148" s="235">
        <f t="shared" si="18"/>
        <v>0</v>
      </c>
      <c r="AI148" s="262"/>
      <c r="AJ148" s="265"/>
      <c r="AK148" s="263"/>
      <c r="AL148" s="235">
        <f t="shared" si="19"/>
        <v>0</v>
      </c>
      <c r="AM148" s="262"/>
      <c r="AN148" s="265"/>
      <c r="AO148" s="263"/>
      <c r="AP148" s="262"/>
      <c r="AQ148" s="263"/>
      <c r="AR148" s="262"/>
      <c r="AS148" s="263"/>
      <c r="AT148" s="262"/>
      <c r="AU148" s="265"/>
      <c r="AV148" s="263"/>
      <c r="AW148" s="262"/>
      <c r="AX148" s="265"/>
      <c r="AY148" s="263"/>
      <c r="AZ148" s="24">
        <f t="shared" si="20"/>
        <v>0</v>
      </c>
    </row>
    <row r="149" spans="2:52" s="24" customFormat="1" ht="21.95" customHeight="1" x14ac:dyDescent="0.25">
      <c r="B149" s="269"/>
      <c r="C149" s="270"/>
      <c r="D149" s="271"/>
      <c r="E149" s="236">
        <f t="shared" si="15"/>
        <v>0</v>
      </c>
      <c r="F149" s="269"/>
      <c r="G149" s="270"/>
      <c r="H149" s="271"/>
      <c r="I149" s="262"/>
      <c r="J149" s="263"/>
      <c r="K149" s="262"/>
      <c r="L149" s="263"/>
      <c r="M149" s="262"/>
      <c r="N149" s="263"/>
      <c r="O149" s="262"/>
      <c r="P149" s="263"/>
      <c r="Q149" s="235" t="b">
        <f t="shared" si="14"/>
        <v>0</v>
      </c>
      <c r="R149" s="262"/>
      <c r="S149" s="263"/>
      <c r="T149" s="262"/>
      <c r="U149" s="263"/>
      <c r="V149" s="262"/>
      <c r="W149" s="265"/>
      <c r="X149" s="265"/>
      <c r="Y149" s="263"/>
      <c r="Z149" s="235">
        <f t="shared" si="16"/>
        <v>0</v>
      </c>
      <c r="AA149" s="262"/>
      <c r="AB149" s="265"/>
      <c r="AC149" s="263"/>
      <c r="AD149" s="235">
        <f t="shared" si="17"/>
        <v>0</v>
      </c>
      <c r="AE149" s="262"/>
      <c r="AF149" s="265"/>
      <c r="AG149" s="263"/>
      <c r="AH149" s="235">
        <f t="shared" si="18"/>
        <v>0</v>
      </c>
      <c r="AI149" s="262"/>
      <c r="AJ149" s="265"/>
      <c r="AK149" s="263"/>
      <c r="AL149" s="235">
        <f t="shared" si="19"/>
        <v>0</v>
      </c>
      <c r="AM149" s="262"/>
      <c r="AN149" s="265"/>
      <c r="AO149" s="263"/>
      <c r="AP149" s="262"/>
      <c r="AQ149" s="263"/>
      <c r="AR149" s="262"/>
      <c r="AS149" s="263"/>
      <c r="AT149" s="262"/>
      <c r="AU149" s="265"/>
      <c r="AV149" s="263"/>
      <c r="AW149" s="262"/>
      <c r="AX149" s="265"/>
      <c r="AY149" s="263"/>
      <c r="AZ149" s="24">
        <f t="shared" si="20"/>
        <v>0</v>
      </c>
    </row>
    <row r="150" spans="2:52" s="24" customFormat="1" ht="21.95" customHeight="1" x14ac:dyDescent="0.25">
      <c r="B150" s="269"/>
      <c r="C150" s="270"/>
      <c r="D150" s="271"/>
      <c r="E150" s="236">
        <f t="shared" si="15"/>
        <v>0</v>
      </c>
      <c r="F150" s="269"/>
      <c r="G150" s="270"/>
      <c r="H150" s="271"/>
      <c r="I150" s="262"/>
      <c r="J150" s="263"/>
      <c r="K150" s="262"/>
      <c r="L150" s="263"/>
      <c r="M150" s="262"/>
      <c r="N150" s="263"/>
      <c r="O150" s="262"/>
      <c r="P150" s="263"/>
      <c r="Q150" s="235" t="b">
        <f t="shared" si="14"/>
        <v>0</v>
      </c>
      <c r="R150" s="262"/>
      <c r="S150" s="263"/>
      <c r="T150" s="262"/>
      <c r="U150" s="263"/>
      <c r="V150" s="262"/>
      <c r="W150" s="265"/>
      <c r="X150" s="265"/>
      <c r="Y150" s="263"/>
      <c r="Z150" s="235">
        <f t="shared" si="16"/>
        <v>0</v>
      </c>
      <c r="AA150" s="262"/>
      <c r="AB150" s="265"/>
      <c r="AC150" s="263"/>
      <c r="AD150" s="235">
        <f t="shared" si="17"/>
        <v>0</v>
      </c>
      <c r="AE150" s="262"/>
      <c r="AF150" s="265"/>
      <c r="AG150" s="263"/>
      <c r="AH150" s="235">
        <f t="shared" si="18"/>
        <v>0</v>
      </c>
      <c r="AI150" s="262"/>
      <c r="AJ150" s="265"/>
      <c r="AK150" s="263"/>
      <c r="AL150" s="235">
        <f t="shared" si="19"/>
        <v>0</v>
      </c>
      <c r="AM150" s="262"/>
      <c r="AN150" s="265"/>
      <c r="AO150" s="263"/>
      <c r="AP150" s="262"/>
      <c r="AQ150" s="263"/>
      <c r="AR150" s="262"/>
      <c r="AS150" s="263"/>
      <c r="AT150" s="262"/>
      <c r="AU150" s="265"/>
      <c r="AV150" s="263"/>
      <c r="AW150" s="262"/>
      <c r="AX150" s="265"/>
      <c r="AY150" s="263"/>
      <c r="AZ150" s="24">
        <f t="shared" si="20"/>
        <v>0</v>
      </c>
    </row>
    <row r="151" spans="2:52" s="24" customFormat="1" ht="21.95" customHeight="1" x14ac:dyDescent="0.25">
      <c r="B151" s="269"/>
      <c r="C151" s="270"/>
      <c r="D151" s="271"/>
      <c r="E151" s="236">
        <f t="shared" si="15"/>
        <v>0</v>
      </c>
      <c r="F151" s="269"/>
      <c r="G151" s="270"/>
      <c r="H151" s="271"/>
      <c r="I151" s="262"/>
      <c r="J151" s="263"/>
      <c r="K151" s="262"/>
      <c r="L151" s="263"/>
      <c r="M151" s="262"/>
      <c r="N151" s="263"/>
      <c r="O151" s="262"/>
      <c r="P151" s="263"/>
      <c r="Q151" s="235" t="b">
        <f t="shared" si="14"/>
        <v>0</v>
      </c>
      <c r="R151" s="262"/>
      <c r="S151" s="263"/>
      <c r="T151" s="262"/>
      <c r="U151" s="263"/>
      <c r="V151" s="262"/>
      <c r="W151" s="265"/>
      <c r="X151" s="265"/>
      <c r="Y151" s="263"/>
      <c r="Z151" s="235">
        <f t="shared" si="16"/>
        <v>0</v>
      </c>
      <c r="AA151" s="262"/>
      <c r="AB151" s="265"/>
      <c r="AC151" s="263"/>
      <c r="AD151" s="235">
        <f t="shared" si="17"/>
        <v>0</v>
      </c>
      <c r="AE151" s="262"/>
      <c r="AF151" s="265"/>
      <c r="AG151" s="263"/>
      <c r="AH151" s="235">
        <f t="shared" si="18"/>
        <v>0</v>
      </c>
      <c r="AI151" s="262"/>
      <c r="AJ151" s="265"/>
      <c r="AK151" s="263"/>
      <c r="AL151" s="235">
        <f t="shared" si="19"/>
        <v>0</v>
      </c>
      <c r="AM151" s="262"/>
      <c r="AN151" s="265"/>
      <c r="AO151" s="263"/>
      <c r="AP151" s="262"/>
      <c r="AQ151" s="263"/>
      <c r="AR151" s="262"/>
      <c r="AS151" s="263"/>
      <c r="AT151" s="262"/>
      <c r="AU151" s="265"/>
      <c r="AV151" s="263"/>
      <c r="AW151" s="262"/>
      <c r="AX151" s="265"/>
      <c r="AY151" s="263"/>
      <c r="AZ151" s="24">
        <f t="shared" si="20"/>
        <v>0</v>
      </c>
    </row>
    <row r="152" spans="2:52" s="24" customFormat="1" ht="21.95" customHeight="1" x14ac:dyDescent="0.25">
      <c r="B152" s="269"/>
      <c r="C152" s="270"/>
      <c r="D152" s="271"/>
      <c r="E152" s="236">
        <f t="shared" si="15"/>
        <v>0</v>
      </c>
      <c r="F152" s="269"/>
      <c r="G152" s="270"/>
      <c r="H152" s="271"/>
      <c r="I152" s="262"/>
      <c r="J152" s="263"/>
      <c r="K152" s="262"/>
      <c r="L152" s="263"/>
      <c r="M152" s="262"/>
      <c r="N152" s="263"/>
      <c r="O152" s="262"/>
      <c r="P152" s="263"/>
      <c r="Q152" s="235" t="b">
        <f t="shared" si="14"/>
        <v>0</v>
      </c>
      <c r="R152" s="262"/>
      <c r="S152" s="263"/>
      <c r="T152" s="262"/>
      <c r="U152" s="263"/>
      <c r="V152" s="262"/>
      <c r="W152" s="265"/>
      <c r="X152" s="265"/>
      <c r="Y152" s="263"/>
      <c r="Z152" s="235">
        <f t="shared" si="16"/>
        <v>0</v>
      </c>
      <c r="AA152" s="262"/>
      <c r="AB152" s="265"/>
      <c r="AC152" s="263"/>
      <c r="AD152" s="235">
        <f t="shared" si="17"/>
        <v>0</v>
      </c>
      <c r="AE152" s="262"/>
      <c r="AF152" s="265"/>
      <c r="AG152" s="263"/>
      <c r="AH152" s="235">
        <f t="shared" si="18"/>
        <v>0</v>
      </c>
      <c r="AI152" s="262"/>
      <c r="AJ152" s="265"/>
      <c r="AK152" s="263"/>
      <c r="AL152" s="235">
        <f t="shared" si="19"/>
        <v>0</v>
      </c>
      <c r="AM152" s="262"/>
      <c r="AN152" s="265"/>
      <c r="AO152" s="263"/>
      <c r="AP152" s="262"/>
      <c r="AQ152" s="263"/>
      <c r="AR152" s="262"/>
      <c r="AS152" s="263"/>
      <c r="AT152" s="262"/>
      <c r="AU152" s="265"/>
      <c r="AV152" s="263"/>
      <c r="AW152" s="262"/>
      <c r="AX152" s="265"/>
      <c r="AY152" s="263"/>
      <c r="AZ152" s="24">
        <f t="shared" si="20"/>
        <v>0</v>
      </c>
    </row>
    <row r="153" spans="2:52" s="24" customFormat="1" ht="21.95" customHeight="1" x14ac:dyDescent="0.25">
      <c r="B153" s="269"/>
      <c r="C153" s="270"/>
      <c r="D153" s="271"/>
      <c r="E153" s="236">
        <f t="shared" si="15"/>
        <v>0</v>
      </c>
      <c r="F153" s="269"/>
      <c r="G153" s="270"/>
      <c r="H153" s="271"/>
      <c r="I153" s="262"/>
      <c r="J153" s="263"/>
      <c r="K153" s="262"/>
      <c r="L153" s="263"/>
      <c r="M153" s="262"/>
      <c r="N153" s="263"/>
      <c r="O153" s="262"/>
      <c r="P153" s="263"/>
      <c r="Q153" s="235" t="b">
        <f t="shared" si="14"/>
        <v>0</v>
      </c>
      <c r="R153" s="262"/>
      <c r="S153" s="263"/>
      <c r="T153" s="262"/>
      <c r="U153" s="263"/>
      <c r="V153" s="262"/>
      <c r="W153" s="265"/>
      <c r="X153" s="265"/>
      <c r="Y153" s="263"/>
      <c r="Z153" s="235">
        <f t="shared" si="16"/>
        <v>0</v>
      </c>
      <c r="AA153" s="262"/>
      <c r="AB153" s="265"/>
      <c r="AC153" s="263"/>
      <c r="AD153" s="235">
        <f t="shared" si="17"/>
        <v>0</v>
      </c>
      <c r="AE153" s="262"/>
      <c r="AF153" s="265"/>
      <c r="AG153" s="263"/>
      <c r="AH153" s="235">
        <f t="shared" si="18"/>
        <v>0</v>
      </c>
      <c r="AI153" s="262"/>
      <c r="AJ153" s="265"/>
      <c r="AK153" s="263"/>
      <c r="AL153" s="235">
        <f t="shared" si="19"/>
        <v>0</v>
      </c>
      <c r="AM153" s="262"/>
      <c r="AN153" s="265"/>
      <c r="AO153" s="263"/>
      <c r="AP153" s="262"/>
      <c r="AQ153" s="263"/>
      <c r="AR153" s="262"/>
      <c r="AS153" s="263"/>
      <c r="AT153" s="262"/>
      <c r="AU153" s="265"/>
      <c r="AV153" s="263"/>
      <c r="AW153" s="262"/>
      <c r="AX153" s="265"/>
      <c r="AY153" s="263"/>
      <c r="AZ153" s="24">
        <f t="shared" si="20"/>
        <v>0</v>
      </c>
    </row>
    <row r="154" spans="2:52" s="24" customFormat="1" ht="21.95" customHeight="1" x14ac:dyDescent="0.25">
      <c r="B154" s="269"/>
      <c r="C154" s="270"/>
      <c r="D154" s="271"/>
      <c r="E154" s="236">
        <f t="shared" si="15"/>
        <v>0</v>
      </c>
      <c r="F154" s="269"/>
      <c r="G154" s="270"/>
      <c r="H154" s="271"/>
      <c r="I154" s="262"/>
      <c r="J154" s="263"/>
      <c r="K154" s="262"/>
      <c r="L154" s="263"/>
      <c r="M154" s="262"/>
      <c r="N154" s="263"/>
      <c r="O154" s="262"/>
      <c r="P154" s="263"/>
      <c r="Q154" s="235" t="b">
        <f t="shared" si="14"/>
        <v>0</v>
      </c>
      <c r="R154" s="262"/>
      <c r="S154" s="263"/>
      <c r="T154" s="262"/>
      <c r="U154" s="263"/>
      <c r="V154" s="262"/>
      <c r="W154" s="265"/>
      <c r="X154" s="265"/>
      <c r="Y154" s="263"/>
      <c r="Z154" s="235">
        <f t="shared" si="16"/>
        <v>0</v>
      </c>
      <c r="AA154" s="262"/>
      <c r="AB154" s="265"/>
      <c r="AC154" s="263"/>
      <c r="AD154" s="235">
        <f t="shared" si="17"/>
        <v>0</v>
      </c>
      <c r="AE154" s="262"/>
      <c r="AF154" s="265"/>
      <c r="AG154" s="263"/>
      <c r="AH154" s="235">
        <f t="shared" si="18"/>
        <v>0</v>
      </c>
      <c r="AI154" s="262"/>
      <c r="AJ154" s="265"/>
      <c r="AK154" s="263"/>
      <c r="AL154" s="235">
        <f t="shared" si="19"/>
        <v>0</v>
      </c>
      <c r="AM154" s="262"/>
      <c r="AN154" s="265"/>
      <c r="AO154" s="263"/>
      <c r="AP154" s="262"/>
      <c r="AQ154" s="263"/>
      <c r="AR154" s="262"/>
      <c r="AS154" s="263"/>
      <c r="AT154" s="262"/>
      <c r="AU154" s="265"/>
      <c r="AV154" s="263"/>
      <c r="AW154" s="262"/>
      <c r="AX154" s="265"/>
      <c r="AY154" s="263"/>
      <c r="AZ154" s="24">
        <f t="shared" si="20"/>
        <v>0</v>
      </c>
    </row>
    <row r="155" spans="2:52" s="24" customFormat="1" ht="21.95" customHeight="1" x14ac:dyDescent="0.25">
      <c r="B155" s="269"/>
      <c r="C155" s="270"/>
      <c r="D155" s="271"/>
      <c r="E155" s="236">
        <f t="shared" si="15"/>
        <v>0</v>
      </c>
      <c r="F155" s="269"/>
      <c r="G155" s="270"/>
      <c r="H155" s="271"/>
      <c r="I155" s="262"/>
      <c r="J155" s="263"/>
      <c r="K155" s="262"/>
      <c r="L155" s="263"/>
      <c r="M155" s="262"/>
      <c r="N155" s="263"/>
      <c r="O155" s="262"/>
      <c r="P155" s="263"/>
      <c r="Q155" s="235" t="b">
        <f t="shared" si="14"/>
        <v>0</v>
      </c>
      <c r="R155" s="262"/>
      <c r="S155" s="263"/>
      <c r="T155" s="262"/>
      <c r="U155" s="263"/>
      <c r="V155" s="262"/>
      <c r="W155" s="265"/>
      <c r="X155" s="265"/>
      <c r="Y155" s="263"/>
      <c r="Z155" s="235">
        <f t="shared" si="16"/>
        <v>0</v>
      </c>
      <c r="AA155" s="262"/>
      <c r="AB155" s="265"/>
      <c r="AC155" s="263"/>
      <c r="AD155" s="235">
        <f t="shared" si="17"/>
        <v>0</v>
      </c>
      <c r="AE155" s="262"/>
      <c r="AF155" s="265"/>
      <c r="AG155" s="263"/>
      <c r="AH155" s="235">
        <f t="shared" si="18"/>
        <v>0</v>
      </c>
      <c r="AI155" s="262"/>
      <c r="AJ155" s="265"/>
      <c r="AK155" s="263"/>
      <c r="AL155" s="235">
        <f t="shared" si="19"/>
        <v>0</v>
      </c>
      <c r="AM155" s="262"/>
      <c r="AN155" s="265"/>
      <c r="AO155" s="263"/>
      <c r="AP155" s="262"/>
      <c r="AQ155" s="263"/>
      <c r="AR155" s="262"/>
      <c r="AS155" s="263"/>
      <c r="AT155" s="262"/>
      <c r="AU155" s="265"/>
      <c r="AV155" s="263"/>
      <c r="AW155" s="262"/>
      <c r="AX155" s="265"/>
      <c r="AY155" s="263"/>
      <c r="AZ155" s="24">
        <f t="shared" si="20"/>
        <v>0</v>
      </c>
    </row>
    <row r="156" spans="2:52" s="24" customFormat="1" ht="21.95" customHeight="1" x14ac:dyDescent="0.25">
      <c r="B156" s="269"/>
      <c r="C156" s="270"/>
      <c r="D156" s="271"/>
      <c r="E156" s="236">
        <f t="shared" si="15"/>
        <v>0</v>
      </c>
      <c r="F156" s="269"/>
      <c r="G156" s="270"/>
      <c r="H156" s="271"/>
      <c r="I156" s="262"/>
      <c r="J156" s="263"/>
      <c r="K156" s="262"/>
      <c r="L156" s="263"/>
      <c r="M156" s="262"/>
      <c r="N156" s="263"/>
      <c r="O156" s="262"/>
      <c r="P156" s="263"/>
      <c r="Q156" s="235" t="b">
        <f t="shared" si="14"/>
        <v>0</v>
      </c>
      <c r="R156" s="262"/>
      <c r="S156" s="263"/>
      <c r="T156" s="262"/>
      <c r="U156" s="263"/>
      <c r="V156" s="262"/>
      <c r="W156" s="265"/>
      <c r="X156" s="265"/>
      <c r="Y156" s="263"/>
      <c r="Z156" s="235">
        <f t="shared" si="16"/>
        <v>0</v>
      </c>
      <c r="AA156" s="262"/>
      <c r="AB156" s="265"/>
      <c r="AC156" s="263"/>
      <c r="AD156" s="235">
        <f t="shared" si="17"/>
        <v>0</v>
      </c>
      <c r="AE156" s="262"/>
      <c r="AF156" s="265"/>
      <c r="AG156" s="263"/>
      <c r="AH156" s="235">
        <f t="shared" si="18"/>
        <v>0</v>
      </c>
      <c r="AI156" s="262"/>
      <c r="AJ156" s="265"/>
      <c r="AK156" s="263"/>
      <c r="AL156" s="235">
        <f t="shared" si="19"/>
        <v>0</v>
      </c>
      <c r="AM156" s="262"/>
      <c r="AN156" s="265"/>
      <c r="AO156" s="263"/>
      <c r="AP156" s="262"/>
      <c r="AQ156" s="263"/>
      <c r="AR156" s="262"/>
      <c r="AS156" s="263"/>
      <c r="AT156" s="262"/>
      <c r="AU156" s="265"/>
      <c r="AV156" s="263"/>
      <c r="AW156" s="262"/>
      <c r="AX156" s="265"/>
      <c r="AY156" s="263"/>
      <c r="AZ156" s="24">
        <f t="shared" si="20"/>
        <v>0</v>
      </c>
    </row>
    <row r="157" spans="2:52" s="24" customFormat="1" ht="21.95" customHeight="1" x14ac:dyDescent="0.25">
      <c r="B157" s="269"/>
      <c r="C157" s="270"/>
      <c r="D157" s="271"/>
      <c r="E157" s="236">
        <f t="shared" si="15"/>
        <v>0</v>
      </c>
      <c r="F157" s="269"/>
      <c r="G157" s="270"/>
      <c r="H157" s="271"/>
      <c r="I157" s="262"/>
      <c r="J157" s="263"/>
      <c r="K157" s="262"/>
      <c r="L157" s="263"/>
      <c r="M157" s="262"/>
      <c r="N157" s="263"/>
      <c r="O157" s="262"/>
      <c r="P157" s="263"/>
      <c r="Q157" s="235" t="b">
        <f t="shared" si="14"/>
        <v>0</v>
      </c>
      <c r="R157" s="262"/>
      <c r="S157" s="263"/>
      <c r="T157" s="262"/>
      <c r="U157" s="263"/>
      <c r="V157" s="262"/>
      <c r="W157" s="265"/>
      <c r="X157" s="265"/>
      <c r="Y157" s="263"/>
      <c r="Z157" s="235">
        <f t="shared" si="16"/>
        <v>0</v>
      </c>
      <c r="AA157" s="262"/>
      <c r="AB157" s="265"/>
      <c r="AC157" s="263"/>
      <c r="AD157" s="235">
        <f t="shared" si="17"/>
        <v>0</v>
      </c>
      <c r="AE157" s="262"/>
      <c r="AF157" s="265"/>
      <c r="AG157" s="263"/>
      <c r="AH157" s="235">
        <f t="shared" si="18"/>
        <v>0</v>
      </c>
      <c r="AI157" s="262"/>
      <c r="AJ157" s="265"/>
      <c r="AK157" s="263"/>
      <c r="AL157" s="235">
        <f t="shared" si="19"/>
        <v>0</v>
      </c>
      <c r="AM157" s="262"/>
      <c r="AN157" s="265"/>
      <c r="AO157" s="263"/>
      <c r="AP157" s="262"/>
      <c r="AQ157" s="263"/>
      <c r="AR157" s="262"/>
      <c r="AS157" s="263"/>
      <c r="AT157" s="262"/>
      <c r="AU157" s="265"/>
      <c r="AV157" s="263"/>
      <c r="AW157" s="262"/>
      <c r="AX157" s="265"/>
      <c r="AY157" s="263"/>
      <c r="AZ157" s="24">
        <f t="shared" si="20"/>
        <v>0</v>
      </c>
    </row>
    <row r="158" spans="2:52" s="24" customFormat="1" ht="21.95" customHeight="1" x14ac:dyDescent="0.25">
      <c r="B158" s="269"/>
      <c r="C158" s="270"/>
      <c r="D158" s="271"/>
      <c r="E158" s="236">
        <f t="shared" si="15"/>
        <v>0</v>
      </c>
      <c r="F158" s="269"/>
      <c r="G158" s="270"/>
      <c r="H158" s="271"/>
      <c r="I158" s="262"/>
      <c r="J158" s="263"/>
      <c r="K158" s="262"/>
      <c r="L158" s="263"/>
      <c r="M158" s="262"/>
      <c r="N158" s="263"/>
      <c r="O158" s="262"/>
      <c r="P158" s="263"/>
      <c r="Q158" s="235" t="b">
        <f t="shared" si="14"/>
        <v>0</v>
      </c>
      <c r="R158" s="262"/>
      <c r="S158" s="263"/>
      <c r="T158" s="262"/>
      <c r="U158" s="263"/>
      <c r="V158" s="262"/>
      <c r="W158" s="265"/>
      <c r="X158" s="265"/>
      <c r="Y158" s="263"/>
      <c r="Z158" s="235">
        <f t="shared" si="16"/>
        <v>0</v>
      </c>
      <c r="AA158" s="262"/>
      <c r="AB158" s="265"/>
      <c r="AC158" s="263"/>
      <c r="AD158" s="235">
        <f t="shared" si="17"/>
        <v>0</v>
      </c>
      <c r="AE158" s="262"/>
      <c r="AF158" s="265"/>
      <c r="AG158" s="263"/>
      <c r="AH158" s="235">
        <f t="shared" si="18"/>
        <v>0</v>
      </c>
      <c r="AI158" s="262"/>
      <c r="AJ158" s="265"/>
      <c r="AK158" s="263"/>
      <c r="AL158" s="235">
        <f t="shared" si="19"/>
        <v>0</v>
      </c>
      <c r="AM158" s="262"/>
      <c r="AN158" s="265"/>
      <c r="AO158" s="263"/>
      <c r="AP158" s="262"/>
      <c r="AQ158" s="263"/>
      <c r="AR158" s="262"/>
      <c r="AS158" s="263"/>
      <c r="AT158" s="262"/>
      <c r="AU158" s="265"/>
      <c r="AV158" s="263"/>
      <c r="AW158" s="262"/>
      <c r="AX158" s="265"/>
      <c r="AY158" s="263"/>
      <c r="AZ158" s="24">
        <f t="shared" si="20"/>
        <v>0</v>
      </c>
    </row>
    <row r="159" spans="2:52" s="24" customFormat="1" ht="21.95" customHeight="1" x14ac:dyDescent="0.25">
      <c r="B159" s="269"/>
      <c r="C159" s="270"/>
      <c r="D159" s="271"/>
      <c r="E159" s="236">
        <f t="shared" si="15"/>
        <v>0</v>
      </c>
      <c r="F159" s="269"/>
      <c r="G159" s="270"/>
      <c r="H159" s="271"/>
      <c r="I159" s="262"/>
      <c r="J159" s="263"/>
      <c r="K159" s="262"/>
      <c r="L159" s="263"/>
      <c r="M159" s="262"/>
      <c r="N159" s="263"/>
      <c r="O159" s="262"/>
      <c r="P159" s="263"/>
      <c r="Q159" s="235" t="b">
        <f t="shared" si="14"/>
        <v>0</v>
      </c>
      <c r="R159" s="262"/>
      <c r="S159" s="263"/>
      <c r="T159" s="262"/>
      <c r="U159" s="263"/>
      <c r="V159" s="262"/>
      <c r="W159" s="265"/>
      <c r="X159" s="265"/>
      <c r="Y159" s="263"/>
      <c r="Z159" s="235">
        <f t="shared" si="16"/>
        <v>0</v>
      </c>
      <c r="AA159" s="262"/>
      <c r="AB159" s="265"/>
      <c r="AC159" s="263"/>
      <c r="AD159" s="235">
        <f t="shared" si="17"/>
        <v>0</v>
      </c>
      <c r="AE159" s="262"/>
      <c r="AF159" s="265"/>
      <c r="AG159" s="263"/>
      <c r="AH159" s="235">
        <f t="shared" si="18"/>
        <v>0</v>
      </c>
      <c r="AI159" s="262"/>
      <c r="AJ159" s="265"/>
      <c r="AK159" s="263"/>
      <c r="AL159" s="235">
        <f t="shared" si="19"/>
        <v>0</v>
      </c>
      <c r="AM159" s="262"/>
      <c r="AN159" s="265"/>
      <c r="AO159" s="263"/>
      <c r="AP159" s="262"/>
      <c r="AQ159" s="263"/>
      <c r="AR159" s="262"/>
      <c r="AS159" s="263"/>
      <c r="AT159" s="262"/>
      <c r="AU159" s="265"/>
      <c r="AV159" s="263"/>
      <c r="AW159" s="262"/>
      <c r="AX159" s="265"/>
      <c r="AY159" s="263"/>
      <c r="AZ159" s="24">
        <f t="shared" si="20"/>
        <v>0</v>
      </c>
    </row>
    <row r="160" spans="2:52" s="24" customFormat="1" ht="21.95" customHeight="1" x14ac:dyDescent="0.25">
      <c r="B160" s="269"/>
      <c r="C160" s="270"/>
      <c r="D160" s="271"/>
      <c r="E160" s="236">
        <f t="shared" si="15"/>
        <v>0</v>
      </c>
      <c r="F160" s="269"/>
      <c r="G160" s="270"/>
      <c r="H160" s="271"/>
      <c r="I160" s="262"/>
      <c r="J160" s="263"/>
      <c r="K160" s="262"/>
      <c r="L160" s="263"/>
      <c r="M160" s="262"/>
      <c r="N160" s="263"/>
      <c r="O160" s="262"/>
      <c r="P160" s="263"/>
      <c r="Q160" s="235" t="b">
        <f t="shared" si="14"/>
        <v>0</v>
      </c>
      <c r="R160" s="262"/>
      <c r="S160" s="263"/>
      <c r="T160" s="262"/>
      <c r="U160" s="263"/>
      <c r="V160" s="262"/>
      <c r="W160" s="265"/>
      <c r="X160" s="265"/>
      <c r="Y160" s="263"/>
      <c r="Z160" s="235">
        <f t="shared" si="16"/>
        <v>0</v>
      </c>
      <c r="AA160" s="262"/>
      <c r="AB160" s="265"/>
      <c r="AC160" s="263"/>
      <c r="AD160" s="235">
        <f t="shared" si="17"/>
        <v>0</v>
      </c>
      <c r="AE160" s="262"/>
      <c r="AF160" s="265"/>
      <c r="AG160" s="263"/>
      <c r="AH160" s="235">
        <f t="shared" si="18"/>
        <v>0</v>
      </c>
      <c r="AI160" s="262"/>
      <c r="AJ160" s="265"/>
      <c r="AK160" s="263"/>
      <c r="AL160" s="235">
        <f t="shared" si="19"/>
        <v>0</v>
      </c>
      <c r="AM160" s="262"/>
      <c r="AN160" s="265"/>
      <c r="AO160" s="263"/>
      <c r="AP160" s="262"/>
      <c r="AQ160" s="263"/>
      <c r="AR160" s="262"/>
      <c r="AS160" s="263"/>
      <c r="AT160" s="262"/>
      <c r="AU160" s="265"/>
      <c r="AV160" s="263"/>
      <c r="AW160" s="262"/>
      <c r="AX160" s="265"/>
      <c r="AY160" s="263"/>
      <c r="AZ160" s="24">
        <f t="shared" si="20"/>
        <v>0</v>
      </c>
    </row>
    <row r="161" spans="2:52" s="24" customFormat="1" ht="21.95" customHeight="1" x14ac:dyDescent="0.25">
      <c r="B161" s="269"/>
      <c r="C161" s="270"/>
      <c r="D161" s="271"/>
      <c r="E161" s="236">
        <f t="shared" si="15"/>
        <v>0</v>
      </c>
      <c r="F161" s="269"/>
      <c r="G161" s="270"/>
      <c r="H161" s="271"/>
      <c r="I161" s="262"/>
      <c r="J161" s="263"/>
      <c r="K161" s="262"/>
      <c r="L161" s="263"/>
      <c r="M161" s="262"/>
      <c r="N161" s="263"/>
      <c r="O161" s="262"/>
      <c r="P161" s="263"/>
      <c r="Q161" s="235" t="b">
        <f t="shared" si="14"/>
        <v>0</v>
      </c>
      <c r="R161" s="262"/>
      <c r="S161" s="263"/>
      <c r="T161" s="262"/>
      <c r="U161" s="263"/>
      <c r="V161" s="262"/>
      <c r="W161" s="265"/>
      <c r="X161" s="265"/>
      <c r="Y161" s="263"/>
      <c r="Z161" s="235">
        <f t="shared" si="16"/>
        <v>0</v>
      </c>
      <c r="AA161" s="262"/>
      <c r="AB161" s="265"/>
      <c r="AC161" s="263"/>
      <c r="AD161" s="235">
        <f t="shared" si="17"/>
        <v>0</v>
      </c>
      <c r="AE161" s="262"/>
      <c r="AF161" s="265"/>
      <c r="AG161" s="263"/>
      <c r="AH161" s="235">
        <f t="shared" si="18"/>
        <v>0</v>
      </c>
      <c r="AI161" s="262"/>
      <c r="AJ161" s="265"/>
      <c r="AK161" s="263"/>
      <c r="AL161" s="235">
        <f t="shared" si="19"/>
        <v>0</v>
      </c>
      <c r="AM161" s="262"/>
      <c r="AN161" s="265"/>
      <c r="AO161" s="263"/>
      <c r="AP161" s="262"/>
      <c r="AQ161" s="263"/>
      <c r="AR161" s="262"/>
      <c r="AS161" s="263"/>
      <c r="AT161" s="262"/>
      <c r="AU161" s="265"/>
      <c r="AV161" s="263"/>
      <c r="AW161" s="262"/>
      <c r="AX161" s="265"/>
      <c r="AY161" s="263"/>
      <c r="AZ161" s="24">
        <f t="shared" si="20"/>
        <v>0</v>
      </c>
    </row>
    <row r="162" spans="2:52" s="24" customFormat="1" ht="21.95" customHeight="1" x14ac:dyDescent="0.25">
      <c r="B162" s="269"/>
      <c r="C162" s="270"/>
      <c r="D162" s="271"/>
      <c r="E162" s="236">
        <f t="shared" si="15"/>
        <v>0</v>
      </c>
      <c r="F162" s="269"/>
      <c r="G162" s="270"/>
      <c r="H162" s="271"/>
      <c r="I162" s="262"/>
      <c r="J162" s="263"/>
      <c r="K162" s="262"/>
      <c r="L162" s="263"/>
      <c r="M162" s="262"/>
      <c r="N162" s="263"/>
      <c r="O162" s="262"/>
      <c r="P162" s="263"/>
      <c r="Q162" s="235" t="b">
        <f t="shared" si="14"/>
        <v>0</v>
      </c>
      <c r="R162" s="262"/>
      <c r="S162" s="263"/>
      <c r="T162" s="262"/>
      <c r="U162" s="263"/>
      <c r="V162" s="262"/>
      <c r="W162" s="265"/>
      <c r="X162" s="265"/>
      <c r="Y162" s="263"/>
      <c r="Z162" s="235">
        <f t="shared" si="16"/>
        <v>0</v>
      </c>
      <c r="AA162" s="262"/>
      <c r="AB162" s="265"/>
      <c r="AC162" s="263"/>
      <c r="AD162" s="235">
        <f t="shared" si="17"/>
        <v>0</v>
      </c>
      <c r="AE162" s="262"/>
      <c r="AF162" s="265"/>
      <c r="AG162" s="263"/>
      <c r="AH162" s="235">
        <f t="shared" si="18"/>
        <v>0</v>
      </c>
      <c r="AI162" s="262"/>
      <c r="AJ162" s="265"/>
      <c r="AK162" s="263"/>
      <c r="AL162" s="235">
        <f t="shared" si="19"/>
        <v>0</v>
      </c>
      <c r="AM162" s="262"/>
      <c r="AN162" s="265"/>
      <c r="AO162" s="263"/>
      <c r="AP162" s="262"/>
      <c r="AQ162" s="263"/>
      <c r="AR162" s="262"/>
      <c r="AS162" s="263"/>
      <c r="AT162" s="262"/>
      <c r="AU162" s="265"/>
      <c r="AV162" s="263"/>
      <c r="AW162" s="262"/>
      <c r="AX162" s="265"/>
      <c r="AY162" s="263"/>
      <c r="AZ162" s="24">
        <f t="shared" si="20"/>
        <v>0</v>
      </c>
    </row>
    <row r="163" spans="2:52" s="24" customFormat="1" ht="21.95" customHeight="1" x14ac:dyDescent="0.25">
      <c r="B163" s="269"/>
      <c r="C163" s="270"/>
      <c r="D163" s="271"/>
      <c r="E163" s="236">
        <f t="shared" si="15"/>
        <v>0</v>
      </c>
      <c r="F163" s="269"/>
      <c r="G163" s="270"/>
      <c r="H163" s="271"/>
      <c r="I163" s="262"/>
      <c r="J163" s="263"/>
      <c r="K163" s="262"/>
      <c r="L163" s="263"/>
      <c r="M163" s="262"/>
      <c r="N163" s="263"/>
      <c r="O163" s="262"/>
      <c r="P163" s="263"/>
      <c r="Q163" s="235" t="b">
        <f t="shared" si="14"/>
        <v>0</v>
      </c>
      <c r="R163" s="262"/>
      <c r="S163" s="263"/>
      <c r="T163" s="262"/>
      <c r="U163" s="263"/>
      <c r="V163" s="262"/>
      <c r="W163" s="265"/>
      <c r="X163" s="265"/>
      <c r="Y163" s="263"/>
      <c r="Z163" s="235">
        <f t="shared" si="16"/>
        <v>0</v>
      </c>
      <c r="AA163" s="262"/>
      <c r="AB163" s="265"/>
      <c r="AC163" s="263"/>
      <c r="AD163" s="235">
        <f t="shared" si="17"/>
        <v>0</v>
      </c>
      <c r="AE163" s="262"/>
      <c r="AF163" s="265"/>
      <c r="AG163" s="263"/>
      <c r="AH163" s="235">
        <f t="shared" si="18"/>
        <v>0</v>
      </c>
      <c r="AI163" s="262"/>
      <c r="AJ163" s="265"/>
      <c r="AK163" s="263"/>
      <c r="AL163" s="235">
        <f t="shared" si="19"/>
        <v>0</v>
      </c>
      <c r="AM163" s="262"/>
      <c r="AN163" s="265"/>
      <c r="AO163" s="263"/>
      <c r="AP163" s="262"/>
      <c r="AQ163" s="263"/>
      <c r="AR163" s="262"/>
      <c r="AS163" s="263"/>
      <c r="AT163" s="262"/>
      <c r="AU163" s="265"/>
      <c r="AV163" s="263"/>
      <c r="AW163" s="262"/>
      <c r="AX163" s="265"/>
      <c r="AY163" s="263"/>
      <c r="AZ163" s="24">
        <f t="shared" si="20"/>
        <v>0</v>
      </c>
    </row>
    <row r="164" spans="2:52" s="24" customFormat="1" ht="21.95" customHeight="1" x14ac:dyDescent="0.25">
      <c r="B164" s="269"/>
      <c r="C164" s="270"/>
      <c r="D164" s="271"/>
      <c r="E164" s="236">
        <f t="shared" si="15"/>
        <v>0</v>
      </c>
      <c r="F164" s="269"/>
      <c r="G164" s="270"/>
      <c r="H164" s="271"/>
      <c r="I164" s="262"/>
      <c r="J164" s="263"/>
      <c r="K164" s="262"/>
      <c r="L164" s="263"/>
      <c r="M164" s="262"/>
      <c r="N164" s="263"/>
      <c r="O164" s="262"/>
      <c r="P164" s="263"/>
      <c r="Q164" s="235" t="b">
        <f t="shared" si="14"/>
        <v>0</v>
      </c>
      <c r="R164" s="262"/>
      <c r="S164" s="263"/>
      <c r="T164" s="262"/>
      <c r="U164" s="263"/>
      <c r="V164" s="262"/>
      <c r="W164" s="265"/>
      <c r="X164" s="265"/>
      <c r="Y164" s="263"/>
      <c r="Z164" s="235">
        <f t="shared" si="16"/>
        <v>0</v>
      </c>
      <c r="AA164" s="262"/>
      <c r="AB164" s="265"/>
      <c r="AC164" s="263"/>
      <c r="AD164" s="235">
        <f t="shared" si="17"/>
        <v>0</v>
      </c>
      <c r="AE164" s="262"/>
      <c r="AF164" s="265"/>
      <c r="AG164" s="263"/>
      <c r="AH164" s="235">
        <f t="shared" si="18"/>
        <v>0</v>
      </c>
      <c r="AI164" s="262"/>
      <c r="AJ164" s="265"/>
      <c r="AK164" s="263"/>
      <c r="AL164" s="235">
        <f t="shared" si="19"/>
        <v>0</v>
      </c>
      <c r="AM164" s="262"/>
      <c r="AN164" s="265"/>
      <c r="AO164" s="263"/>
      <c r="AP164" s="262"/>
      <c r="AQ164" s="263"/>
      <c r="AR164" s="262"/>
      <c r="AS164" s="263"/>
      <c r="AT164" s="262"/>
      <c r="AU164" s="265"/>
      <c r="AV164" s="263"/>
      <c r="AW164" s="262"/>
      <c r="AX164" s="265"/>
      <c r="AY164" s="263"/>
      <c r="AZ164" s="24">
        <f t="shared" si="20"/>
        <v>0</v>
      </c>
    </row>
    <row r="165" spans="2:52" s="24" customFormat="1" ht="21.95" customHeight="1" x14ac:dyDescent="0.25">
      <c r="B165" s="269"/>
      <c r="C165" s="270"/>
      <c r="D165" s="271"/>
      <c r="E165" s="236">
        <f t="shared" si="15"/>
        <v>0</v>
      </c>
      <c r="F165" s="269"/>
      <c r="G165" s="270"/>
      <c r="H165" s="271"/>
      <c r="I165" s="262"/>
      <c r="J165" s="263"/>
      <c r="K165" s="262"/>
      <c r="L165" s="263"/>
      <c r="M165" s="262"/>
      <c r="N165" s="263"/>
      <c r="O165" s="262"/>
      <c r="P165" s="263"/>
      <c r="Q165" s="235" t="b">
        <f t="shared" si="14"/>
        <v>0</v>
      </c>
      <c r="R165" s="262"/>
      <c r="S165" s="263"/>
      <c r="T165" s="262"/>
      <c r="U165" s="263"/>
      <c r="V165" s="262"/>
      <c r="W165" s="265"/>
      <c r="X165" s="265"/>
      <c r="Y165" s="263"/>
      <c r="Z165" s="235">
        <f t="shared" si="16"/>
        <v>0</v>
      </c>
      <c r="AA165" s="262"/>
      <c r="AB165" s="265"/>
      <c r="AC165" s="263"/>
      <c r="AD165" s="235">
        <f t="shared" si="17"/>
        <v>0</v>
      </c>
      <c r="AE165" s="262"/>
      <c r="AF165" s="265"/>
      <c r="AG165" s="263"/>
      <c r="AH165" s="235">
        <f t="shared" si="18"/>
        <v>0</v>
      </c>
      <c r="AI165" s="262"/>
      <c r="AJ165" s="265"/>
      <c r="AK165" s="263"/>
      <c r="AL165" s="235">
        <f t="shared" si="19"/>
        <v>0</v>
      </c>
      <c r="AM165" s="262"/>
      <c r="AN165" s="265"/>
      <c r="AO165" s="263"/>
      <c r="AP165" s="262"/>
      <c r="AQ165" s="263"/>
      <c r="AR165" s="262"/>
      <c r="AS165" s="263"/>
      <c r="AT165" s="262"/>
      <c r="AU165" s="265"/>
      <c r="AV165" s="263"/>
      <c r="AW165" s="262"/>
      <c r="AX165" s="265"/>
      <c r="AY165" s="263"/>
      <c r="AZ165" s="24">
        <f t="shared" si="20"/>
        <v>0</v>
      </c>
    </row>
    <row r="166" spans="2:52" s="24" customFormat="1" ht="21.95" customHeight="1" x14ac:dyDescent="0.25">
      <c r="B166" s="269"/>
      <c r="C166" s="270"/>
      <c r="D166" s="271"/>
      <c r="E166" s="236">
        <f t="shared" si="15"/>
        <v>0</v>
      </c>
      <c r="F166" s="269"/>
      <c r="G166" s="270"/>
      <c r="H166" s="271"/>
      <c r="I166" s="262"/>
      <c r="J166" s="263"/>
      <c r="K166" s="262"/>
      <c r="L166" s="263"/>
      <c r="M166" s="262"/>
      <c r="N166" s="263"/>
      <c r="O166" s="262"/>
      <c r="P166" s="263"/>
      <c r="Q166" s="235" t="b">
        <f t="shared" si="14"/>
        <v>0</v>
      </c>
      <c r="R166" s="262"/>
      <c r="S166" s="263"/>
      <c r="T166" s="262"/>
      <c r="U166" s="263"/>
      <c r="V166" s="262"/>
      <c r="W166" s="265"/>
      <c r="X166" s="265"/>
      <c r="Y166" s="263"/>
      <c r="Z166" s="235">
        <f t="shared" si="16"/>
        <v>0</v>
      </c>
      <c r="AA166" s="262"/>
      <c r="AB166" s="265"/>
      <c r="AC166" s="263"/>
      <c r="AD166" s="235">
        <f t="shared" si="17"/>
        <v>0</v>
      </c>
      <c r="AE166" s="262"/>
      <c r="AF166" s="265"/>
      <c r="AG166" s="263"/>
      <c r="AH166" s="235">
        <f t="shared" si="18"/>
        <v>0</v>
      </c>
      <c r="AI166" s="262"/>
      <c r="AJ166" s="265"/>
      <c r="AK166" s="263"/>
      <c r="AL166" s="235">
        <f t="shared" si="19"/>
        <v>0</v>
      </c>
      <c r="AM166" s="262"/>
      <c r="AN166" s="265"/>
      <c r="AO166" s="263"/>
      <c r="AP166" s="262"/>
      <c r="AQ166" s="263"/>
      <c r="AR166" s="262"/>
      <c r="AS166" s="263"/>
      <c r="AT166" s="262"/>
      <c r="AU166" s="265"/>
      <c r="AV166" s="263"/>
      <c r="AW166" s="262"/>
      <c r="AX166" s="265"/>
      <c r="AY166" s="263"/>
      <c r="AZ166" s="24">
        <f t="shared" si="20"/>
        <v>0</v>
      </c>
    </row>
    <row r="167" spans="2:52" s="24" customFormat="1" ht="21.95" customHeight="1" x14ac:dyDescent="0.25">
      <c r="B167" s="269"/>
      <c r="C167" s="270"/>
      <c r="D167" s="271"/>
      <c r="E167" s="236">
        <f t="shared" si="15"/>
        <v>0</v>
      </c>
      <c r="F167" s="269"/>
      <c r="G167" s="270"/>
      <c r="H167" s="271"/>
      <c r="I167" s="262"/>
      <c r="J167" s="263"/>
      <c r="K167" s="262"/>
      <c r="L167" s="263"/>
      <c r="M167" s="262"/>
      <c r="N167" s="263"/>
      <c r="O167" s="262"/>
      <c r="P167" s="263"/>
      <c r="Q167" s="235" t="b">
        <f t="shared" si="14"/>
        <v>0</v>
      </c>
      <c r="R167" s="262"/>
      <c r="S167" s="263"/>
      <c r="T167" s="262"/>
      <c r="U167" s="263"/>
      <c r="V167" s="262"/>
      <c r="W167" s="265"/>
      <c r="X167" s="265"/>
      <c r="Y167" s="263"/>
      <c r="Z167" s="235">
        <f t="shared" si="16"/>
        <v>0</v>
      </c>
      <c r="AA167" s="262"/>
      <c r="AB167" s="265"/>
      <c r="AC167" s="263"/>
      <c r="AD167" s="235">
        <f t="shared" si="17"/>
        <v>0</v>
      </c>
      <c r="AE167" s="262"/>
      <c r="AF167" s="265"/>
      <c r="AG167" s="263"/>
      <c r="AH167" s="235">
        <f t="shared" si="18"/>
        <v>0</v>
      </c>
      <c r="AI167" s="262"/>
      <c r="AJ167" s="265"/>
      <c r="AK167" s="263"/>
      <c r="AL167" s="235">
        <f t="shared" si="19"/>
        <v>0</v>
      </c>
      <c r="AM167" s="262"/>
      <c r="AN167" s="265"/>
      <c r="AO167" s="263"/>
      <c r="AP167" s="262"/>
      <c r="AQ167" s="263"/>
      <c r="AR167" s="262"/>
      <c r="AS167" s="263"/>
      <c r="AT167" s="262"/>
      <c r="AU167" s="265"/>
      <c r="AV167" s="263"/>
      <c r="AW167" s="262"/>
      <c r="AX167" s="265"/>
      <c r="AY167" s="263"/>
      <c r="AZ167" s="24">
        <f t="shared" si="20"/>
        <v>0</v>
      </c>
    </row>
    <row r="168" spans="2:52" s="24" customFormat="1" ht="21.95" customHeight="1" x14ac:dyDescent="0.25">
      <c r="B168" s="269"/>
      <c r="C168" s="270"/>
      <c r="D168" s="271"/>
      <c r="E168" s="236">
        <f t="shared" si="15"/>
        <v>0</v>
      </c>
      <c r="F168" s="269"/>
      <c r="G168" s="270"/>
      <c r="H168" s="271"/>
      <c r="I168" s="262"/>
      <c r="J168" s="263"/>
      <c r="K168" s="262"/>
      <c r="L168" s="263"/>
      <c r="M168" s="262"/>
      <c r="N168" s="263"/>
      <c r="O168" s="262"/>
      <c r="P168" s="263"/>
      <c r="Q168" s="235" t="b">
        <f t="shared" si="14"/>
        <v>0</v>
      </c>
      <c r="R168" s="262"/>
      <c r="S168" s="263"/>
      <c r="T168" s="262"/>
      <c r="U168" s="263"/>
      <c r="V168" s="262"/>
      <c r="W168" s="265"/>
      <c r="X168" s="265"/>
      <c r="Y168" s="263"/>
      <c r="Z168" s="235">
        <f t="shared" si="16"/>
        <v>0</v>
      </c>
      <c r="AA168" s="262"/>
      <c r="AB168" s="265"/>
      <c r="AC168" s="263"/>
      <c r="AD168" s="235">
        <f t="shared" si="17"/>
        <v>0</v>
      </c>
      <c r="AE168" s="262"/>
      <c r="AF168" s="265"/>
      <c r="AG168" s="263"/>
      <c r="AH168" s="235">
        <f t="shared" si="18"/>
        <v>0</v>
      </c>
      <c r="AI168" s="262"/>
      <c r="AJ168" s="265"/>
      <c r="AK168" s="263"/>
      <c r="AL168" s="235">
        <f t="shared" si="19"/>
        <v>0</v>
      </c>
      <c r="AM168" s="262"/>
      <c r="AN168" s="265"/>
      <c r="AO168" s="263"/>
      <c r="AP168" s="262"/>
      <c r="AQ168" s="263"/>
      <c r="AR168" s="262"/>
      <c r="AS168" s="263"/>
      <c r="AT168" s="262"/>
      <c r="AU168" s="265"/>
      <c r="AV168" s="263"/>
      <c r="AW168" s="262"/>
      <c r="AX168" s="265"/>
      <c r="AY168" s="263"/>
      <c r="AZ168" s="24">
        <f t="shared" si="20"/>
        <v>0</v>
      </c>
    </row>
    <row r="169" spans="2:52" s="24" customFormat="1" ht="21.95" customHeight="1" x14ac:dyDescent="0.25">
      <c r="B169" s="269"/>
      <c r="C169" s="270"/>
      <c r="D169" s="271"/>
      <c r="E169" s="236">
        <f t="shared" si="15"/>
        <v>0</v>
      </c>
      <c r="F169" s="269"/>
      <c r="G169" s="270"/>
      <c r="H169" s="271"/>
      <c r="I169" s="262"/>
      <c r="J169" s="263"/>
      <c r="K169" s="262"/>
      <c r="L169" s="263"/>
      <c r="M169" s="262"/>
      <c r="N169" s="263"/>
      <c r="O169" s="262"/>
      <c r="P169" s="263"/>
      <c r="Q169" s="235" t="b">
        <f t="shared" si="14"/>
        <v>0</v>
      </c>
      <c r="R169" s="262"/>
      <c r="S169" s="263"/>
      <c r="T169" s="262"/>
      <c r="U169" s="263"/>
      <c r="V169" s="262"/>
      <c r="W169" s="265"/>
      <c r="X169" s="265"/>
      <c r="Y169" s="263"/>
      <c r="Z169" s="235">
        <f t="shared" si="16"/>
        <v>0</v>
      </c>
      <c r="AA169" s="262"/>
      <c r="AB169" s="265"/>
      <c r="AC169" s="263"/>
      <c r="AD169" s="235">
        <f t="shared" si="17"/>
        <v>0</v>
      </c>
      <c r="AE169" s="262"/>
      <c r="AF169" s="265"/>
      <c r="AG169" s="263"/>
      <c r="AH169" s="235">
        <f t="shared" si="18"/>
        <v>0</v>
      </c>
      <c r="AI169" s="262"/>
      <c r="AJ169" s="265"/>
      <c r="AK169" s="263"/>
      <c r="AL169" s="235">
        <f t="shared" si="19"/>
        <v>0</v>
      </c>
      <c r="AM169" s="262"/>
      <c r="AN169" s="265"/>
      <c r="AO169" s="263"/>
      <c r="AP169" s="262"/>
      <c r="AQ169" s="263"/>
      <c r="AR169" s="262"/>
      <c r="AS169" s="263"/>
      <c r="AT169" s="262"/>
      <c r="AU169" s="265"/>
      <c r="AV169" s="263"/>
      <c r="AW169" s="262"/>
      <c r="AX169" s="265"/>
      <c r="AY169" s="263"/>
      <c r="AZ169" s="24">
        <f t="shared" si="20"/>
        <v>0</v>
      </c>
    </row>
    <row r="170" spans="2:52" s="24" customFormat="1" ht="21.95" customHeight="1" x14ac:dyDescent="0.25">
      <c r="B170" s="269"/>
      <c r="C170" s="270"/>
      <c r="D170" s="271"/>
      <c r="E170" s="236">
        <f t="shared" si="15"/>
        <v>0</v>
      </c>
      <c r="F170" s="269"/>
      <c r="G170" s="270"/>
      <c r="H170" s="271"/>
      <c r="I170" s="262"/>
      <c r="J170" s="263"/>
      <c r="K170" s="262"/>
      <c r="L170" s="263"/>
      <c r="M170" s="262"/>
      <c r="N170" s="263"/>
      <c r="O170" s="262"/>
      <c r="P170" s="263"/>
      <c r="Q170" s="235" t="b">
        <f t="shared" si="14"/>
        <v>0</v>
      </c>
      <c r="R170" s="262"/>
      <c r="S170" s="263"/>
      <c r="T170" s="262"/>
      <c r="U170" s="263"/>
      <c r="V170" s="262"/>
      <c r="W170" s="265"/>
      <c r="X170" s="265"/>
      <c r="Y170" s="263"/>
      <c r="Z170" s="235">
        <f t="shared" si="16"/>
        <v>0</v>
      </c>
      <c r="AA170" s="262"/>
      <c r="AB170" s="265"/>
      <c r="AC170" s="263"/>
      <c r="AD170" s="235">
        <f t="shared" si="17"/>
        <v>0</v>
      </c>
      <c r="AE170" s="262"/>
      <c r="AF170" s="265"/>
      <c r="AG170" s="263"/>
      <c r="AH170" s="235">
        <f t="shared" si="18"/>
        <v>0</v>
      </c>
      <c r="AI170" s="262"/>
      <c r="AJ170" s="265"/>
      <c r="AK170" s="263"/>
      <c r="AL170" s="235">
        <f t="shared" si="19"/>
        <v>0</v>
      </c>
      <c r="AM170" s="262"/>
      <c r="AN170" s="265"/>
      <c r="AO170" s="263"/>
      <c r="AP170" s="262"/>
      <c r="AQ170" s="263"/>
      <c r="AR170" s="262"/>
      <c r="AS170" s="263"/>
      <c r="AT170" s="262"/>
      <c r="AU170" s="265"/>
      <c r="AV170" s="263"/>
      <c r="AW170" s="262"/>
      <c r="AX170" s="265"/>
      <c r="AY170" s="263"/>
      <c r="AZ170" s="24">
        <f t="shared" si="20"/>
        <v>0</v>
      </c>
    </row>
    <row r="171" spans="2:52" s="24" customFormat="1" ht="21.95" customHeight="1" x14ac:dyDescent="0.25">
      <c r="B171" s="269"/>
      <c r="C171" s="270"/>
      <c r="D171" s="271"/>
      <c r="E171" s="236">
        <f t="shared" si="15"/>
        <v>0</v>
      </c>
      <c r="F171" s="269"/>
      <c r="G171" s="270"/>
      <c r="H171" s="271"/>
      <c r="I171" s="262"/>
      <c r="J171" s="263"/>
      <c r="K171" s="262"/>
      <c r="L171" s="263"/>
      <c r="M171" s="262"/>
      <c r="N171" s="263"/>
      <c r="O171" s="262"/>
      <c r="P171" s="263"/>
      <c r="Q171" s="235" t="b">
        <f t="shared" si="14"/>
        <v>0</v>
      </c>
      <c r="R171" s="262"/>
      <c r="S171" s="263"/>
      <c r="T171" s="262"/>
      <c r="U171" s="263"/>
      <c r="V171" s="262"/>
      <c r="W171" s="265"/>
      <c r="X171" s="265"/>
      <c r="Y171" s="263"/>
      <c r="Z171" s="235">
        <f t="shared" si="16"/>
        <v>0</v>
      </c>
      <c r="AA171" s="262"/>
      <c r="AB171" s="265"/>
      <c r="AC171" s="263"/>
      <c r="AD171" s="235">
        <f t="shared" si="17"/>
        <v>0</v>
      </c>
      <c r="AE171" s="262"/>
      <c r="AF171" s="265"/>
      <c r="AG171" s="263"/>
      <c r="AH171" s="235">
        <f t="shared" si="18"/>
        <v>0</v>
      </c>
      <c r="AI171" s="262"/>
      <c r="AJ171" s="265"/>
      <c r="AK171" s="263"/>
      <c r="AL171" s="235">
        <f t="shared" si="19"/>
        <v>0</v>
      </c>
      <c r="AM171" s="262"/>
      <c r="AN171" s="265"/>
      <c r="AO171" s="263"/>
      <c r="AP171" s="262"/>
      <c r="AQ171" s="263"/>
      <c r="AR171" s="262"/>
      <c r="AS171" s="263"/>
      <c r="AT171" s="262"/>
      <c r="AU171" s="265"/>
      <c r="AV171" s="263"/>
      <c r="AW171" s="262"/>
      <c r="AX171" s="265"/>
      <c r="AY171" s="263"/>
      <c r="AZ171" s="24">
        <f t="shared" si="20"/>
        <v>0</v>
      </c>
    </row>
    <row r="172" spans="2:52" s="24" customFormat="1" ht="21.95" customHeight="1" x14ac:dyDescent="0.25">
      <c r="B172" s="269"/>
      <c r="C172" s="270"/>
      <c r="D172" s="271"/>
      <c r="E172" s="236">
        <f t="shared" si="15"/>
        <v>0</v>
      </c>
      <c r="F172" s="269"/>
      <c r="G172" s="270"/>
      <c r="H172" s="271"/>
      <c r="I172" s="262"/>
      <c r="J172" s="263"/>
      <c r="K172" s="262"/>
      <c r="L172" s="263"/>
      <c r="M172" s="262"/>
      <c r="N172" s="263"/>
      <c r="O172" s="262"/>
      <c r="P172" s="263"/>
      <c r="Q172" s="235" t="b">
        <f t="shared" si="14"/>
        <v>0</v>
      </c>
      <c r="R172" s="262"/>
      <c r="S172" s="263"/>
      <c r="T172" s="262"/>
      <c r="U172" s="263"/>
      <c r="V172" s="262"/>
      <c r="W172" s="265"/>
      <c r="X172" s="265"/>
      <c r="Y172" s="263"/>
      <c r="Z172" s="235">
        <f t="shared" si="16"/>
        <v>0</v>
      </c>
      <c r="AA172" s="262"/>
      <c r="AB172" s="265"/>
      <c r="AC172" s="263"/>
      <c r="AD172" s="235">
        <f t="shared" si="17"/>
        <v>0</v>
      </c>
      <c r="AE172" s="262"/>
      <c r="AF172" s="265"/>
      <c r="AG172" s="263"/>
      <c r="AH172" s="235">
        <f t="shared" si="18"/>
        <v>0</v>
      </c>
      <c r="AI172" s="262"/>
      <c r="AJ172" s="265"/>
      <c r="AK172" s="263"/>
      <c r="AL172" s="235">
        <f t="shared" si="19"/>
        <v>0</v>
      </c>
      <c r="AM172" s="262"/>
      <c r="AN172" s="265"/>
      <c r="AO172" s="263"/>
      <c r="AP172" s="262"/>
      <c r="AQ172" s="263"/>
      <c r="AR172" s="262"/>
      <c r="AS172" s="263"/>
      <c r="AT172" s="262"/>
      <c r="AU172" s="265"/>
      <c r="AV172" s="263"/>
      <c r="AW172" s="262"/>
      <c r="AX172" s="265"/>
      <c r="AY172" s="263"/>
      <c r="AZ172" s="24">
        <f t="shared" si="20"/>
        <v>0</v>
      </c>
    </row>
    <row r="173" spans="2:52" s="24" customFormat="1" ht="21.95" customHeight="1" x14ac:dyDescent="0.25">
      <c r="B173" s="269"/>
      <c r="C173" s="270"/>
      <c r="D173" s="271"/>
      <c r="E173" s="236">
        <f t="shared" si="15"/>
        <v>0</v>
      </c>
      <c r="F173" s="269"/>
      <c r="G173" s="270"/>
      <c r="H173" s="271"/>
      <c r="I173" s="262"/>
      <c r="J173" s="263"/>
      <c r="K173" s="262"/>
      <c r="L173" s="263"/>
      <c r="M173" s="262"/>
      <c r="N173" s="263"/>
      <c r="O173" s="262"/>
      <c r="P173" s="263"/>
      <c r="Q173" s="235" t="b">
        <f t="shared" si="14"/>
        <v>0</v>
      </c>
      <c r="R173" s="262"/>
      <c r="S173" s="263"/>
      <c r="T173" s="262"/>
      <c r="U173" s="263"/>
      <c r="V173" s="262"/>
      <c r="W173" s="265"/>
      <c r="X173" s="265"/>
      <c r="Y173" s="263"/>
      <c r="Z173" s="235">
        <f t="shared" si="16"/>
        <v>0</v>
      </c>
      <c r="AA173" s="262"/>
      <c r="AB173" s="265"/>
      <c r="AC173" s="263"/>
      <c r="AD173" s="235">
        <f t="shared" si="17"/>
        <v>0</v>
      </c>
      <c r="AE173" s="262"/>
      <c r="AF173" s="265"/>
      <c r="AG173" s="263"/>
      <c r="AH173" s="235">
        <f t="shared" si="18"/>
        <v>0</v>
      </c>
      <c r="AI173" s="262"/>
      <c r="AJ173" s="265"/>
      <c r="AK173" s="263"/>
      <c r="AL173" s="235">
        <f t="shared" si="19"/>
        <v>0</v>
      </c>
      <c r="AM173" s="262"/>
      <c r="AN173" s="265"/>
      <c r="AO173" s="263"/>
      <c r="AP173" s="262"/>
      <c r="AQ173" s="263"/>
      <c r="AR173" s="262"/>
      <c r="AS173" s="263"/>
      <c r="AT173" s="262"/>
      <c r="AU173" s="265"/>
      <c r="AV173" s="263"/>
      <c r="AW173" s="262"/>
      <c r="AX173" s="265"/>
      <c r="AY173" s="263"/>
      <c r="AZ173" s="24">
        <f t="shared" si="20"/>
        <v>0</v>
      </c>
    </row>
    <row r="174" spans="2:52" s="24" customFormat="1" ht="21.95" customHeight="1" x14ac:dyDescent="0.25">
      <c r="B174" s="269"/>
      <c r="C174" s="270"/>
      <c r="D174" s="271"/>
      <c r="E174" s="236">
        <f t="shared" si="15"/>
        <v>0</v>
      </c>
      <c r="F174" s="269"/>
      <c r="G174" s="270"/>
      <c r="H174" s="271"/>
      <c r="I174" s="262"/>
      <c r="J174" s="263"/>
      <c r="K174" s="262"/>
      <c r="L174" s="263"/>
      <c r="M174" s="262"/>
      <c r="N174" s="263"/>
      <c r="O174" s="262"/>
      <c r="P174" s="263"/>
      <c r="Q174" s="235" t="b">
        <f t="shared" si="14"/>
        <v>0</v>
      </c>
      <c r="R174" s="262"/>
      <c r="S174" s="263"/>
      <c r="T174" s="262"/>
      <c r="U174" s="263"/>
      <c r="V174" s="262"/>
      <c r="W174" s="265"/>
      <c r="X174" s="265"/>
      <c r="Y174" s="263"/>
      <c r="Z174" s="235">
        <f t="shared" si="16"/>
        <v>0</v>
      </c>
      <c r="AA174" s="262"/>
      <c r="AB174" s="265"/>
      <c r="AC174" s="263"/>
      <c r="AD174" s="235">
        <f t="shared" si="17"/>
        <v>0</v>
      </c>
      <c r="AE174" s="262"/>
      <c r="AF174" s="265"/>
      <c r="AG174" s="263"/>
      <c r="AH174" s="235">
        <f t="shared" si="18"/>
        <v>0</v>
      </c>
      <c r="AI174" s="262"/>
      <c r="AJ174" s="265"/>
      <c r="AK174" s="263"/>
      <c r="AL174" s="235">
        <f t="shared" si="19"/>
        <v>0</v>
      </c>
      <c r="AM174" s="262"/>
      <c r="AN174" s="265"/>
      <c r="AO174" s="263"/>
      <c r="AP174" s="262"/>
      <c r="AQ174" s="263"/>
      <c r="AR174" s="262"/>
      <c r="AS174" s="263"/>
      <c r="AT174" s="262"/>
      <c r="AU174" s="265"/>
      <c r="AV174" s="263"/>
      <c r="AW174" s="262"/>
      <c r="AX174" s="265"/>
      <c r="AY174" s="263"/>
      <c r="AZ174" s="24">
        <f t="shared" si="20"/>
        <v>0</v>
      </c>
    </row>
    <row r="175" spans="2:52" s="24" customFormat="1" ht="21.95" customHeight="1" x14ac:dyDescent="0.25">
      <c r="B175" s="269"/>
      <c r="C175" s="270"/>
      <c r="D175" s="271"/>
      <c r="E175" s="236">
        <f t="shared" si="15"/>
        <v>0</v>
      </c>
      <c r="F175" s="269"/>
      <c r="G175" s="270"/>
      <c r="H175" s="271"/>
      <c r="I175" s="262"/>
      <c r="J175" s="263"/>
      <c r="K175" s="262"/>
      <c r="L175" s="263"/>
      <c r="M175" s="262"/>
      <c r="N175" s="263"/>
      <c r="O175" s="262"/>
      <c r="P175" s="263"/>
      <c r="Q175" s="235" t="b">
        <f t="shared" si="14"/>
        <v>0</v>
      </c>
      <c r="R175" s="262"/>
      <c r="S175" s="263"/>
      <c r="T175" s="262"/>
      <c r="U175" s="263"/>
      <c r="V175" s="262"/>
      <c r="W175" s="265"/>
      <c r="X175" s="265"/>
      <c r="Y175" s="263"/>
      <c r="Z175" s="235">
        <f t="shared" si="16"/>
        <v>0</v>
      </c>
      <c r="AA175" s="262"/>
      <c r="AB175" s="265"/>
      <c r="AC175" s="263"/>
      <c r="AD175" s="235">
        <f t="shared" si="17"/>
        <v>0</v>
      </c>
      <c r="AE175" s="262"/>
      <c r="AF175" s="265"/>
      <c r="AG175" s="263"/>
      <c r="AH175" s="235">
        <f t="shared" si="18"/>
        <v>0</v>
      </c>
      <c r="AI175" s="262"/>
      <c r="AJ175" s="265"/>
      <c r="AK175" s="263"/>
      <c r="AL175" s="235">
        <f t="shared" si="19"/>
        <v>0</v>
      </c>
      <c r="AM175" s="262"/>
      <c r="AN175" s="265"/>
      <c r="AO175" s="263"/>
      <c r="AP175" s="262"/>
      <c r="AQ175" s="263"/>
      <c r="AR175" s="262"/>
      <c r="AS175" s="263"/>
      <c r="AT175" s="262"/>
      <c r="AU175" s="265"/>
      <c r="AV175" s="263"/>
      <c r="AW175" s="262"/>
      <c r="AX175" s="265"/>
      <c r="AY175" s="263"/>
      <c r="AZ175" s="24">
        <f t="shared" si="20"/>
        <v>0</v>
      </c>
    </row>
    <row r="176" spans="2:52" s="24" customFormat="1" ht="21.95" customHeight="1" x14ac:dyDescent="0.25">
      <c r="B176" s="269"/>
      <c r="C176" s="270"/>
      <c r="D176" s="271"/>
      <c r="E176" s="236">
        <f t="shared" si="15"/>
        <v>0</v>
      </c>
      <c r="F176" s="269"/>
      <c r="G176" s="270"/>
      <c r="H176" s="271"/>
      <c r="I176" s="262"/>
      <c r="J176" s="263"/>
      <c r="K176" s="262"/>
      <c r="L176" s="263"/>
      <c r="M176" s="262"/>
      <c r="N176" s="263"/>
      <c r="O176" s="262"/>
      <c r="P176" s="263"/>
      <c r="Q176" s="235" t="b">
        <f t="shared" si="14"/>
        <v>0</v>
      </c>
      <c r="R176" s="262"/>
      <c r="S176" s="263"/>
      <c r="T176" s="262"/>
      <c r="U176" s="263"/>
      <c r="V176" s="262"/>
      <c r="W176" s="265"/>
      <c r="X176" s="265"/>
      <c r="Y176" s="263"/>
      <c r="Z176" s="235">
        <f t="shared" si="16"/>
        <v>0</v>
      </c>
      <c r="AA176" s="262"/>
      <c r="AB176" s="265"/>
      <c r="AC176" s="263"/>
      <c r="AD176" s="235">
        <f t="shared" si="17"/>
        <v>0</v>
      </c>
      <c r="AE176" s="262"/>
      <c r="AF176" s="265"/>
      <c r="AG176" s="263"/>
      <c r="AH176" s="235">
        <f t="shared" si="18"/>
        <v>0</v>
      </c>
      <c r="AI176" s="262"/>
      <c r="AJ176" s="265"/>
      <c r="AK176" s="263"/>
      <c r="AL176" s="235">
        <f t="shared" si="19"/>
        <v>0</v>
      </c>
      <c r="AM176" s="262"/>
      <c r="AN176" s="265"/>
      <c r="AO176" s="263"/>
      <c r="AP176" s="262"/>
      <c r="AQ176" s="263"/>
      <c r="AR176" s="262"/>
      <c r="AS176" s="263"/>
      <c r="AT176" s="262"/>
      <c r="AU176" s="265"/>
      <c r="AV176" s="263"/>
      <c r="AW176" s="262"/>
      <c r="AX176" s="265"/>
      <c r="AY176" s="263"/>
      <c r="AZ176" s="24">
        <f t="shared" si="20"/>
        <v>0</v>
      </c>
    </row>
    <row r="177" spans="2:52" s="24" customFormat="1" ht="21.95" customHeight="1" x14ac:dyDescent="0.25">
      <c r="B177" s="269"/>
      <c r="C177" s="270"/>
      <c r="D177" s="271"/>
      <c r="E177" s="236">
        <f t="shared" si="15"/>
        <v>0</v>
      </c>
      <c r="F177" s="269"/>
      <c r="G177" s="270"/>
      <c r="H177" s="271"/>
      <c r="I177" s="262"/>
      <c r="J177" s="263"/>
      <c r="K177" s="262"/>
      <c r="L177" s="263"/>
      <c r="M177" s="262"/>
      <c r="N177" s="263"/>
      <c r="O177" s="262"/>
      <c r="P177" s="263"/>
      <c r="Q177" s="235" t="b">
        <f t="shared" si="14"/>
        <v>0</v>
      </c>
      <c r="R177" s="262"/>
      <c r="S177" s="263"/>
      <c r="T177" s="262"/>
      <c r="U177" s="263"/>
      <c r="V177" s="262"/>
      <c r="W177" s="265"/>
      <c r="X177" s="265"/>
      <c r="Y177" s="263"/>
      <c r="Z177" s="235">
        <f t="shared" si="16"/>
        <v>0</v>
      </c>
      <c r="AA177" s="262"/>
      <c r="AB177" s="265"/>
      <c r="AC177" s="263"/>
      <c r="AD177" s="235">
        <f t="shared" si="17"/>
        <v>0</v>
      </c>
      <c r="AE177" s="262"/>
      <c r="AF177" s="265"/>
      <c r="AG177" s="263"/>
      <c r="AH177" s="235">
        <f t="shared" si="18"/>
        <v>0</v>
      </c>
      <c r="AI177" s="262"/>
      <c r="AJ177" s="265"/>
      <c r="AK177" s="263"/>
      <c r="AL177" s="235">
        <f t="shared" si="19"/>
        <v>0</v>
      </c>
      <c r="AM177" s="262"/>
      <c r="AN177" s="265"/>
      <c r="AO177" s="263"/>
      <c r="AP177" s="262"/>
      <c r="AQ177" s="263"/>
      <c r="AR177" s="262"/>
      <c r="AS177" s="263"/>
      <c r="AT177" s="262"/>
      <c r="AU177" s="265"/>
      <c r="AV177" s="263"/>
      <c r="AW177" s="262"/>
      <c r="AX177" s="265"/>
      <c r="AY177" s="263"/>
      <c r="AZ177" s="24">
        <f t="shared" si="20"/>
        <v>0</v>
      </c>
    </row>
    <row r="178" spans="2:52" s="24" customFormat="1" ht="21.95" customHeight="1" x14ac:dyDescent="0.25">
      <c r="B178" s="269"/>
      <c r="C178" s="270"/>
      <c r="D178" s="271"/>
      <c r="E178" s="236">
        <f t="shared" si="15"/>
        <v>0</v>
      </c>
      <c r="F178" s="269"/>
      <c r="G178" s="270"/>
      <c r="H178" s="271"/>
      <c r="I178" s="262"/>
      <c r="J178" s="263"/>
      <c r="K178" s="262"/>
      <c r="L178" s="263"/>
      <c r="M178" s="262"/>
      <c r="N178" s="263"/>
      <c r="O178" s="262"/>
      <c r="P178" s="263"/>
      <c r="Q178" s="235" t="b">
        <f t="shared" si="14"/>
        <v>0</v>
      </c>
      <c r="R178" s="262"/>
      <c r="S178" s="263"/>
      <c r="T178" s="262"/>
      <c r="U178" s="263"/>
      <c r="V178" s="262"/>
      <c r="W178" s="265"/>
      <c r="X178" s="265"/>
      <c r="Y178" s="263"/>
      <c r="Z178" s="235">
        <f t="shared" si="16"/>
        <v>0</v>
      </c>
      <c r="AA178" s="262"/>
      <c r="AB178" s="265"/>
      <c r="AC178" s="263"/>
      <c r="AD178" s="235">
        <f t="shared" si="17"/>
        <v>0</v>
      </c>
      <c r="AE178" s="262"/>
      <c r="AF178" s="265"/>
      <c r="AG178" s="263"/>
      <c r="AH178" s="235">
        <f t="shared" si="18"/>
        <v>0</v>
      </c>
      <c r="AI178" s="262"/>
      <c r="AJ178" s="265"/>
      <c r="AK178" s="263"/>
      <c r="AL178" s="235">
        <f t="shared" si="19"/>
        <v>0</v>
      </c>
      <c r="AM178" s="262"/>
      <c r="AN178" s="265"/>
      <c r="AO178" s="263"/>
      <c r="AP178" s="262"/>
      <c r="AQ178" s="263"/>
      <c r="AR178" s="262"/>
      <c r="AS178" s="263"/>
      <c r="AT178" s="262"/>
      <c r="AU178" s="265"/>
      <c r="AV178" s="263"/>
      <c r="AW178" s="262"/>
      <c r="AX178" s="265"/>
      <c r="AY178" s="263"/>
      <c r="AZ178" s="24">
        <f t="shared" si="20"/>
        <v>0</v>
      </c>
    </row>
    <row r="179" spans="2:52" s="24" customFormat="1" ht="21.95" customHeight="1" x14ac:dyDescent="0.25">
      <c r="B179" s="269"/>
      <c r="C179" s="270"/>
      <c r="D179" s="271"/>
      <c r="E179" s="236">
        <f t="shared" si="15"/>
        <v>0</v>
      </c>
      <c r="F179" s="269"/>
      <c r="G179" s="270"/>
      <c r="H179" s="271"/>
      <c r="I179" s="262"/>
      <c r="J179" s="263"/>
      <c r="K179" s="262"/>
      <c r="L179" s="263"/>
      <c r="M179" s="262"/>
      <c r="N179" s="263"/>
      <c r="O179" s="262"/>
      <c r="P179" s="263"/>
      <c r="Q179" s="235" t="b">
        <f t="shared" si="14"/>
        <v>0</v>
      </c>
      <c r="R179" s="262"/>
      <c r="S179" s="263"/>
      <c r="T179" s="262"/>
      <c r="U179" s="263"/>
      <c r="V179" s="262"/>
      <c r="W179" s="265"/>
      <c r="X179" s="265"/>
      <c r="Y179" s="263"/>
      <c r="Z179" s="235">
        <f t="shared" si="16"/>
        <v>0</v>
      </c>
      <c r="AA179" s="262"/>
      <c r="AB179" s="265"/>
      <c r="AC179" s="263"/>
      <c r="AD179" s="235">
        <f t="shared" si="17"/>
        <v>0</v>
      </c>
      <c r="AE179" s="262"/>
      <c r="AF179" s="265"/>
      <c r="AG179" s="263"/>
      <c r="AH179" s="235">
        <f t="shared" si="18"/>
        <v>0</v>
      </c>
      <c r="AI179" s="262"/>
      <c r="AJ179" s="265"/>
      <c r="AK179" s="263"/>
      <c r="AL179" s="235">
        <f t="shared" si="19"/>
        <v>0</v>
      </c>
      <c r="AM179" s="262"/>
      <c r="AN179" s="265"/>
      <c r="AO179" s="263"/>
      <c r="AP179" s="262"/>
      <c r="AQ179" s="263"/>
      <c r="AR179" s="262"/>
      <c r="AS179" s="263"/>
      <c r="AT179" s="262"/>
      <c r="AU179" s="265"/>
      <c r="AV179" s="263"/>
      <c r="AW179" s="262"/>
      <c r="AX179" s="265"/>
      <c r="AY179" s="263"/>
      <c r="AZ179" s="24">
        <f t="shared" si="20"/>
        <v>0</v>
      </c>
    </row>
    <row r="180" spans="2:52" s="24" customFormat="1" ht="21.95" customHeight="1" x14ac:dyDescent="0.25">
      <c r="B180" s="269"/>
      <c r="C180" s="270"/>
      <c r="D180" s="271"/>
      <c r="E180" s="236">
        <f t="shared" si="15"/>
        <v>0</v>
      </c>
      <c r="F180" s="269"/>
      <c r="G180" s="270"/>
      <c r="H180" s="271"/>
      <c r="I180" s="262"/>
      <c r="J180" s="263"/>
      <c r="K180" s="262"/>
      <c r="L180" s="263"/>
      <c r="M180" s="262"/>
      <c r="N180" s="263"/>
      <c r="O180" s="262"/>
      <c r="P180" s="263"/>
      <c r="Q180" s="235" t="b">
        <f t="shared" si="14"/>
        <v>0</v>
      </c>
      <c r="R180" s="262"/>
      <c r="S180" s="263"/>
      <c r="T180" s="262"/>
      <c r="U180" s="263"/>
      <c r="V180" s="262"/>
      <c r="W180" s="265"/>
      <c r="X180" s="265"/>
      <c r="Y180" s="263"/>
      <c r="Z180" s="235">
        <f t="shared" si="16"/>
        <v>0</v>
      </c>
      <c r="AA180" s="262"/>
      <c r="AB180" s="265"/>
      <c r="AC180" s="263"/>
      <c r="AD180" s="235">
        <f t="shared" si="17"/>
        <v>0</v>
      </c>
      <c r="AE180" s="262"/>
      <c r="AF180" s="265"/>
      <c r="AG180" s="263"/>
      <c r="AH180" s="235">
        <f t="shared" si="18"/>
        <v>0</v>
      </c>
      <c r="AI180" s="262"/>
      <c r="AJ180" s="265"/>
      <c r="AK180" s="263"/>
      <c r="AL180" s="235">
        <f t="shared" si="19"/>
        <v>0</v>
      </c>
      <c r="AM180" s="262"/>
      <c r="AN180" s="265"/>
      <c r="AO180" s="263"/>
      <c r="AP180" s="262"/>
      <c r="AQ180" s="263"/>
      <c r="AR180" s="262"/>
      <c r="AS180" s="263"/>
      <c r="AT180" s="262"/>
      <c r="AU180" s="265"/>
      <c r="AV180" s="263"/>
      <c r="AW180" s="262"/>
      <c r="AX180" s="265"/>
      <c r="AY180" s="263"/>
      <c r="AZ180" s="24">
        <f t="shared" si="20"/>
        <v>0</v>
      </c>
    </row>
    <row r="181" spans="2:52" s="24" customFormat="1" ht="21.95" customHeight="1" x14ac:dyDescent="0.25">
      <c r="B181" s="269"/>
      <c r="C181" s="270"/>
      <c r="D181" s="271"/>
      <c r="E181" s="236">
        <f t="shared" si="15"/>
        <v>0</v>
      </c>
      <c r="F181" s="269"/>
      <c r="G181" s="270"/>
      <c r="H181" s="271"/>
      <c r="I181" s="262"/>
      <c r="J181" s="263"/>
      <c r="K181" s="262"/>
      <c r="L181" s="263"/>
      <c r="M181" s="262"/>
      <c r="N181" s="263"/>
      <c r="O181" s="262"/>
      <c r="P181" s="263"/>
      <c r="Q181" s="235" t="b">
        <f t="shared" si="14"/>
        <v>0</v>
      </c>
      <c r="R181" s="262"/>
      <c r="S181" s="263"/>
      <c r="T181" s="262"/>
      <c r="U181" s="263"/>
      <c r="V181" s="262"/>
      <c r="W181" s="265"/>
      <c r="X181" s="265"/>
      <c r="Y181" s="263"/>
      <c r="Z181" s="235">
        <f t="shared" si="16"/>
        <v>0</v>
      </c>
      <c r="AA181" s="262"/>
      <c r="AB181" s="265"/>
      <c r="AC181" s="263"/>
      <c r="AD181" s="235">
        <f t="shared" si="17"/>
        <v>0</v>
      </c>
      <c r="AE181" s="262"/>
      <c r="AF181" s="265"/>
      <c r="AG181" s="263"/>
      <c r="AH181" s="235">
        <f t="shared" si="18"/>
        <v>0</v>
      </c>
      <c r="AI181" s="262"/>
      <c r="AJ181" s="265"/>
      <c r="AK181" s="263"/>
      <c r="AL181" s="235">
        <f t="shared" si="19"/>
        <v>0</v>
      </c>
      <c r="AM181" s="262"/>
      <c r="AN181" s="265"/>
      <c r="AO181" s="263"/>
      <c r="AP181" s="262"/>
      <c r="AQ181" s="263"/>
      <c r="AR181" s="262"/>
      <c r="AS181" s="263"/>
      <c r="AT181" s="262"/>
      <c r="AU181" s="265"/>
      <c r="AV181" s="263"/>
      <c r="AW181" s="262"/>
      <c r="AX181" s="265"/>
      <c r="AY181" s="263"/>
      <c r="AZ181" s="24">
        <f t="shared" si="20"/>
        <v>0</v>
      </c>
    </row>
    <row r="182" spans="2:52" s="24" customFormat="1" ht="21.95" customHeight="1" x14ac:dyDescent="0.25">
      <c r="B182" s="269"/>
      <c r="C182" s="270"/>
      <c r="D182" s="271"/>
      <c r="E182" s="236">
        <f t="shared" si="15"/>
        <v>0</v>
      </c>
      <c r="F182" s="269"/>
      <c r="G182" s="270"/>
      <c r="H182" s="271"/>
      <c r="I182" s="262"/>
      <c r="J182" s="263"/>
      <c r="K182" s="262"/>
      <c r="L182" s="263"/>
      <c r="M182" s="262"/>
      <c r="N182" s="263"/>
      <c r="O182" s="262"/>
      <c r="P182" s="263"/>
      <c r="Q182" s="235" t="b">
        <f t="shared" si="14"/>
        <v>0</v>
      </c>
      <c r="R182" s="262"/>
      <c r="S182" s="263"/>
      <c r="T182" s="262"/>
      <c r="U182" s="263"/>
      <c r="V182" s="262"/>
      <c r="W182" s="265"/>
      <c r="X182" s="265"/>
      <c r="Y182" s="263"/>
      <c r="Z182" s="235">
        <f t="shared" si="16"/>
        <v>0</v>
      </c>
      <c r="AA182" s="262"/>
      <c r="AB182" s="265"/>
      <c r="AC182" s="263"/>
      <c r="AD182" s="235">
        <f t="shared" si="17"/>
        <v>0</v>
      </c>
      <c r="AE182" s="262"/>
      <c r="AF182" s="265"/>
      <c r="AG182" s="263"/>
      <c r="AH182" s="235">
        <f t="shared" si="18"/>
        <v>0</v>
      </c>
      <c r="AI182" s="262"/>
      <c r="AJ182" s="265"/>
      <c r="AK182" s="263"/>
      <c r="AL182" s="235">
        <f t="shared" si="19"/>
        <v>0</v>
      </c>
      <c r="AM182" s="262"/>
      <c r="AN182" s="265"/>
      <c r="AO182" s="263"/>
      <c r="AP182" s="262"/>
      <c r="AQ182" s="263"/>
      <c r="AR182" s="262"/>
      <c r="AS182" s="263"/>
      <c r="AT182" s="262"/>
      <c r="AU182" s="265"/>
      <c r="AV182" s="263"/>
      <c r="AW182" s="262"/>
      <c r="AX182" s="265"/>
      <c r="AY182" s="263"/>
      <c r="AZ182" s="24">
        <f t="shared" si="20"/>
        <v>0</v>
      </c>
    </row>
    <row r="183" spans="2:52" s="24" customFormat="1" ht="21.95" customHeight="1" x14ac:dyDescent="0.25">
      <c r="B183" s="269"/>
      <c r="C183" s="270"/>
      <c r="D183" s="271"/>
      <c r="E183" s="236">
        <f t="shared" si="15"/>
        <v>0</v>
      </c>
      <c r="F183" s="269"/>
      <c r="G183" s="270"/>
      <c r="H183" s="271"/>
      <c r="I183" s="262"/>
      <c r="J183" s="263"/>
      <c r="K183" s="262"/>
      <c r="L183" s="263"/>
      <c r="M183" s="262"/>
      <c r="N183" s="263"/>
      <c r="O183" s="262"/>
      <c r="P183" s="263"/>
      <c r="Q183" s="235" t="b">
        <f t="shared" si="14"/>
        <v>0</v>
      </c>
      <c r="R183" s="262"/>
      <c r="S183" s="263"/>
      <c r="T183" s="262"/>
      <c r="U183" s="263"/>
      <c r="V183" s="262"/>
      <c r="W183" s="265"/>
      <c r="X183" s="265"/>
      <c r="Y183" s="263"/>
      <c r="Z183" s="235">
        <f t="shared" si="16"/>
        <v>0</v>
      </c>
      <c r="AA183" s="262"/>
      <c r="AB183" s="265"/>
      <c r="AC183" s="263"/>
      <c r="AD183" s="235">
        <f t="shared" si="17"/>
        <v>0</v>
      </c>
      <c r="AE183" s="262"/>
      <c r="AF183" s="265"/>
      <c r="AG183" s="263"/>
      <c r="AH183" s="235">
        <f t="shared" si="18"/>
        <v>0</v>
      </c>
      <c r="AI183" s="262"/>
      <c r="AJ183" s="265"/>
      <c r="AK183" s="263"/>
      <c r="AL183" s="235">
        <f t="shared" si="19"/>
        <v>0</v>
      </c>
      <c r="AM183" s="262"/>
      <c r="AN183" s="265"/>
      <c r="AO183" s="263"/>
      <c r="AP183" s="262"/>
      <c r="AQ183" s="263"/>
      <c r="AR183" s="262"/>
      <c r="AS183" s="263"/>
      <c r="AT183" s="262"/>
      <c r="AU183" s="265"/>
      <c r="AV183" s="263"/>
      <c r="AW183" s="262"/>
      <c r="AX183" s="265"/>
      <c r="AY183" s="263"/>
      <c r="AZ183" s="24">
        <f t="shared" si="20"/>
        <v>0</v>
      </c>
    </row>
    <row r="184" spans="2:52" s="24" customFormat="1" ht="21.95" customHeight="1" x14ac:dyDescent="0.25">
      <c r="B184" s="269"/>
      <c r="C184" s="270"/>
      <c r="D184" s="271"/>
      <c r="E184" s="236">
        <f t="shared" si="15"/>
        <v>0</v>
      </c>
      <c r="F184" s="269"/>
      <c r="G184" s="270"/>
      <c r="H184" s="271"/>
      <c r="I184" s="262"/>
      <c r="J184" s="263"/>
      <c r="K184" s="262"/>
      <c r="L184" s="263"/>
      <c r="M184" s="262"/>
      <c r="N184" s="263"/>
      <c r="O184" s="262"/>
      <c r="P184" s="263"/>
      <c r="Q184" s="235" t="b">
        <f t="shared" si="14"/>
        <v>0</v>
      </c>
      <c r="R184" s="262"/>
      <c r="S184" s="263"/>
      <c r="T184" s="262"/>
      <c r="U184" s="263"/>
      <c r="V184" s="262"/>
      <c r="W184" s="265"/>
      <c r="X184" s="265"/>
      <c r="Y184" s="263"/>
      <c r="Z184" s="235">
        <f t="shared" si="16"/>
        <v>0</v>
      </c>
      <c r="AA184" s="262"/>
      <c r="AB184" s="265"/>
      <c r="AC184" s="263"/>
      <c r="AD184" s="235">
        <f t="shared" si="17"/>
        <v>0</v>
      </c>
      <c r="AE184" s="262"/>
      <c r="AF184" s="265"/>
      <c r="AG184" s="263"/>
      <c r="AH184" s="235">
        <f t="shared" si="18"/>
        <v>0</v>
      </c>
      <c r="AI184" s="262"/>
      <c r="AJ184" s="265"/>
      <c r="AK184" s="263"/>
      <c r="AL184" s="235">
        <f t="shared" si="19"/>
        <v>0</v>
      </c>
      <c r="AM184" s="262"/>
      <c r="AN184" s="265"/>
      <c r="AO184" s="263"/>
      <c r="AP184" s="262"/>
      <c r="AQ184" s="263"/>
      <c r="AR184" s="262"/>
      <c r="AS184" s="263"/>
      <c r="AT184" s="262"/>
      <c r="AU184" s="265"/>
      <c r="AV184" s="263"/>
      <c r="AW184" s="262"/>
      <c r="AX184" s="265"/>
      <c r="AY184" s="263"/>
      <c r="AZ184" s="24">
        <f t="shared" si="20"/>
        <v>0</v>
      </c>
    </row>
    <row r="185" spans="2:52" s="24" customFormat="1" ht="21.95" customHeight="1" x14ac:dyDescent="0.25">
      <c r="B185" s="269"/>
      <c r="C185" s="270"/>
      <c r="D185" s="271"/>
      <c r="E185" s="236">
        <f t="shared" si="15"/>
        <v>0</v>
      </c>
      <c r="F185" s="269"/>
      <c r="G185" s="270"/>
      <c r="H185" s="271"/>
      <c r="I185" s="262"/>
      <c r="J185" s="263"/>
      <c r="K185" s="262"/>
      <c r="L185" s="263"/>
      <c r="M185" s="262"/>
      <c r="N185" s="263"/>
      <c r="O185" s="262"/>
      <c r="P185" s="263"/>
      <c r="Q185" s="235" t="b">
        <f t="shared" si="14"/>
        <v>0</v>
      </c>
      <c r="R185" s="262"/>
      <c r="S185" s="263"/>
      <c r="T185" s="262"/>
      <c r="U185" s="263"/>
      <c r="V185" s="262"/>
      <c r="W185" s="265"/>
      <c r="X185" s="265"/>
      <c r="Y185" s="263"/>
      <c r="Z185" s="235">
        <f t="shared" si="16"/>
        <v>0</v>
      </c>
      <c r="AA185" s="262"/>
      <c r="AB185" s="265"/>
      <c r="AC185" s="263"/>
      <c r="AD185" s="235">
        <f t="shared" si="17"/>
        <v>0</v>
      </c>
      <c r="AE185" s="262"/>
      <c r="AF185" s="265"/>
      <c r="AG185" s="263"/>
      <c r="AH185" s="235">
        <f t="shared" si="18"/>
        <v>0</v>
      </c>
      <c r="AI185" s="262"/>
      <c r="AJ185" s="265"/>
      <c r="AK185" s="263"/>
      <c r="AL185" s="235">
        <f t="shared" si="19"/>
        <v>0</v>
      </c>
      <c r="AM185" s="262"/>
      <c r="AN185" s="265"/>
      <c r="AO185" s="263"/>
      <c r="AP185" s="262"/>
      <c r="AQ185" s="263"/>
      <c r="AR185" s="262"/>
      <c r="AS185" s="263"/>
      <c r="AT185" s="262"/>
      <c r="AU185" s="265"/>
      <c r="AV185" s="263"/>
      <c r="AW185" s="262"/>
      <c r="AX185" s="265"/>
      <c r="AY185" s="263"/>
      <c r="AZ185" s="24">
        <f t="shared" si="20"/>
        <v>0</v>
      </c>
    </row>
    <row r="186" spans="2:52" s="24" customFormat="1" ht="21.95" customHeight="1" x14ac:dyDescent="0.25">
      <c r="B186" s="269"/>
      <c r="C186" s="270"/>
      <c r="D186" s="271"/>
      <c r="E186" s="236">
        <f t="shared" si="15"/>
        <v>0</v>
      </c>
      <c r="F186" s="269"/>
      <c r="G186" s="270"/>
      <c r="H186" s="271"/>
      <c r="I186" s="262"/>
      <c r="J186" s="263"/>
      <c r="K186" s="262"/>
      <c r="L186" s="263"/>
      <c r="M186" s="262"/>
      <c r="N186" s="263"/>
      <c r="O186" s="262"/>
      <c r="P186" s="263"/>
      <c r="Q186" s="235" t="b">
        <f t="shared" si="14"/>
        <v>0</v>
      </c>
      <c r="R186" s="262"/>
      <c r="S186" s="263"/>
      <c r="T186" s="262"/>
      <c r="U186" s="263"/>
      <c r="V186" s="262"/>
      <c r="W186" s="265"/>
      <c r="X186" s="265"/>
      <c r="Y186" s="263"/>
      <c r="Z186" s="235">
        <f t="shared" si="16"/>
        <v>0</v>
      </c>
      <c r="AA186" s="262"/>
      <c r="AB186" s="265"/>
      <c r="AC186" s="263"/>
      <c r="AD186" s="235">
        <f t="shared" si="17"/>
        <v>0</v>
      </c>
      <c r="AE186" s="262"/>
      <c r="AF186" s="265"/>
      <c r="AG186" s="263"/>
      <c r="AH186" s="235">
        <f t="shared" si="18"/>
        <v>0</v>
      </c>
      <c r="AI186" s="262"/>
      <c r="AJ186" s="265"/>
      <c r="AK186" s="263"/>
      <c r="AL186" s="235">
        <f t="shared" si="19"/>
        <v>0</v>
      </c>
      <c r="AM186" s="262"/>
      <c r="AN186" s="265"/>
      <c r="AO186" s="263"/>
      <c r="AP186" s="262"/>
      <c r="AQ186" s="263"/>
      <c r="AR186" s="262"/>
      <c r="AS186" s="263"/>
      <c r="AT186" s="262"/>
      <c r="AU186" s="265"/>
      <c r="AV186" s="263"/>
      <c r="AW186" s="262"/>
      <c r="AX186" s="265"/>
      <c r="AY186" s="263"/>
      <c r="AZ186" s="24">
        <f t="shared" si="20"/>
        <v>0</v>
      </c>
    </row>
    <row r="187" spans="2:52" s="24" customFormat="1" ht="21.95" customHeight="1" x14ac:dyDescent="0.25">
      <c r="B187" s="269"/>
      <c r="C187" s="270"/>
      <c r="D187" s="271"/>
      <c r="E187" s="236">
        <f t="shared" si="15"/>
        <v>0</v>
      </c>
      <c r="F187" s="269"/>
      <c r="G187" s="270"/>
      <c r="H187" s="271"/>
      <c r="I187" s="262"/>
      <c r="J187" s="263"/>
      <c r="K187" s="262"/>
      <c r="L187" s="263"/>
      <c r="M187" s="262"/>
      <c r="N187" s="263"/>
      <c r="O187" s="262"/>
      <c r="P187" s="263"/>
      <c r="Q187" s="235" t="b">
        <f t="shared" si="14"/>
        <v>0</v>
      </c>
      <c r="R187" s="262"/>
      <c r="S187" s="263"/>
      <c r="T187" s="262"/>
      <c r="U187" s="263"/>
      <c r="V187" s="262"/>
      <c r="W187" s="265"/>
      <c r="X187" s="265"/>
      <c r="Y187" s="263"/>
      <c r="Z187" s="235">
        <f t="shared" si="16"/>
        <v>0</v>
      </c>
      <c r="AA187" s="262"/>
      <c r="AB187" s="265"/>
      <c r="AC187" s="263"/>
      <c r="AD187" s="235">
        <f t="shared" si="17"/>
        <v>0</v>
      </c>
      <c r="AE187" s="262"/>
      <c r="AF187" s="265"/>
      <c r="AG187" s="263"/>
      <c r="AH187" s="235">
        <f t="shared" si="18"/>
        <v>0</v>
      </c>
      <c r="AI187" s="262"/>
      <c r="AJ187" s="265"/>
      <c r="AK187" s="263"/>
      <c r="AL187" s="235">
        <f t="shared" si="19"/>
        <v>0</v>
      </c>
      <c r="AM187" s="262"/>
      <c r="AN187" s="265"/>
      <c r="AO187" s="263"/>
      <c r="AP187" s="262"/>
      <c r="AQ187" s="263"/>
      <c r="AR187" s="262"/>
      <c r="AS187" s="263"/>
      <c r="AT187" s="262"/>
      <c r="AU187" s="265"/>
      <c r="AV187" s="263"/>
      <c r="AW187" s="262"/>
      <c r="AX187" s="265"/>
      <c r="AY187" s="263"/>
      <c r="AZ187" s="24">
        <f t="shared" si="20"/>
        <v>0</v>
      </c>
    </row>
    <row r="188" spans="2:52" s="24" customFormat="1" ht="21.95" customHeight="1" x14ac:dyDescent="0.25">
      <c r="B188" s="269"/>
      <c r="C188" s="270"/>
      <c r="D188" s="271"/>
      <c r="E188" s="236">
        <f t="shared" si="15"/>
        <v>0</v>
      </c>
      <c r="F188" s="269"/>
      <c r="G188" s="270"/>
      <c r="H188" s="271"/>
      <c r="I188" s="262"/>
      <c r="J188" s="263"/>
      <c r="K188" s="262"/>
      <c r="L188" s="263"/>
      <c r="M188" s="262"/>
      <c r="N188" s="263"/>
      <c r="O188" s="262"/>
      <c r="P188" s="263"/>
      <c r="Q188" s="235" t="b">
        <f t="shared" si="14"/>
        <v>0</v>
      </c>
      <c r="R188" s="262"/>
      <c r="S188" s="263"/>
      <c r="T188" s="262"/>
      <c r="U188" s="263"/>
      <c r="V188" s="262"/>
      <c r="W188" s="265"/>
      <c r="X188" s="265"/>
      <c r="Y188" s="263"/>
      <c r="Z188" s="235">
        <f t="shared" si="16"/>
        <v>0</v>
      </c>
      <c r="AA188" s="262"/>
      <c r="AB188" s="265"/>
      <c r="AC188" s="263"/>
      <c r="AD188" s="235">
        <f t="shared" si="17"/>
        <v>0</v>
      </c>
      <c r="AE188" s="262"/>
      <c r="AF188" s="265"/>
      <c r="AG188" s="263"/>
      <c r="AH188" s="235">
        <f t="shared" si="18"/>
        <v>0</v>
      </c>
      <c r="AI188" s="262"/>
      <c r="AJ188" s="265"/>
      <c r="AK188" s="263"/>
      <c r="AL188" s="235">
        <f t="shared" si="19"/>
        <v>0</v>
      </c>
      <c r="AM188" s="262"/>
      <c r="AN188" s="265"/>
      <c r="AO188" s="263"/>
      <c r="AP188" s="262"/>
      <c r="AQ188" s="263"/>
      <c r="AR188" s="262"/>
      <c r="AS188" s="263"/>
      <c r="AT188" s="262"/>
      <c r="AU188" s="265"/>
      <c r="AV188" s="263"/>
      <c r="AW188" s="262"/>
      <c r="AX188" s="265"/>
      <c r="AY188" s="263"/>
      <c r="AZ188" s="24">
        <f t="shared" si="20"/>
        <v>0</v>
      </c>
    </row>
    <row r="189" spans="2:52" s="24" customFormat="1" ht="21.95" customHeight="1" x14ac:dyDescent="0.25">
      <c r="B189" s="269"/>
      <c r="C189" s="270"/>
      <c r="D189" s="271"/>
      <c r="E189" s="236">
        <f t="shared" si="15"/>
        <v>0</v>
      </c>
      <c r="F189" s="269"/>
      <c r="G189" s="270"/>
      <c r="H189" s="271"/>
      <c r="I189" s="262"/>
      <c r="J189" s="263"/>
      <c r="K189" s="262"/>
      <c r="L189" s="263"/>
      <c r="M189" s="262"/>
      <c r="N189" s="263"/>
      <c r="O189" s="262"/>
      <c r="P189" s="263"/>
      <c r="Q189" s="235" t="b">
        <f t="shared" si="14"/>
        <v>0</v>
      </c>
      <c r="R189" s="262"/>
      <c r="S189" s="263"/>
      <c r="T189" s="262"/>
      <c r="U189" s="263"/>
      <c r="V189" s="262"/>
      <c r="W189" s="265"/>
      <c r="X189" s="265"/>
      <c r="Y189" s="263"/>
      <c r="Z189" s="235">
        <f t="shared" si="16"/>
        <v>0</v>
      </c>
      <c r="AA189" s="262"/>
      <c r="AB189" s="265"/>
      <c r="AC189" s="263"/>
      <c r="AD189" s="235">
        <f t="shared" si="17"/>
        <v>0</v>
      </c>
      <c r="AE189" s="262"/>
      <c r="AF189" s="265"/>
      <c r="AG189" s="263"/>
      <c r="AH189" s="235">
        <f t="shared" si="18"/>
        <v>0</v>
      </c>
      <c r="AI189" s="262"/>
      <c r="AJ189" s="265"/>
      <c r="AK189" s="263"/>
      <c r="AL189" s="235">
        <f t="shared" si="19"/>
        <v>0</v>
      </c>
      <c r="AM189" s="262"/>
      <c r="AN189" s="265"/>
      <c r="AO189" s="263"/>
      <c r="AP189" s="262"/>
      <c r="AQ189" s="263"/>
      <c r="AR189" s="262"/>
      <c r="AS189" s="263"/>
      <c r="AT189" s="262"/>
      <c r="AU189" s="265"/>
      <c r="AV189" s="263"/>
      <c r="AW189" s="262"/>
      <c r="AX189" s="265"/>
      <c r="AY189" s="263"/>
      <c r="AZ189" s="24">
        <f t="shared" si="20"/>
        <v>0</v>
      </c>
    </row>
    <row r="190" spans="2:52" s="24" customFormat="1" ht="21.95" customHeight="1" x14ac:dyDescent="0.25">
      <c r="B190" s="269"/>
      <c r="C190" s="270"/>
      <c r="D190" s="271"/>
      <c r="E190" s="236">
        <f t="shared" si="15"/>
        <v>0</v>
      </c>
      <c r="F190" s="269"/>
      <c r="G190" s="270"/>
      <c r="H190" s="271"/>
      <c r="I190" s="262"/>
      <c r="J190" s="263"/>
      <c r="K190" s="262"/>
      <c r="L190" s="263"/>
      <c r="M190" s="262"/>
      <c r="N190" s="263"/>
      <c r="O190" s="262"/>
      <c r="P190" s="263"/>
      <c r="Q190" s="235" t="b">
        <f t="shared" si="14"/>
        <v>0</v>
      </c>
      <c r="R190" s="262"/>
      <c r="S190" s="263"/>
      <c r="T190" s="262"/>
      <c r="U190" s="263"/>
      <c r="V190" s="262"/>
      <c r="W190" s="265"/>
      <c r="X190" s="265"/>
      <c r="Y190" s="263"/>
      <c r="Z190" s="235">
        <f t="shared" si="16"/>
        <v>0</v>
      </c>
      <c r="AA190" s="262"/>
      <c r="AB190" s="265"/>
      <c r="AC190" s="263"/>
      <c r="AD190" s="235">
        <f t="shared" si="17"/>
        <v>0</v>
      </c>
      <c r="AE190" s="262"/>
      <c r="AF190" s="265"/>
      <c r="AG190" s="263"/>
      <c r="AH190" s="235">
        <f t="shared" si="18"/>
        <v>0</v>
      </c>
      <c r="AI190" s="262"/>
      <c r="AJ190" s="265"/>
      <c r="AK190" s="263"/>
      <c r="AL190" s="235">
        <f t="shared" si="19"/>
        <v>0</v>
      </c>
      <c r="AM190" s="262"/>
      <c r="AN190" s="265"/>
      <c r="AO190" s="263"/>
      <c r="AP190" s="262"/>
      <c r="AQ190" s="263"/>
      <c r="AR190" s="262"/>
      <c r="AS190" s="263"/>
      <c r="AT190" s="262"/>
      <c r="AU190" s="265"/>
      <c r="AV190" s="263"/>
      <c r="AW190" s="262"/>
      <c r="AX190" s="265"/>
      <c r="AY190" s="263"/>
      <c r="AZ190" s="24">
        <f t="shared" si="20"/>
        <v>0</v>
      </c>
    </row>
    <row r="191" spans="2:52" s="24" customFormat="1" ht="21.95" customHeight="1" x14ac:dyDescent="0.25">
      <c r="B191" s="269"/>
      <c r="C191" s="270"/>
      <c r="D191" s="271"/>
      <c r="E191" s="236">
        <f t="shared" si="15"/>
        <v>0</v>
      </c>
      <c r="F191" s="269"/>
      <c r="G191" s="270"/>
      <c r="H191" s="271"/>
      <c r="I191" s="262"/>
      <c r="J191" s="263"/>
      <c r="K191" s="262"/>
      <c r="L191" s="263"/>
      <c r="M191" s="262"/>
      <c r="N191" s="263"/>
      <c r="O191" s="262"/>
      <c r="P191" s="263"/>
      <c r="Q191" s="235" t="b">
        <f t="shared" si="14"/>
        <v>0</v>
      </c>
      <c r="R191" s="262"/>
      <c r="S191" s="263"/>
      <c r="T191" s="262"/>
      <c r="U191" s="263"/>
      <c r="V191" s="262"/>
      <c r="W191" s="265"/>
      <c r="X191" s="265"/>
      <c r="Y191" s="263"/>
      <c r="Z191" s="235">
        <f t="shared" si="16"/>
        <v>0</v>
      </c>
      <c r="AA191" s="262"/>
      <c r="AB191" s="265"/>
      <c r="AC191" s="263"/>
      <c r="AD191" s="235">
        <f t="shared" si="17"/>
        <v>0</v>
      </c>
      <c r="AE191" s="262"/>
      <c r="AF191" s="265"/>
      <c r="AG191" s="263"/>
      <c r="AH191" s="235">
        <f t="shared" si="18"/>
        <v>0</v>
      </c>
      <c r="AI191" s="262"/>
      <c r="AJ191" s="265"/>
      <c r="AK191" s="263"/>
      <c r="AL191" s="235">
        <f t="shared" si="19"/>
        <v>0</v>
      </c>
      <c r="AM191" s="262"/>
      <c r="AN191" s="265"/>
      <c r="AO191" s="263"/>
      <c r="AP191" s="262"/>
      <c r="AQ191" s="263"/>
      <c r="AR191" s="262"/>
      <c r="AS191" s="263"/>
      <c r="AT191" s="262"/>
      <c r="AU191" s="265"/>
      <c r="AV191" s="263"/>
      <c r="AW191" s="262"/>
      <c r="AX191" s="265"/>
      <c r="AY191" s="263"/>
      <c r="AZ191" s="24">
        <f t="shared" si="20"/>
        <v>0</v>
      </c>
    </row>
    <row r="192" spans="2:52" s="24" customFormat="1" ht="21.95" customHeight="1" x14ac:dyDescent="0.25">
      <c r="B192" s="269"/>
      <c r="C192" s="270"/>
      <c r="D192" s="271"/>
      <c r="E192" s="236">
        <f t="shared" si="15"/>
        <v>0</v>
      </c>
      <c r="F192" s="269"/>
      <c r="G192" s="270"/>
      <c r="H192" s="271"/>
      <c r="I192" s="262"/>
      <c r="J192" s="263"/>
      <c r="K192" s="262"/>
      <c r="L192" s="263"/>
      <c r="M192" s="262"/>
      <c r="N192" s="263"/>
      <c r="O192" s="262"/>
      <c r="P192" s="263"/>
      <c r="Q192" s="235" t="b">
        <f t="shared" si="14"/>
        <v>0</v>
      </c>
      <c r="R192" s="262"/>
      <c r="S192" s="263"/>
      <c r="T192" s="262"/>
      <c r="U192" s="263"/>
      <c r="V192" s="262"/>
      <c r="W192" s="265"/>
      <c r="X192" s="265"/>
      <c r="Y192" s="263"/>
      <c r="Z192" s="235">
        <f t="shared" si="16"/>
        <v>0</v>
      </c>
      <c r="AA192" s="262"/>
      <c r="AB192" s="265"/>
      <c r="AC192" s="263"/>
      <c r="AD192" s="235">
        <f t="shared" si="17"/>
        <v>0</v>
      </c>
      <c r="AE192" s="262"/>
      <c r="AF192" s="265"/>
      <c r="AG192" s="263"/>
      <c r="AH192" s="235">
        <f t="shared" si="18"/>
        <v>0</v>
      </c>
      <c r="AI192" s="262"/>
      <c r="AJ192" s="265"/>
      <c r="AK192" s="263"/>
      <c r="AL192" s="235">
        <f t="shared" si="19"/>
        <v>0</v>
      </c>
      <c r="AM192" s="262"/>
      <c r="AN192" s="265"/>
      <c r="AO192" s="263"/>
      <c r="AP192" s="262"/>
      <c r="AQ192" s="263"/>
      <c r="AR192" s="262"/>
      <c r="AS192" s="263"/>
      <c r="AT192" s="262"/>
      <c r="AU192" s="265"/>
      <c r="AV192" s="263"/>
      <c r="AW192" s="262"/>
      <c r="AX192" s="265"/>
      <c r="AY192" s="263"/>
      <c r="AZ192" s="24">
        <f t="shared" si="20"/>
        <v>0</v>
      </c>
    </row>
    <row r="193" spans="2:52" s="24" customFormat="1" ht="21.95" customHeight="1" x14ac:dyDescent="0.25">
      <c r="B193" s="269"/>
      <c r="C193" s="270"/>
      <c r="D193" s="271"/>
      <c r="E193" s="236">
        <f t="shared" si="15"/>
        <v>0</v>
      </c>
      <c r="F193" s="269"/>
      <c r="G193" s="270"/>
      <c r="H193" s="271"/>
      <c r="I193" s="262"/>
      <c r="J193" s="263"/>
      <c r="K193" s="262"/>
      <c r="L193" s="263"/>
      <c r="M193" s="262"/>
      <c r="N193" s="263"/>
      <c r="O193" s="262"/>
      <c r="P193" s="263"/>
      <c r="Q193" s="235"/>
      <c r="R193" s="262"/>
      <c r="S193" s="263"/>
      <c r="T193" s="262"/>
      <c r="U193" s="263"/>
      <c r="V193" s="262"/>
      <c r="W193" s="265"/>
      <c r="X193" s="265"/>
      <c r="Y193" s="263"/>
      <c r="Z193" s="235"/>
      <c r="AA193" s="262"/>
      <c r="AB193" s="265"/>
      <c r="AC193" s="263"/>
      <c r="AD193" s="235"/>
      <c r="AE193" s="262"/>
      <c r="AF193" s="265"/>
      <c r="AG193" s="263"/>
      <c r="AH193" s="235">
        <f t="shared" si="18"/>
        <v>0</v>
      </c>
      <c r="AI193" s="262"/>
      <c r="AJ193" s="265"/>
      <c r="AK193" s="263"/>
      <c r="AL193" s="235">
        <f t="shared" si="19"/>
        <v>0</v>
      </c>
      <c r="AM193" s="262"/>
      <c r="AN193" s="265"/>
      <c r="AO193" s="263"/>
      <c r="AP193" s="262"/>
      <c r="AQ193" s="263"/>
      <c r="AR193" s="262"/>
      <c r="AS193" s="263"/>
      <c r="AT193" s="262"/>
      <c r="AU193" s="265"/>
      <c r="AV193" s="263"/>
      <c r="AW193" s="262"/>
      <c r="AX193" s="265"/>
      <c r="AY193" s="263"/>
      <c r="AZ193" s="24">
        <f t="shared" si="20"/>
        <v>0</v>
      </c>
    </row>
    <row r="194" spans="2:52" s="24" customFormat="1" ht="21.95" customHeight="1" x14ac:dyDescent="0.25">
      <c r="B194" s="269"/>
      <c r="C194" s="270"/>
      <c r="D194" s="271"/>
      <c r="E194" s="236">
        <f t="shared" si="15"/>
        <v>0</v>
      </c>
      <c r="F194" s="269"/>
      <c r="G194" s="270"/>
      <c r="H194" s="271"/>
      <c r="I194" s="262"/>
      <c r="J194" s="263"/>
      <c r="K194" s="262"/>
      <c r="L194" s="263"/>
      <c r="M194" s="262"/>
      <c r="N194" s="263"/>
      <c r="O194" s="262"/>
      <c r="P194" s="263"/>
      <c r="Q194" s="235"/>
      <c r="R194" s="262"/>
      <c r="S194" s="263"/>
      <c r="T194" s="262"/>
      <c r="U194" s="263"/>
      <c r="V194" s="262"/>
      <c r="W194" s="265"/>
      <c r="X194" s="265"/>
      <c r="Y194" s="263"/>
      <c r="Z194" s="235"/>
      <c r="AA194" s="262"/>
      <c r="AB194" s="265"/>
      <c r="AC194" s="263"/>
      <c r="AD194" s="235"/>
      <c r="AE194" s="262"/>
      <c r="AF194" s="265"/>
      <c r="AG194" s="263"/>
      <c r="AH194" s="235">
        <f t="shared" si="18"/>
        <v>0</v>
      </c>
      <c r="AI194" s="262"/>
      <c r="AJ194" s="265"/>
      <c r="AK194" s="263"/>
      <c r="AL194" s="235">
        <f t="shared" si="19"/>
        <v>0</v>
      </c>
      <c r="AM194" s="262"/>
      <c r="AN194" s="265"/>
      <c r="AO194" s="263"/>
      <c r="AP194" s="262"/>
      <c r="AQ194" s="263"/>
      <c r="AR194" s="262"/>
      <c r="AS194" s="263"/>
      <c r="AT194" s="262"/>
      <c r="AU194" s="265"/>
      <c r="AV194" s="263"/>
      <c r="AW194" s="262"/>
      <c r="AX194" s="265"/>
      <c r="AY194" s="263"/>
      <c r="AZ194" s="24">
        <f t="shared" si="20"/>
        <v>0</v>
      </c>
    </row>
    <row r="195" spans="2:52" s="24" customFormat="1" ht="21.95" customHeight="1" x14ac:dyDescent="0.25">
      <c r="B195" s="269"/>
      <c r="C195" s="270"/>
      <c r="D195" s="271"/>
      <c r="E195" s="236">
        <f t="shared" si="15"/>
        <v>0</v>
      </c>
      <c r="F195" s="269"/>
      <c r="G195" s="270"/>
      <c r="H195" s="271"/>
      <c r="I195" s="262"/>
      <c r="J195" s="263"/>
      <c r="K195" s="262"/>
      <c r="L195" s="263"/>
      <c r="M195" s="262"/>
      <c r="N195" s="263"/>
      <c r="O195" s="262"/>
      <c r="P195" s="263"/>
      <c r="Q195" s="235"/>
      <c r="R195" s="262"/>
      <c r="S195" s="263"/>
      <c r="T195" s="262"/>
      <c r="U195" s="263"/>
      <c r="V195" s="262"/>
      <c r="W195" s="265"/>
      <c r="X195" s="265"/>
      <c r="Y195" s="263"/>
      <c r="Z195" s="235"/>
      <c r="AA195" s="262"/>
      <c r="AB195" s="265"/>
      <c r="AC195" s="263"/>
      <c r="AD195" s="235"/>
      <c r="AE195" s="262"/>
      <c r="AF195" s="265"/>
      <c r="AG195" s="263"/>
      <c r="AH195" s="235">
        <f t="shared" si="18"/>
        <v>0</v>
      </c>
      <c r="AI195" s="262"/>
      <c r="AJ195" s="265"/>
      <c r="AK195" s="263"/>
      <c r="AL195" s="235">
        <f t="shared" si="19"/>
        <v>0</v>
      </c>
      <c r="AM195" s="262"/>
      <c r="AN195" s="265"/>
      <c r="AO195" s="263"/>
      <c r="AP195" s="262"/>
      <c r="AQ195" s="263"/>
      <c r="AR195" s="262"/>
      <c r="AS195" s="263"/>
      <c r="AT195" s="262"/>
      <c r="AU195" s="265"/>
      <c r="AV195" s="263"/>
      <c r="AW195" s="262"/>
      <c r="AX195" s="265"/>
      <c r="AY195" s="263"/>
      <c r="AZ195" s="24">
        <f t="shared" si="20"/>
        <v>0</v>
      </c>
    </row>
    <row r="196" spans="2:52" s="24" customFormat="1" ht="21.95" customHeight="1" x14ac:dyDescent="0.25">
      <c r="B196" s="269"/>
      <c r="C196" s="270"/>
      <c r="D196" s="271"/>
      <c r="E196" s="236">
        <f t="shared" si="15"/>
        <v>0</v>
      </c>
      <c r="F196" s="269"/>
      <c r="G196" s="270"/>
      <c r="H196" s="271"/>
      <c r="I196" s="262"/>
      <c r="J196" s="263"/>
      <c r="K196" s="262"/>
      <c r="L196" s="263"/>
      <c r="M196" s="262"/>
      <c r="N196" s="263"/>
      <c r="O196" s="262"/>
      <c r="P196" s="263"/>
      <c r="Q196" s="235"/>
      <c r="R196" s="262"/>
      <c r="S196" s="263"/>
      <c r="T196" s="262"/>
      <c r="U196" s="263"/>
      <c r="V196" s="262"/>
      <c r="W196" s="265"/>
      <c r="X196" s="265"/>
      <c r="Y196" s="263"/>
      <c r="Z196" s="235"/>
      <c r="AA196" s="262"/>
      <c r="AB196" s="265"/>
      <c r="AC196" s="263"/>
      <c r="AD196" s="235"/>
      <c r="AE196" s="262"/>
      <c r="AF196" s="265"/>
      <c r="AG196" s="263"/>
      <c r="AH196" s="235">
        <f t="shared" si="18"/>
        <v>0</v>
      </c>
      <c r="AI196" s="262"/>
      <c r="AJ196" s="265"/>
      <c r="AK196" s="263"/>
      <c r="AL196" s="235">
        <f t="shared" si="19"/>
        <v>0</v>
      </c>
      <c r="AM196" s="262"/>
      <c r="AN196" s="265"/>
      <c r="AO196" s="263"/>
      <c r="AP196" s="262"/>
      <c r="AQ196" s="263"/>
      <c r="AR196" s="262"/>
      <c r="AS196" s="263"/>
      <c r="AT196" s="262"/>
      <c r="AU196" s="265"/>
      <c r="AV196" s="263"/>
      <c r="AW196" s="262"/>
      <c r="AX196" s="265"/>
      <c r="AY196" s="263"/>
      <c r="AZ196" s="24">
        <f t="shared" si="20"/>
        <v>0</v>
      </c>
    </row>
    <row r="197" spans="2:52" s="24" customFormat="1" ht="21.95" customHeight="1" x14ac:dyDescent="0.25">
      <c r="B197" s="269"/>
      <c r="C197" s="270"/>
      <c r="D197" s="271"/>
      <c r="E197" s="236">
        <f t="shared" si="15"/>
        <v>0</v>
      </c>
      <c r="F197" s="269"/>
      <c r="G197" s="270"/>
      <c r="H197" s="271"/>
      <c r="I197" s="262"/>
      <c r="J197" s="263"/>
      <c r="K197" s="262"/>
      <c r="L197" s="263"/>
      <c r="M197" s="262"/>
      <c r="N197" s="263"/>
      <c r="O197" s="262"/>
      <c r="P197" s="263"/>
      <c r="Q197" s="235" t="b">
        <f t="shared" si="14"/>
        <v>0</v>
      </c>
      <c r="R197" s="262"/>
      <c r="S197" s="263"/>
      <c r="T197" s="262"/>
      <c r="U197" s="263"/>
      <c r="V197" s="262"/>
      <c r="W197" s="265"/>
      <c r="X197" s="265"/>
      <c r="Y197" s="263"/>
      <c r="Z197" s="235">
        <f t="shared" si="16"/>
        <v>0</v>
      </c>
      <c r="AA197" s="262"/>
      <c r="AB197" s="265"/>
      <c r="AC197" s="263"/>
      <c r="AD197" s="235">
        <f t="shared" si="17"/>
        <v>0</v>
      </c>
      <c r="AE197" s="262"/>
      <c r="AF197" s="265"/>
      <c r="AG197" s="263"/>
      <c r="AH197" s="235">
        <f t="shared" si="18"/>
        <v>0</v>
      </c>
      <c r="AI197" s="262"/>
      <c r="AJ197" s="265"/>
      <c r="AK197" s="263"/>
      <c r="AL197" s="235">
        <f t="shared" si="19"/>
        <v>0</v>
      </c>
      <c r="AM197" s="262"/>
      <c r="AN197" s="265"/>
      <c r="AO197" s="263"/>
      <c r="AP197" s="262"/>
      <c r="AQ197" s="263"/>
      <c r="AR197" s="262"/>
      <c r="AS197" s="263"/>
      <c r="AT197" s="262"/>
      <c r="AU197" s="265"/>
      <c r="AV197" s="263"/>
      <c r="AW197" s="262"/>
      <c r="AX197" s="265"/>
      <c r="AY197" s="263"/>
      <c r="AZ197" s="24">
        <f t="shared" si="20"/>
        <v>0</v>
      </c>
    </row>
    <row r="198" spans="2:52" s="24" customFormat="1" ht="21.95" customHeight="1" x14ac:dyDescent="0.25">
      <c r="B198" s="269"/>
      <c r="C198" s="270"/>
      <c r="D198" s="271"/>
      <c r="E198" s="236">
        <f t="shared" si="15"/>
        <v>0</v>
      </c>
      <c r="F198" s="269"/>
      <c r="G198" s="270"/>
      <c r="H198" s="271"/>
      <c r="I198" s="262"/>
      <c r="J198" s="263"/>
      <c r="K198" s="262"/>
      <c r="L198" s="263"/>
      <c r="M198" s="262"/>
      <c r="N198" s="263"/>
      <c r="O198" s="262"/>
      <c r="P198" s="263"/>
      <c r="Q198" s="235" t="b">
        <f t="shared" si="14"/>
        <v>0</v>
      </c>
      <c r="R198" s="262"/>
      <c r="S198" s="263"/>
      <c r="T198" s="262"/>
      <c r="U198" s="263"/>
      <c r="V198" s="262"/>
      <c r="W198" s="265"/>
      <c r="X198" s="265"/>
      <c r="Y198" s="263"/>
      <c r="Z198" s="235">
        <f t="shared" si="16"/>
        <v>0</v>
      </c>
      <c r="AA198" s="262"/>
      <c r="AB198" s="265"/>
      <c r="AC198" s="263"/>
      <c r="AD198" s="235">
        <f t="shared" si="17"/>
        <v>0</v>
      </c>
      <c r="AE198" s="262"/>
      <c r="AF198" s="265"/>
      <c r="AG198" s="263"/>
      <c r="AH198" s="235">
        <f t="shared" si="18"/>
        <v>0</v>
      </c>
      <c r="AI198" s="262"/>
      <c r="AJ198" s="265"/>
      <c r="AK198" s="263"/>
      <c r="AL198" s="235">
        <f t="shared" si="19"/>
        <v>0</v>
      </c>
      <c r="AM198" s="262"/>
      <c r="AN198" s="265"/>
      <c r="AO198" s="263"/>
      <c r="AP198" s="262"/>
      <c r="AQ198" s="263"/>
      <c r="AR198" s="262"/>
      <c r="AS198" s="263"/>
      <c r="AT198" s="262"/>
      <c r="AU198" s="265"/>
      <c r="AV198" s="263"/>
      <c r="AW198" s="262"/>
      <c r="AX198" s="265"/>
      <c r="AY198" s="263"/>
      <c r="AZ198" s="24">
        <f t="shared" si="20"/>
        <v>0</v>
      </c>
    </row>
    <row r="199" spans="2:52" s="24" customFormat="1" ht="21.95" customHeight="1" x14ac:dyDescent="0.25">
      <c r="B199" s="269"/>
      <c r="C199" s="270"/>
      <c r="D199" s="271"/>
      <c r="E199" s="236">
        <f t="shared" si="15"/>
        <v>0</v>
      </c>
      <c r="F199" s="269"/>
      <c r="G199" s="270"/>
      <c r="H199" s="271"/>
      <c r="I199" s="262"/>
      <c r="J199" s="263"/>
      <c r="K199" s="262"/>
      <c r="L199" s="263"/>
      <c r="M199" s="262"/>
      <c r="N199" s="263"/>
      <c r="O199" s="262"/>
      <c r="P199" s="263"/>
      <c r="Q199" s="235" t="b">
        <f t="shared" si="14"/>
        <v>0</v>
      </c>
      <c r="R199" s="262"/>
      <c r="S199" s="263"/>
      <c r="T199" s="262"/>
      <c r="U199" s="263"/>
      <c r="V199" s="262"/>
      <c r="W199" s="265"/>
      <c r="X199" s="265"/>
      <c r="Y199" s="263"/>
      <c r="Z199" s="235">
        <f t="shared" si="16"/>
        <v>0</v>
      </c>
      <c r="AA199" s="262"/>
      <c r="AB199" s="265"/>
      <c r="AC199" s="263"/>
      <c r="AD199" s="235">
        <f t="shared" si="17"/>
        <v>0</v>
      </c>
      <c r="AE199" s="262"/>
      <c r="AF199" s="265"/>
      <c r="AG199" s="263"/>
      <c r="AH199" s="235">
        <f t="shared" si="18"/>
        <v>0</v>
      </c>
      <c r="AI199" s="262"/>
      <c r="AJ199" s="265"/>
      <c r="AK199" s="263"/>
      <c r="AL199" s="235">
        <f t="shared" si="19"/>
        <v>0</v>
      </c>
      <c r="AM199" s="262"/>
      <c r="AN199" s="265"/>
      <c r="AO199" s="263"/>
      <c r="AP199" s="262"/>
      <c r="AQ199" s="263"/>
      <c r="AR199" s="262"/>
      <c r="AS199" s="263"/>
      <c r="AT199" s="262"/>
      <c r="AU199" s="265"/>
      <c r="AV199" s="263"/>
      <c r="AW199" s="262"/>
      <c r="AX199" s="265"/>
      <c r="AY199" s="263"/>
      <c r="AZ199" s="24">
        <f t="shared" si="20"/>
        <v>0</v>
      </c>
    </row>
    <row r="200" spans="2:52" s="24" customFormat="1" ht="21.95" customHeight="1" x14ac:dyDescent="0.25">
      <c r="B200" s="269"/>
      <c r="C200" s="270"/>
      <c r="D200" s="271"/>
      <c r="E200" s="236">
        <f t="shared" si="15"/>
        <v>0</v>
      </c>
      <c r="F200" s="269"/>
      <c r="G200" s="270"/>
      <c r="H200" s="271"/>
      <c r="I200" s="262"/>
      <c r="J200" s="263"/>
      <c r="K200" s="262"/>
      <c r="L200" s="263"/>
      <c r="M200" s="262"/>
      <c r="N200" s="263"/>
      <c r="O200" s="262"/>
      <c r="P200" s="263"/>
      <c r="Q200" s="235" t="b">
        <f t="shared" si="14"/>
        <v>0</v>
      </c>
      <c r="R200" s="262"/>
      <c r="S200" s="263"/>
      <c r="T200" s="262"/>
      <c r="U200" s="263"/>
      <c r="V200" s="262"/>
      <c r="W200" s="265"/>
      <c r="X200" s="265"/>
      <c r="Y200" s="263"/>
      <c r="Z200" s="235">
        <f t="shared" si="16"/>
        <v>0</v>
      </c>
      <c r="AA200" s="262"/>
      <c r="AB200" s="265"/>
      <c r="AC200" s="263"/>
      <c r="AD200" s="235">
        <f t="shared" si="17"/>
        <v>0</v>
      </c>
      <c r="AE200" s="262"/>
      <c r="AF200" s="265"/>
      <c r="AG200" s="263"/>
      <c r="AH200" s="235">
        <f t="shared" si="18"/>
        <v>0</v>
      </c>
      <c r="AI200" s="262"/>
      <c r="AJ200" s="265"/>
      <c r="AK200" s="263"/>
      <c r="AL200" s="235">
        <f t="shared" si="19"/>
        <v>0</v>
      </c>
      <c r="AM200" s="262"/>
      <c r="AN200" s="265"/>
      <c r="AO200" s="263"/>
      <c r="AP200" s="262"/>
      <c r="AQ200" s="263"/>
      <c r="AR200" s="262"/>
      <c r="AS200" s="263"/>
      <c r="AT200" s="262"/>
      <c r="AU200" s="265"/>
      <c r="AV200" s="263"/>
      <c r="AW200" s="262"/>
      <c r="AX200" s="265"/>
      <c r="AY200" s="263"/>
      <c r="AZ200" s="24">
        <f t="shared" si="20"/>
        <v>0</v>
      </c>
    </row>
    <row r="201" spans="2:52" s="24" customFormat="1" ht="21.95" customHeight="1" x14ac:dyDescent="0.25">
      <c r="B201" s="269"/>
      <c r="C201" s="270"/>
      <c r="D201" s="271"/>
      <c r="E201" s="236">
        <f t="shared" si="15"/>
        <v>0</v>
      </c>
      <c r="F201" s="269"/>
      <c r="G201" s="270"/>
      <c r="H201" s="271"/>
      <c r="I201" s="262"/>
      <c r="J201" s="263"/>
      <c r="K201" s="262"/>
      <c r="L201" s="263"/>
      <c r="M201" s="262"/>
      <c r="N201" s="263"/>
      <c r="O201" s="262"/>
      <c r="P201" s="263"/>
      <c r="Q201" s="235" t="b">
        <f t="shared" ref="Q201:Q264" si="21">IF(O201="Health Facility",3,IF(O201="Outreach Session",1,IF(O201="Mobile Clinic",2)))</f>
        <v>0</v>
      </c>
      <c r="R201" s="262"/>
      <c r="S201" s="263"/>
      <c r="T201" s="262"/>
      <c r="U201" s="263"/>
      <c r="V201" s="262"/>
      <c r="W201" s="265"/>
      <c r="X201" s="265"/>
      <c r="Y201" s="263"/>
      <c r="Z201" s="235">
        <f t="shared" si="16"/>
        <v>0</v>
      </c>
      <c r="AA201" s="262"/>
      <c r="AB201" s="265"/>
      <c r="AC201" s="263"/>
      <c r="AD201" s="235">
        <f t="shared" si="17"/>
        <v>0</v>
      </c>
      <c r="AE201" s="262"/>
      <c r="AF201" s="265"/>
      <c r="AG201" s="263"/>
      <c r="AH201" s="235">
        <f t="shared" si="18"/>
        <v>0</v>
      </c>
      <c r="AI201" s="262"/>
      <c r="AJ201" s="265"/>
      <c r="AK201" s="263"/>
      <c r="AL201" s="235">
        <f t="shared" si="19"/>
        <v>0</v>
      </c>
      <c r="AM201" s="262"/>
      <c r="AN201" s="265"/>
      <c r="AO201" s="263"/>
      <c r="AP201" s="262"/>
      <c r="AQ201" s="263"/>
      <c r="AR201" s="262"/>
      <c r="AS201" s="263"/>
      <c r="AT201" s="262"/>
      <c r="AU201" s="265"/>
      <c r="AV201" s="263"/>
      <c r="AW201" s="262"/>
      <c r="AX201" s="265"/>
      <c r="AY201" s="263"/>
      <c r="AZ201" s="24">
        <f t="shared" si="20"/>
        <v>0</v>
      </c>
    </row>
    <row r="202" spans="2:52" s="24" customFormat="1" ht="21.95" customHeight="1" x14ac:dyDescent="0.25">
      <c r="B202" s="269"/>
      <c r="C202" s="270"/>
      <c r="D202" s="271"/>
      <c r="E202" s="236">
        <f t="shared" ref="E202:E264" si="22">IF(F202="",0,1)</f>
        <v>0</v>
      </c>
      <c r="F202" s="269"/>
      <c r="G202" s="270"/>
      <c r="H202" s="271"/>
      <c r="I202" s="262"/>
      <c r="J202" s="263"/>
      <c r="K202" s="262"/>
      <c r="L202" s="263"/>
      <c r="M202" s="262"/>
      <c r="N202" s="263"/>
      <c r="O202" s="262"/>
      <c r="P202" s="263"/>
      <c r="Q202" s="235" t="b">
        <f t="shared" si="21"/>
        <v>0</v>
      </c>
      <c r="R202" s="262"/>
      <c r="S202" s="263"/>
      <c r="T202" s="262"/>
      <c r="U202" s="263"/>
      <c r="V202" s="262"/>
      <c r="W202" s="265"/>
      <c r="X202" s="265"/>
      <c r="Y202" s="263"/>
      <c r="Z202" s="235">
        <f t="shared" ref="Z202:Z264" si="23">IF(AA202="",0,1)</f>
        <v>0</v>
      </c>
      <c r="AA202" s="262"/>
      <c r="AB202" s="265"/>
      <c r="AC202" s="263"/>
      <c r="AD202" s="235">
        <f t="shared" ref="AD202:AD264" si="24">IF(AE202="",0,1)</f>
        <v>0</v>
      </c>
      <c r="AE202" s="262"/>
      <c r="AF202" s="265"/>
      <c r="AG202" s="263"/>
      <c r="AH202" s="235">
        <f t="shared" ref="AH202:AH264" si="25">IF(AI202="",0,1)</f>
        <v>0</v>
      </c>
      <c r="AI202" s="262"/>
      <c r="AJ202" s="265"/>
      <c r="AK202" s="263"/>
      <c r="AL202" s="235">
        <f t="shared" ref="AL202:AL264" si="26">IF(AM202="",0,1)</f>
        <v>0</v>
      </c>
      <c r="AM202" s="262"/>
      <c r="AN202" s="265"/>
      <c r="AO202" s="263"/>
      <c r="AP202" s="262"/>
      <c r="AQ202" s="263"/>
      <c r="AR202" s="262"/>
      <c r="AS202" s="263"/>
      <c r="AT202" s="262"/>
      <c r="AU202" s="265"/>
      <c r="AV202" s="263"/>
      <c r="AW202" s="262"/>
      <c r="AX202" s="265"/>
      <c r="AY202" s="263"/>
      <c r="AZ202" s="24">
        <f t="shared" ref="AZ202:AZ264" si="27">IF(AW202="YES",1,0)</f>
        <v>0</v>
      </c>
    </row>
    <row r="203" spans="2:52" s="24" customFormat="1" ht="21.95" customHeight="1" x14ac:dyDescent="0.25">
      <c r="B203" s="269"/>
      <c r="C203" s="270"/>
      <c r="D203" s="271"/>
      <c r="E203" s="236">
        <f t="shared" si="22"/>
        <v>0</v>
      </c>
      <c r="F203" s="269"/>
      <c r="G203" s="270"/>
      <c r="H203" s="271"/>
      <c r="I203" s="262"/>
      <c r="J203" s="263"/>
      <c r="K203" s="262"/>
      <c r="L203" s="263"/>
      <c r="M203" s="262"/>
      <c r="N203" s="263"/>
      <c r="O203" s="262"/>
      <c r="P203" s="263"/>
      <c r="Q203" s="235" t="b">
        <f t="shared" si="21"/>
        <v>0</v>
      </c>
      <c r="R203" s="262"/>
      <c r="S203" s="263"/>
      <c r="T203" s="262"/>
      <c r="U203" s="263"/>
      <c r="V203" s="262"/>
      <c r="W203" s="265"/>
      <c r="X203" s="265"/>
      <c r="Y203" s="263"/>
      <c r="Z203" s="235">
        <f t="shared" si="23"/>
        <v>0</v>
      </c>
      <c r="AA203" s="262"/>
      <c r="AB203" s="265"/>
      <c r="AC203" s="263"/>
      <c r="AD203" s="235">
        <f t="shared" si="24"/>
        <v>0</v>
      </c>
      <c r="AE203" s="262"/>
      <c r="AF203" s="265"/>
      <c r="AG203" s="263"/>
      <c r="AH203" s="235">
        <f t="shared" si="25"/>
        <v>0</v>
      </c>
      <c r="AI203" s="262"/>
      <c r="AJ203" s="265"/>
      <c r="AK203" s="263"/>
      <c r="AL203" s="235">
        <f t="shared" si="26"/>
        <v>0</v>
      </c>
      <c r="AM203" s="262"/>
      <c r="AN203" s="265"/>
      <c r="AO203" s="263"/>
      <c r="AP203" s="262"/>
      <c r="AQ203" s="263"/>
      <c r="AR203" s="262"/>
      <c r="AS203" s="263"/>
      <c r="AT203" s="262"/>
      <c r="AU203" s="265"/>
      <c r="AV203" s="263"/>
      <c r="AW203" s="262"/>
      <c r="AX203" s="265"/>
      <c r="AY203" s="263"/>
      <c r="AZ203" s="24">
        <f t="shared" si="27"/>
        <v>0</v>
      </c>
    </row>
    <row r="204" spans="2:52" s="24" customFormat="1" ht="21.95" customHeight="1" x14ac:dyDescent="0.25">
      <c r="B204" s="269"/>
      <c r="C204" s="270"/>
      <c r="D204" s="271"/>
      <c r="E204" s="236">
        <f t="shared" si="22"/>
        <v>0</v>
      </c>
      <c r="F204" s="269"/>
      <c r="G204" s="270"/>
      <c r="H204" s="271"/>
      <c r="I204" s="262"/>
      <c r="J204" s="263"/>
      <c r="K204" s="262"/>
      <c r="L204" s="263"/>
      <c r="M204" s="262"/>
      <c r="N204" s="263"/>
      <c r="O204" s="262"/>
      <c r="P204" s="263"/>
      <c r="Q204" s="235" t="b">
        <f t="shared" si="21"/>
        <v>0</v>
      </c>
      <c r="R204" s="262"/>
      <c r="S204" s="263"/>
      <c r="T204" s="262"/>
      <c r="U204" s="263"/>
      <c r="V204" s="262"/>
      <c r="W204" s="265"/>
      <c r="X204" s="265"/>
      <c r="Y204" s="263"/>
      <c r="Z204" s="235">
        <f t="shared" si="23"/>
        <v>0</v>
      </c>
      <c r="AA204" s="262"/>
      <c r="AB204" s="265"/>
      <c r="AC204" s="263"/>
      <c r="AD204" s="235">
        <f t="shared" si="24"/>
        <v>0</v>
      </c>
      <c r="AE204" s="262"/>
      <c r="AF204" s="265"/>
      <c r="AG204" s="263"/>
      <c r="AH204" s="235">
        <f t="shared" si="25"/>
        <v>0</v>
      </c>
      <c r="AI204" s="262"/>
      <c r="AJ204" s="265"/>
      <c r="AK204" s="263"/>
      <c r="AL204" s="235">
        <f t="shared" si="26"/>
        <v>0</v>
      </c>
      <c r="AM204" s="262"/>
      <c r="AN204" s="265"/>
      <c r="AO204" s="263"/>
      <c r="AP204" s="262"/>
      <c r="AQ204" s="263"/>
      <c r="AR204" s="262"/>
      <c r="AS204" s="263"/>
      <c r="AT204" s="262"/>
      <c r="AU204" s="265"/>
      <c r="AV204" s="263"/>
      <c r="AW204" s="262"/>
      <c r="AX204" s="265"/>
      <c r="AY204" s="263"/>
      <c r="AZ204" s="24">
        <f t="shared" si="27"/>
        <v>0</v>
      </c>
    </row>
    <row r="205" spans="2:52" s="24" customFormat="1" ht="21.95" customHeight="1" x14ac:dyDescent="0.25">
      <c r="B205" s="269"/>
      <c r="C205" s="270"/>
      <c r="D205" s="271"/>
      <c r="E205" s="236">
        <f t="shared" si="22"/>
        <v>0</v>
      </c>
      <c r="F205" s="269"/>
      <c r="G205" s="270"/>
      <c r="H205" s="271"/>
      <c r="I205" s="262"/>
      <c r="J205" s="263"/>
      <c r="K205" s="262"/>
      <c r="L205" s="263"/>
      <c r="M205" s="262"/>
      <c r="N205" s="263"/>
      <c r="O205" s="262"/>
      <c r="P205" s="263"/>
      <c r="Q205" s="235" t="b">
        <f t="shared" si="21"/>
        <v>0</v>
      </c>
      <c r="R205" s="262"/>
      <c r="S205" s="263"/>
      <c r="T205" s="262"/>
      <c r="U205" s="263"/>
      <c r="V205" s="262"/>
      <c r="W205" s="265"/>
      <c r="X205" s="265"/>
      <c r="Y205" s="263"/>
      <c r="Z205" s="235">
        <f t="shared" si="23"/>
        <v>0</v>
      </c>
      <c r="AA205" s="262"/>
      <c r="AB205" s="265"/>
      <c r="AC205" s="263"/>
      <c r="AD205" s="235">
        <f t="shared" si="24"/>
        <v>0</v>
      </c>
      <c r="AE205" s="262"/>
      <c r="AF205" s="265"/>
      <c r="AG205" s="263"/>
      <c r="AH205" s="235">
        <f t="shared" si="25"/>
        <v>0</v>
      </c>
      <c r="AI205" s="262"/>
      <c r="AJ205" s="265"/>
      <c r="AK205" s="263"/>
      <c r="AL205" s="235">
        <f t="shared" si="26"/>
        <v>0</v>
      </c>
      <c r="AM205" s="262"/>
      <c r="AN205" s="265"/>
      <c r="AO205" s="263"/>
      <c r="AP205" s="262"/>
      <c r="AQ205" s="263"/>
      <c r="AR205" s="262"/>
      <c r="AS205" s="263"/>
      <c r="AT205" s="262"/>
      <c r="AU205" s="265"/>
      <c r="AV205" s="263"/>
      <c r="AW205" s="262"/>
      <c r="AX205" s="265"/>
      <c r="AY205" s="263"/>
      <c r="AZ205" s="24">
        <f t="shared" si="27"/>
        <v>0</v>
      </c>
    </row>
    <row r="206" spans="2:52" s="24" customFormat="1" ht="21.95" customHeight="1" x14ac:dyDescent="0.25">
      <c r="B206" s="269"/>
      <c r="C206" s="270"/>
      <c r="D206" s="271"/>
      <c r="E206" s="236">
        <f t="shared" si="22"/>
        <v>0</v>
      </c>
      <c r="F206" s="269"/>
      <c r="G206" s="270"/>
      <c r="H206" s="271"/>
      <c r="I206" s="262"/>
      <c r="J206" s="263"/>
      <c r="K206" s="262"/>
      <c r="L206" s="263"/>
      <c r="M206" s="262"/>
      <c r="N206" s="263"/>
      <c r="O206" s="262"/>
      <c r="P206" s="263"/>
      <c r="Q206" s="235" t="b">
        <f t="shared" si="21"/>
        <v>0</v>
      </c>
      <c r="R206" s="262"/>
      <c r="S206" s="263"/>
      <c r="T206" s="262"/>
      <c r="U206" s="263"/>
      <c r="V206" s="262"/>
      <c r="W206" s="265"/>
      <c r="X206" s="265"/>
      <c r="Y206" s="263"/>
      <c r="Z206" s="235">
        <f t="shared" si="23"/>
        <v>0</v>
      </c>
      <c r="AA206" s="262"/>
      <c r="AB206" s="265"/>
      <c r="AC206" s="263"/>
      <c r="AD206" s="235">
        <f t="shared" si="24"/>
        <v>0</v>
      </c>
      <c r="AE206" s="262"/>
      <c r="AF206" s="265"/>
      <c r="AG206" s="263"/>
      <c r="AH206" s="235">
        <f t="shared" si="25"/>
        <v>0</v>
      </c>
      <c r="AI206" s="262"/>
      <c r="AJ206" s="265"/>
      <c r="AK206" s="263"/>
      <c r="AL206" s="235">
        <f t="shared" si="26"/>
        <v>0</v>
      </c>
      <c r="AM206" s="262"/>
      <c r="AN206" s="265"/>
      <c r="AO206" s="263"/>
      <c r="AP206" s="262"/>
      <c r="AQ206" s="263"/>
      <c r="AR206" s="262"/>
      <c r="AS206" s="263"/>
      <c r="AT206" s="262"/>
      <c r="AU206" s="265"/>
      <c r="AV206" s="263"/>
      <c r="AW206" s="262"/>
      <c r="AX206" s="265"/>
      <c r="AY206" s="263"/>
      <c r="AZ206" s="24">
        <f t="shared" si="27"/>
        <v>0</v>
      </c>
    </row>
    <row r="207" spans="2:52" s="24" customFormat="1" ht="21.95" customHeight="1" x14ac:dyDescent="0.25">
      <c r="B207" s="269"/>
      <c r="C207" s="270"/>
      <c r="D207" s="271"/>
      <c r="E207" s="236">
        <f t="shared" si="22"/>
        <v>0</v>
      </c>
      <c r="F207" s="269"/>
      <c r="G207" s="270"/>
      <c r="H207" s="271"/>
      <c r="I207" s="262"/>
      <c r="J207" s="263"/>
      <c r="K207" s="262"/>
      <c r="L207" s="263"/>
      <c r="M207" s="262"/>
      <c r="N207" s="263"/>
      <c r="O207" s="262"/>
      <c r="P207" s="263"/>
      <c r="Q207" s="235" t="b">
        <f t="shared" si="21"/>
        <v>0</v>
      </c>
      <c r="R207" s="262"/>
      <c r="S207" s="263"/>
      <c r="T207" s="262"/>
      <c r="U207" s="263"/>
      <c r="V207" s="262"/>
      <c r="W207" s="265"/>
      <c r="X207" s="265"/>
      <c r="Y207" s="263"/>
      <c r="Z207" s="235">
        <f t="shared" si="23"/>
        <v>0</v>
      </c>
      <c r="AA207" s="262"/>
      <c r="AB207" s="265"/>
      <c r="AC207" s="263"/>
      <c r="AD207" s="235">
        <f t="shared" si="24"/>
        <v>0</v>
      </c>
      <c r="AE207" s="262"/>
      <c r="AF207" s="265"/>
      <c r="AG207" s="263"/>
      <c r="AH207" s="235">
        <f t="shared" si="25"/>
        <v>0</v>
      </c>
      <c r="AI207" s="262"/>
      <c r="AJ207" s="265"/>
      <c r="AK207" s="263"/>
      <c r="AL207" s="235">
        <f t="shared" si="26"/>
        <v>0</v>
      </c>
      <c r="AM207" s="262"/>
      <c r="AN207" s="265"/>
      <c r="AO207" s="263"/>
      <c r="AP207" s="262"/>
      <c r="AQ207" s="263"/>
      <c r="AR207" s="262"/>
      <c r="AS207" s="263"/>
      <c r="AT207" s="262"/>
      <c r="AU207" s="265"/>
      <c r="AV207" s="263"/>
      <c r="AW207" s="262"/>
      <c r="AX207" s="265"/>
      <c r="AY207" s="263"/>
      <c r="AZ207" s="24">
        <f t="shared" si="27"/>
        <v>0</v>
      </c>
    </row>
    <row r="208" spans="2:52" s="24" customFormat="1" ht="21.95" customHeight="1" x14ac:dyDescent="0.25">
      <c r="B208" s="269"/>
      <c r="C208" s="270"/>
      <c r="D208" s="271"/>
      <c r="E208" s="236">
        <f t="shared" si="22"/>
        <v>0</v>
      </c>
      <c r="F208" s="269"/>
      <c r="G208" s="270"/>
      <c r="H208" s="271"/>
      <c r="I208" s="262"/>
      <c r="J208" s="263"/>
      <c r="K208" s="262"/>
      <c r="L208" s="263"/>
      <c r="M208" s="262"/>
      <c r="N208" s="263"/>
      <c r="O208" s="262"/>
      <c r="P208" s="263"/>
      <c r="Q208" s="235" t="b">
        <f t="shared" si="21"/>
        <v>0</v>
      </c>
      <c r="R208" s="262"/>
      <c r="S208" s="263"/>
      <c r="T208" s="262"/>
      <c r="U208" s="263"/>
      <c r="V208" s="262"/>
      <c r="W208" s="265"/>
      <c r="X208" s="265"/>
      <c r="Y208" s="263"/>
      <c r="Z208" s="235">
        <f t="shared" si="23"/>
        <v>0</v>
      </c>
      <c r="AA208" s="262"/>
      <c r="AB208" s="265"/>
      <c r="AC208" s="263"/>
      <c r="AD208" s="235">
        <f t="shared" si="24"/>
        <v>0</v>
      </c>
      <c r="AE208" s="262"/>
      <c r="AF208" s="265"/>
      <c r="AG208" s="263"/>
      <c r="AH208" s="235">
        <f t="shared" si="25"/>
        <v>0</v>
      </c>
      <c r="AI208" s="262"/>
      <c r="AJ208" s="265"/>
      <c r="AK208" s="263"/>
      <c r="AL208" s="235">
        <f t="shared" si="26"/>
        <v>0</v>
      </c>
      <c r="AM208" s="262"/>
      <c r="AN208" s="265"/>
      <c r="AO208" s="263"/>
      <c r="AP208" s="262"/>
      <c r="AQ208" s="263"/>
      <c r="AR208" s="262"/>
      <c r="AS208" s="263"/>
      <c r="AT208" s="262"/>
      <c r="AU208" s="265"/>
      <c r="AV208" s="263"/>
      <c r="AW208" s="262"/>
      <c r="AX208" s="265"/>
      <c r="AY208" s="263"/>
      <c r="AZ208" s="24">
        <f t="shared" si="27"/>
        <v>0</v>
      </c>
    </row>
    <row r="209" spans="2:52" s="24" customFormat="1" ht="21.95" customHeight="1" x14ac:dyDescent="0.25">
      <c r="B209" s="269"/>
      <c r="C209" s="270"/>
      <c r="D209" s="271"/>
      <c r="E209" s="236">
        <f t="shared" si="22"/>
        <v>0</v>
      </c>
      <c r="F209" s="269"/>
      <c r="G209" s="270"/>
      <c r="H209" s="271"/>
      <c r="I209" s="262"/>
      <c r="J209" s="263"/>
      <c r="K209" s="262"/>
      <c r="L209" s="263"/>
      <c r="M209" s="262"/>
      <c r="N209" s="263"/>
      <c r="O209" s="262"/>
      <c r="P209" s="263"/>
      <c r="Q209" s="235" t="b">
        <f t="shared" si="21"/>
        <v>0</v>
      </c>
      <c r="R209" s="262"/>
      <c r="S209" s="263"/>
      <c r="T209" s="262"/>
      <c r="U209" s="263"/>
      <c r="V209" s="262"/>
      <c r="W209" s="265"/>
      <c r="X209" s="265"/>
      <c r="Y209" s="263"/>
      <c r="Z209" s="235">
        <f t="shared" si="23"/>
        <v>0</v>
      </c>
      <c r="AA209" s="262"/>
      <c r="AB209" s="265"/>
      <c r="AC209" s="263"/>
      <c r="AD209" s="235">
        <f t="shared" si="24"/>
        <v>0</v>
      </c>
      <c r="AE209" s="262"/>
      <c r="AF209" s="265"/>
      <c r="AG209" s="263"/>
      <c r="AH209" s="235">
        <f t="shared" si="25"/>
        <v>0</v>
      </c>
      <c r="AI209" s="262"/>
      <c r="AJ209" s="265"/>
      <c r="AK209" s="263"/>
      <c r="AL209" s="235">
        <f t="shared" si="26"/>
        <v>0</v>
      </c>
      <c r="AM209" s="262"/>
      <c r="AN209" s="265"/>
      <c r="AO209" s="263"/>
      <c r="AP209" s="262"/>
      <c r="AQ209" s="263"/>
      <c r="AR209" s="262"/>
      <c r="AS209" s="263"/>
      <c r="AT209" s="262"/>
      <c r="AU209" s="265"/>
      <c r="AV209" s="263"/>
      <c r="AW209" s="262"/>
      <c r="AX209" s="265"/>
      <c r="AY209" s="263"/>
      <c r="AZ209" s="24">
        <f t="shared" si="27"/>
        <v>0</v>
      </c>
    </row>
    <row r="210" spans="2:52" s="24" customFormat="1" ht="21.95" customHeight="1" x14ac:dyDescent="0.25">
      <c r="B210" s="269"/>
      <c r="C210" s="270"/>
      <c r="D210" s="271"/>
      <c r="E210" s="236">
        <f t="shared" si="22"/>
        <v>0</v>
      </c>
      <c r="F210" s="269"/>
      <c r="G210" s="270"/>
      <c r="H210" s="271"/>
      <c r="I210" s="262"/>
      <c r="J210" s="263"/>
      <c r="K210" s="262"/>
      <c r="L210" s="263"/>
      <c r="M210" s="262"/>
      <c r="N210" s="263"/>
      <c r="O210" s="262"/>
      <c r="P210" s="263"/>
      <c r="Q210" s="235" t="b">
        <f t="shared" si="21"/>
        <v>0</v>
      </c>
      <c r="R210" s="262"/>
      <c r="S210" s="263"/>
      <c r="T210" s="262"/>
      <c r="U210" s="263"/>
      <c r="V210" s="262"/>
      <c r="W210" s="265"/>
      <c r="X210" s="265"/>
      <c r="Y210" s="263"/>
      <c r="Z210" s="235">
        <f t="shared" si="23"/>
        <v>0</v>
      </c>
      <c r="AA210" s="262"/>
      <c r="AB210" s="265"/>
      <c r="AC210" s="263"/>
      <c r="AD210" s="235">
        <f t="shared" si="24"/>
        <v>0</v>
      </c>
      <c r="AE210" s="262"/>
      <c r="AF210" s="265"/>
      <c r="AG210" s="263"/>
      <c r="AH210" s="235">
        <f t="shared" si="25"/>
        <v>0</v>
      </c>
      <c r="AI210" s="262"/>
      <c r="AJ210" s="265"/>
      <c r="AK210" s="263"/>
      <c r="AL210" s="235">
        <f t="shared" si="26"/>
        <v>0</v>
      </c>
      <c r="AM210" s="262"/>
      <c r="AN210" s="265"/>
      <c r="AO210" s="263"/>
      <c r="AP210" s="262"/>
      <c r="AQ210" s="263"/>
      <c r="AR210" s="262"/>
      <c r="AS210" s="263"/>
      <c r="AT210" s="262"/>
      <c r="AU210" s="265"/>
      <c r="AV210" s="263"/>
      <c r="AW210" s="262"/>
      <c r="AX210" s="265"/>
      <c r="AY210" s="263"/>
      <c r="AZ210" s="24">
        <f t="shared" si="27"/>
        <v>0</v>
      </c>
    </row>
    <row r="211" spans="2:52" s="24" customFormat="1" ht="21.95" customHeight="1" x14ac:dyDescent="0.25">
      <c r="B211" s="269"/>
      <c r="C211" s="270"/>
      <c r="D211" s="271"/>
      <c r="E211" s="236">
        <f t="shared" si="22"/>
        <v>0</v>
      </c>
      <c r="F211" s="269"/>
      <c r="G211" s="270"/>
      <c r="H211" s="271"/>
      <c r="I211" s="262"/>
      <c r="J211" s="263"/>
      <c r="K211" s="262"/>
      <c r="L211" s="263"/>
      <c r="M211" s="262"/>
      <c r="N211" s="263"/>
      <c r="O211" s="262"/>
      <c r="P211" s="263"/>
      <c r="Q211" s="235" t="b">
        <f t="shared" si="21"/>
        <v>0</v>
      </c>
      <c r="R211" s="262"/>
      <c r="S211" s="263"/>
      <c r="T211" s="262"/>
      <c r="U211" s="263"/>
      <c r="V211" s="262"/>
      <c r="W211" s="265"/>
      <c r="X211" s="265"/>
      <c r="Y211" s="263"/>
      <c r="Z211" s="235">
        <f t="shared" si="23"/>
        <v>0</v>
      </c>
      <c r="AA211" s="262"/>
      <c r="AB211" s="265"/>
      <c r="AC211" s="263"/>
      <c r="AD211" s="235">
        <f t="shared" si="24"/>
        <v>0</v>
      </c>
      <c r="AE211" s="262"/>
      <c r="AF211" s="265"/>
      <c r="AG211" s="263"/>
      <c r="AH211" s="235">
        <f t="shared" si="25"/>
        <v>0</v>
      </c>
      <c r="AI211" s="262"/>
      <c r="AJ211" s="265"/>
      <c r="AK211" s="263"/>
      <c r="AL211" s="235">
        <f t="shared" si="26"/>
        <v>0</v>
      </c>
      <c r="AM211" s="262"/>
      <c r="AN211" s="265"/>
      <c r="AO211" s="263"/>
      <c r="AP211" s="262"/>
      <c r="AQ211" s="263"/>
      <c r="AR211" s="262"/>
      <c r="AS211" s="263"/>
      <c r="AT211" s="262"/>
      <c r="AU211" s="265"/>
      <c r="AV211" s="263"/>
      <c r="AW211" s="262"/>
      <c r="AX211" s="265"/>
      <c r="AY211" s="263"/>
      <c r="AZ211" s="24">
        <f t="shared" si="27"/>
        <v>0</v>
      </c>
    </row>
    <row r="212" spans="2:52" s="24" customFormat="1" ht="21.95" customHeight="1" x14ac:dyDescent="0.25">
      <c r="B212" s="269"/>
      <c r="C212" s="270"/>
      <c r="D212" s="271"/>
      <c r="E212" s="236">
        <f t="shared" si="22"/>
        <v>0</v>
      </c>
      <c r="F212" s="269"/>
      <c r="G212" s="270"/>
      <c r="H212" s="271"/>
      <c r="I212" s="262"/>
      <c r="J212" s="263"/>
      <c r="K212" s="262"/>
      <c r="L212" s="263"/>
      <c r="M212" s="262"/>
      <c r="N212" s="263"/>
      <c r="O212" s="262"/>
      <c r="P212" s="263"/>
      <c r="Q212" s="235" t="b">
        <f t="shared" si="21"/>
        <v>0</v>
      </c>
      <c r="R212" s="262"/>
      <c r="S212" s="263"/>
      <c r="T212" s="262"/>
      <c r="U212" s="263"/>
      <c r="V212" s="262"/>
      <c r="W212" s="265"/>
      <c r="X212" s="265"/>
      <c r="Y212" s="263"/>
      <c r="Z212" s="235">
        <f t="shared" si="23"/>
        <v>0</v>
      </c>
      <c r="AA212" s="262"/>
      <c r="AB212" s="265"/>
      <c r="AC212" s="263"/>
      <c r="AD212" s="235">
        <f t="shared" si="24"/>
        <v>0</v>
      </c>
      <c r="AE212" s="262"/>
      <c r="AF212" s="265"/>
      <c r="AG212" s="263"/>
      <c r="AH212" s="235">
        <f t="shared" si="25"/>
        <v>0</v>
      </c>
      <c r="AI212" s="262"/>
      <c r="AJ212" s="265"/>
      <c r="AK212" s="263"/>
      <c r="AL212" s="235">
        <f t="shared" si="26"/>
        <v>0</v>
      </c>
      <c r="AM212" s="262"/>
      <c r="AN212" s="265"/>
      <c r="AO212" s="263"/>
      <c r="AP212" s="262"/>
      <c r="AQ212" s="263"/>
      <c r="AR212" s="262"/>
      <c r="AS212" s="263"/>
      <c r="AT212" s="262"/>
      <c r="AU212" s="265"/>
      <c r="AV212" s="263"/>
      <c r="AW212" s="262"/>
      <c r="AX212" s="265"/>
      <c r="AY212" s="263"/>
      <c r="AZ212" s="24">
        <f t="shared" si="27"/>
        <v>0</v>
      </c>
    </row>
    <row r="213" spans="2:52" s="24" customFormat="1" ht="21.95" customHeight="1" x14ac:dyDescent="0.25">
      <c r="B213" s="269"/>
      <c r="C213" s="270"/>
      <c r="D213" s="271"/>
      <c r="E213" s="236">
        <f t="shared" si="22"/>
        <v>0</v>
      </c>
      <c r="F213" s="269"/>
      <c r="G213" s="270"/>
      <c r="H213" s="271"/>
      <c r="I213" s="262"/>
      <c r="J213" s="263"/>
      <c r="K213" s="262"/>
      <c r="L213" s="263"/>
      <c r="M213" s="262"/>
      <c r="N213" s="263"/>
      <c r="O213" s="262"/>
      <c r="P213" s="263"/>
      <c r="Q213" s="235" t="b">
        <f t="shared" si="21"/>
        <v>0</v>
      </c>
      <c r="R213" s="262"/>
      <c r="S213" s="263"/>
      <c r="T213" s="262"/>
      <c r="U213" s="263"/>
      <c r="V213" s="262"/>
      <c r="W213" s="265"/>
      <c r="X213" s="265"/>
      <c r="Y213" s="263"/>
      <c r="Z213" s="235">
        <f t="shared" si="23"/>
        <v>0</v>
      </c>
      <c r="AA213" s="262"/>
      <c r="AB213" s="265"/>
      <c r="AC213" s="263"/>
      <c r="AD213" s="235">
        <f t="shared" si="24"/>
        <v>0</v>
      </c>
      <c r="AE213" s="262"/>
      <c r="AF213" s="265"/>
      <c r="AG213" s="263"/>
      <c r="AH213" s="235">
        <f t="shared" si="25"/>
        <v>0</v>
      </c>
      <c r="AI213" s="262"/>
      <c r="AJ213" s="265"/>
      <c r="AK213" s="263"/>
      <c r="AL213" s="235">
        <f t="shared" si="26"/>
        <v>0</v>
      </c>
      <c r="AM213" s="262"/>
      <c r="AN213" s="265"/>
      <c r="AO213" s="263"/>
      <c r="AP213" s="262"/>
      <c r="AQ213" s="263"/>
      <c r="AR213" s="262"/>
      <c r="AS213" s="263"/>
      <c r="AT213" s="262"/>
      <c r="AU213" s="265"/>
      <c r="AV213" s="263"/>
      <c r="AW213" s="262"/>
      <c r="AX213" s="265"/>
      <c r="AY213" s="263"/>
      <c r="AZ213" s="24">
        <f t="shared" si="27"/>
        <v>0</v>
      </c>
    </row>
    <row r="214" spans="2:52" s="24" customFormat="1" ht="21.95" customHeight="1" x14ac:dyDescent="0.25">
      <c r="B214" s="269"/>
      <c r="C214" s="270"/>
      <c r="D214" s="271"/>
      <c r="E214" s="236">
        <f t="shared" si="22"/>
        <v>0</v>
      </c>
      <c r="F214" s="269"/>
      <c r="G214" s="270"/>
      <c r="H214" s="271"/>
      <c r="I214" s="262"/>
      <c r="J214" s="263"/>
      <c r="K214" s="262"/>
      <c r="L214" s="263"/>
      <c r="M214" s="262"/>
      <c r="N214" s="263"/>
      <c r="O214" s="262"/>
      <c r="P214" s="263"/>
      <c r="Q214" s="235" t="b">
        <f t="shared" si="21"/>
        <v>0</v>
      </c>
      <c r="R214" s="262"/>
      <c r="S214" s="263"/>
      <c r="T214" s="262"/>
      <c r="U214" s="263"/>
      <c r="V214" s="262"/>
      <c r="W214" s="265"/>
      <c r="X214" s="265"/>
      <c r="Y214" s="263"/>
      <c r="Z214" s="235">
        <f t="shared" si="23"/>
        <v>0</v>
      </c>
      <c r="AA214" s="262"/>
      <c r="AB214" s="265"/>
      <c r="AC214" s="263"/>
      <c r="AD214" s="235">
        <f t="shared" si="24"/>
        <v>0</v>
      </c>
      <c r="AE214" s="262"/>
      <c r="AF214" s="265"/>
      <c r="AG214" s="263"/>
      <c r="AH214" s="235">
        <f t="shared" si="25"/>
        <v>0</v>
      </c>
      <c r="AI214" s="262"/>
      <c r="AJ214" s="265"/>
      <c r="AK214" s="263"/>
      <c r="AL214" s="235">
        <f t="shared" si="26"/>
        <v>0</v>
      </c>
      <c r="AM214" s="262"/>
      <c r="AN214" s="265"/>
      <c r="AO214" s="263"/>
      <c r="AP214" s="262"/>
      <c r="AQ214" s="263"/>
      <c r="AR214" s="262"/>
      <c r="AS214" s="263"/>
      <c r="AT214" s="262"/>
      <c r="AU214" s="265"/>
      <c r="AV214" s="263"/>
      <c r="AW214" s="262"/>
      <c r="AX214" s="265"/>
      <c r="AY214" s="263"/>
      <c r="AZ214" s="24">
        <f t="shared" si="27"/>
        <v>0</v>
      </c>
    </row>
    <row r="215" spans="2:52" s="24" customFormat="1" ht="21.95" customHeight="1" x14ac:dyDescent="0.25">
      <c r="B215" s="269"/>
      <c r="C215" s="270"/>
      <c r="D215" s="271"/>
      <c r="E215" s="236">
        <f t="shared" si="22"/>
        <v>0</v>
      </c>
      <c r="F215" s="269"/>
      <c r="G215" s="270"/>
      <c r="H215" s="271"/>
      <c r="I215" s="262"/>
      <c r="J215" s="263"/>
      <c r="K215" s="262"/>
      <c r="L215" s="263"/>
      <c r="M215" s="262"/>
      <c r="N215" s="263"/>
      <c r="O215" s="262"/>
      <c r="P215" s="263"/>
      <c r="Q215" s="235" t="b">
        <f t="shared" si="21"/>
        <v>0</v>
      </c>
      <c r="R215" s="262"/>
      <c r="S215" s="263"/>
      <c r="T215" s="262"/>
      <c r="U215" s="263"/>
      <c r="V215" s="262"/>
      <c r="W215" s="265"/>
      <c r="X215" s="265"/>
      <c r="Y215" s="263"/>
      <c r="Z215" s="235">
        <f t="shared" si="23"/>
        <v>0</v>
      </c>
      <c r="AA215" s="262"/>
      <c r="AB215" s="265"/>
      <c r="AC215" s="263"/>
      <c r="AD215" s="235">
        <f t="shared" si="24"/>
        <v>0</v>
      </c>
      <c r="AE215" s="262"/>
      <c r="AF215" s="265"/>
      <c r="AG215" s="263"/>
      <c r="AH215" s="235">
        <f t="shared" si="25"/>
        <v>0</v>
      </c>
      <c r="AI215" s="262"/>
      <c r="AJ215" s="265"/>
      <c r="AK215" s="263"/>
      <c r="AL215" s="235">
        <f t="shared" si="26"/>
        <v>0</v>
      </c>
      <c r="AM215" s="262"/>
      <c r="AN215" s="265"/>
      <c r="AO215" s="263"/>
      <c r="AP215" s="262"/>
      <c r="AQ215" s="263"/>
      <c r="AR215" s="262"/>
      <c r="AS215" s="263"/>
      <c r="AT215" s="262"/>
      <c r="AU215" s="265"/>
      <c r="AV215" s="263"/>
      <c r="AW215" s="262"/>
      <c r="AX215" s="265"/>
      <c r="AY215" s="263"/>
      <c r="AZ215" s="24">
        <f t="shared" si="27"/>
        <v>0</v>
      </c>
    </row>
    <row r="216" spans="2:52" s="24" customFormat="1" ht="21.95" customHeight="1" x14ac:dyDescent="0.25">
      <c r="B216" s="269"/>
      <c r="C216" s="270"/>
      <c r="D216" s="271"/>
      <c r="E216" s="236">
        <f t="shared" si="22"/>
        <v>0</v>
      </c>
      <c r="F216" s="269"/>
      <c r="G216" s="270"/>
      <c r="H216" s="271"/>
      <c r="I216" s="262"/>
      <c r="J216" s="263"/>
      <c r="K216" s="262"/>
      <c r="L216" s="263"/>
      <c r="M216" s="262"/>
      <c r="N216" s="263"/>
      <c r="O216" s="262"/>
      <c r="P216" s="263"/>
      <c r="Q216" s="235" t="b">
        <f t="shared" si="21"/>
        <v>0</v>
      </c>
      <c r="R216" s="262"/>
      <c r="S216" s="263"/>
      <c r="T216" s="262"/>
      <c r="U216" s="263"/>
      <c r="V216" s="262"/>
      <c r="W216" s="265"/>
      <c r="X216" s="265"/>
      <c r="Y216" s="263"/>
      <c r="Z216" s="235">
        <f t="shared" si="23"/>
        <v>0</v>
      </c>
      <c r="AA216" s="262"/>
      <c r="AB216" s="265"/>
      <c r="AC216" s="263"/>
      <c r="AD216" s="235">
        <f t="shared" si="24"/>
        <v>0</v>
      </c>
      <c r="AE216" s="262"/>
      <c r="AF216" s="265"/>
      <c r="AG216" s="263"/>
      <c r="AH216" s="235">
        <f t="shared" si="25"/>
        <v>0</v>
      </c>
      <c r="AI216" s="262"/>
      <c r="AJ216" s="265"/>
      <c r="AK216" s="263"/>
      <c r="AL216" s="235">
        <f t="shared" si="26"/>
        <v>0</v>
      </c>
      <c r="AM216" s="262"/>
      <c r="AN216" s="265"/>
      <c r="AO216" s="263"/>
      <c r="AP216" s="262"/>
      <c r="AQ216" s="263"/>
      <c r="AR216" s="262"/>
      <c r="AS216" s="263"/>
      <c r="AT216" s="262"/>
      <c r="AU216" s="265"/>
      <c r="AV216" s="263"/>
      <c r="AW216" s="262"/>
      <c r="AX216" s="265"/>
      <c r="AY216" s="263"/>
      <c r="AZ216" s="24">
        <f t="shared" si="27"/>
        <v>0</v>
      </c>
    </row>
    <row r="217" spans="2:52" s="24" customFormat="1" ht="21.95" customHeight="1" x14ac:dyDescent="0.25">
      <c r="B217" s="269"/>
      <c r="C217" s="270"/>
      <c r="D217" s="271"/>
      <c r="E217" s="236">
        <f t="shared" si="22"/>
        <v>0</v>
      </c>
      <c r="F217" s="269"/>
      <c r="G217" s="270"/>
      <c r="H217" s="271"/>
      <c r="I217" s="262"/>
      <c r="J217" s="263"/>
      <c r="K217" s="262"/>
      <c r="L217" s="263"/>
      <c r="M217" s="262"/>
      <c r="N217" s="263"/>
      <c r="O217" s="262"/>
      <c r="P217" s="263"/>
      <c r="Q217" s="235" t="b">
        <f t="shared" si="21"/>
        <v>0</v>
      </c>
      <c r="R217" s="262"/>
      <c r="S217" s="263"/>
      <c r="T217" s="262"/>
      <c r="U217" s="263"/>
      <c r="V217" s="262"/>
      <c r="W217" s="265"/>
      <c r="X217" s="265"/>
      <c r="Y217" s="263"/>
      <c r="Z217" s="235">
        <f t="shared" si="23"/>
        <v>0</v>
      </c>
      <c r="AA217" s="262"/>
      <c r="AB217" s="265"/>
      <c r="AC217" s="263"/>
      <c r="AD217" s="235">
        <f t="shared" si="24"/>
        <v>0</v>
      </c>
      <c r="AE217" s="262"/>
      <c r="AF217" s="265"/>
      <c r="AG217" s="263"/>
      <c r="AH217" s="235">
        <f t="shared" si="25"/>
        <v>0</v>
      </c>
      <c r="AI217" s="262"/>
      <c r="AJ217" s="265"/>
      <c r="AK217" s="263"/>
      <c r="AL217" s="235">
        <f t="shared" si="26"/>
        <v>0</v>
      </c>
      <c r="AM217" s="262"/>
      <c r="AN217" s="265"/>
      <c r="AO217" s="263"/>
      <c r="AP217" s="262"/>
      <c r="AQ217" s="263"/>
      <c r="AR217" s="262"/>
      <c r="AS217" s="263"/>
      <c r="AT217" s="262"/>
      <c r="AU217" s="265"/>
      <c r="AV217" s="263"/>
      <c r="AW217" s="262"/>
      <c r="AX217" s="265"/>
      <c r="AY217" s="263"/>
      <c r="AZ217" s="24">
        <f t="shared" si="27"/>
        <v>0</v>
      </c>
    </row>
    <row r="218" spans="2:52" s="24" customFormat="1" ht="21.95" customHeight="1" x14ac:dyDescent="0.25">
      <c r="B218" s="269"/>
      <c r="C218" s="270"/>
      <c r="D218" s="271"/>
      <c r="E218" s="236">
        <f t="shared" si="22"/>
        <v>0</v>
      </c>
      <c r="F218" s="269"/>
      <c r="G218" s="270"/>
      <c r="H218" s="271"/>
      <c r="I218" s="262"/>
      <c r="J218" s="263"/>
      <c r="K218" s="262"/>
      <c r="L218" s="263"/>
      <c r="M218" s="262"/>
      <c r="N218" s="263"/>
      <c r="O218" s="262"/>
      <c r="P218" s="263"/>
      <c r="Q218" s="235" t="b">
        <f t="shared" si="21"/>
        <v>0</v>
      </c>
      <c r="R218" s="262"/>
      <c r="S218" s="263"/>
      <c r="T218" s="262"/>
      <c r="U218" s="263"/>
      <c r="V218" s="262"/>
      <c r="W218" s="265"/>
      <c r="X218" s="265"/>
      <c r="Y218" s="263"/>
      <c r="Z218" s="235">
        <f t="shared" si="23"/>
        <v>0</v>
      </c>
      <c r="AA218" s="262"/>
      <c r="AB218" s="265"/>
      <c r="AC218" s="263"/>
      <c r="AD218" s="235">
        <f t="shared" si="24"/>
        <v>0</v>
      </c>
      <c r="AE218" s="262"/>
      <c r="AF218" s="265"/>
      <c r="AG218" s="263"/>
      <c r="AH218" s="235">
        <f t="shared" si="25"/>
        <v>0</v>
      </c>
      <c r="AI218" s="262"/>
      <c r="AJ218" s="265"/>
      <c r="AK218" s="263"/>
      <c r="AL218" s="235">
        <f t="shared" si="26"/>
        <v>0</v>
      </c>
      <c r="AM218" s="262"/>
      <c r="AN218" s="265"/>
      <c r="AO218" s="263"/>
      <c r="AP218" s="262"/>
      <c r="AQ218" s="263"/>
      <c r="AR218" s="262"/>
      <c r="AS218" s="263"/>
      <c r="AT218" s="262"/>
      <c r="AU218" s="265"/>
      <c r="AV218" s="263"/>
      <c r="AW218" s="262"/>
      <c r="AX218" s="265"/>
      <c r="AY218" s="263"/>
      <c r="AZ218" s="24">
        <f t="shared" si="27"/>
        <v>0</v>
      </c>
    </row>
    <row r="219" spans="2:52" s="24" customFormat="1" ht="21.95" customHeight="1" x14ac:dyDescent="0.25">
      <c r="B219" s="269"/>
      <c r="C219" s="270"/>
      <c r="D219" s="271"/>
      <c r="E219" s="236">
        <f t="shared" si="22"/>
        <v>0</v>
      </c>
      <c r="F219" s="269"/>
      <c r="G219" s="270"/>
      <c r="H219" s="271"/>
      <c r="I219" s="262"/>
      <c r="J219" s="263"/>
      <c r="K219" s="262"/>
      <c r="L219" s="263"/>
      <c r="M219" s="262"/>
      <c r="N219" s="263"/>
      <c r="O219" s="262"/>
      <c r="P219" s="263"/>
      <c r="Q219" s="235" t="b">
        <f t="shared" si="21"/>
        <v>0</v>
      </c>
      <c r="R219" s="262"/>
      <c r="S219" s="263"/>
      <c r="T219" s="262"/>
      <c r="U219" s="263"/>
      <c r="V219" s="262"/>
      <c r="W219" s="265"/>
      <c r="X219" s="265"/>
      <c r="Y219" s="263"/>
      <c r="Z219" s="235">
        <f t="shared" si="23"/>
        <v>0</v>
      </c>
      <c r="AA219" s="262"/>
      <c r="AB219" s="265"/>
      <c r="AC219" s="263"/>
      <c r="AD219" s="235">
        <f t="shared" si="24"/>
        <v>0</v>
      </c>
      <c r="AE219" s="262"/>
      <c r="AF219" s="265"/>
      <c r="AG219" s="263"/>
      <c r="AH219" s="235">
        <f t="shared" si="25"/>
        <v>0</v>
      </c>
      <c r="AI219" s="262"/>
      <c r="AJ219" s="265"/>
      <c r="AK219" s="263"/>
      <c r="AL219" s="235">
        <f t="shared" si="26"/>
        <v>0</v>
      </c>
      <c r="AM219" s="262"/>
      <c r="AN219" s="265"/>
      <c r="AO219" s="263"/>
      <c r="AP219" s="262"/>
      <c r="AQ219" s="263"/>
      <c r="AR219" s="262"/>
      <c r="AS219" s="263"/>
      <c r="AT219" s="262"/>
      <c r="AU219" s="265"/>
      <c r="AV219" s="263"/>
      <c r="AW219" s="262"/>
      <c r="AX219" s="265"/>
      <c r="AY219" s="263"/>
      <c r="AZ219" s="24">
        <f t="shared" si="27"/>
        <v>0</v>
      </c>
    </row>
    <row r="220" spans="2:52" s="24" customFormat="1" ht="21.95" customHeight="1" x14ac:dyDescent="0.25">
      <c r="B220" s="269"/>
      <c r="C220" s="270"/>
      <c r="D220" s="271"/>
      <c r="E220" s="236">
        <f t="shared" si="22"/>
        <v>0</v>
      </c>
      <c r="F220" s="269"/>
      <c r="G220" s="270"/>
      <c r="H220" s="271"/>
      <c r="I220" s="262"/>
      <c r="J220" s="263"/>
      <c r="K220" s="262"/>
      <c r="L220" s="263"/>
      <c r="M220" s="262"/>
      <c r="N220" s="263"/>
      <c r="O220" s="262"/>
      <c r="P220" s="263"/>
      <c r="Q220" s="235" t="b">
        <f t="shared" si="21"/>
        <v>0</v>
      </c>
      <c r="R220" s="262"/>
      <c r="S220" s="263"/>
      <c r="T220" s="262"/>
      <c r="U220" s="263"/>
      <c r="V220" s="262"/>
      <c r="W220" s="265"/>
      <c r="X220" s="265"/>
      <c r="Y220" s="263"/>
      <c r="Z220" s="235">
        <f t="shared" si="23"/>
        <v>0</v>
      </c>
      <c r="AA220" s="262"/>
      <c r="AB220" s="265"/>
      <c r="AC220" s="263"/>
      <c r="AD220" s="235">
        <f t="shared" si="24"/>
        <v>0</v>
      </c>
      <c r="AE220" s="262"/>
      <c r="AF220" s="265"/>
      <c r="AG220" s="263"/>
      <c r="AH220" s="235">
        <f t="shared" si="25"/>
        <v>0</v>
      </c>
      <c r="AI220" s="262"/>
      <c r="AJ220" s="265"/>
      <c r="AK220" s="263"/>
      <c r="AL220" s="235">
        <f t="shared" si="26"/>
        <v>0</v>
      </c>
      <c r="AM220" s="262"/>
      <c r="AN220" s="265"/>
      <c r="AO220" s="263"/>
      <c r="AP220" s="262"/>
      <c r="AQ220" s="263"/>
      <c r="AR220" s="262"/>
      <c r="AS220" s="263"/>
      <c r="AT220" s="262"/>
      <c r="AU220" s="265"/>
      <c r="AV220" s="263"/>
      <c r="AW220" s="262"/>
      <c r="AX220" s="265"/>
      <c r="AY220" s="263"/>
      <c r="AZ220" s="24">
        <f t="shared" si="27"/>
        <v>0</v>
      </c>
    </row>
    <row r="221" spans="2:52" s="24" customFormat="1" ht="21.95" customHeight="1" x14ac:dyDescent="0.25">
      <c r="B221" s="269"/>
      <c r="C221" s="270"/>
      <c r="D221" s="271"/>
      <c r="E221" s="236">
        <f t="shared" si="22"/>
        <v>0</v>
      </c>
      <c r="F221" s="269"/>
      <c r="G221" s="270"/>
      <c r="H221" s="271"/>
      <c r="I221" s="262"/>
      <c r="J221" s="263"/>
      <c r="K221" s="262"/>
      <c r="L221" s="263"/>
      <c r="M221" s="262"/>
      <c r="N221" s="263"/>
      <c r="O221" s="262"/>
      <c r="P221" s="263"/>
      <c r="Q221" s="235" t="b">
        <f t="shared" si="21"/>
        <v>0</v>
      </c>
      <c r="R221" s="262"/>
      <c r="S221" s="263"/>
      <c r="T221" s="262"/>
      <c r="U221" s="263"/>
      <c r="V221" s="262"/>
      <c r="W221" s="265"/>
      <c r="X221" s="265"/>
      <c r="Y221" s="263"/>
      <c r="Z221" s="235">
        <f t="shared" si="23"/>
        <v>0</v>
      </c>
      <c r="AA221" s="262"/>
      <c r="AB221" s="265"/>
      <c r="AC221" s="263"/>
      <c r="AD221" s="235">
        <f t="shared" si="24"/>
        <v>0</v>
      </c>
      <c r="AE221" s="262"/>
      <c r="AF221" s="265"/>
      <c r="AG221" s="263"/>
      <c r="AH221" s="235">
        <f t="shared" si="25"/>
        <v>0</v>
      </c>
      <c r="AI221" s="262"/>
      <c r="AJ221" s="265"/>
      <c r="AK221" s="263"/>
      <c r="AL221" s="235">
        <f t="shared" si="26"/>
        <v>0</v>
      </c>
      <c r="AM221" s="262"/>
      <c r="AN221" s="265"/>
      <c r="AO221" s="263"/>
      <c r="AP221" s="262"/>
      <c r="AQ221" s="263"/>
      <c r="AR221" s="262"/>
      <c r="AS221" s="263"/>
      <c r="AT221" s="262"/>
      <c r="AU221" s="265"/>
      <c r="AV221" s="263"/>
      <c r="AW221" s="262"/>
      <c r="AX221" s="265"/>
      <c r="AY221" s="263"/>
      <c r="AZ221" s="24">
        <f t="shared" si="27"/>
        <v>0</v>
      </c>
    </row>
    <row r="222" spans="2:52" s="24" customFormat="1" ht="21.95" customHeight="1" x14ac:dyDescent="0.25">
      <c r="B222" s="269"/>
      <c r="C222" s="270"/>
      <c r="D222" s="271"/>
      <c r="E222" s="236">
        <f t="shared" si="22"/>
        <v>0</v>
      </c>
      <c r="F222" s="269"/>
      <c r="G222" s="270"/>
      <c r="H222" s="271"/>
      <c r="I222" s="262"/>
      <c r="J222" s="263"/>
      <c r="K222" s="262"/>
      <c r="L222" s="263"/>
      <c r="M222" s="262"/>
      <c r="N222" s="263"/>
      <c r="O222" s="262"/>
      <c r="P222" s="263"/>
      <c r="Q222" s="235" t="b">
        <f t="shared" si="21"/>
        <v>0</v>
      </c>
      <c r="R222" s="262"/>
      <c r="S222" s="263"/>
      <c r="T222" s="262"/>
      <c r="U222" s="263"/>
      <c r="V222" s="262"/>
      <c r="W222" s="265"/>
      <c r="X222" s="265"/>
      <c r="Y222" s="263"/>
      <c r="Z222" s="235">
        <f t="shared" si="23"/>
        <v>0</v>
      </c>
      <c r="AA222" s="262"/>
      <c r="AB222" s="265"/>
      <c r="AC222" s="263"/>
      <c r="AD222" s="235">
        <f t="shared" si="24"/>
        <v>0</v>
      </c>
      <c r="AE222" s="262"/>
      <c r="AF222" s="265"/>
      <c r="AG222" s="263"/>
      <c r="AH222" s="235">
        <f t="shared" si="25"/>
        <v>0</v>
      </c>
      <c r="AI222" s="262"/>
      <c r="AJ222" s="265"/>
      <c r="AK222" s="263"/>
      <c r="AL222" s="235">
        <f t="shared" si="26"/>
        <v>0</v>
      </c>
      <c r="AM222" s="262"/>
      <c r="AN222" s="265"/>
      <c r="AO222" s="263"/>
      <c r="AP222" s="262"/>
      <c r="AQ222" s="263"/>
      <c r="AR222" s="262"/>
      <c r="AS222" s="263"/>
      <c r="AT222" s="262"/>
      <c r="AU222" s="265"/>
      <c r="AV222" s="263"/>
      <c r="AW222" s="262"/>
      <c r="AX222" s="265"/>
      <c r="AY222" s="263"/>
      <c r="AZ222" s="24">
        <f t="shared" si="27"/>
        <v>0</v>
      </c>
    </row>
    <row r="223" spans="2:52" s="24" customFormat="1" ht="21.95" customHeight="1" x14ac:dyDescent="0.25">
      <c r="B223" s="269"/>
      <c r="C223" s="270"/>
      <c r="D223" s="271"/>
      <c r="E223" s="236">
        <f t="shared" si="22"/>
        <v>0</v>
      </c>
      <c r="F223" s="269"/>
      <c r="G223" s="270"/>
      <c r="H223" s="271"/>
      <c r="I223" s="262"/>
      <c r="J223" s="263"/>
      <c r="K223" s="262"/>
      <c r="L223" s="263"/>
      <c r="M223" s="262"/>
      <c r="N223" s="263"/>
      <c r="O223" s="262"/>
      <c r="P223" s="263"/>
      <c r="Q223" s="235" t="b">
        <f t="shared" si="21"/>
        <v>0</v>
      </c>
      <c r="R223" s="262"/>
      <c r="S223" s="263"/>
      <c r="T223" s="262"/>
      <c r="U223" s="263"/>
      <c r="V223" s="262"/>
      <c r="W223" s="265"/>
      <c r="X223" s="265"/>
      <c r="Y223" s="263"/>
      <c r="Z223" s="235">
        <f t="shared" si="23"/>
        <v>0</v>
      </c>
      <c r="AA223" s="262"/>
      <c r="AB223" s="265"/>
      <c r="AC223" s="263"/>
      <c r="AD223" s="235">
        <f t="shared" si="24"/>
        <v>0</v>
      </c>
      <c r="AE223" s="262"/>
      <c r="AF223" s="265"/>
      <c r="AG223" s="263"/>
      <c r="AH223" s="235">
        <f t="shared" si="25"/>
        <v>0</v>
      </c>
      <c r="AI223" s="262"/>
      <c r="AJ223" s="265"/>
      <c r="AK223" s="263"/>
      <c r="AL223" s="235">
        <f t="shared" si="26"/>
        <v>0</v>
      </c>
      <c r="AM223" s="262"/>
      <c r="AN223" s="265"/>
      <c r="AO223" s="263"/>
      <c r="AP223" s="262"/>
      <c r="AQ223" s="263"/>
      <c r="AR223" s="262"/>
      <c r="AS223" s="263"/>
      <c r="AT223" s="262"/>
      <c r="AU223" s="265"/>
      <c r="AV223" s="263"/>
      <c r="AW223" s="262"/>
      <c r="AX223" s="265"/>
      <c r="AY223" s="263"/>
      <c r="AZ223" s="24">
        <f t="shared" si="27"/>
        <v>0</v>
      </c>
    </row>
    <row r="224" spans="2:52" s="24" customFormat="1" ht="21.95" customHeight="1" x14ac:dyDescent="0.25">
      <c r="B224" s="269"/>
      <c r="C224" s="270"/>
      <c r="D224" s="271"/>
      <c r="E224" s="236">
        <f t="shared" si="22"/>
        <v>0</v>
      </c>
      <c r="F224" s="269"/>
      <c r="G224" s="270"/>
      <c r="H224" s="271"/>
      <c r="I224" s="262"/>
      <c r="J224" s="263"/>
      <c r="K224" s="262"/>
      <c r="L224" s="263"/>
      <c r="M224" s="262"/>
      <c r="N224" s="263"/>
      <c r="O224" s="262"/>
      <c r="P224" s="263"/>
      <c r="Q224" s="235" t="b">
        <f t="shared" si="21"/>
        <v>0</v>
      </c>
      <c r="R224" s="262"/>
      <c r="S224" s="263"/>
      <c r="T224" s="262"/>
      <c r="U224" s="263"/>
      <c r="V224" s="262"/>
      <c r="W224" s="265"/>
      <c r="X224" s="265"/>
      <c r="Y224" s="263"/>
      <c r="Z224" s="235">
        <f t="shared" si="23"/>
        <v>0</v>
      </c>
      <c r="AA224" s="262"/>
      <c r="AB224" s="265"/>
      <c r="AC224" s="263"/>
      <c r="AD224" s="235">
        <f t="shared" si="24"/>
        <v>0</v>
      </c>
      <c r="AE224" s="262"/>
      <c r="AF224" s="265"/>
      <c r="AG224" s="263"/>
      <c r="AH224" s="235">
        <f t="shared" si="25"/>
        <v>0</v>
      </c>
      <c r="AI224" s="262"/>
      <c r="AJ224" s="265"/>
      <c r="AK224" s="263"/>
      <c r="AL224" s="235">
        <f t="shared" si="26"/>
        <v>0</v>
      </c>
      <c r="AM224" s="262"/>
      <c r="AN224" s="265"/>
      <c r="AO224" s="263"/>
      <c r="AP224" s="262"/>
      <c r="AQ224" s="263"/>
      <c r="AR224" s="262"/>
      <c r="AS224" s="263"/>
      <c r="AT224" s="262"/>
      <c r="AU224" s="265"/>
      <c r="AV224" s="263"/>
      <c r="AW224" s="262"/>
      <c r="AX224" s="265"/>
      <c r="AY224" s="263"/>
      <c r="AZ224" s="24">
        <f t="shared" si="27"/>
        <v>0</v>
      </c>
    </row>
    <row r="225" spans="2:52" s="24" customFormat="1" ht="21.95" customHeight="1" x14ac:dyDescent="0.25">
      <c r="B225" s="269"/>
      <c r="C225" s="270"/>
      <c r="D225" s="271"/>
      <c r="E225" s="236">
        <f t="shared" si="22"/>
        <v>0</v>
      </c>
      <c r="F225" s="269"/>
      <c r="G225" s="270"/>
      <c r="H225" s="271"/>
      <c r="I225" s="262"/>
      <c r="J225" s="263"/>
      <c r="K225" s="262"/>
      <c r="L225" s="263"/>
      <c r="M225" s="262"/>
      <c r="N225" s="263"/>
      <c r="O225" s="262"/>
      <c r="P225" s="263"/>
      <c r="Q225" s="235" t="b">
        <f t="shared" si="21"/>
        <v>0</v>
      </c>
      <c r="R225" s="262"/>
      <c r="S225" s="263"/>
      <c r="T225" s="262"/>
      <c r="U225" s="263"/>
      <c r="V225" s="262"/>
      <c r="W225" s="265"/>
      <c r="X225" s="265"/>
      <c r="Y225" s="263"/>
      <c r="Z225" s="235">
        <f t="shared" si="23"/>
        <v>0</v>
      </c>
      <c r="AA225" s="262"/>
      <c r="AB225" s="265"/>
      <c r="AC225" s="263"/>
      <c r="AD225" s="235">
        <f t="shared" si="24"/>
        <v>0</v>
      </c>
      <c r="AE225" s="262"/>
      <c r="AF225" s="265"/>
      <c r="AG225" s="263"/>
      <c r="AH225" s="235">
        <f t="shared" si="25"/>
        <v>0</v>
      </c>
      <c r="AI225" s="262"/>
      <c r="AJ225" s="265"/>
      <c r="AK225" s="263"/>
      <c r="AL225" s="235">
        <f t="shared" si="26"/>
        <v>0</v>
      </c>
      <c r="AM225" s="262"/>
      <c r="AN225" s="265"/>
      <c r="AO225" s="263"/>
      <c r="AP225" s="262"/>
      <c r="AQ225" s="263"/>
      <c r="AR225" s="262"/>
      <c r="AS225" s="263"/>
      <c r="AT225" s="262"/>
      <c r="AU225" s="265"/>
      <c r="AV225" s="263"/>
      <c r="AW225" s="262"/>
      <c r="AX225" s="265"/>
      <c r="AY225" s="263"/>
      <c r="AZ225" s="24">
        <f t="shared" si="27"/>
        <v>0</v>
      </c>
    </row>
    <row r="226" spans="2:52" s="24" customFormat="1" ht="21.95" customHeight="1" x14ac:dyDescent="0.25">
      <c r="B226" s="269"/>
      <c r="C226" s="270"/>
      <c r="D226" s="271"/>
      <c r="E226" s="236">
        <f t="shared" si="22"/>
        <v>0</v>
      </c>
      <c r="F226" s="269"/>
      <c r="G226" s="270"/>
      <c r="H226" s="271"/>
      <c r="I226" s="262"/>
      <c r="J226" s="263"/>
      <c r="K226" s="262"/>
      <c r="L226" s="263"/>
      <c r="M226" s="262"/>
      <c r="N226" s="263"/>
      <c r="O226" s="262"/>
      <c r="P226" s="263"/>
      <c r="Q226" s="235" t="b">
        <f t="shared" si="21"/>
        <v>0</v>
      </c>
      <c r="R226" s="262"/>
      <c r="S226" s="263"/>
      <c r="T226" s="262"/>
      <c r="U226" s="263"/>
      <c r="V226" s="262"/>
      <c r="W226" s="265"/>
      <c r="X226" s="265"/>
      <c r="Y226" s="263"/>
      <c r="Z226" s="235">
        <f t="shared" si="23"/>
        <v>0</v>
      </c>
      <c r="AA226" s="262"/>
      <c r="AB226" s="265"/>
      <c r="AC226" s="263"/>
      <c r="AD226" s="235">
        <f t="shared" si="24"/>
        <v>0</v>
      </c>
      <c r="AE226" s="262"/>
      <c r="AF226" s="265"/>
      <c r="AG226" s="263"/>
      <c r="AH226" s="235">
        <f t="shared" si="25"/>
        <v>0</v>
      </c>
      <c r="AI226" s="262"/>
      <c r="AJ226" s="265"/>
      <c r="AK226" s="263"/>
      <c r="AL226" s="235">
        <f t="shared" si="26"/>
        <v>0</v>
      </c>
      <c r="AM226" s="262"/>
      <c r="AN226" s="265"/>
      <c r="AO226" s="263"/>
      <c r="AP226" s="262"/>
      <c r="AQ226" s="263"/>
      <c r="AR226" s="262"/>
      <c r="AS226" s="263"/>
      <c r="AT226" s="262"/>
      <c r="AU226" s="265"/>
      <c r="AV226" s="263"/>
      <c r="AW226" s="262"/>
      <c r="AX226" s="265"/>
      <c r="AY226" s="263"/>
      <c r="AZ226" s="24">
        <f t="shared" si="27"/>
        <v>0</v>
      </c>
    </row>
    <row r="227" spans="2:52" s="24" customFormat="1" ht="21.95" customHeight="1" x14ac:dyDescent="0.25">
      <c r="B227" s="269"/>
      <c r="C227" s="270"/>
      <c r="D227" s="271"/>
      <c r="E227" s="236">
        <f t="shared" si="22"/>
        <v>0</v>
      </c>
      <c r="F227" s="269"/>
      <c r="G227" s="270"/>
      <c r="H227" s="271"/>
      <c r="I227" s="262"/>
      <c r="J227" s="263"/>
      <c r="K227" s="262"/>
      <c r="L227" s="263"/>
      <c r="M227" s="262"/>
      <c r="N227" s="263"/>
      <c r="O227" s="262"/>
      <c r="P227" s="263"/>
      <c r="Q227" s="235" t="b">
        <f t="shared" si="21"/>
        <v>0</v>
      </c>
      <c r="R227" s="262"/>
      <c r="S227" s="263"/>
      <c r="T227" s="262"/>
      <c r="U227" s="263"/>
      <c r="V227" s="262"/>
      <c r="W227" s="265"/>
      <c r="X227" s="265"/>
      <c r="Y227" s="263"/>
      <c r="Z227" s="235">
        <f t="shared" si="23"/>
        <v>0</v>
      </c>
      <c r="AA227" s="262"/>
      <c r="AB227" s="265"/>
      <c r="AC227" s="263"/>
      <c r="AD227" s="235">
        <f t="shared" si="24"/>
        <v>0</v>
      </c>
      <c r="AE227" s="262"/>
      <c r="AF227" s="265"/>
      <c r="AG227" s="263"/>
      <c r="AH227" s="235">
        <f t="shared" si="25"/>
        <v>0</v>
      </c>
      <c r="AI227" s="262"/>
      <c r="AJ227" s="265"/>
      <c r="AK227" s="263"/>
      <c r="AL227" s="235">
        <f t="shared" si="26"/>
        <v>0</v>
      </c>
      <c r="AM227" s="262"/>
      <c r="AN227" s="265"/>
      <c r="AO227" s="263"/>
      <c r="AP227" s="262"/>
      <c r="AQ227" s="263"/>
      <c r="AR227" s="262"/>
      <c r="AS227" s="263"/>
      <c r="AT227" s="262"/>
      <c r="AU227" s="265"/>
      <c r="AV227" s="263"/>
      <c r="AW227" s="262"/>
      <c r="AX227" s="265"/>
      <c r="AY227" s="263"/>
      <c r="AZ227" s="24">
        <f t="shared" si="27"/>
        <v>0</v>
      </c>
    </row>
    <row r="228" spans="2:52" s="24" customFormat="1" ht="21.95" customHeight="1" x14ac:dyDescent="0.25">
      <c r="B228" s="269"/>
      <c r="C228" s="270"/>
      <c r="D228" s="271"/>
      <c r="E228" s="236">
        <f t="shared" si="22"/>
        <v>0</v>
      </c>
      <c r="F228" s="269"/>
      <c r="G228" s="270"/>
      <c r="H228" s="271"/>
      <c r="I228" s="262"/>
      <c r="J228" s="263"/>
      <c r="K228" s="262"/>
      <c r="L228" s="263"/>
      <c r="M228" s="262"/>
      <c r="N228" s="263"/>
      <c r="O228" s="262"/>
      <c r="P228" s="263"/>
      <c r="Q228" s="235" t="b">
        <f t="shared" si="21"/>
        <v>0</v>
      </c>
      <c r="R228" s="262"/>
      <c r="S228" s="263"/>
      <c r="T228" s="262"/>
      <c r="U228" s="263"/>
      <c r="V228" s="262"/>
      <c r="W228" s="265"/>
      <c r="X228" s="265"/>
      <c r="Y228" s="263"/>
      <c r="Z228" s="235">
        <f t="shared" si="23"/>
        <v>0</v>
      </c>
      <c r="AA228" s="262"/>
      <c r="AB228" s="265"/>
      <c r="AC228" s="263"/>
      <c r="AD228" s="235">
        <f t="shared" si="24"/>
        <v>0</v>
      </c>
      <c r="AE228" s="262"/>
      <c r="AF228" s="265"/>
      <c r="AG228" s="263"/>
      <c r="AH228" s="235">
        <f t="shared" si="25"/>
        <v>0</v>
      </c>
      <c r="AI228" s="262"/>
      <c r="AJ228" s="265"/>
      <c r="AK228" s="263"/>
      <c r="AL228" s="235">
        <f t="shared" si="26"/>
        <v>0</v>
      </c>
      <c r="AM228" s="262"/>
      <c r="AN228" s="265"/>
      <c r="AO228" s="263"/>
      <c r="AP228" s="262"/>
      <c r="AQ228" s="263"/>
      <c r="AR228" s="262"/>
      <c r="AS228" s="263"/>
      <c r="AT228" s="262"/>
      <c r="AU228" s="265"/>
      <c r="AV228" s="263"/>
      <c r="AW228" s="262"/>
      <c r="AX228" s="265"/>
      <c r="AY228" s="263"/>
      <c r="AZ228" s="24">
        <f t="shared" si="27"/>
        <v>0</v>
      </c>
    </row>
    <row r="229" spans="2:52" s="24" customFormat="1" ht="21.95" customHeight="1" x14ac:dyDescent="0.25">
      <c r="B229" s="269"/>
      <c r="C229" s="270"/>
      <c r="D229" s="271"/>
      <c r="E229" s="236">
        <f t="shared" si="22"/>
        <v>0</v>
      </c>
      <c r="F229" s="269"/>
      <c r="G229" s="270"/>
      <c r="H229" s="271"/>
      <c r="I229" s="262"/>
      <c r="J229" s="263"/>
      <c r="K229" s="262"/>
      <c r="L229" s="263"/>
      <c r="M229" s="262"/>
      <c r="N229" s="263"/>
      <c r="O229" s="262"/>
      <c r="P229" s="263"/>
      <c r="Q229" s="235" t="b">
        <f t="shared" si="21"/>
        <v>0</v>
      </c>
      <c r="R229" s="262"/>
      <c r="S229" s="263"/>
      <c r="T229" s="262"/>
      <c r="U229" s="263"/>
      <c r="V229" s="262"/>
      <c r="W229" s="265"/>
      <c r="X229" s="265"/>
      <c r="Y229" s="263"/>
      <c r="Z229" s="235">
        <f t="shared" si="23"/>
        <v>0</v>
      </c>
      <c r="AA229" s="262"/>
      <c r="AB229" s="265"/>
      <c r="AC229" s="263"/>
      <c r="AD229" s="235">
        <f t="shared" si="24"/>
        <v>0</v>
      </c>
      <c r="AE229" s="262"/>
      <c r="AF229" s="265"/>
      <c r="AG229" s="263"/>
      <c r="AH229" s="235">
        <f t="shared" si="25"/>
        <v>0</v>
      </c>
      <c r="AI229" s="262"/>
      <c r="AJ229" s="265"/>
      <c r="AK229" s="263"/>
      <c r="AL229" s="235">
        <f t="shared" si="26"/>
        <v>0</v>
      </c>
      <c r="AM229" s="262"/>
      <c r="AN229" s="265"/>
      <c r="AO229" s="263"/>
      <c r="AP229" s="262"/>
      <c r="AQ229" s="263"/>
      <c r="AR229" s="262"/>
      <c r="AS229" s="263"/>
      <c r="AT229" s="262"/>
      <c r="AU229" s="265"/>
      <c r="AV229" s="263"/>
      <c r="AW229" s="262"/>
      <c r="AX229" s="265"/>
      <c r="AY229" s="263"/>
      <c r="AZ229" s="24">
        <f t="shared" si="27"/>
        <v>0</v>
      </c>
    </row>
    <row r="230" spans="2:52" s="24" customFormat="1" ht="21.95" customHeight="1" x14ac:dyDescent="0.25">
      <c r="B230" s="269"/>
      <c r="C230" s="270"/>
      <c r="D230" s="271"/>
      <c r="E230" s="236">
        <f t="shared" si="22"/>
        <v>0</v>
      </c>
      <c r="F230" s="269"/>
      <c r="G230" s="270"/>
      <c r="H230" s="271"/>
      <c r="I230" s="262"/>
      <c r="J230" s="263"/>
      <c r="K230" s="262"/>
      <c r="L230" s="263"/>
      <c r="M230" s="262"/>
      <c r="N230" s="263"/>
      <c r="O230" s="262"/>
      <c r="P230" s="263"/>
      <c r="Q230" s="235" t="b">
        <f t="shared" si="21"/>
        <v>0</v>
      </c>
      <c r="R230" s="262"/>
      <c r="S230" s="263"/>
      <c r="T230" s="262"/>
      <c r="U230" s="263"/>
      <c r="V230" s="262"/>
      <c r="W230" s="265"/>
      <c r="X230" s="265"/>
      <c r="Y230" s="263"/>
      <c r="Z230" s="235">
        <f t="shared" si="23"/>
        <v>0</v>
      </c>
      <c r="AA230" s="262"/>
      <c r="AB230" s="265"/>
      <c r="AC230" s="263"/>
      <c r="AD230" s="235">
        <f t="shared" si="24"/>
        <v>0</v>
      </c>
      <c r="AE230" s="262"/>
      <c r="AF230" s="265"/>
      <c r="AG230" s="263"/>
      <c r="AH230" s="235">
        <f t="shared" si="25"/>
        <v>0</v>
      </c>
      <c r="AI230" s="262"/>
      <c r="AJ230" s="265"/>
      <c r="AK230" s="263"/>
      <c r="AL230" s="235">
        <f t="shared" si="26"/>
        <v>0</v>
      </c>
      <c r="AM230" s="262"/>
      <c r="AN230" s="265"/>
      <c r="AO230" s="263"/>
      <c r="AP230" s="262"/>
      <c r="AQ230" s="263"/>
      <c r="AR230" s="262"/>
      <c r="AS230" s="263"/>
      <c r="AT230" s="262"/>
      <c r="AU230" s="265"/>
      <c r="AV230" s="263"/>
      <c r="AW230" s="262"/>
      <c r="AX230" s="265"/>
      <c r="AY230" s="263"/>
      <c r="AZ230" s="24">
        <f t="shared" si="27"/>
        <v>0</v>
      </c>
    </row>
    <row r="231" spans="2:52" s="24" customFormat="1" ht="21.95" customHeight="1" x14ac:dyDescent="0.25">
      <c r="B231" s="269"/>
      <c r="C231" s="270"/>
      <c r="D231" s="271"/>
      <c r="E231" s="236">
        <f t="shared" si="22"/>
        <v>0</v>
      </c>
      <c r="F231" s="269"/>
      <c r="G231" s="270"/>
      <c r="H231" s="271"/>
      <c r="I231" s="262"/>
      <c r="J231" s="263"/>
      <c r="K231" s="262"/>
      <c r="L231" s="263"/>
      <c r="M231" s="262"/>
      <c r="N231" s="263"/>
      <c r="O231" s="262"/>
      <c r="P231" s="263"/>
      <c r="Q231" s="235" t="b">
        <f t="shared" si="21"/>
        <v>0</v>
      </c>
      <c r="R231" s="262"/>
      <c r="S231" s="263"/>
      <c r="T231" s="262"/>
      <c r="U231" s="263"/>
      <c r="V231" s="262"/>
      <c r="W231" s="265"/>
      <c r="X231" s="265"/>
      <c r="Y231" s="263"/>
      <c r="Z231" s="235">
        <f t="shared" si="23"/>
        <v>0</v>
      </c>
      <c r="AA231" s="262"/>
      <c r="AB231" s="265"/>
      <c r="AC231" s="263"/>
      <c r="AD231" s="235">
        <f t="shared" si="24"/>
        <v>0</v>
      </c>
      <c r="AE231" s="262"/>
      <c r="AF231" s="265"/>
      <c r="AG231" s="263"/>
      <c r="AH231" s="235">
        <f t="shared" si="25"/>
        <v>0</v>
      </c>
      <c r="AI231" s="262"/>
      <c r="AJ231" s="265"/>
      <c r="AK231" s="263"/>
      <c r="AL231" s="235">
        <f t="shared" si="26"/>
        <v>0</v>
      </c>
      <c r="AM231" s="262"/>
      <c r="AN231" s="265"/>
      <c r="AO231" s="263"/>
      <c r="AP231" s="262"/>
      <c r="AQ231" s="263"/>
      <c r="AR231" s="262"/>
      <c r="AS231" s="263"/>
      <c r="AT231" s="262"/>
      <c r="AU231" s="265"/>
      <c r="AV231" s="263"/>
      <c r="AW231" s="262"/>
      <c r="AX231" s="265"/>
      <c r="AY231" s="263"/>
      <c r="AZ231" s="24">
        <f t="shared" si="27"/>
        <v>0</v>
      </c>
    </row>
    <row r="232" spans="2:52" s="24" customFormat="1" ht="21.95" customHeight="1" x14ac:dyDescent="0.25">
      <c r="B232" s="269"/>
      <c r="C232" s="270"/>
      <c r="D232" s="271"/>
      <c r="E232" s="236">
        <f t="shared" si="22"/>
        <v>0</v>
      </c>
      <c r="F232" s="269"/>
      <c r="G232" s="270"/>
      <c r="H232" s="271"/>
      <c r="I232" s="262"/>
      <c r="J232" s="263"/>
      <c r="K232" s="262"/>
      <c r="L232" s="263"/>
      <c r="M232" s="262"/>
      <c r="N232" s="263"/>
      <c r="O232" s="262"/>
      <c r="P232" s="263"/>
      <c r="Q232" s="235" t="b">
        <f t="shared" si="21"/>
        <v>0</v>
      </c>
      <c r="R232" s="262"/>
      <c r="S232" s="263"/>
      <c r="T232" s="262"/>
      <c r="U232" s="263"/>
      <c r="V232" s="262"/>
      <c r="W232" s="265"/>
      <c r="X232" s="265"/>
      <c r="Y232" s="263"/>
      <c r="Z232" s="235">
        <f t="shared" si="23"/>
        <v>0</v>
      </c>
      <c r="AA232" s="262"/>
      <c r="AB232" s="265"/>
      <c r="AC232" s="263"/>
      <c r="AD232" s="235">
        <f t="shared" si="24"/>
        <v>0</v>
      </c>
      <c r="AE232" s="262"/>
      <c r="AF232" s="265"/>
      <c r="AG232" s="263"/>
      <c r="AH232" s="235">
        <f t="shared" si="25"/>
        <v>0</v>
      </c>
      <c r="AI232" s="262"/>
      <c r="AJ232" s="265"/>
      <c r="AK232" s="263"/>
      <c r="AL232" s="235">
        <f t="shared" si="26"/>
        <v>0</v>
      </c>
      <c r="AM232" s="262"/>
      <c r="AN232" s="265"/>
      <c r="AO232" s="263"/>
      <c r="AP232" s="262"/>
      <c r="AQ232" s="263"/>
      <c r="AR232" s="262"/>
      <c r="AS232" s="263"/>
      <c r="AT232" s="262"/>
      <c r="AU232" s="265"/>
      <c r="AV232" s="263"/>
      <c r="AW232" s="262"/>
      <c r="AX232" s="265"/>
      <c r="AY232" s="263"/>
      <c r="AZ232" s="24">
        <f t="shared" si="27"/>
        <v>0</v>
      </c>
    </row>
    <row r="233" spans="2:52" s="24" customFormat="1" ht="21.95" customHeight="1" x14ac:dyDescent="0.25">
      <c r="B233" s="269"/>
      <c r="C233" s="270"/>
      <c r="D233" s="271"/>
      <c r="E233" s="236">
        <f t="shared" si="22"/>
        <v>0</v>
      </c>
      <c r="F233" s="269"/>
      <c r="G233" s="270"/>
      <c r="H233" s="271"/>
      <c r="I233" s="262"/>
      <c r="J233" s="263"/>
      <c r="K233" s="262"/>
      <c r="L233" s="263"/>
      <c r="M233" s="262"/>
      <c r="N233" s="263"/>
      <c r="O233" s="262"/>
      <c r="P233" s="263"/>
      <c r="Q233" s="235" t="b">
        <f t="shared" si="21"/>
        <v>0</v>
      </c>
      <c r="R233" s="262"/>
      <c r="S233" s="263"/>
      <c r="T233" s="262"/>
      <c r="U233" s="263"/>
      <c r="V233" s="262"/>
      <c r="W233" s="265"/>
      <c r="X233" s="265"/>
      <c r="Y233" s="263"/>
      <c r="Z233" s="235">
        <f t="shared" si="23"/>
        <v>0</v>
      </c>
      <c r="AA233" s="262"/>
      <c r="AB233" s="265"/>
      <c r="AC233" s="263"/>
      <c r="AD233" s="235">
        <f t="shared" si="24"/>
        <v>0</v>
      </c>
      <c r="AE233" s="262"/>
      <c r="AF233" s="265"/>
      <c r="AG233" s="263"/>
      <c r="AH233" s="235">
        <f t="shared" si="25"/>
        <v>0</v>
      </c>
      <c r="AI233" s="262"/>
      <c r="AJ233" s="265"/>
      <c r="AK233" s="263"/>
      <c r="AL233" s="235">
        <f t="shared" si="26"/>
        <v>0</v>
      </c>
      <c r="AM233" s="262"/>
      <c r="AN233" s="265"/>
      <c r="AO233" s="263"/>
      <c r="AP233" s="262"/>
      <c r="AQ233" s="263"/>
      <c r="AR233" s="262"/>
      <c r="AS233" s="263"/>
      <c r="AT233" s="262"/>
      <c r="AU233" s="265"/>
      <c r="AV233" s="263"/>
      <c r="AW233" s="262"/>
      <c r="AX233" s="265"/>
      <c r="AY233" s="263"/>
      <c r="AZ233" s="24">
        <f t="shared" si="27"/>
        <v>0</v>
      </c>
    </row>
    <row r="234" spans="2:52" s="24" customFormat="1" ht="21.95" customHeight="1" x14ac:dyDescent="0.25">
      <c r="B234" s="269"/>
      <c r="C234" s="270"/>
      <c r="D234" s="271"/>
      <c r="E234" s="236">
        <f t="shared" si="22"/>
        <v>0</v>
      </c>
      <c r="F234" s="269"/>
      <c r="G234" s="270"/>
      <c r="H234" s="271"/>
      <c r="I234" s="262"/>
      <c r="J234" s="263"/>
      <c r="K234" s="262"/>
      <c r="L234" s="263"/>
      <c r="M234" s="262"/>
      <c r="N234" s="263"/>
      <c r="O234" s="262"/>
      <c r="P234" s="263"/>
      <c r="Q234" s="235" t="b">
        <f t="shared" si="21"/>
        <v>0</v>
      </c>
      <c r="R234" s="262"/>
      <c r="S234" s="263"/>
      <c r="T234" s="262"/>
      <c r="U234" s="263"/>
      <c r="V234" s="262"/>
      <c r="W234" s="265"/>
      <c r="X234" s="265"/>
      <c r="Y234" s="263"/>
      <c r="Z234" s="235">
        <f t="shared" si="23"/>
        <v>0</v>
      </c>
      <c r="AA234" s="262"/>
      <c r="AB234" s="265"/>
      <c r="AC234" s="263"/>
      <c r="AD234" s="235">
        <f t="shared" si="24"/>
        <v>0</v>
      </c>
      <c r="AE234" s="262"/>
      <c r="AF234" s="265"/>
      <c r="AG234" s="263"/>
      <c r="AH234" s="235">
        <f t="shared" si="25"/>
        <v>0</v>
      </c>
      <c r="AI234" s="262"/>
      <c r="AJ234" s="265"/>
      <c r="AK234" s="263"/>
      <c r="AL234" s="235">
        <f t="shared" si="26"/>
        <v>0</v>
      </c>
      <c r="AM234" s="262"/>
      <c r="AN234" s="265"/>
      <c r="AO234" s="263"/>
      <c r="AP234" s="262"/>
      <c r="AQ234" s="263"/>
      <c r="AR234" s="262"/>
      <c r="AS234" s="263"/>
      <c r="AT234" s="262"/>
      <c r="AU234" s="265"/>
      <c r="AV234" s="263"/>
      <c r="AW234" s="262"/>
      <c r="AX234" s="265"/>
      <c r="AY234" s="263"/>
      <c r="AZ234" s="24">
        <f t="shared" si="27"/>
        <v>0</v>
      </c>
    </row>
    <row r="235" spans="2:52" s="24" customFormat="1" ht="21.95" customHeight="1" x14ac:dyDescent="0.25">
      <c r="B235" s="269"/>
      <c r="C235" s="270"/>
      <c r="D235" s="271"/>
      <c r="E235" s="236">
        <f t="shared" si="22"/>
        <v>0</v>
      </c>
      <c r="F235" s="269"/>
      <c r="G235" s="270"/>
      <c r="H235" s="271"/>
      <c r="I235" s="262"/>
      <c r="J235" s="263"/>
      <c r="K235" s="262"/>
      <c r="L235" s="263"/>
      <c r="M235" s="262"/>
      <c r="N235" s="263"/>
      <c r="O235" s="262"/>
      <c r="P235" s="263"/>
      <c r="Q235" s="235" t="b">
        <f t="shared" si="21"/>
        <v>0</v>
      </c>
      <c r="R235" s="262"/>
      <c r="S235" s="263"/>
      <c r="T235" s="262"/>
      <c r="U235" s="263"/>
      <c r="V235" s="262"/>
      <c r="W235" s="265"/>
      <c r="X235" s="265"/>
      <c r="Y235" s="263"/>
      <c r="Z235" s="235">
        <f t="shared" si="23"/>
        <v>0</v>
      </c>
      <c r="AA235" s="262"/>
      <c r="AB235" s="265"/>
      <c r="AC235" s="263"/>
      <c r="AD235" s="235">
        <f t="shared" si="24"/>
        <v>0</v>
      </c>
      <c r="AE235" s="262"/>
      <c r="AF235" s="265"/>
      <c r="AG235" s="263"/>
      <c r="AH235" s="235">
        <f t="shared" si="25"/>
        <v>0</v>
      </c>
      <c r="AI235" s="262"/>
      <c r="AJ235" s="265"/>
      <c r="AK235" s="263"/>
      <c r="AL235" s="235">
        <f t="shared" si="26"/>
        <v>0</v>
      </c>
      <c r="AM235" s="262"/>
      <c r="AN235" s="265"/>
      <c r="AO235" s="263"/>
      <c r="AP235" s="262"/>
      <c r="AQ235" s="263"/>
      <c r="AR235" s="262"/>
      <c r="AS235" s="263"/>
      <c r="AT235" s="262"/>
      <c r="AU235" s="265"/>
      <c r="AV235" s="263"/>
      <c r="AW235" s="262"/>
      <c r="AX235" s="265"/>
      <c r="AY235" s="263"/>
      <c r="AZ235" s="24">
        <f t="shared" si="27"/>
        <v>0</v>
      </c>
    </row>
    <row r="236" spans="2:52" s="24" customFormat="1" ht="21.95" customHeight="1" x14ac:dyDescent="0.25">
      <c r="B236" s="269"/>
      <c r="C236" s="270"/>
      <c r="D236" s="271"/>
      <c r="E236" s="236">
        <f t="shared" si="22"/>
        <v>0</v>
      </c>
      <c r="F236" s="269"/>
      <c r="G236" s="270"/>
      <c r="H236" s="271"/>
      <c r="I236" s="262"/>
      <c r="J236" s="263"/>
      <c r="K236" s="262"/>
      <c r="L236" s="263"/>
      <c r="M236" s="262"/>
      <c r="N236" s="263"/>
      <c r="O236" s="262"/>
      <c r="P236" s="263"/>
      <c r="Q236" s="235" t="b">
        <f t="shared" si="21"/>
        <v>0</v>
      </c>
      <c r="R236" s="262"/>
      <c r="S236" s="263"/>
      <c r="T236" s="262"/>
      <c r="U236" s="263"/>
      <c r="V236" s="262"/>
      <c r="W236" s="265"/>
      <c r="X236" s="265"/>
      <c r="Y236" s="263"/>
      <c r="Z236" s="235">
        <f t="shared" si="23"/>
        <v>0</v>
      </c>
      <c r="AA236" s="262"/>
      <c r="AB236" s="265"/>
      <c r="AC236" s="263"/>
      <c r="AD236" s="235">
        <f t="shared" si="24"/>
        <v>0</v>
      </c>
      <c r="AE236" s="262"/>
      <c r="AF236" s="265"/>
      <c r="AG236" s="263"/>
      <c r="AH236" s="235">
        <f t="shared" si="25"/>
        <v>0</v>
      </c>
      <c r="AI236" s="262"/>
      <c r="AJ236" s="265"/>
      <c r="AK236" s="263"/>
      <c r="AL236" s="235">
        <f t="shared" si="26"/>
        <v>0</v>
      </c>
      <c r="AM236" s="262"/>
      <c r="AN236" s="265"/>
      <c r="AO236" s="263"/>
      <c r="AP236" s="262"/>
      <c r="AQ236" s="263"/>
      <c r="AR236" s="262"/>
      <c r="AS236" s="263"/>
      <c r="AT236" s="262"/>
      <c r="AU236" s="265"/>
      <c r="AV236" s="263"/>
      <c r="AW236" s="262"/>
      <c r="AX236" s="265"/>
      <c r="AY236" s="263"/>
      <c r="AZ236" s="24">
        <f t="shared" si="27"/>
        <v>0</v>
      </c>
    </row>
    <row r="237" spans="2:52" s="24" customFormat="1" ht="21.95" customHeight="1" x14ac:dyDescent="0.25">
      <c r="B237" s="269"/>
      <c r="C237" s="270"/>
      <c r="D237" s="271"/>
      <c r="E237" s="236">
        <f t="shared" si="22"/>
        <v>0</v>
      </c>
      <c r="F237" s="269"/>
      <c r="G237" s="270"/>
      <c r="H237" s="271"/>
      <c r="I237" s="262"/>
      <c r="J237" s="263"/>
      <c r="K237" s="262"/>
      <c r="L237" s="263"/>
      <c r="M237" s="262"/>
      <c r="N237" s="263"/>
      <c r="O237" s="262"/>
      <c r="P237" s="263"/>
      <c r="Q237" s="235" t="b">
        <f t="shared" si="21"/>
        <v>0</v>
      </c>
      <c r="R237" s="262"/>
      <c r="S237" s="263"/>
      <c r="T237" s="262"/>
      <c r="U237" s="263"/>
      <c r="V237" s="262"/>
      <c r="W237" s="265"/>
      <c r="X237" s="265"/>
      <c r="Y237" s="263"/>
      <c r="Z237" s="235">
        <f t="shared" si="23"/>
        <v>0</v>
      </c>
      <c r="AA237" s="262"/>
      <c r="AB237" s="265"/>
      <c r="AC237" s="263"/>
      <c r="AD237" s="235">
        <f t="shared" si="24"/>
        <v>0</v>
      </c>
      <c r="AE237" s="262"/>
      <c r="AF237" s="265"/>
      <c r="AG237" s="263"/>
      <c r="AH237" s="235">
        <f t="shared" si="25"/>
        <v>0</v>
      </c>
      <c r="AI237" s="262"/>
      <c r="AJ237" s="265"/>
      <c r="AK237" s="263"/>
      <c r="AL237" s="235">
        <f t="shared" si="26"/>
        <v>0</v>
      </c>
      <c r="AM237" s="262"/>
      <c r="AN237" s="265"/>
      <c r="AO237" s="263"/>
      <c r="AP237" s="262"/>
      <c r="AQ237" s="263"/>
      <c r="AR237" s="262"/>
      <c r="AS237" s="263"/>
      <c r="AT237" s="262"/>
      <c r="AU237" s="265"/>
      <c r="AV237" s="263"/>
      <c r="AW237" s="262"/>
      <c r="AX237" s="265"/>
      <c r="AY237" s="263"/>
      <c r="AZ237" s="24">
        <f t="shared" si="27"/>
        <v>0</v>
      </c>
    </row>
    <row r="238" spans="2:52" s="24" customFormat="1" ht="21.95" customHeight="1" x14ac:dyDescent="0.25">
      <c r="B238" s="269"/>
      <c r="C238" s="270"/>
      <c r="D238" s="271"/>
      <c r="E238" s="236">
        <f t="shared" si="22"/>
        <v>0</v>
      </c>
      <c r="F238" s="269"/>
      <c r="G238" s="270"/>
      <c r="H238" s="271"/>
      <c r="I238" s="262"/>
      <c r="J238" s="263"/>
      <c r="K238" s="262"/>
      <c r="L238" s="263"/>
      <c r="M238" s="262"/>
      <c r="N238" s="263"/>
      <c r="O238" s="262"/>
      <c r="P238" s="263"/>
      <c r="Q238" s="235" t="b">
        <f t="shared" si="21"/>
        <v>0</v>
      </c>
      <c r="R238" s="262"/>
      <c r="S238" s="263"/>
      <c r="T238" s="262"/>
      <c r="U238" s="263"/>
      <c r="V238" s="262"/>
      <c r="W238" s="265"/>
      <c r="X238" s="265"/>
      <c r="Y238" s="263"/>
      <c r="Z238" s="235">
        <f t="shared" si="23"/>
        <v>0</v>
      </c>
      <c r="AA238" s="262"/>
      <c r="AB238" s="265"/>
      <c r="AC238" s="263"/>
      <c r="AD238" s="235">
        <f t="shared" si="24"/>
        <v>0</v>
      </c>
      <c r="AE238" s="262"/>
      <c r="AF238" s="265"/>
      <c r="AG238" s="263"/>
      <c r="AH238" s="235">
        <f t="shared" si="25"/>
        <v>0</v>
      </c>
      <c r="AI238" s="262"/>
      <c r="AJ238" s="265"/>
      <c r="AK238" s="263"/>
      <c r="AL238" s="235">
        <f t="shared" si="26"/>
        <v>0</v>
      </c>
      <c r="AM238" s="262"/>
      <c r="AN238" s="265"/>
      <c r="AO238" s="263"/>
      <c r="AP238" s="262"/>
      <c r="AQ238" s="263"/>
      <c r="AR238" s="262"/>
      <c r="AS238" s="263"/>
      <c r="AT238" s="262"/>
      <c r="AU238" s="265"/>
      <c r="AV238" s="263"/>
      <c r="AW238" s="262"/>
      <c r="AX238" s="265"/>
      <c r="AY238" s="263"/>
      <c r="AZ238" s="24">
        <f t="shared" si="27"/>
        <v>0</v>
      </c>
    </row>
    <row r="239" spans="2:52" s="24" customFormat="1" ht="21.95" customHeight="1" x14ac:dyDescent="0.25">
      <c r="B239" s="269"/>
      <c r="C239" s="270"/>
      <c r="D239" s="271"/>
      <c r="E239" s="236">
        <f t="shared" si="22"/>
        <v>0</v>
      </c>
      <c r="F239" s="269"/>
      <c r="G239" s="270"/>
      <c r="H239" s="271"/>
      <c r="I239" s="262"/>
      <c r="J239" s="263"/>
      <c r="K239" s="262"/>
      <c r="L239" s="263"/>
      <c r="M239" s="262"/>
      <c r="N239" s="263"/>
      <c r="O239" s="262"/>
      <c r="P239" s="263"/>
      <c r="Q239" s="235" t="b">
        <f t="shared" si="21"/>
        <v>0</v>
      </c>
      <c r="R239" s="262"/>
      <c r="S239" s="263"/>
      <c r="T239" s="262"/>
      <c r="U239" s="263"/>
      <c r="V239" s="262"/>
      <c r="W239" s="265"/>
      <c r="X239" s="265"/>
      <c r="Y239" s="263"/>
      <c r="Z239" s="235">
        <f t="shared" si="23"/>
        <v>0</v>
      </c>
      <c r="AA239" s="262"/>
      <c r="AB239" s="265"/>
      <c r="AC239" s="263"/>
      <c r="AD239" s="235">
        <f t="shared" si="24"/>
        <v>0</v>
      </c>
      <c r="AE239" s="262"/>
      <c r="AF239" s="265"/>
      <c r="AG239" s="263"/>
      <c r="AH239" s="235">
        <f t="shared" si="25"/>
        <v>0</v>
      </c>
      <c r="AI239" s="262"/>
      <c r="AJ239" s="265"/>
      <c r="AK239" s="263"/>
      <c r="AL239" s="235">
        <f t="shared" si="26"/>
        <v>0</v>
      </c>
      <c r="AM239" s="262"/>
      <c r="AN239" s="265"/>
      <c r="AO239" s="263"/>
      <c r="AP239" s="262"/>
      <c r="AQ239" s="263"/>
      <c r="AR239" s="262"/>
      <c r="AS239" s="263"/>
      <c r="AT239" s="262"/>
      <c r="AU239" s="265"/>
      <c r="AV239" s="263"/>
      <c r="AW239" s="262"/>
      <c r="AX239" s="265"/>
      <c r="AY239" s="263"/>
      <c r="AZ239" s="24">
        <f t="shared" si="27"/>
        <v>0</v>
      </c>
    </row>
    <row r="240" spans="2:52" s="24" customFormat="1" ht="21.95" customHeight="1" x14ac:dyDescent="0.25">
      <c r="B240" s="269"/>
      <c r="C240" s="270"/>
      <c r="D240" s="271"/>
      <c r="E240" s="236">
        <f t="shared" si="22"/>
        <v>0</v>
      </c>
      <c r="F240" s="269"/>
      <c r="G240" s="270"/>
      <c r="H240" s="271"/>
      <c r="I240" s="262"/>
      <c r="J240" s="263"/>
      <c r="K240" s="262"/>
      <c r="L240" s="263"/>
      <c r="M240" s="262"/>
      <c r="N240" s="263"/>
      <c r="O240" s="262"/>
      <c r="P240" s="263"/>
      <c r="Q240" s="235" t="b">
        <f t="shared" si="21"/>
        <v>0</v>
      </c>
      <c r="R240" s="262"/>
      <c r="S240" s="263"/>
      <c r="T240" s="262"/>
      <c r="U240" s="263"/>
      <c r="V240" s="262"/>
      <c r="W240" s="265"/>
      <c r="X240" s="265"/>
      <c r="Y240" s="263"/>
      <c r="Z240" s="235">
        <f t="shared" si="23"/>
        <v>0</v>
      </c>
      <c r="AA240" s="262"/>
      <c r="AB240" s="265"/>
      <c r="AC240" s="263"/>
      <c r="AD240" s="235">
        <f t="shared" si="24"/>
        <v>0</v>
      </c>
      <c r="AE240" s="262"/>
      <c r="AF240" s="265"/>
      <c r="AG240" s="263"/>
      <c r="AH240" s="235">
        <f t="shared" si="25"/>
        <v>0</v>
      </c>
      <c r="AI240" s="262"/>
      <c r="AJ240" s="265"/>
      <c r="AK240" s="263"/>
      <c r="AL240" s="235">
        <f t="shared" si="26"/>
        <v>0</v>
      </c>
      <c r="AM240" s="262"/>
      <c r="AN240" s="265"/>
      <c r="AO240" s="263"/>
      <c r="AP240" s="262"/>
      <c r="AQ240" s="263"/>
      <c r="AR240" s="262"/>
      <c r="AS240" s="263"/>
      <c r="AT240" s="262"/>
      <c r="AU240" s="265"/>
      <c r="AV240" s="263"/>
      <c r="AW240" s="262"/>
      <c r="AX240" s="265"/>
      <c r="AY240" s="263"/>
      <c r="AZ240" s="24">
        <f t="shared" si="27"/>
        <v>0</v>
      </c>
    </row>
    <row r="241" spans="2:52" s="24" customFormat="1" ht="21.95" customHeight="1" x14ac:dyDescent="0.25">
      <c r="B241" s="269"/>
      <c r="C241" s="270"/>
      <c r="D241" s="271"/>
      <c r="E241" s="236">
        <f t="shared" si="22"/>
        <v>0</v>
      </c>
      <c r="F241" s="269"/>
      <c r="G241" s="270"/>
      <c r="H241" s="271"/>
      <c r="I241" s="262"/>
      <c r="J241" s="263"/>
      <c r="K241" s="262"/>
      <c r="L241" s="263"/>
      <c r="M241" s="262"/>
      <c r="N241" s="263"/>
      <c r="O241" s="262"/>
      <c r="P241" s="263"/>
      <c r="Q241" s="235" t="b">
        <f t="shared" si="21"/>
        <v>0</v>
      </c>
      <c r="R241" s="262"/>
      <c r="S241" s="263"/>
      <c r="T241" s="262"/>
      <c r="U241" s="263"/>
      <c r="V241" s="262"/>
      <c r="W241" s="265"/>
      <c r="X241" s="265"/>
      <c r="Y241" s="263"/>
      <c r="Z241" s="235">
        <f t="shared" si="23"/>
        <v>0</v>
      </c>
      <c r="AA241" s="262"/>
      <c r="AB241" s="265"/>
      <c r="AC241" s="263"/>
      <c r="AD241" s="235">
        <f t="shared" si="24"/>
        <v>0</v>
      </c>
      <c r="AE241" s="262"/>
      <c r="AF241" s="265"/>
      <c r="AG241" s="263"/>
      <c r="AH241" s="235">
        <f t="shared" si="25"/>
        <v>0</v>
      </c>
      <c r="AI241" s="262"/>
      <c r="AJ241" s="265"/>
      <c r="AK241" s="263"/>
      <c r="AL241" s="235">
        <f t="shared" si="26"/>
        <v>0</v>
      </c>
      <c r="AM241" s="262"/>
      <c r="AN241" s="265"/>
      <c r="AO241" s="263"/>
      <c r="AP241" s="262"/>
      <c r="AQ241" s="263"/>
      <c r="AR241" s="262"/>
      <c r="AS241" s="263"/>
      <c r="AT241" s="262"/>
      <c r="AU241" s="265"/>
      <c r="AV241" s="263"/>
      <c r="AW241" s="262"/>
      <c r="AX241" s="265"/>
      <c r="AY241" s="263"/>
      <c r="AZ241" s="24">
        <f t="shared" si="27"/>
        <v>0</v>
      </c>
    </row>
    <row r="242" spans="2:52" s="24" customFormat="1" ht="21.95" customHeight="1" x14ac:dyDescent="0.25">
      <c r="B242" s="269"/>
      <c r="C242" s="270"/>
      <c r="D242" s="271"/>
      <c r="E242" s="236">
        <f t="shared" si="22"/>
        <v>0</v>
      </c>
      <c r="F242" s="269"/>
      <c r="G242" s="270"/>
      <c r="H242" s="271"/>
      <c r="I242" s="262"/>
      <c r="J242" s="263"/>
      <c r="K242" s="262"/>
      <c r="L242" s="263"/>
      <c r="M242" s="262"/>
      <c r="N242" s="263"/>
      <c r="O242" s="262"/>
      <c r="P242" s="263"/>
      <c r="Q242" s="235" t="b">
        <f t="shared" si="21"/>
        <v>0</v>
      </c>
      <c r="R242" s="262"/>
      <c r="S242" s="263"/>
      <c r="T242" s="262"/>
      <c r="U242" s="263"/>
      <c r="V242" s="262"/>
      <c r="W242" s="265"/>
      <c r="X242" s="265"/>
      <c r="Y242" s="263"/>
      <c r="Z242" s="235">
        <f t="shared" si="23"/>
        <v>0</v>
      </c>
      <c r="AA242" s="262"/>
      <c r="AB242" s="265"/>
      <c r="AC242" s="263"/>
      <c r="AD242" s="235">
        <f t="shared" si="24"/>
        <v>0</v>
      </c>
      <c r="AE242" s="262"/>
      <c r="AF242" s="265"/>
      <c r="AG242" s="263"/>
      <c r="AH242" s="235">
        <f t="shared" si="25"/>
        <v>0</v>
      </c>
      <c r="AI242" s="262"/>
      <c r="AJ242" s="265"/>
      <c r="AK242" s="263"/>
      <c r="AL242" s="235">
        <f t="shared" si="26"/>
        <v>0</v>
      </c>
      <c r="AM242" s="262"/>
      <c r="AN242" s="265"/>
      <c r="AO242" s="263"/>
      <c r="AP242" s="262"/>
      <c r="AQ242" s="263"/>
      <c r="AR242" s="262"/>
      <c r="AS242" s="263"/>
      <c r="AT242" s="262"/>
      <c r="AU242" s="265"/>
      <c r="AV242" s="263"/>
      <c r="AW242" s="262"/>
      <c r="AX242" s="265"/>
      <c r="AY242" s="263"/>
      <c r="AZ242" s="24">
        <f t="shared" si="27"/>
        <v>0</v>
      </c>
    </row>
    <row r="243" spans="2:52" s="24" customFormat="1" ht="21.95" customHeight="1" x14ac:dyDescent="0.25">
      <c r="B243" s="269"/>
      <c r="C243" s="270"/>
      <c r="D243" s="271"/>
      <c r="E243" s="236">
        <f t="shared" si="22"/>
        <v>0</v>
      </c>
      <c r="F243" s="269"/>
      <c r="G243" s="270"/>
      <c r="H243" s="271"/>
      <c r="I243" s="262"/>
      <c r="J243" s="263"/>
      <c r="K243" s="262"/>
      <c r="L243" s="263"/>
      <c r="M243" s="262"/>
      <c r="N243" s="263"/>
      <c r="O243" s="262"/>
      <c r="P243" s="263"/>
      <c r="Q243" s="235" t="b">
        <f t="shared" si="21"/>
        <v>0</v>
      </c>
      <c r="R243" s="262"/>
      <c r="S243" s="263"/>
      <c r="T243" s="262"/>
      <c r="U243" s="263"/>
      <c r="V243" s="262"/>
      <c r="W243" s="265"/>
      <c r="X243" s="265"/>
      <c r="Y243" s="263"/>
      <c r="Z243" s="235">
        <f t="shared" si="23"/>
        <v>0</v>
      </c>
      <c r="AA243" s="262"/>
      <c r="AB243" s="265"/>
      <c r="AC243" s="263"/>
      <c r="AD243" s="235">
        <f t="shared" si="24"/>
        <v>0</v>
      </c>
      <c r="AE243" s="262"/>
      <c r="AF243" s="265"/>
      <c r="AG243" s="263"/>
      <c r="AH243" s="235">
        <f t="shared" si="25"/>
        <v>0</v>
      </c>
      <c r="AI243" s="262"/>
      <c r="AJ243" s="265"/>
      <c r="AK243" s="263"/>
      <c r="AL243" s="235">
        <f t="shared" si="26"/>
        <v>0</v>
      </c>
      <c r="AM243" s="262"/>
      <c r="AN243" s="265"/>
      <c r="AO243" s="263"/>
      <c r="AP243" s="262"/>
      <c r="AQ243" s="263"/>
      <c r="AR243" s="262"/>
      <c r="AS243" s="263"/>
      <c r="AT243" s="262"/>
      <c r="AU243" s="265"/>
      <c r="AV243" s="263"/>
      <c r="AW243" s="262"/>
      <c r="AX243" s="265"/>
      <c r="AY243" s="263"/>
      <c r="AZ243" s="24">
        <f t="shared" si="27"/>
        <v>0</v>
      </c>
    </row>
    <row r="244" spans="2:52" s="24" customFormat="1" ht="21.95" customHeight="1" x14ac:dyDescent="0.25">
      <c r="B244" s="269"/>
      <c r="C244" s="270"/>
      <c r="D244" s="271"/>
      <c r="E244" s="236">
        <f t="shared" si="22"/>
        <v>0</v>
      </c>
      <c r="F244" s="269"/>
      <c r="G244" s="270"/>
      <c r="H244" s="271"/>
      <c r="I244" s="262"/>
      <c r="J244" s="263"/>
      <c r="K244" s="262"/>
      <c r="L244" s="263"/>
      <c r="M244" s="262"/>
      <c r="N244" s="263"/>
      <c r="O244" s="262"/>
      <c r="P244" s="263"/>
      <c r="Q244" s="235" t="b">
        <f t="shared" si="21"/>
        <v>0</v>
      </c>
      <c r="R244" s="262"/>
      <c r="S244" s="263"/>
      <c r="T244" s="262"/>
      <c r="U244" s="263"/>
      <c r="V244" s="262"/>
      <c r="W244" s="265"/>
      <c r="X244" s="265"/>
      <c r="Y244" s="263"/>
      <c r="Z244" s="235">
        <f t="shared" si="23"/>
        <v>0</v>
      </c>
      <c r="AA244" s="262"/>
      <c r="AB244" s="265"/>
      <c r="AC244" s="263"/>
      <c r="AD244" s="235">
        <f t="shared" si="24"/>
        <v>0</v>
      </c>
      <c r="AE244" s="262"/>
      <c r="AF244" s="265"/>
      <c r="AG244" s="263"/>
      <c r="AH244" s="235">
        <f t="shared" si="25"/>
        <v>0</v>
      </c>
      <c r="AI244" s="262"/>
      <c r="AJ244" s="265"/>
      <c r="AK244" s="263"/>
      <c r="AL244" s="235">
        <f t="shared" si="26"/>
        <v>0</v>
      </c>
      <c r="AM244" s="262"/>
      <c r="AN244" s="265"/>
      <c r="AO244" s="263"/>
      <c r="AP244" s="262"/>
      <c r="AQ244" s="263"/>
      <c r="AR244" s="262"/>
      <c r="AS244" s="263"/>
      <c r="AT244" s="262"/>
      <c r="AU244" s="265"/>
      <c r="AV244" s="263"/>
      <c r="AW244" s="262"/>
      <c r="AX244" s="265"/>
      <c r="AY244" s="263"/>
      <c r="AZ244" s="24">
        <f t="shared" si="27"/>
        <v>0</v>
      </c>
    </row>
    <row r="245" spans="2:52" s="24" customFormat="1" ht="21.95" customHeight="1" x14ac:dyDescent="0.25">
      <c r="B245" s="269"/>
      <c r="C245" s="270"/>
      <c r="D245" s="271"/>
      <c r="E245" s="236">
        <f t="shared" si="22"/>
        <v>0</v>
      </c>
      <c r="F245" s="269"/>
      <c r="G245" s="270"/>
      <c r="H245" s="271"/>
      <c r="I245" s="262"/>
      <c r="J245" s="263"/>
      <c r="K245" s="262"/>
      <c r="L245" s="263"/>
      <c r="M245" s="262"/>
      <c r="N245" s="263"/>
      <c r="O245" s="262"/>
      <c r="P245" s="263"/>
      <c r="Q245" s="235" t="b">
        <f t="shared" si="21"/>
        <v>0</v>
      </c>
      <c r="R245" s="262"/>
      <c r="S245" s="263"/>
      <c r="T245" s="262"/>
      <c r="U245" s="263"/>
      <c r="V245" s="262"/>
      <c r="W245" s="265"/>
      <c r="X245" s="265"/>
      <c r="Y245" s="263"/>
      <c r="Z245" s="235">
        <f t="shared" si="23"/>
        <v>0</v>
      </c>
      <c r="AA245" s="262"/>
      <c r="AB245" s="265"/>
      <c r="AC245" s="263"/>
      <c r="AD245" s="235">
        <f t="shared" si="24"/>
        <v>0</v>
      </c>
      <c r="AE245" s="262"/>
      <c r="AF245" s="265"/>
      <c r="AG245" s="263"/>
      <c r="AH245" s="235">
        <f t="shared" si="25"/>
        <v>0</v>
      </c>
      <c r="AI245" s="262"/>
      <c r="AJ245" s="265"/>
      <c r="AK245" s="263"/>
      <c r="AL245" s="235">
        <f t="shared" si="26"/>
        <v>0</v>
      </c>
      <c r="AM245" s="262"/>
      <c r="AN245" s="265"/>
      <c r="AO245" s="263"/>
      <c r="AP245" s="262"/>
      <c r="AQ245" s="263"/>
      <c r="AR245" s="262"/>
      <c r="AS245" s="263"/>
      <c r="AT245" s="262"/>
      <c r="AU245" s="265"/>
      <c r="AV245" s="263"/>
      <c r="AW245" s="262"/>
      <c r="AX245" s="265"/>
      <c r="AY245" s="263"/>
      <c r="AZ245" s="24">
        <f t="shared" si="27"/>
        <v>0</v>
      </c>
    </row>
    <row r="246" spans="2:52" s="24" customFormat="1" ht="21.95" customHeight="1" x14ac:dyDescent="0.25">
      <c r="B246" s="269"/>
      <c r="C246" s="270"/>
      <c r="D246" s="271"/>
      <c r="E246" s="236">
        <f t="shared" si="22"/>
        <v>0</v>
      </c>
      <c r="F246" s="269"/>
      <c r="G246" s="270"/>
      <c r="H246" s="271"/>
      <c r="I246" s="262"/>
      <c r="J246" s="263"/>
      <c r="K246" s="262"/>
      <c r="L246" s="263"/>
      <c r="M246" s="262"/>
      <c r="N246" s="263"/>
      <c r="O246" s="262"/>
      <c r="P246" s="263"/>
      <c r="Q246" s="235" t="b">
        <f t="shared" si="21"/>
        <v>0</v>
      </c>
      <c r="R246" s="262"/>
      <c r="S246" s="263"/>
      <c r="T246" s="262"/>
      <c r="U246" s="263"/>
      <c r="V246" s="262"/>
      <c r="W246" s="265"/>
      <c r="X246" s="265"/>
      <c r="Y246" s="263"/>
      <c r="Z246" s="235">
        <f t="shared" si="23"/>
        <v>0</v>
      </c>
      <c r="AA246" s="262"/>
      <c r="AB246" s="265"/>
      <c r="AC246" s="263"/>
      <c r="AD246" s="235">
        <f t="shared" si="24"/>
        <v>0</v>
      </c>
      <c r="AE246" s="262"/>
      <c r="AF246" s="265"/>
      <c r="AG246" s="263"/>
      <c r="AH246" s="235">
        <f t="shared" si="25"/>
        <v>0</v>
      </c>
      <c r="AI246" s="262"/>
      <c r="AJ246" s="265"/>
      <c r="AK246" s="263"/>
      <c r="AL246" s="235">
        <f t="shared" si="26"/>
        <v>0</v>
      </c>
      <c r="AM246" s="262"/>
      <c r="AN246" s="265"/>
      <c r="AO246" s="263"/>
      <c r="AP246" s="262"/>
      <c r="AQ246" s="263"/>
      <c r="AR246" s="262"/>
      <c r="AS246" s="263"/>
      <c r="AT246" s="262"/>
      <c r="AU246" s="265"/>
      <c r="AV246" s="263"/>
      <c r="AW246" s="262"/>
      <c r="AX246" s="265"/>
      <c r="AY246" s="263"/>
      <c r="AZ246" s="24">
        <f t="shared" si="27"/>
        <v>0</v>
      </c>
    </row>
    <row r="247" spans="2:52" s="24" customFormat="1" ht="21.95" customHeight="1" x14ac:dyDescent="0.25">
      <c r="B247" s="269"/>
      <c r="C247" s="270"/>
      <c r="D247" s="271"/>
      <c r="E247" s="236">
        <f t="shared" si="22"/>
        <v>0</v>
      </c>
      <c r="F247" s="269"/>
      <c r="G247" s="270"/>
      <c r="H247" s="271"/>
      <c r="I247" s="262"/>
      <c r="J247" s="263"/>
      <c r="K247" s="262"/>
      <c r="L247" s="263"/>
      <c r="M247" s="262"/>
      <c r="N247" s="263"/>
      <c r="O247" s="262"/>
      <c r="P247" s="263"/>
      <c r="Q247" s="235" t="b">
        <f t="shared" si="21"/>
        <v>0</v>
      </c>
      <c r="R247" s="262"/>
      <c r="S247" s="263"/>
      <c r="T247" s="262"/>
      <c r="U247" s="263"/>
      <c r="V247" s="262"/>
      <c r="W247" s="265"/>
      <c r="X247" s="265"/>
      <c r="Y247" s="263"/>
      <c r="Z247" s="235">
        <f t="shared" si="23"/>
        <v>0</v>
      </c>
      <c r="AA247" s="262"/>
      <c r="AB247" s="265"/>
      <c r="AC247" s="263"/>
      <c r="AD247" s="235">
        <f t="shared" si="24"/>
        <v>0</v>
      </c>
      <c r="AE247" s="262"/>
      <c r="AF247" s="265"/>
      <c r="AG247" s="263"/>
      <c r="AH247" s="235">
        <f t="shared" si="25"/>
        <v>0</v>
      </c>
      <c r="AI247" s="262"/>
      <c r="AJ247" s="265"/>
      <c r="AK247" s="263"/>
      <c r="AL247" s="235">
        <f t="shared" si="26"/>
        <v>0</v>
      </c>
      <c r="AM247" s="262"/>
      <c r="AN247" s="265"/>
      <c r="AO247" s="263"/>
      <c r="AP247" s="262"/>
      <c r="AQ247" s="263"/>
      <c r="AR247" s="262"/>
      <c r="AS247" s="263"/>
      <c r="AT247" s="262"/>
      <c r="AU247" s="265"/>
      <c r="AV247" s="263"/>
      <c r="AW247" s="262"/>
      <c r="AX247" s="265"/>
      <c r="AY247" s="263"/>
      <c r="AZ247" s="24">
        <f t="shared" si="27"/>
        <v>0</v>
      </c>
    </row>
    <row r="248" spans="2:52" s="24" customFormat="1" ht="21.95" customHeight="1" x14ac:dyDescent="0.25">
      <c r="B248" s="269"/>
      <c r="C248" s="270"/>
      <c r="D248" s="271"/>
      <c r="E248" s="236">
        <f t="shared" si="22"/>
        <v>0</v>
      </c>
      <c r="F248" s="269"/>
      <c r="G248" s="270"/>
      <c r="H248" s="271"/>
      <c r="I248" s="262"/>
      <c r="J248" s="263"/>
      <c r="K248" s="262"/>
      <c r="L248" s="263"/>
      <c r="M248" s="262"/>
      <c r="N248" s="263"/>
      <c r="O248" s="262"/>
      <c r="P248" s="263"/>
      <c r="Q248" s="235" t="b">
        <f t="shared" si="21"/>
        <v>0</v>
      </c>
      <c r="R248" s="262"/>
      <c r="S248" s="263"/>
      <c r="T248" s="262"/>
      <c r="U248" s="263"/>
      <c r="V248" s="262"/>
      <c r="W248" s="265"/>
      <c r="X248" s="265"/>
      <c r="Y248" s="263"/>
      <c r="Z248" s="235">
        <f t="shared" si="23"/>
        <v>0</v>
      </c>
      <c r="AA248" s="262"/>
      <c r="AB248" s="265"/>
      <c r="AC248" s="263"/>
      <c r="AD248" s="235">
        <f t="shared" si="24"/>
        <v>0</v>
      </c>
      <c r="AE248" s="262"/>
      <c r="AF248" s="265"/>
      <c r="AG248" s="263"/>
      <c r="AH248" s="235">
        <f t="shared" si="25"/>
        <v>0</v>
      </c>
      <c r="AI248" s="262"/>
      <c r="AJ248" s="265"/>
      <c r="AK248" s="263"/>
      <c r="AL248" s="235">
        <f t="shared" si="26"/>
        <v>0</v>
      </c>
      <c r="AM248" s="262"/>
      <c r="AN248" s="265"/>
      <c r="AO248" s="263"/>
      <c r="AP248" s="262"/>
      <c r="AQ248" s="263"/>
      <c r="AR248" s="262"/>
      <c r="AS248" s="263"/>
      <c r="AT248" s="262"/>
      <c r="AU248" s="265"/>
      <c r="AV248" s="263"/>
      <c r="AW248" s="262"/>
      <c r="AX248" s="265"/>
      <c r="AY248" s="263"/>
      <c r="AZ248" s="24">
        <f t="shared" si="27"/>
        <v>0</v>
      </c>
    </row>
    <row r="249" spans="2:52" s="24" customFormat="1" ht="21.95" customHeight="1" x14ac:dyDescent="0.25">
      <c r="B249" s="269"/>
      <c r="C249" s="270"/>
      <c r="D249" s="271"/>
      <c r="E249" s="236">
        <f t="shared" si="22"/>
        <v>0</v>
      </c>
      <c r="F249" s="269"/>
      <c r="G249" s="270"/>
      <c r="H249" s="271"/>
      <c r="I249" s="262"/>
      <c r="J249" s="263"/>
      <c r="K249" s="262"/>
      <c r="L249" s="263"/>
      <c r="M249" s="262"/>
      <c r="N249" s="263"/>
      <c r="O249" s="262"/>
      <c r="P249" s="263"/>
      <c r="Q249" s="235" t="b">
        <f t="shared" si="21"/>
        <v>0</v>
      </c>
      <c r="R249" s="262"/>
      <c r="S249" s="263"/>
      <c r="T249" s="262"/>
      <c r="U249" s="263"/>
      <c r="V249" s="262"/>
      <c r="W249" s="265"/>
      <c r="X249" s="265"/>
      <c r="Y249" s="263"/>
      <c r="Z249" s="235">
        <f t="shared" si="23"/>
        <v>0</v>
      </c>
      <c r="AA249" s="262"/>
      <c r="AB249" s="265"/>
      <c r="AC249" s="263"/>
      <c r="AD249" s="235">
        <f t="shared" si="24"/>
        <v>0</v>
      </c>
      <c r="AE249" s="262"/>
      <c r="AF249" s="265"/>
      <c r="AG249" s="263"/>
      <c r="AH249" s="235">
        <f t="shared" si="25"/>
        <v>0</v>
      </c>
      <c r="AI249" s="262"/>
      <c r="AJ249" s="265"/>
      <c r="AK249" s="263"/>
      <c r="AL249" s="235">
        <f t="shared" si="26"/>
        <v>0</v>
      </c>
      <c r="AM249" s="262"/>
      <c r="AN249" s="265"/>
      <c r="AO249" s="263"/>
      <c r="AP249" s="262"/>
      <c r="AQ249" s="263"/>
      <c r="AR249" s="262"/>
      <c r="AS249" s="263"/>
      <c r="AT249" s="262"/>
      <c r="AU249" s="265"/>
      <c r="AV249" s="263"/>
      <c r="AW249" s="262"/>
      <c r="AX249" s="265"/>
      <c r="AY249" s="263"/>
      <c r="AZ249" s="24">
        <f t="shared" si="27"/>
        <v>0</v>
      </c>
    </row>
    <row r="250" spans="2:52" s="24" customFormat="1" ht="21.95" customHeight="1" x14ac:dyDescent="0.25">
      <c r="B250" s="269"/>
      <c r="C250" s="270"/>
      <c r="D250" s="271"/>
      <c r="E250" s="236">
        <f t="shared" si="22"/>
        <v>0</v>
      </c>
      <c r="F250" s="269"/>
      <c r="G250" s="270"/>
      <c r="H250" s="271"/>
      <c r="I250" s="262"/>
      <c r="J250" s="263"/>
      <c r="K250" s="262"/>
      <c r="L250" s="263"/>
      <c r="M250" s="262"/>
      <c r="N250" s="263"/>
      <c r="O250" s="262"/>
      <c r="P250" s="263"/>
      <c r="Q250" s="235" t="b">
        <f t="shared" si="21"/>
        <v>0</v>
      </c>
      <c r="R250" s="262"/>
      <c r="S250" s="263"/>
      <c r="T250" s="262"/>
      <c r="U250" s="263"/>
      <c r="V250" s="262"/>
      <c r="W250" s="265"/>
      <c r="X250" s="265"/>
      <c r="Y250" s="263"/>
      <c r="Z250" s="235">
        <f t="shared" si="23"/>
        <v>0</v>
      </c>
      <c r="AA250" s="262"/>
      <c r="AB250" s="265"/>
      <c r="AC250" s="263"/>
      <c r="AD250" s="235">
        <f t="shared" si="24"/>
        <v>0</v>
      </c>
      <c r="AE250" s="262"/>
      <c r="AF250" s="265"/>
      <c r="AG250" s="263"/>
      <c r="AH250" s="235">
        <f t="shared" si="25"/>
        <v>0</v>
      </c>
      <c r="AI250" s="262"/>
      <c r="AJ250" s="265"/>
      <c r="AK250" s="263"/>
      <c r="AL250" s="235">
        <f t="shared" si="26"/>
        <v>0</v>
      </c>
      <c r="AM250" s="262"/>
      <c r="AN250" s="265"/>
      <c r="AO250" s="263"/>
      <c r="AP250" s="262"/>
      <c r="AQ250" s="263"/>
      <c r="AR250" s="262"/>
      <c r="AS250" s="263"/>
      <c r="AT250" s="262"/>
      <c r="AU250" s="265"/>
      <c r="AV250" s="263"/>
      <c r="AW250" s="262"/>
      <c r="AX250" s="265"/>
      <c r="AY250" s="263"/>
      <c r="AZ250" s="24">
        <f t="shared" si="27"/>
        <v>0</v>
      </c>
    </row>
    <row r="251" spans="2:52" s="24" customFormat="1" ht="21.95" customHeight="1" x14ac:dyDescent="0.25">
      <c r="B251" s="269"/>
      <c r="C251" s="270"/>
      <c r="D251" s="271"/>
      <c r="E251" s="236">
        <f t="shared" si="22"/>
        <v>0</v>
      </c>
      <c r="F251" s="269"/>
      <c r="G251" s="270"/>
      <c r="H251" s="271"/>
      <c r="I251" s="262"/>
      <c r="J251" s="263"/>
      <c r="K251" s="262"/>
      <c r="L251" s="263"/>
      <c r="M251" s="262"/>
      <c r="N251" s="263"/>
      <c r="O251" s="262"/>
      <c r="P251" s="263"/>
      <c r="Q251" s="235" t="b">
        <f t="shared" si="21"/>
        <v>0</v>
      </c>
      <c r="R251" s="262"/>
      <c r="S251" s="263"/>
      <c r="T251" s="262"/>
      <c r="U251" s="263"/>
      <c r="V251" s="262"/>
      <c r="W251" s="265"/>
      <c r="X251" s="265"/>
      <c r="Y251" s="263"/>
      <c r="Z251" s="235">
        <f t="shared" si="23"/>
        <v>0</v>
      </c>
      <c r="AA251" s="262"/>
      <c r="AB251" s="265"/>
      <c r="AC251" s="263"/>
      <c r="AD251" s="235">
        <f t="shared" si="24"/>
        <v>0</v>
      </c>
      <c r="AE251" s="262"/>
      <c r="AF251" s="265"/>
      <c r="AG251" s="263"/>
      <c r="AH251" s="235">
        <f t="shared" si="25"/>
        <v>0</v>
      </c>
      <c r="AI251" s="262"/>
      <c r="AJ251" s="265"/>
      <c r="AK251" s="263"/>
      <c r="AL251" s="235">
        <f t="shared" si="26"/>
        <v>0</v>
      </c>
      <c r="AM251" s="262"/>
      <c r="AN251" s="265"/>
      <c r="AO251" s="263"/>
      <c r="AP251" s="262"/>
      <c r="AQ251" s="263"/>
      <c r="AR251" s="262"/>
      <c r="AS251" s="263"/>
      <c r="AT251" s="262"/>
      <c r="AU251" s="265"/>
      <c r="AV251" s="263"/>
      <c r="AW251" s="262"/>
      <c r="AX251" s="265"/>
      <c r="AY251" s="263"/>
      <c r="AZ251" s="24">
        <f t="shared" si="27"/>
        <v>0</v>
      </c>
    </row>
    <row r="252" spans="2:52" s="24" customFormat="1" ht="21.95" customHeight="1" x14ac:dyDescent="0.25">
      <c r="B252" s="269"/>
      <c r="C252" s="270"/>
      <c r="D252" s="271"/>
      <c r="E252" s="236">
        <f t="shared" si="22"/>
        <v>0</v>
      </c>
      <c r="F252" s="269"/>
      <c r="G252" s="270"/>
      <c r="H252" s="271"/>
      <c r="I252" s="262"/>
      <c r="J252" s="263"/>
      <c r="K252" s="262"/>
      <c r="L252" s="263"/>
      <c r="M252" s="262"/>
      <c r="N252" s="263"/>
      <c r="O252" s="262"/>
      <c r="P252" s="263"/>
      <c r="Q252" s="235" t="b">
        <f t="shared" si="21"/>
        <v>0</v>
      </c>
      <c r="R252" s="262"/>
      <c r="S252" s="263"/>
      <c r="T252" s="262"/>
      <c r="U252" s="263"/>
      <c r="V252" s="262"/>
      <c r="W252" s="265"/>
      <c r="X252" s="265"/>
      <c r="Y252" s="263"/>
      <c r="Z252" s="235">
        <f t="shared" si="23"/>
        <v>0</v>
      </c>
      <c r="AA252" s="262"/>
      <c r="AB252" s="265"/>
      <c r="AC252" s="263"/>
      <c r="AD252" s="235">
        <f t="shared" si="24"/>
        <v>0</v>
      </c>
      <c r="AE252" s="262"/>
      <c r="AF252" s="265"/>
      <c r="AG252" s="263"/>
      <c r="AH252" s="235">
        <f t="shared" si="25"/>
        <v>0</v>
      </c>
      <c r="AI252" s="262"/>
      <c r="AJ252" s="265"/>
      <c r="AK252" s="263"/>
      <c r="AL252" s="235">
        <f t="shared" si="26"/>
        <v>0</v>
      </c>
      <c r="AM252" s="262"/>
      <c r="AN252" s="265"/>
      <c r="AO252" s="263"/>
      <c r="AP252" s="262"/>
      <c r="AQ252" s="263"/>
      <c r="AR252" s="262"/>
      <c r="AS252" s="263"/>
      <c r="AT252" s="262"/>
      <c r="AU252" s="265"/>
      <c r="AV252" s="263"/>
      <c r="AW252" s="262"/>
      <c r="AX252" s="265"/>
      <c r="AY252" s="263"/>
      <c r="AZ252" s="24">
        <f t="shared" si="27"/>
        <v>0</v>
      </c>
    </row>
    <row r="253" spans="2:52" s="24" customFormat="1" ht="21.95" customHeight="1" x14ac:dyDescent="0.25">
      <c r="B253" s="269"/>
      <c r="C253" s="270"/>
      <c r="D253" s="271"/>
      <c r="E253" s="236">
        <f t="shared" si="22"/>
        <v>0</v>
      </c>
      <c r="F253" s="269"/>
      <c r="G253" s="270"/>
      <c r="H253" s="271"/>
      <c r="I253" s="262"/>
      <c r="J253" s="263"/>
      <c r="K253" s="262"/>
      <c r="L253" s="263"/>
      <c r="M253" s="262"/>
      <c r="N253" s="263"/>
      <c r="O253" s="262"/>
      <c r="P253" s="263"/>
      <c r="Q253" s="235" t="b">
        <f t="shared" si="21"/>
        <v>0</v>
      </c>
      <c r="R253" s="262"/>
      <c r="S253" s="263"/>
      <c r="T253" s="262"/>
      <c r="U253" s="263"/>
      <c r="V253" s="262"/>
      <c r="W253" s="265"/>
      <c r="X253" s="265"/>
      <c r="Y253" s="263"/>
      <c r="Z253" s="235">
        <f t="shared" si="23"/>
        <v>0</v>
      </c>
      <c r="AA253" s="262"/>
      <c r="AB253" s="265"/>
      <c r="AC253" s="263"/>
      <c r="AD253" s="235">
        <f t="shared" si="24"/>
        <v>0</v>
      </c>
      <c r="AE253" s="262"/>
      <c r="AF253" s="265"/>
      <c r="AG253" s="263"/>
      <c r="AH253" s="235">
        <f t="shared" si="25"/>
        <v>0</v>
      </c>
      <c r="AI253" s="262"/>
      <c r="AJ253" s="265"/>
      <c r="AK253" s="263"/>
      <c r="AL253" s="235">
        <f t="shared" si="26"/>
        <v>0</v>
      </c>
      <c r="AM253" s="262"/>
      <c r="AN253" s="265"/>
      <c r="AO253" s="263"/>
      <c r="AP253" s="262"/>
      <c r="AQ253" s="263"/>
      <c r="AR253" s="262"/>
      <c r="AS253" s="263"/>
      <c r="AT253" s="262"/>
      <c r="AU253" s="265"/>
      <c r="AV253" s="263"/>
      <c r="AW253" s="262"/>
      <c r="AX253" s="265"/>
      <c r="AY253" s="263"/>
      <c r="AZ253" s="24">
        <f t="shared" si="27"/>
        <v>0</v>
      </c>
    </row>
    <row r="254" spans="2:52" s="24" customFormat="1" ht="21.95" customHeight="1" x14ac:dyDescent="0.25">
      <c r="B254" s="269"/>
      <c r="C254" s="270"/>
      <c r="D254" s="271"/>
      <c r="E254" s="236">
        <f t="shared" si="22"/>
        <v>0</v>
      </c>
      <c r="F254" s="269"/>
      <c r="G254" s="270"/>
      <c r="H254" s="271"/>
      <c r="I254" s="262"/>
      <c r="J254" s="263"/>
      <c r="K254" s="262"/>
      <c r="L254" s="263"/>
      <c r="M254" s="262"/>
      <c r="N254" s="263"/>
      <c r="O254" s="262"/>
      <c r="P254" s="263"/>
      <c r="Q254" s="235" t="b">
        <f t="shared" si="21"/>
        <v>0</v>
      </c>
      <c r="R254" s="262"/>
      <c r="S254" s="263"/>
      <c r="T254" s="262"/>
      <c r="U254" s="263"/>
      <c r="V254" s="262"/>
      <c r="W254" s="265"/>
      <c r="X254" s="265"/>
      <c r="Y254" s="263"/>
      <c r="Z254" s="235">
        <f t="shared" si="23"/>
        <v>0</v>
      </c>
      <c r="AA254" s="262"/>
      <c r="AB254" s="265"/>
      <c r="AC254" s="263"/>
      <c r="AD254" s="235">
        <f t="shared" si="24"/>
        <v>0</v>
      </c>
      <c r="AE254" s="262"/>
      <c r="AF254" s="265"/>
      <c r="AG254" s="263"/>
      <c r="AH254" s="235">
        <f t="shared" si="25"/>
        <v>0</v>
      </c>
      <c r="AI254" s="262"/>
      <c r="AJ254" s="265"/>
      <c r="AK254" s="263"/>
      <c r="AL254" s="235">
        <f t="shared" si="26"/>
        <v>0</v>
      </c>
      <c r="AM254" s="262"/>
      <c r="AN254" s="265"/>
      <c r="AO254" s="263"/>
      <c r="AP254" s="262"/>
      <c r="AQ254" s="263"/>
      <c r="AR254" s="262"/>
      <c r="AS254" s="263"/>
      <c r="AT254" s="262"/>
      <c r="AU254" s="265"/>
      <c r="AV254" s="263"/>
      <c r="AW254" s="262"/>
      <c r="AX254" s="265"/>
      <c r="AY254" s="263"/>
      <c r="AZ254" s="24">
        <f t="shared" si="27"/>
        <v>0</v>
      </c>
    </row>
    <row r="255" spans="2:52" s="24" customFormat="1" ht="21.95" customHeight="1" x14ac:dyDescent="0.25">
      <c r="B255" s="269"/>
      <c r="C255" s="270"/>
      <c r="D255" s="271"/>
      <c r="E255" s="236">
        <f t="shared" si="22"/>
        <v>0</v>
      </c>
      <c r="F255" s="269"/>
      <c r="G255" s="270"/>
      <c r="H255" s="271"/>
      <c r="I255" s="262"/>
      <c r="J255" s="263"/>
      <c r="K255" s="262"/>
      <c r="L255" s="263"/>
      <c r="M255" s="262"/>
      <c r="N255" s="263"/>
      <c r="O255" s="262"/>
      <c r="P255" s="263"/>
      <c r="Q255" s="235" t="b">
        <f t="shared" si="21"/>
        <v>0</v>
      </c>
      <c r="R255" s="262"/>
      <c r="S255" s="263"/>
      <c r="T255" s="262"/>
      <c r="U255" s="263"/>
      <c r="V255" s="262"/>
      <c r="W255" s="265"/>
      <c r="X255" s="265"/>
      <c r="Y255" s="263"/>
      <c r="Z255" s="235">
        <f t="shared" si="23"/>
        <v>0</v>
      </c>
      <c r="AA255" s="262"/>
      <c r="AB255" s="265"/>
      <c r="AC255" s="263"/>
      <c r="AD255" s="235">
        <f t="shared" si="24"/>
        <v>0</v>
      </c>
      <c r="AE255" s="262"/>
      <c r="AF255" s="265"/>
      <c r="AG255" s="263"/>
      <c r="AH255" s="235">
        <f t="shared" si="25"/>
        <v>0</v>
      </c>
      <c r="AI255" s="262"/>
      <c r="AJ255" s="265"/>
      <c r="AK255" s="263"/>
      <c r="AL255" s="235">
        <f t="shared" si="26"/>
        <v>0</v>
      </c>
      <c r="AM255" s="262"/>
      <c r="AN255" s="265"/>
      <c r="AO255" s="263"/>
      <c r="AP255" s="262"/>
      <c r="AQ255" s="263"/>
      <c r="AR255" s="262"/>
      <c r="AS255" s="263"/>
      <c r="AT255" s="262"/>
      <c r="AU255" s="265"/>
      <c r="AV255" s="263"/>
      <c r="AW255" s="262"/>
      <c r="AX255" s="265"/>
      <c r="AY255" s="263"/>
      <c r="AZ255" s="24">
        <f t="shared" si="27"/>
        <v>0</v>
      </c>
    </row>
    <row r="256" spans="2:52" s="24" customFormat="1" ht="21.95" customHeight="1" x14ac:dyDescent="0.25">
      <c r="B256" s="269"/>
      <c r="C256" s="270"/>
      <c r="D256" s="271"/>
      <c r="E256" s="236">
        <f t="shared" si="22"/>
        <v>0</v>
      </c>
      <c r="F256" s="269"/>
      <c r="G256" s="270"/>
      <c r="H256" s="271"/>
      <c r="I256" s="262"/>
      <c r="J256" s="263"/>
      <c r="K256" s="262"/>
      <c r="L256" s="263"/>
      <c r="M256" s="262"/>
      <c r="N256" s="263"/>
      <c r="O256" s="262"/>
      <c r="P256" s="263"/>
      <c r="Q256" s="235" t="b">
        <f t="shared" si="21"/>
        <v>0</v>
      </c>
      <c r="R256" s="262"/>
      <c r="S256" s="263"/>
      <c r="T256" s="262"/>
      <c r="U256" s="263"/>
      <c r="V256" s="262"/>
      <c r="W256" s="265"/>
      <c r="X256" s="265"/>
      <c r="Y256" s="263"/>
      <c r="Z256" s="235">
        <f t="shared" si="23"/>
        <v>0</v>
      </c>
      <c r="AA256" s="262"/>
      <c r="AB256" s="265"/>
      <c r="AC256" s="263"/>
      <c r="AD256" s="235">
        <f t="shared" si="24"/>
        <v>0</v>
      </c>
      <c r="AE256" s="262"/>
      <c r="AF256" s="265"/>
      <c r="AG256" s="263"/>
      <c r="AH256" s="235">
        <f t="shared" si="25"/>
        <v>0</v>
      </c>
      <c r="AI256" s="262"/>
      <c r="AJ256" s="265"/>
      <c r="AK256" s="263"/>
      <c r="AL256" s="235">
        <f t="shared" si="26"/>
        <v>0</v>
      </c>
      <c r="AM256" s="262"/>
      <c r="AN256" s="265"/>
      <c r="AO256" s="263"/>
      <c r="AP256" s="262"/>
      <c r="AQ256" s="263"/>
      <c r="AR256" s="262"/>
      <c r="AS256" s="263"/>
      <c r="AT256" s="262"/>
      <c r="AU256" s="265"/>
      <c r="AV256" s="263"/>
      <c r="AW256" s="262"/>
      <c r="AX256" s="265"/>
      <c r="AY256" s="263"/>
      <c r="AZ256" s="24">
        <f t="shared" si="27"/>
        <v>0</v>
      </c>
    </row>
    <row r="257" spans="2:52" s="24" customFormat="1" ht="21.95" customHeight="1" x14ac:dyDescent="0.25">
      <c r="B257" s="269"/>
      <c r="C257" s="270"/>
      <c r="D257" s="271"/>
      <c r="E257" s="236">
        <f t="shared" si="22"/>
        <v>0</v>
      </c>
      <c r="F257" s="269"/>
      <c r="G257" s="270"/>
      <c r="H257" s="271"/>
      <c r="I257" s="262"/>
      <c r="J257" s="263"/>
      <c r="K257" s="262"/>
      <c r="L257" s="263"/>
      <c r="M257" s="262"/>
      <c r="N257" s="263"/>
      <c r="O257" s="262"/>
      <c r="P257" s="263"/>
      <c r="Q257" s="235" t="b">
        <f t="shared" si="21"/>
        <v>0</v>
      </c>
      <c r="R257" s="262"/>
      <c r="S257" s="263"/>
      <c r="T257" s="262"/>
      <c r="U257" s="263"/>
      <c r="V257" s="262"/>
      <c r="W257" s="265"/>
      <c r="X257" s="265"/>
      <c r="Y257" s="263"/>
      <c r="Z257" s="235">
        <f t="shared" si="23"/>
        <v>0</v>
      </c>
      <c r="AA257" s="262"/>
      <c r="AB257" s="265"/>
      <c r="AC257" s="263"/>
      <c r="AD257" s="235">
        <f t="shared" si="24"/>
        <v>0</v>
      </c>
      <c r="AE257" s="262"/>
      <c r="AF257" s="265"/>
      <c r="AG257" s="263"/>
      <c r="AH257" s="235">
        <f t="shared" si="25"/>
        <v>0</v>
      </c>
      <c r="AI257" s="262"/>
      <c r="AJ257" s="265"/>
      <c r="AK257" s="263"/>
      <c r="AL257" s="235">
        <f t="shared" si="26"/>
        <v>0</v>
      </c>
      <c r="AM257" s="262"/>
      <c r="AN257" s="265"/>
      <c r="AO257" s="263"/>
      <c r="AP257" s="262"/>
      <c r="AQ257" s="263"/>
      <c r="AR257" s="262"/>
      <c r="AS257" s="263"/>
      <c r="AT257" s="262"/>
      <c r="AU257" s="265"/>
      <c r="AV257" s="263"/>
      <c r="AW257" s="262"/>
      <c r="AX257" s="265"/>
      <c r="AY257" s="263"/>
      <c r="AZ257" s="24">
        <f t="shared" si="27"/>
        <v>0</v>
      </c>
    </row>
    <row r="258" spans="2:52" s="24" customFormat="1" ht="21.95" customHeight="1" x14ac:dyDescent="0.25">
      <c r="B258" s="269"/>
      <c r="C258" s="270"/>
      <c r="D258" s="271"/>
      <c r="E258" s="236">
        <f t="shared" si="22"/>
        <v>0</v>
      </c>
      <c r="F258" s="269"/>
      <c r="G258" s="270"/>
      <c r="H258" s="271"/>
      <c r="I258" s="262"/>
      <c r="J258" s="263"/>
      <c r="K258" s="262"/>
      <c r="L258" s="263"/>
      <c r="M258" s="262"/>
      <c r="N258" s="263"/>
      <c r="O258" s="262"/>
      <c r="P258" s="263"/>
      <c r="Q258" s="235" t="b">
        <f t="shared" si="21"/>
        <v>0</v>
      </c>
      <c r="R258" s="262"/>
      <c r="S258" s="263"/>
      <c r="T258" s="262"/>
      <c r="U258" s="263"/>
      <c r="V258" s="262"/>
      <c r="W258" s="265"/>
      <c r="X258" s="265"/>
      <c r="Y258" s="263"/>
      <c r="Z258" s="235">
        <f t="shared" si="23"/>
        <v>0</v>
      </c>
      <c r="AA258" s="262"/>
      <c r="AB258" s="265"/>
      <c r="AC258" s="263"/>
      <c r="AD258" s="235">
        <f t="shared" si="24"/>
        <v>0</v>
      </c>
      <c r="AE258" s="262"/>
      <c r="AF258" s="265"/>
      <c r="AG258" s="263"/>
      <c r="AH258" s="235">
        <f t="shared" si="25"/>
        <v>0</v>
      </c>
      <c r="AI258" s="262"/>
      <c r="AJ258" s="265"/>
      <c r="AK258" s="263"/>
      <c r="AL258" s="235">
        <f t="shared" si="26"/>
        <v>0</v>
      </c>
      <c r="AM258" s="262"/>
      <c r="AN258" s="265"/>
      <c r="AO258" s="263"/>
      <c r="AP258" s="262"/>
      <c r="AQ258" s="263"/>
      <c r="AR258" s="262"/>
      <c r="AS258" s="263"/>
      <c r="AT258" s="262"/>
      <c r="AU258" s="265"/>
      <c r="AV258" s="263"/>
      <c r="AW258" s="262"/>
      <c r="AX258" s="265"/>
      <c r="AY258" s="263"/>
      <c r="AZ258" s="24">
        <f t="shared" si="27"/>
        <v>0</v>
      </c>
    </row>
    <row r="259" spans="2:52" s="24" customFormat="1" ht="21.95" customHeight="1" x14ac:dyDescent="0.25">
      <c r="B259" s="269"/>
      <c r="C259" s="270"/>
      <c r="D259" s="271"/>
      <c r="E259" s="236">
        <f t="shared" si="22"/>
        <v>0</v>
      </c>
      <c r="F259" s="269"/>
      <c r="G259" s="270"/>
      <c r="H259" s="271"/>
      <c r="I259" s="262"/>
      <c r="J259" s="263"/>
      <c r="K259" s="262"/>
      <c r="L259" s="263"/>
      <c r="M259" s="262"/>
      <c r="N259" s="263"/>
      <c r="O259" s="262"/>
      <c r="P259" s="263"/>
      <c r="Q259" s="235" t="b">
        <f t="shared" si="21"/>
        <v>0</v>
      </c>
      <c r="R259" s="262"/>
      <c r="S259" s="263"/>
      <c r="T259" s="262"/>
      <c r="U259" s="263"/>
      <c r="V259" s="262"/>
      <c r="W259" s="265"/>
      <c r="X259" s="265"/>
      <c r="Y259" s="263"/>
      <c r="Z259" s="235">
        <f t="shared" si="23"/>
        <v>0</v>
      </c>
      <c r="AA259" s="262"/>
      <c r="AB259" s="265"/>
      <c r="AC259" s="263"/>
      <c r="AD259" s="235">
        <f t="shared" si="24"/>
        <v>0</v>
      </c>
      <c r="AE259" s="262"/>
      <c r="AF259" s="265"/>
      <c r="AG259" s="263"/>
      <c r="AH259" s="235">
        <f t="shared" si="25"/>
        <v>0</v>
      </c>
      <c r="AI259" s="262"/>
      <c r="AJ259" s="265"/>
      <c r="AK259" s="263"/>
      <c r="AL259" s="235">
        <f t="shared" si="26"/>
        <v>0</v>
      </c>
      <c r="AM259" s="262"/>
      <c r="AN259" s="265"/>
      <c r="AO259" s="263"/>
      <c r="AP259" s="262"/>
      <c r="AQ259" s="263"/>
      <c r="AR259" s="262"/>
      <c r="AS259" s="263"/>
      <c r="AT259" s="262"/>
      <c r="AU259" s="265"/>
      <c r="AV259" s="263"/>
      <c r="AW259" s="262"/>
      <c r="AX259" s="265"/>
      <c r="AY259" s="263"/>
      <c r="AZ259" s="24">
        <f t="shared" si="27"/>
        <v>0</v>
      </c>
    </row>
    <row r="260" spans="2:52" s="24" customFormat="1" ht="21.95" customHeight="1" x14ac:dyDescent="0.25">
      <c r="B260" s="269"/>
      <c r="C260" s="270"/>
      <c r="D260" s="271"/>
      <c r="E260" s="236">
        <f t="shared" si="22"/>
        <v>0</v>
      </c>
      <c r="F260" s="269"/>
      <c r="G260" s="270"/>
      <c r="H260" s="271"/>
      <c r="I260" s="262"/>
      <c r="J260" s="263"/>
      <c r="K260" s="262"/>
      <c r="L260" s="263"/>
      <c r="M260" s="262"/>
      <c r="N260" s="263"/>
      <c r="O260" s="262"/>
      <c r="P260" s="263"/>
      <c r="Q260" s="235" t="b">
        <f t="shared" si="21"/>
        <v>0</v>
      </c>
      <c r="R260" s="262"/>
      <c r="S260" s="263"/>
      <c r="T260" s="262"/>
      <c r="U260" s="263"/>
      <c r="V260" s="262"/>
      <c r="W260" s="265"/>
      <c r="X260" s="265"/>
      <c r="Y260" s="263"/>
      <c r="Z260" s="235">
        <f t="shared" si="23"/>
        <v>0</v>
      </c>
      <c r="AA260" s="262"/>
      <c r="AB260" s="265"/>
      <c r="AC260" s="263"/>
      <c r="AD260" s="235">
        <f t="shared" si="24"/>
        <v>0</v>
      </c>
      <c r="AE260" s="262"/>
      <c r="AF260" s="265"/>
      <c r="AG260" s="263"/>
      <c r="AH260" s="235">
        <f t="shared" si="25"/>
        <v>0</v>
      </c>
      <c r="AI260" s="262"/>
      <c r="AJ260" s="265"/>
      <c r="AK260" s="263"/>
      <c r="AL260" s="235">
        <f t="shared" si="26"/>
        <v>0</v>
      </c>
      <c r="AM260" s="262"/>
      <c r="AN260" s="265"/>
      <c r="AO260" s="263"/>
      <c r="AP260" s="262"/>
      <c r="AQ260" s="263"/>
      <c r="AR260" s="262"/>
      <c r="AS260" s="263"/>
      <c r="AT260" s="262"/>
      <c r="AU260" s="265"/>
      <c r="AV260" s="263"/>
      <c r="AW260" s="262"/>
      <c r="AX260" s="265"/>
      <c r="AY260" s="263"/>
      <c r="AZ260" s="24">
        <f t="shared" si="27"/>
        <v>0</v>
      </c>
    </row>
    <row r="261" spans="2:52" s="24" customFormat="1" ht="21.95" customHeight="1" x14ac:dyDescent="0.25">
      <c r="B261" s="269"/>
      <c r="C261" s="270"/>
      <c r="D261" s="271"/>
      <c r="E261" s="236">
        <f t="shared" si="22"/>
        <v>0</v>
      </c>
      <c r="F261" s="269"/>
      <c r="G261" s="270"/>
      <c r="H261" s="271"/>
      <c r="I261" s="262"/>
      <c r="J261" s="263"/>
      <c r="K261" s="262"/>
      <c r="L261" s="263"/>
      <c r="M261" s="262"/>
      <c r="N261" s="263"/>
      <c r="O261" s="262"/>
      <c r="P261" s="263"/>
      <c r="Q261" s="235" t="b">
        <f t="shared" si="21"/>
        <v>0</v>
      </c>
      <c r="R261" s="262"/>
      <c r="S261" s="263"/>
      <c r="T261" s="262"/>
      <c r="U261" s="263"/>
      <c r="V261" s="262"/>
      <c r="W261" s="265"/>
      <c r="X261" s="265"/>
      <c r="Y261" s="263"/>
      <c r="Z261" s="235">
        <f t="shared" si="23"/>
        <v>0</v>
      </c>
      <c r="AA261" s="262"/>
      <c r="AB261" s="265"/>
      <c r="AC261" s="263"/>
      <c r="AD261" s="235">
        <f t="shared" si="24"/>
        <v>0</v>
      </c>
      <c r="AE261" s="262"/>
      <c r="AF261" s="265"/>
      <c r="AG261" s="263"/>
      <c r="AH261" s="235">
        <f t="shared" si="25"/>
        <v>0</v>
      </c>
      <c r="AI261" s="262"/>
      <c r="AJ261" s="265"/>
      <c r="AK261" s="263"/>
      <c r="AL261" s="235">
        <f t="shared" si="26"/>
        <v>0</v>
      </c>
      <c r="AM261" s="262"/>
      <c r="AN261" s="265"/>
      <c r="AO261" s="263"/>
      <c r="AP261" s="262"/>
      <c r="AQ261" s="263"/>
      <c r="AR261" s="262"/>
      <c r="AS261" s="263"/>
      <c r="AT261" s="262"/>
      <c r="AU261" s="265"/>
      <c r="AV261" s="263"/>
      <c r="AW261" s="262"/>
      <c r="AX261" s="265"/>
      <c r="AY261" s="263"/>
      <c r="AZ261" s="24">
        <f t="shared" si="27"/>
        <v>0</v>
      </c>
    </row>
    <row r="262" spans="2:52" s="24" customFormat="1" ht="21.95" customHeight="1" x14ac:dyDescent="0.25">
      <c r="B262" s="269"/>
      <c r="C262" s="270"/>
      <c r="D262" s="271"/>
      <c r="E262" s="236">
        <f t="shared" si="22"/>
        <v>0</v>
      </c>
      <c r="F262" s="269"/>
      <c r="G262" s="270"/>
      <c r="H262" s="271"/>
      <c r="I262" s="262"/>
      <c r="J262" s="263"/>
      <c r="K262" s="262"/>
      <c r="L262" s="263"/>
      <c r="M262" s="262"/>
      <c r="N262" s="263"/>
      <c r="O262" s="262"/>
      <c r="P262" s="263"/>
      <c r="Q262" s="235" t="b">
        <f t="shared" si="21"/>
        <v>0</v>
      </c>
      <c r="R262" s="262"/>
      <c r="S262" s="263"/>
      <c r="T262" s="262"/>
      <c r="U262" s="263"/>
      <c r="V262" s="262"/>
      <c r="W262" s="265"/>
      <c r="X262" s="265"/>
      <c r="Y262" s="263"/>
      <c r="Z262" s="235">
        <f t="shared" si="23"/>
        <v>0</v>
      </c>
      <c r="AA262" s="262"/>
      <c r="AB262" s="265"/>
      <c r="AC262" s="263"/>
      <c r="AD262" s="235">
        <f t="shared" si="24"/>
        <v>0</v>
      </c>
      <c r="AE262" s="262"/>
      <c r="AF262" s="265"/>
      <c r="AG262" s="263"/>
      <c r="AH262" s="235">
        <f t="shared" si="25"/>
        <v>0</v>
      </c>
      <c r="AI262" s="262"/>
      <c r="AJ262" s="265"/>
      <c r="AK262" s="263"/>
      <c r="AL262" s="235">
        <f t="shared" si="26"/>
        <v>0</v>
      </c>
      <c r="AM262" s="262"/>
      <c r="AN262" s="265"/>
      <c r="AO262" s="263"/>
      <c r="AP262" s="262"/>
      <c r="AQ262" s="263"/>
      <c r="AR262" s="262"/>
      <c r="AS262" s="263"/>
      <c r="AT262" s="262"/>
      <c r="AU262" s="265"/>
      <c r="AV262" s="263"/>
      <c r="AW262" s="262"/>
      <c r="AX262" s="265"/>
      <c r="AY262" s="263"/>
      <c r="AZ262" s="24">
        <f t="shared" si="27"/>
        <v>0</v>
      </c>
    </row>
    <row r="263" spans="2:52" s="24" customFormat="1" ht="21.95" customHeight="1" x14ac:dyDescent="0.25">
      <c r="B263" s="269"/>
      <c r="C263" s="270"/>
      <c r="D263" s="271"/>
      <c r="E263" s="236">
        <f t="shared" si="22"/>
        <v>0</v>
      </c>
      <c r="F263" s="269"/>
      <c r="G263" s="270"/>
      <c r="H263" s="271"/>
      <c r="I263" s="262"/>
      <c r="J263" s="263"/>
      <c r="K263" s="262"/>
      <c r="L263" s="263"/>
      <c r="M263" s="262"/>
      <c r="N263" s="263"/>
      <c r="O263" s="262"/>
      <c r="P263" s="263"/>
      <c r="Q263" s="235" t="b">
        <f t="shared" si="21"/>
        <v>0</v>
      </c>
      <c r="R263" s="262"/>
      <c r="S263" s="263"/>
      <c r="T263" s="262"/>
      <c r="U263" s="263"/>
      <c r="V263" s="262"/>
      <c r="W263" s="265"/>
      <c r="X263" s="265"/>
      <c r="Y263" s="263"/>
      <c r="Z263" s="235">
        <f t="shared" si="23"/>
        <v>0</v>
      </c>
      <c r="AA263" s="262"/>
      <c r="AB263" s="265"/>
      <c r="AC263" s="263"/>
      <c r="AD263" s="235">
        <f t="shared" si="24"/>
        <v>0</v>
      </c>
      <c r="AE263" s="262"/>
      <c r="AF263" s="265"/>
      <c r="AG263" s="263"/>
      <c r="AH263" s="235">
        <f t="shared" si="25"/>
        <v>0</v>
      </c>
      <c r="AI263" s="262"/>
      <c r="AJ263" s="265"/>
      <c r="AK263" s="263"/>
      <c r="AL263" s="235">
        <f t="shared" si="26"/>
        <v>0</v>
      </c>
      <c r="AM263" s="262"/>
      <c r="AN263" s="265"/>
      <c r="AO263" s="263"/>
      <c r="AP263" s="262"/>
      <c r="AQ263" s="263"/>
      <c r="AR263" s="262"/>
      <c r="AS263" s="263"/>
      <c r="AT263" s="262"/>
      <c r="AU263" s="265"/>
      <c r="AV263" s="263"/>
      <c r="AW263" s="262"/>
      <c r="AX263" s="265"/>
      <c r="AY263" s="263"/>
      <c r="AZ263" s="24">
        <f t="shared" si="27"/>
        <v>0</v>
      </c>
    </row>
    <row r="264" spans="2:52" s="24" customFormat="1" ht="21.95" customHeight="1" x14ac:dyDescent="0.25">
      <c r="B264" s="269"/>
      <c r="C264" s="270"/>
      <c r="D264" s="271"/>
      <c r="E264" s="236">
        <f t="shared" si="22"/>
        <v>0</v>
      </c>
      <c r="F264" s="269"/>
      <c r="G264" s="270"/>
      <c r="H264" s="271"/>
      <c r="I264" s="262"/>
      <c r="J264" s="263"/>
      <c r="K264" s="262"/>
      <c r="L264" s="263"/>
      <c r="M264" s="262"/>
      <c r="N264" s="263"/>
      <c r="O264" s="262"/>
      <c r="P264" s="263"/>
      <c r="Q264" s="235" t="b">
        <f t="shared" si="21"/>
        <v>0</v>
      </c>
      <c r="R264" s="262"/>
      <c r="S264" s="263"/>
      <c r="T264" s="262"/>
      <c r="U264" s="263"/>
      <c r="V264" s="262"/>
      <c r="W264" s="265"/>
      <c r="X264" s="265"/>
      <c r="Y264" s="263"/>
      <c r="Z264" s="235">
        <f t="shared" si="23"/>
        <v>0</v>
      </c>
      <c r="AA264" s="262"/>
      <c r="AB264" s="265"/>
      <c r="AC264" s="263"/>
      <c r="AD264" s="235">
        <f t="shared" si="24"/>
        <v>0</v>
      </c>
      <c r="AE264" s="262"/>
      <c r="AF264" s="265"/>
      <c r="AG264" s="263"/>
      <c r="AH264" s="235">
        <f t="shared" si="25"/>
        <v>0</v>
      </c>
      <c r="AI264" s="262"/>
      <c r="AJ264" s="265"/>
      <c r="AK264" s="263"/>
      <c r="AL264" s="235">
        <f t="shared" si="26"/>
        <v>0</v>
      </c>
      <c r="AM264" s="262"/>
      <c r="AN264" s="265"/>
      <c r="AO264" s="263"/>
      <c r="AP264" s="262"/>
      <c r="AQ264" s="263"/>
      <c r="AR264" s="262"/>
      <c r="AS264" s="263"/>
      <c r="AT264" s="262"/>
      <c r="AU264" s="265"/>
      <c r="AV264" s="263"/>
      <c r="AW264" s="262"/>
      <c r="AX264" s="265"/>
      <c r="AY264" s="263"/>
      <c r="AZ264" s="24">
        <f t="shared" si="27"/>
        <v>0</v>
      </c>
    </row>
  </sheetData>
  <mergeCells count="4361">
    <mergeCell ref="B6:D6"/>
    <mergeCell ref="AE6:AI6"/>
    <mergeCell ref="M8:N8"/>
    <mergeCell ref="M10:N10"/>
    <mergeCell ref="M11:N11"/>
    <mergeCell ref="F11:H11"/>
    <mergeCell ref="O11:P11"/>
    <mergeCell ref="V11:Y11"/>
    <mergeCell ref="I11:J11"/>
    <mergeCell ref="K11:L11"/>
    <mergeCell ref="AR8:AS8"/>
    <mergeCell ref="AM11:AO11"/>
    <mergeCell ref="T6:V6"/>
    <mergeCell ref="F6:H6"/>
    <mergeCell ref="O6:R6"/>
    <mergeCell ref="W6:Y6"/>
    <mergeCell ref="AP8:AQ8"/>
    <mergeCell ref="AP9:AQ10"/>
    <mergeCell ref="AP11:AQ11"/>
    <mergeCell ref="B8:D10"/>
    <mergeCell ref="AA11:AC11"/>
    <mergeCell ref="AE11:AG11"/>
    <mergeCell ref="AI11:AK11"/>
    <mergeCell ref="AT8:AV8"/>
    <mergeCell ref="AT9:AV10"/>
    <mergeCell ref="AM10:AO10"/>
    <mergeCell ref="AW9:AY10"/>
    <mergeCell ref="I8:J8"/>
    <mergeCell ref="K8:L8"/>
    <mergeCell ref="I9:L9"/>
    <mergeCell ref="I10:J10"/>
    <mergeCell ref="K10:L10"/>
    <mergeCell ref="O9:P10"/>
    <mergeCell ref="O8:P8"/>
    <mergeCell ref="B11:D11"/>
    <mergeCell ref="R9:S10"/>
    <mergeCell ref="T9:U10"/>
    <mergeCell ref="R11:S11"/>
    <mergeCell ref="T11:U11"/>
    <mergeCell ref="AW11:AY11"/>
    <mergeCell ref="AA10:AC10"/>
    <mergeCell ref="F8:H8"/>
    <mergeCell ref="F9:H10"/>
    <mergeCell ref="V9:Y10"/>
    <mergeCell ref="V8:Y8"/>
    <mergeCell ref="AA9:AG9"/>
    <mergeCell ref="AR9:AS10"/>
    <mergeCell ref="AA8:AC8"/>
    <mergeCell ref="AE8:AG8"/>
    <mergeCell ref="AI8:AK8"/>
    <mergeCell ref="AM8:AO8"/>
    <mergeCell ref="AE10:AG10"/>
    <mergeCell ref="AI10:AK10"/>
    <mergeCell ref="AI9:AO9"/>
    <mergeCell ref="AR11:AS11"/>
    <mergeCell ref="AT11:AV11"/>
    <mergeCell ref="AW8:AY8"/>
    <mergeCell ref="AW12:AY12"/>
    <mergeCell ref="B13:D13"/>
    <mergeCell ref="F13:H13"/>
    <mergeCell ref="I13:J13"/>
    <mergeCell ref="K13:L13"/>
    <mergeCell ref="O13:P13"/>
    <mergeCell ref="R13:S13"/>
    <mergeCell ref="T13:U13"/>
    <mergeCell ref="V13:Y13"/>
    <mergeCell ref="AA13:AC13"/>
    <mergeCell ref="AE13:AG13"/>
    <mergeCell ref="AI13:AK13"/>
    <mergeCell ref="AM13:AO13"/>
    <mergeCell ref="AP13:AQ13"/>
    <mergeCell ref="AR13:AS13"/>
    <mergeCell ref="AT13:AV13"/>
    <mergeCell ref="B12:D12"/>
    <mergeCell ref="F12:H12"/>
    <mergeCell ref="I12:J12"/>
    <mergeCell ref="K12:L12"/>
    <mergeCell ref="O12:P12"/>
    <mergeCell ref="R12:S12"/>
    <mergeCell ref="T12:U12"/>
    <mergeCell ref="V12:Y12"/>
    <mergeCell ref="AA12:AC12"/>
    <mergeCell ref="AE12:AG12"/>
    <mergeCell ref="AI12:AK12"/>
    <mergeCell ref="AM12:AO12"/>
    <mergeCell ref="AP12:AQ12"/>
    <mergeCell ref="AR12:AS12"/>
    <mergeCell ref="AT12:AV12"/>
    <mergeCell ref="AW14:AY14"/>
    <mergeCell ref="B15:D15"/>
    <mergeCell ref="F15:H15"/>
    <mergeCell ref="I15:J15"/>
    <mergeCell ref="K15:L15"/>
    <mergeCell ref="O15:P15"/>
    <mergeCell ref="R15:S15"/>
    <mergeCell ref="T15:U15"/>
    <mergeCell ref="V15:Y15"/>
    <mergeCell ref="AA15:AC15"/>
    <mergeCell ref="AE15:AG15"/>
    <mergeCell ref="AI15:AK15"/>
    <mergeCell ref="AM15:AO15"/>
    <mergeCell ref="AP15:AQ15"/>
    <mergeCell ref="AR15:AS15"/>
    <mergeCell ref="AT15:AV15"/>
    <mergeCell ref="AW13:AY13"/>
    <mergeCell ref="B14:D14"/>
    <mergeCell ref="F14:H14"/>
    <mergeCell ref="I14:J14"/>
    <mergeCell ref="K14:L14"/>
    <mergeCell ref="O14:P14"/>
    <mergeCell ref="R14:S14"/>
    <mergeCell ref="T14:U14"/>
    <mergeCell ref="V14:Y14"/>
    <mergeCell ref="AA14:AC14"/>
    <mergeCell ref="AE14:AG14"/>
    <mergeCell ref="AI14:AK14"/>
    <mergeCell ref="AM14:AO14"/>
    <mergeCell ref="AP14:AQ14"/>
    <mergeCell ref="AR14:AS14"/>
    <mergeCell ref="AT14:AV14"/>
    <mergeCell ref="AW16:AY16"/>
    <mergeCell ref="B17:D17"/>
    <mergeCell ref="F17:H17"/>
    <mergeCell ref="I17:J17"/>
    <mergeCell ref="K17:L17"/>
    <mergeCell ref="O17:P17"/>
    <mergeCell ref="R17:S17"/>
    <mergeCell ref="T17:U17"/>
    <mergeCell ref="V17:Y17"/>
    <mergeCell ref="AA17:AC17"/>
    <mergeCell ref="AE17:AG17"/>
    <mergeCell ref="AI17:AK17"/>
    <mergeCell ref="AM17:AO17"/>
    <mergeCell ref="AP17:AQ17"/>
    <mergeCell ref="AR17:AS17"/>
    <mergeCell ref="AT17:AV17"/>
    <mergeCell ref="AW15:AY15"/>
    <mergeCell ref="B16:D16"/>
    <mergeCell ref="F16:H16"/>
    <mergeCell ref="I16:J16"/>
    <mergeCell ref="K16:L16"/>
    <mergeCell ref="O16:P16"/>
    <mergeCell ref="R16:S16"/>
    <mergeCell ref="T16:U16"/>
    <mergeCell ref="V16:Y16"/>
    <mergeCell ref="AA16:AC16"/>
    <mergeCell ref="AE16:AG16"/>
    <mergeCell ref="AI16:AK16"/>
    <mergeCell ref="AM16:AO16"/>
    <mergeCell ref="AP16:AQ16"/>
    <mergeCell ref="AR16:AS16"/>
    <mergeCell ref="AT16:AV16"/>
    <mergeCell ref="AW18:AY18"/>
    <mergeCell ref="B19:D19"/>
    <mergeCell ref="F19:H19"/>
    <mergeCell ref="I19:J19"/>
    <mergeCell ref="K19:L19"/>
    <mergeCell ref="O19:P19"/>
    <mergeCell ref="R19:S19"/>
    <mergeCell ref="T19:U19"/>
    <mergeCell ref="V19:Y19"/>
    <mergeCell ref="AA19:AC19"/>
    <mergeCell ref="AE19:AG19"/>
    <mergeCell ref="AI19:AK19"/>
    <mergeCell ref="AM19:AO19"/>
    <mergeCell ref="AP19:AQ19"/>
    <mergeCell ref="AR19:AS19"/>
    <mergeCell ref="AT19:AV19"/>
    <mergeCell ref="AW17:AY17"/>
    <mergeCell ref="B18:D18"/>
    <mergeCell ref="F18:H18"/>
    <mergeCell ref="I18:J18"/>
    <mergeCell ref="K18:L18"/>
    <mergeCell ref="O18:P18"/>
    <mergeCell ref="R18:S18"/>
    <mergeCell ref="T18:U18"/>
    <mergeCell ref="V18:Y18"/>
    <mergeCell ref="AA18:AC18"/>
    <mergeCell ref="AE18:AG18"/>
    <mergeCell ref="AI18:AK18"/>
    <mergeCell ref="AM18:AO18"/>
    <mergeCell ref="AP18:AQ18"/>
    <mergeCell ref="AR18:AS18"/>
    <mergeCell ref="AT18:AV18"/>
    <mergeCell ref="AW20:AY20"/>
    <mergeCell ref="B21:D21"/>
    <mergeCell ref="F21:H21"/>
    <mergeCell ref="I21:J21"/>
    <mergeCell ref="K21:L21"/>
    <mergeCell ref="O21:P21"/>
    <mergeCell ref="R21:S21"/>
    <mergeCell ref="T21:U21"/>
    <mergeCell ref="V21:Y21"/>
    <mergeCell ref="AA21:AC21"/>
    <mergeCell ref="AE21:AG21"/>
    <mergeCell ref="AI21:AK21"/>
    <mergeCell ref="AM21:AO21"/>
    <mergeCell ref="AP21:AQ21"/>
    <mergeCell ref="AR21:AS21"/>
    <mergeCell ref="AT21:AV21"/>
    <mergeCell ref="AW19:AY19"/>
    <mergeCell ref="B20:D20"/>
    <mergeCell ref="F20:H20"/>
    <mergeCell ref="I20:J20"/>
    <mergeCell ref="K20:L20"/>
    <mergeCell ref="O20:P20"/>
    <mergeCell ref="R20:S20"/>
    <mergeCell ref="T20:U20"/>
    <mergeCell ref="V20:Y20"/>
    <mergeCell ref="AA20:AC20"/>
    <mergeCell ref="AE20:AG20"/>
    <mergeCell ref="AI20:AK20"/>
    <mergeCell ref="AM20:AO20"/>
    <mergeCell ref="AP20:AQ20"/>
    <mergeCell ref="AR20:AS20"/>
    <mergeCell ref="AT20:AV20"/>
    <mergeCell ref="AW22:AY22"/>
    <mergeCell ref="B23:D23"/>
    <mergeCell ref="F23:H23"/>
    <mergeCell ref="I23:J23"/>
    <mergeCell ref="K23:L23"/>
    <mergeCell ref="O23:P23"/>
    <mergeCell ref="R23:S23"/>
    <mergeCell ref="T23:U23"/>
    <mergeCell ref="V23:Y23"/>
    <mergeCell ref="AA23:AC23"/>
    <mergeCell ref="AE23:AG23"/>
    <mergeCell ref="AI23:AK23"/>
    <mergeCell ref="AM23:AO23"/>
    <mergeCell ref="AP23:AQ23"/>
    <mergeCell ref="AR23:AS23"/>
    <mergeCell ref="AT23:AV23"/>
    <mergeCell ref="AW21:AY21"/>
    <mergeCell ref="B22:D22"/>
    <mergeCell ref="F22:H22"/>
    <mergeCell ref="I22:J22"/>
    <mergeCell ref="K22:L22"/>
    <mergeCell ref="O22:P22"/>
    <mergeCell ref="R22:S22"/>
    <mergeCell ref="T22:U22"/>
    <mergeCell ref="V22:Y22"/>
    <mergeCell ref="AA22:AC22"/>
    <mergeCell ref="AE22:AG22"/>
    <mergeCell ref="AI22:AK22"/>
    <mergeCell ref="AM22:AO22"/>
    <mergeCell ref="AP22:AQ22"/>
    <mergeCell ref="AR22:AS22"/>
    <mergeCell ref="AT22:AV22"/>
    <mergeCell ref="AW24:AY24"/>
    <mergeCell ref="B25:D25"/>
    <mergeCell ref="F25:H25"/>
    <mergeCell ref="I25:J25"/>
    <mergeCell ref="K25:L25"/>
    <mergeCell ref="O25:P25"/>
    <mergeCell ref="R25:S25"/>
    <mergeCell ref="T25:U25"/>
    <mergeCell ref="V25:Y25"/>
    <mergeCell ref="AA25:AC25"/>
    <mergeCell ref="AE25:AG25"/>
    <mergeCell ref="AI25:AK25"/>
    <mergeCell ref="AM25:AO25"/>
    <mergeCell ref="AP25:AQ25"/>
    <mergeCell ref="AR25:AS25"/>
    <mergeCell ref="AT25:AV25"/>
    <mergeCell ref="AW23:AY23"/>
    <mergeCell ref="B24:D24"/>
    <mergeCell ref="F24:H24"/>
    <mergeCell ref="I24:J24"/>
    <mergeCell ref="K24:L24"/>
    <mergeCell ref="O24:P24"/>
    <mergeCell ref="R24:S24"/>
    <mergeCell ref="T24:U24"/>
    <mergeCell ref="V24:Y24"/>
    <mergeCell ref="AA24:AC24"/>
    <mergeCell ref="AE24:AG24"/>
    <mergeCell ref="AI24:AK24"/>
    <mergeCell ref="AM24:AO24"/>
    <mergeCell ref="AP24:AQ24"/>
    <mergeCell ref="AR24:AS24"/>
    <mergeCell ref="AT24:AV24"/>
    <mergeCell ref="AW26:AY26"/>
    <mergeCell ref="B27:D27"/>
    <mergeCell ref="F27:H27"/>
    <mergeCell ref="I27:J27"/>
    <mergeCell ref="K27:L27"/>
    <mergeCell ref="O27:P27"/>
    <mergeCell ref="R27:S27"/>
    <mergeCell ref="T27:U27"/>
    <mergeCell ref="V27:Y27"/>
    <mergeCell ref="AA27:AC27"/>
    <mergeCell ref="AE27:AG27"/>
    <mergeCell ref="AI27:AK27"/>
    <mergeCell ref="AM27:AO27"/>
    <mergeCell ref="AP27:AQ27"/>
    <mergeCell ref="AR27:AS27"/>
    <mergeCell ref="AT27:AV27"/>
    <mergeCell ref="AW25:AY25"/>
    <mergeCell ref="B26:D26"/>
    <mergeCell ref="F26:H26"/>
    <mergeCell ref="I26:J26"/>
    <mergeCell ref="K26:L26"/>
    <mergeCell ref="O26:P26"/>
    <mergeCell ref="R26:S26"/>
    <mergeCell ref="T26:U26"/>
    <mergeCell ref="V26:Y26"/>
    <mergeCell ref="AA26:AC26"/>
    <mergeCell ref="AE26:AG26"/>
    <mergeCell ref="AI26:AK26"/>
    <mergeCell ref="AM26:AO26"/>
    <mergeCell ref="AP26:AQ26"/>
    <mergeCell ref="AR26:AS26"/>
    <mergeCell ref="AT26:AV26"/>
    <mergeCell ref="AW28:AY28"/>
    <mergeCell ref="B29:D29"/>
    <mergeCell ref="F29:H29"/>
    <mergeCell ref="I29:J29"/>
    <mergeCell ref="K29:L29"/>
    <mergeCell ref="O29:P29"/>
    <mergeCell ref="R29:S29"/>
    <mergeCell ref="T29:U29"/>
    <mergeCell ref="V29:Y29"/>
    <mergeCell ref="AA29:AC29"/>
    <mergeCell ref="AE29:AG29"/>
    <mergeCell ref="AI29:AK29"/>
    <mergeCell ref="AM29:AO29"/>
    <mergeCell ref="AP29:AQ29"/>
    <mergeCell ref="AR29:AS29"/>
    <mergeCell ref="AT29:AV29"/>
    <mergeCell ref="AW27:AY27"/>
    <mergeCell ref="B28:D28"/>
    <mergeCell ref="F28:H28"/>
    <mergeCell ref="I28:J28"/>
    <mergeCell ref="K28:L28"/>
    <mergeCell ref="O28:P28"/>
    <mergeCell ref="R28:S28"/>
    <mergeCell ref="T28:U28"/>
    <mergeCell ref="V28:Y28"/>
    <mergeCell ref="AA28:AC28"/>
    <mergeCell ref="AE28:AG28"/>
    <mergeCell ref="AI28:AK28"/>
    <mergeCell ref="AM28:AO28"/>
    <mergeCell ref="AP28:AQ28"/>
    <mergeCell ref="AR28:AS28"/>
    <mergeCell ref="AT28:AV28"/>
    <mergeCell ref="AW30:AY30"/>
    <mergeCell ref="B31:D31"/>
    <mergeCell ref="F31:H31"/>
    <mergeCell ref="I31:J31"/>
    <mergeCell ref="K31:L31"/>
    <mergeCell ref="O31:P31"/>
    <mergeCell ref="R31:S31"/>
    <mergeCell ref="T31:U31"/>
    <mergeCell ref="V31:Y31"/>
    <mergeCell ref="AA31:AC31"/>
    <mergeCell ref="AE31:AG31"/>
    <mergeCell ref="AI31:AK31"/>
    <mergeCell ref="AM31:AO31"/>
    <mergeCell ref="AP31:AQ31"/>
    <mergeCell ref="AR31:AS31"/>
    <mergeCell ref="AT31:AV31"/>
    <mergeCell ref="AW29:AY29"/>
    <mergeCell ref="B30:D30"/>
    <mergeCell ref="F30:H30"/>
    <mergeCell ref="I30:J30"/>
    <mergeCell ref="K30:L30"/>
    <mergeCell ref="O30:P30"/>
    <mergeCell ref="R30:S30"/>
    <mergeCell ref="T30:U30"/>
    <mergeCell ref="V30:Y30"/>
    <mergeCell ref="AA30:AC30"/>
    <mergeCell ref="AE30:AG30"/>
    <mergeCell ref="AI30:AK30"/>
    <mergeCell ref="AM30:AO30"/>
    <mergeCell ref="AP30:AQ30"/>
    <mergeCell ref="AR30:AS30"/>
    <mergeCell ref="AT30:AV30"/>
    <mergeCell ref="AW32:AY32"/>
    <mergeCell ref="B33:D33"/>
    <mergeCell ref="F33:H33"/>
    <mergeCell ref="I33:J33"/>
    <mergeCell ref="K33:L33"/>
    <mergeCell ref="O33:P33"/>
    <mergeCell ref="R33:S33"/>
    <mergeCell ref="T33:U33"/>
    <mergeCell ref="V33:Y33"/>
    <mergeCell ref="AA33:AC33"/>
    <mergeCell ref="AE33:AG33"/>
    <mergeCell ref="AI33:AK33"/>
    <mergeCell ref="AM33:AO33"/>
    <mergeCell ref="AP33:AQ33"/>
    <mergeCell ref="AR33:AS33"/>
    <mergeCell ref="AT33:AV33"/>
    <mergeCell ref="AW31:AY31"/>
    <mergeCell ref="B32:D32"/>
    <mergeCell ref="F32:H32"/>
    <mergeCell ref="I32:J32"/>
    <mergeCell ref="K32:L32"/>
    <mergeCell ref="O32:P32"/>
    <mergeCell ref="R32:S32"/>
    <mergeCell ref="T32:U32"/>
    <mergeCell ref="V32:Y32"/>
    <mergeCell ref="AA32:AC32"/>
    <mergeCell ref="AE32:AG32"/>
    <mergeCell ref="AI32:AK32"/>
    <mergeCell ref="AM32:AO32"/>
    <mergeCell ref="AP32:AQ32"/>
    <mergeCell ref="AR32:AS32"/>
    <mergeCell ref="AT32:AV32"/>
    <mergeCell ref="AW34:AY34"/>
    <mergeCell ref="B35:D35"/>
    <mergeCell ref="F35:H35"/>
    <mergeCell ref="I35:J35"/>
    <mergeCell ref="K35:L35"/>
    <mergeCell ref="O35:P35"/>
    <mergeCell ref="R35:S35"/>
    <mergeCell ref="T35:U35"/>
    <mergeCell ref="V35:Y35"/>
    <mergeCell ref="AA35:AC35"/>
    <mergeCell ref="AE35:AG35"/>
    <mergeCell ref="AI35:AK35"/>
    <mergeCell ref="AM35:AO35"/>
    <mergeCell ref="AP35:AQ35"/>
    <mergeCell ref="AR35:AS35"/>
    <mergeCell ref="AT35:AV35"/>
    <mergeCell ref="AW33:AY33"/>
    <mergeCell ref="B34:D34"/>
    <mergeCell ref="F34:H34"/>
    <mergeCell ref="I34:J34"/>
    <mergeCell ref="K34:L34"/>
    <mergeCell ref="O34:P34"/>
    <mergeCell ref="R34:S34"/>
    <mergeCell ref="T34:U34"/>
    <mergeCell ref="V34:Y34"/>
    <mergeCell ref="AA34:AC34"/>
    <mergeCell ref="AE34:AG34"/>
    <mergeCell ref="AI34:AK34"/>
    <mergeCell ref="AM34:AO34"/>
    <mergeCell ref="AP34:AQ34"/>
    <mergeCell ref="AR34:AS34"/>
    <mergeCell ref="AT34:AV34"/>
    <mergeCell ref="AW36:AY36"/>
    <mergeCell ref="B37:D37"/>
    <mergeCell ref="F37:H37"/>
    <mergeCell ref="I37:J37"/>
    <mergeCell ref="K37:L37"/>
    <mergeCell ref="O37:P37"/>
    <mergeCell ref="R37:S37"/>
    <mergeCell ref="T37:U37"/>
    <mergeCell ref="V37:Y37"/>
    <mergeCell ref="AA37:AC37"/>
    <mergeCell ref="AE37:AG37"/>
    <mergeCell ref="AI37:AK37"/>
    <mergeCell ref="AM37:AO37"/>
    <mergeCell ref="AP37:AQ37"/>
    <mergeCell ref="AR37:AS37"/>
    <mergeCell ref="AT37:AV37"/>
    <mergeCell ref="AW35:AY35"/>
    <mergeCell ref="B36:D36"/>
    <mergeCell ref="F36:H36"/>
    <mergeCell ref="I36:J36"/>
    <mergeCell ref="K36:L36"/>
    <mergeCell ref="O36:P36"/>
    <mergeCell ref="R36:S36"/>
    <mergeCell ref="T36:U36"/>
    <mergeCell ref="V36:Y36"/>
    <mergeCell ref="AA36:AC36"/>
    <mergeCell ref="AE36:AG36"/>
    <mergeCell ref="AI36:AK36"/>
    <mergeCell ref="AM36:AO36"/>
    <mergeCell ref="AP36:AQ36"/>
    <mergeCell ref="AR36:AS36"/>
    <mergeCell ref="AT36:AV36"/>
    <mergeCell ref="AW38:AY38"/>
    <mergeCell ref="B39:D39"/>
    <mergeCell ref="F39:H39"/>
    <mergeCell ref="I39:J39"/>
    <mergeCell ref="K39:L39"/>
    <mergeCell ref="O39:P39"/>
    <mergeCell ref="R39:S39"/>
    <mergeCell ref="T39:U39"/>
    <mergeCell ref="V39:Y39"/>
    <mergeCell ref="AA39:AC39"/>
    <mergeCell ref="AE39:AG39"/>
    <mergeCell ref="AI39:AK39"/>
    <mergeCell ref="AM39:AO39"/>
    <mergeCell ref="AP39:AQ39"/>
    <mergeCell ref="AR39:AS39"/>
    <mergeCell ref="AT39:AV39"/>
    <mergeCell ref="AW37:AY37"/>
    <mergeCell ref="B38:D38"/>
    <mergeCell ref="F38:H38"/>
    <mergeCell ref="I38:J38"/>
    <mergeCell ref="K38:L38"/>
    <mergeCell ref="O38:P38"/>
    <mergeCell ref="R38:S38"/>
    <mergeCell ref="T38:U38"/>
    <mergeCell ref="V38:Y38"/>
    <mergeCell ref="AA38:AC38"/>
    <mergeCell ref="AE38:AG38"/>
    <mergeCell ref="AI38:AK38"/>
    <mergeCell ref="AM38:AO38"/>
    <mergeCell ref="AP38:AQ38"/>
    <mergeCell ref="AR38:AS38"/>
    <mergeCell ref="AT38:AV38"/>
    <mergeCell ref="AW40:AY40"/>
    <mergeCell ref="B41:D41"/>
    <mergeCell ref="F41:H41"/>
    <mergeCell ref="I41:J41"/>
    <mergeCell ref="K41:L41"/>
    <mergeCell ref="O41:P41"/>
    <mergeCell ref="R41:S41"/>
    <mergeCell ref="T41:U41"/>
    <mergeCell ref="V41:Y41"/>
    <mergeCell ref="AA41:AC41"/>
    <mergeCell ref="AE41:AG41"/>
    <mergeCell ref="AI41:AK41"/>
    <mergeCell ref="AM41:AO41"/>
    <mergeCell ref="AP41:AQ41"/>
    <mergeCell ref="AR41:AS41"/>
    <mergeCell ref="AT41:AV41"/>
    <mergeCell ref="AW39:AY39"/>
    <mergeCell ref="B40:D40"/>
    <mergeCell ref="F40:H40"/>
    <mergeCell ref="I40:J40"/>
    <mergeCell ref="K40:L40"/>
    <mergeCell ref="O40:P40"/>
    <mergeCell ref="R40:S40"/>
    <mergeCell ref="T40:U40"/>
    <mergeCell ref="V40:Y40"/>
    <mergeCell ref="AA40:AC40"/>
    <mergeCell ref="AE40:AG40"/>
    <mergeCell ref="AI40:AK40"/>
    <mergeCell ref="AM40:AO40"/>
    <mergeCell ref="AP40:AQ40"/>
    <mergeCell ref="AR40:AS40"/>
    <mergeCell ref="AT40:AV40"/>
    <mergeCell ref="AW42:AY42"/>
    <mergeCell ref="B43:D43"/>
    <mergeCell ref="F43:H43"/>
    <mergeCell ref="I43:J43"/>
    <mergeCell ref="K43:L43"/>
    <mergeCell ref="O43:P43"/>
    <mergeCell ref="R43:S43"/>
    <mergeCell ref="T43:U43"/>
    <mergeCell ref="V43:Y43"/>
    <mergeCell ref="AA43:AC43"/>
    <mergeCell ref="AE43:AG43"/>
    <mergeCell ref="AI43:AK43"/>
    <mergeCell ref="AM43:AO43"/>
    <mergeCell ref="AP43:AQ43"/>
    <mergeCell ref="AR43:AS43"/>
    <mergeCell ref="AT43:AV43"/>
    <mergeCell ref="AW41:AY41"/>
    <mergeCell ref="B42:D42"/>
    <mergeCell ref="F42:H42"/>
    <mergeCell ref="I42:J42"/>
    <mergeCell ref="K42:L42"/>
    <mergeCell ref="O42:P42"/>
    <mergeCell ref="R42:S42"/>
    <mergeCell ref="T42:U42"/>
    <mergeCell ref="V42:Y42"/>
    <mergeCell ref="AA42:AC42"/>
    <mergeCell ref="AE42:AG42"/>
    <mergeCell ref="AI42:AK42"/>
    <mergeCell ref="AM42:AO42"/>
    <mergeCell ref="AP42:AQ42"/>
    <mergeCell ref="AR42:AS42"/>
    <mergeCell ref="AT42:AV42"/>
    <mergeCell ref="AW44:AY44"/>
    <mergeCell ref="B45:D45"/>
    <mergeCell ref="F45:H45"/>
    <mergeCell ref="I45:J45"/>
    <mergeCell ref="K45:L45"/>
    <mergeCell ref="O45:P45"/>
    <mergeCell ref="R45:S45"/>
    <mergeCell ref="T45:U45"/>
    <mergeCell ref="V45:Y45"/>
    <mergeCell ref="AA45:AC45"/>
    <mergeCell ref="AE45:AG45"/>
    <mergeCell ref="AI45:AK45"/>
    <mergeCell ref="AM45:AO45"/>
    <mergeCell ref="AP45:AQ45"/>
    <mergeCell ref="AR45:AS45"/>
    <mergeCell ref="AT45:AV45"/>
    <mergeCell ref="AW43:AY43"/>
    <mergeCell ref="B44:D44"/>
    <mergeCell ref="F44:H44"/>
    <mergeCell ref="I44:J44"/>
    <mergeCell ref="K44:L44"/>
    <mergeCell ref="O44:P44"/>
    <mergeCell ref="R44:S44"/>
    <mergeCell ref="T44:U44"/>
    <mergeCell ref="V44:Y44"/>
    <mergeCell ref="AA44:AC44"/>
    <mergeCell ref="AE44:AG44"/>
    <mergeCell ref="AI44:AK44"/>
    <mergeCell ref="AM44:AO44"/>
    <mergeCell ref="AP44:AQ44"/>
    <mergeCell ref="AR44:AS44"/>
    <mergeCell ref="AT44:AV44"/>
    <mergeCell ref="AW46:AY46"/>
    <mergeCell ref="B47:D47"/>
    <mergeCell ref="F47:H47"/>
    <mergeCell ref="I47:J47"/>
    <mergeCell ref="K47:L47"/>
    <mergeCell ref="O47:P47"/>
    <mergeCell ref="R47:S47"/>
    <mergeCell ref="T47:U47"/>
    <mergeCell ref="V47:Y47"/>
    <mergeCell ref="AA47:AC47"/>
    <mergeCell ref="AE47:AG47"/>
    <mergeCell ref="AI47:AK47"/>
    <mergeCell ref="AM47:AO47"/>
    <mergeCell ref="AP47:AQ47"/>
    <mergeCell ref="AR47:AS47"/>
    <mergeCell ref="AT47:AV47"/>
    <mergeCell ref="AW45:AY45"/>
    <mergeCell ref="B46:D46"/>
    <mergeCell ref="F46:H46"/>
    <mergeCell ref="I46:J46"/>
    <mergeCell ref="K46:L46"/>
    <mergeCell ref="O46:P46"/>
    <mergeCell ref="R46:S46"/>
    <mergeCell ref="T46:U46"/>
    <mergeCell ref="V46:Y46"/>
    <mergeCell ref="AA46:AC46"/>
    <mergeCell ref="AE46:AG46"/>
    <mergeCell ref="AI46:AK46"/>
    <mergeCell ref="AM46:AO46"/>
    <mergeCell ref="AP46:AQ46"/>
    <mergeCell ref="AR46:AS46"/>
    <mergeCell ref="AT46:AV46"/>
    <mergeCell ref="AW48:AY48"/>
    <mergeCell ref="B49:D49"/>
    <mergeCell ref="F49:H49"/>
    <mergeCell ref="I49:J49"/>
    <mergeCell ref="K49:L49"/>
    <mergeCell ref="O49:P49"/>
    <mergeCell ref="R49:S49"/>
    <mergeCell ref="T49:U49"/>
    <mergeCell ref="V49:Y49"/>
    <mergeCell ref="AA49:AC49"/>
    <mergeCell ref="AE49:AG49"/>
    <mergeCell ref="AI49:AK49"/>
    <mergeCell ref="AM49:AO49"/>
    <mergeCell ref="AP49:AQ49"/>
    <mergeCell ref="AR49:AS49"/>
    <mergeCell ref="AT49:AV49"/>
    <mergeCell ref="AW47:AY47"/>
    <mergeCell ref="B48:D48"/>
    <mergeCell ref="F48:H48"/>
    <mergeCell ref="I48:J48"/>
    <mergeCell ref="K48:L48"/>
    <mergeCell ref="O48:P48"/>
    <mergeCell ref="R48:S48"/>
    <mergeCell ref="T48:U48"/>
    <mergeCell ref="V48:Y48"/>
    <mergeCell ref="AA48:AC48"/>
    <mergeCell ref="AE48:AG48"/>
    <mergeCell ref="AI48:AK48"/>
    <mergeCell ref="AM48:AO48"/>
    <mergeCell ref="AP48:AQ48"/>
    <mergeCell ref="AR48:AS48"/>
    <mergeCell ref="AT48:AV48"/>
    <mergeCell ref="AW50:AY50"/>
    <mergeCell ref="B51:D51"/>
    <mergeCell ref="F51:H51"/>
    <mergeCell ref="I51:J51"/>
    <mergeCell ref="K51:L51"/>
    <mergeCell ref="O51:P51"/>
    <mergeCell ref="R51:S51"/>
    <mergeCell ref="T51:U51"/>
    <mergeCell ref="V51:Y51"/>
    <mergeCell ref="AA51:AC51"/>
    <mergeCell ref="AE51:AG51"/>
    <mergeCell ref="AI51:AK51"/>
    <mergeCell ref="AM51:AO51"/>
    <mergeCell ref="AP51:AQ51"/>
    <mergeCell ref="AR51:AS51"/>
    <mergeCell ref="AT51:AV51"/>
    <mergeCell ref="AW49:AY49"/>
    <mergeCell ref="B50:D50"/>
    <mergeCell ref="F50:H50"/>
    <mergeCell ref="I50:J50"/>
    <mergeCell ref="K50:L50"/>
    <mergeCell ref="O50:P50"/>
    <mergeCell ref="R50:S50"/>
    <mergeCell ref="T50:U50"/>
    <mergeCell ref="V50:Y50"/>
    <mergeCell ref="AA50:AC50"/>
    <mergeCell ref="AE50:AG50"/>
    <mergeCell ref="AI50:AK50"/>
    <mergeCell ref="AM50:AO50"/>
    <mergeCell ref="AP50:AQ50"/>
    <mergeCell ref="AR50:AS50"/>
    <mergeCell ref="AT50:AV50"/>
    <mergeCell ref="AW52:AY52"/>
    <mergeCell ref="B53:D53"/>
    <mergeCell ref="F53:H53"/>
    <mergeCell ref="I53:J53"/>
    <mergeCell ref="K53:L53"/>
    <mergeCell ref="O53:P53"/>
    <mergeCell ref="R53:S53"/>
    <mergeCell ref="T53:U53"/>
    <mergeCell ref="V53:Y53"/>
    <mergeCell ref="AA53:AC53"/>
    <mergeCell ref="AE53:AG53"/>
    <mergeCell ref="AI53:AK53"/>
    <mergeCell ref="AM53:AO53"/>
    <mergeCell ref="AP53:AQ53"/>
    <mergeCell ref="AR53:AS53"/>
    <mergeCell ref="AT53:AV53"/>
    <mergeCell ref="AW51:AY51"/>
    <mergeCell ref="B52:D52"/>
    <mergeCell ref="F52:H52"/>
    <mergeCell ref="I52:J52"/>
    <mergeCell ref="K52:L52"/>
    <mergeCell ref="O52:P52"/>
    <mergeCell ref="R52:S52"/>
    <mergeCell ref="T52:U52"/>
    <mergeCell ref="V52:Y52"/>
    <mergeCell ref="AA52:AC52"/>
    <mergeCell ref="AE52:AG52"/>
    <mergeCell ref="AI52:AK52"/>
    <mergeCell ref="AM52:AO52"/>
    <mergeCell ref="AP52:AQ52"/>
    <mergeCell ref="AR52:AS52"/>
    <mergeCell ref="AT52:AV52"/>
    <mergeCell ref="AW54:AY54"/>
    <mergeCell ref="B55:D55"/>
    <mergeCell ref="F55:H55"/>
    <mergeCell ref="I55:J55"/>
    <mergeCell ref="K55:L55"/>
    <mergeCell ref="O55:P55"/>
    <mergeCell ref="R55:S55"/>
    <mergeCell ref="T55:U55"/>
    <mergeCell ref="V55:Y55"/>
    <mergeCell ref="AA55:AC55"/>
    <mergeCell ref="AE55:AG55"/>
    <mergeCell ref="AI55:AK55"/>
    <mergeCell ref="AM55:AO55"/>
    <mergeCell ref="AP55:AQ55"/>
    <mergeCell ref="AR55:AS55"/>
    <mergeCell ref="AT55:AV55"/>
    <mergeCell ref="AW53:AY53"/>
    <mergeCell ref="B54:D54"/>
    <mergeCell ref="F54:H54"/>
    <mergeCell ref="I54:J54"/>
    <mergeCell ref="K54:L54"/>
    <mergeCell ref="O54:P54"/>
    <mergeCell ref="R54:S54"/>
    <mergeCell ref="T54:U54"/>
    <mergeCell ref="V54:Y54"/>
    <mergeCell ref="AA54:AC54"/>
    <mergeCell ref="AE54:AG54"/>
    <mergeCell ref="AI54:AK54"/>
    <mergeCell ref="AM54:AO54"/>
    <mergeCell ref="AP54:AQ54"/>
    <mergeCell ref="AR54:AS54"/>
    <mergeCell ref="AT54:AV54"/>
    <mergeCell ref="AW56:AY56"/>
    <mergeCell ref="B57:D57"/>
    <mergeCell ref="F57:H57"/>
    <mergeCell ref="I57:J57"/>
    <mergeCell ref="K57:L57"/>
    <mergeCell ref="O57:P57"/>
    <mergeCell ref="R57:S57"/>
    <mergeCell ref="T57:U57"/>
    <mergeCell ref="V57:Y57"/>
    <mergeCell ref="AA57:AC57"/>
    <mergeCell ref="AE57:AG57"/>
    <mergeCell ref="AI57:AK57"/>
    <mergeCell ref="AM57:AO57"/>
    <mergeCell ref="AP57:AQ57"/>
    <mergeCell ref="AR57:AS57"/>
    <mergeCell ref="AT57:AV57"/>
    <mergeCell ref="AW55:AY55"/>
    <mergeCell ref="B56:D56"/>
    <mergeCell ref="F56:H56"/>
    <mergeCell ref="I56:J56"/>
    <mergeCell ref="K56:L56"/>
    <mergeCell ref="O56:P56"/>
    <mergeCell ref="R56:S56"/>
    <mergeCell ref="T56:U56"/>
    <mergeCell ref="V56:Y56"/>
    <mergeCell ref="AA56:AC56"/>
    <mergeCell ref="AE56:AG56"/>
    <mergeCell ref="AI56:AK56"/>
    <mergeCell ref="AM56:AO56"/>
    <mergeCell ref="AP56:AQ56"/>
    <mergeCell ref="AR56:AS56"/>
    <mergeCell ref="AT56:AV56"/>
    <mergeCell ref="AW58:AY58"/>
    <mergeCell ref="B59:D59"/>
    <mergeCell ref="F59:H59"/>
    <mergeCell ref="I59:J59"/>
    <mergeCell ref="K59:L59"/>
    <mergeCell ref="O59:P59"/>
    <mergeCell ref="R59:S59"/>
    <mergeCell ref="T59:U59"/>
    <mergeCell ref="V59:Y59"/>
    <mergeCell ref="AA59:AC59"/>
    <mergeCell ref="AE59:AG59"/>
    <mergeCell ref="AI59:AK59"/>
    <mergeCell ref="AM59:AO59"/>
    <mergeCell ref="AP59:AQ59"/>
    <mergeCell ref="AR59:AS59"/>
    <mergeCell ref="AT59:AV59"/>
    <mergeCell ref="AW57:AY57"/>
    <mergeCell ref="B58:D58"/>
    <mergeCell ref="F58:H58"/>
    <mergeCell ref="I58:J58"/>
    <mergeCell ref="K58:L58"/>
    <mergeCell ref="O58:P58"/>
    <mergeCell ref="R58:S58"/>
    <mergeCell ref="T58:U58"/>
    <mergeCell ref="V58:Y58"/>
    <mergeCell ref="AA58:AC58"/>
    <mergeCell ref="AE58:AG58"/>
    <mergeCell ref="AI58:AK58"/>
    <mergeCell ref="AM58:AO58"/>
    <mergeCell ref="AP58:AQ58"/>
    <mergeCell ref="AR58:AS58"/>
    <mergeCell ref="AT58:AV58"/>
    <mergeCell ref="AW60:AY60"/>
    <mergeCell ref="B61:D61"/>
    <mergeCell ref="F61:H61"/>
    <mergeCell ref="I61:J61"/>
    <mergeCell ref="K61:L61"/>
    <mergeCell ref="O61:P61"/>
    <mergeCell ref="R61:S61"/>
    <mergeCell ref="T61:U61"/>
    <mergeCell ref="V61:Y61"/>
    <mergeCell ref="AA61:AC61"/>
    <mergeCell ref="AE61:AG61"/>
    <mergeCell ref="AI61:AK61"/>
    <mergeCell ref="AM61:AO61"/>
    <mergeCell ref="AP61:AQ61"/>
    <mergeCell ref="AR61:AS61"/>
    <mergeCell ref="AT61:AV61"/>
    <mergeCell ref="AW59:AY59"/>
    <mergeCell ref="B60:D60"/>
    <mergeCell ref="F60:H60"/>
    <mergeCell ref="I60:J60"/>
    <mergeCell ref="K60:L60"/>
    <mergeCell ref="O60:P60"/>
    <mergeCell ref="R60:S60"/>
    <mergeCell ref="T60:U60"/>
    <mergeCell ref="V60:Y60"/>
    <mergeCell ref="AA60:AC60"/>
    <mergeCell ref="AE60:AG60"/>
    <mergeCell ref="AI60:AK60"/>
    <mergeCell ref="AM60:AO60"/>
    <mergeCell ref="AP60:AQ60"/>
    <mergeCell ref="AR60:AS60"/>
    <mergeCell ref="AT60:AV60"/>
    <mergeCell ref="AW62:AY62"/>
    <mergeCell ref="B63:D63"/>
    <mergeCell ref="F63:H63"/>
    <mergeCell ref="I63:J63"/>
    <mergeCell ref="K63:L63"/>
    <mergeCell ref="O63:P63"/>
    <mergeCell ref="R63:S63"/>
    <mergeCell ref="T63:U63"/>
    <mergeCell ref="V63:Y63"/>
    <mergeCell ref="AA63:AC63"/>
    <mergeCell ref="AE63:AG63"/>
    <mergeCell ref="AI63:AK63"/>
    <mergeCell ref="AM63:AO63"/>
    <mergeCell ref="AP63:AQ63"/>
    <mergeCell ref="AR63:AS63"/>
    <mergeCell ref="AT63:AV63"/>
    <mergeCell ref="AW61:AY61"/>
    <mergeCell ref="B62:D62"/>
    <mergeCell ref="F62:H62"/>
    <mergeCell ref="I62:J62"/>
    <mergeCell ref="K62:L62"/>
    <mergeCell ref="O62:P62"/>
    <mergeCell ref="R62:S62"/>
    <mergeCell ref="T62:U62"/>
    <mergeCell ref="V62:Y62"/>
    <mergeCell ref="AA62:AC62"/>
    <mergeCell ref="AE62:AG62"/>
    <mergeCell ref="AI62:AK62"/>
    <mergeCell ref="AM62:AO62"/>
    <mergeCell ref="AP62:AQ62"/>
    <mergeCell ref="AR62:AS62"/>
    <mergeCell ref="AT62:AV62"/>
    <mergeCell ref="AW64:AY64"/>
    <mergeCell ref="B65:D65"/>
    <mergeCell ref="F65:H65"/>
    <mergeCell ref="I65:J65"/>
    <mergeCell ref="K65:L65"/>
    <mergeCell ref="O65:P65"/>
    <mergeCell ref="R65:S65"/>
    <mergeCell ref="T65:U65"/>
    <mergeCell ref="V65:Y65"/>
    <mergeCell ref="AA65:AC65"/>
    <mergeCell ref="AE65:AG65"/>
    <mergeCell ref="AI65:AK65"/>
    <mergeCell ref="AM65:AO65"/>
    <mergeCell ref="AP65:AQ65"/>
    <mergeCell ref="AR65:AS65"/>
    <mergeCell ref="AT65:AV65"/>
    <mergeCell ref="AW63:AY63"/>
    <mergeCell ref="B64:D64"/>
    <mergeCell ref="F64:H64"/>
    <mergeCell ref="I64:J64"/>
    <mergeCell ref="K64:L64"/>
    <mergeCell ref="O64:P64"/>
    <mergeCell ref="R64:S64"/>
    <mergeCell ref="T64:U64"/>
    <mergeCell ref="V64:Y64"/>
    <mergeCell ref="AA64:AC64"/>
    <mergeCell ref="AE64:AG64"/>
    <mergeCell ref="AI64:AK64"/>
    <mergeCell ref="AM64:AO64"/>
    <mergeCell ref="AP64:AQ64"/>
    <mergeCell ref="AR64:AS64"/>
    <mergeCell ref="AT64:AV64"/>
    <mergeCell ref="AW66:AY66"/>
    <mergeCell ref="B67:D67"/>
    <mergeCell ref="F67:H67"/>
    <mergeCell ref="I67:J67"/>
    <mergeCell ref="K67:L67"/>
    <mergeCell ref="O67:P67"/>
    <mergeCell ref="R67:S67"/>
    <mergeCell ref="T67:U67"/>
    <mergeCell ref="V67:Y67"/>
    <mergeCell ref="AA67:AC67"/>
    <mergeCell ref="AE67:AG67"/>
    <mergeCell ref="AI67:AK67"/>
    <mergeCell ref="AM67:AO67"/>
    <mergeCell ref="AP67:AQ67"/>
    <mergeCell ref="AR67:AS67"/>
    <mergeCell ref="AT67:AV67"/>
    <mergeCell ref="AW65:AY65"/>
    <mergeCell ref="B66:D66"/>
    <mergeCell ref="F66:H66"/>
    <mergeCell ref="I66:J66"/>
    <mergeCell ref="K66:L66"/>
    <mergeCell ref="O66:P66"/>
    <mergeCell ref="R66:S66"/>
    <mergeCell ref="T66:U66"/>
    <mergeCell ref="V66:Y66"/>
    <mergeCell ref="AA66:AC66"/>
    <mergeCell ref="AE66:AG66"/>
    <mergeCell ref="AI66:AK66"/>
    <mergeCell ref="AM66:AO66"/>
    <mergeCell ref="AP66:AQ66"/>
    <mergeCell ref="AR66:AS66"/>
    <mergeCell ref="AT66:AV66"/>
    <mergeCell ref="AW68:AY68"/>
    <mergeCell ref="B69:D69"/>
    <mergeCell ref="F69:H69"/>
    <mergeCell ref="I69:J69"/>
    <mergeCell ref="K69:L69"/>
    <mergeCell ref="O69:P69"/>
    <mergeCell ref="R69:S69"/>
    <mergeCell ref="T69:U69"/>
    <mergeCell ref="V69:Y69"/>
    <mergeCell ref="AA69:AC69"/>
    <mergeCell ref="AE69:AG69"/>
    <mergeCell ref="AI69:AK69"/>
    <mergeCell ref="AM69:AO69"/>
    <mergeCell ref="AP69:AQ69"/>
    <mergeCell ref="AR69:AS69"/>
    <mergeCell ref="AT69:AV69"/>
    <mergeCell ref="AW67:AY67"/>
    <mergeCell ref="B68:D68"/>
    <mergeCell ref="F68:H68"/>
    <mergeCell ref="I68:J68"/>
    <mergeCell ref="K68:L68"/>
    <mergeCell ref="O68:P68"/>
    <mergeCell ref="R68:S68"/>
    <mergeCell ref="T68:U68"/>
    <mergeCell ref="V68:Y68"/>
    <mergeCell ref="AA68:AC68"/>
    <mergeCell ref="AE68:AG68"/>
    <mergeCell ref="AI68:AK68"/>
    <mergeCell ref="AM68:AO68"/>
    <mergeCell ref="AP68:AQ68"/>
    <mergeCell ref="AR68:AS68"/>
    <mergeCell ref="AT68:AV68"/>
    <mergeCell ref="AW70:AY70"/>
    <mergeCell ref="B71:D71"/>
    <mergeCell ref="F71:H71"/>
    <mergeCell ref="I71:J71"/>
    <mergeCell ref="K71:L71"/>
    <mergeCell ref="O71:P71"/>
    <mergeCell ref="R71:S71"/>
    <mergeCell ref="T71:U71"/>
    <mergeCell ref="V71:Y71"/>
    <mergeCell ref="AA71:AC71"/>
    <mergeCell ref="AE71:AG71"/>
    <mergeCell ref="AI71:AK71"/>
    <mergeCell ref="AM71:AO71"/>
    <mergeCell ref="AP71:AQ71"/>
    <mergeCell ref="AR71:AS71"/>
    <mergeCell ref="AT71:AV71"/>
    <mergeCell ref="AW69:AY69"/>
    <mergeCell ref="B70:D70"/>
    <mergeCell ref="F70:H70"/>
    <mergeCell ref="I70:J70"/>
    <mergeCell ref="K70:L70"/>
    <mergeCell ref="O70:P70"/>
    <mergeCell ref="R70:S70"/>
    <mergeCell ref="T70:U70"/>
    <mergeCell ref="V70:Y70"/>
    <mergeCell ref="AA70:AC70"/>
    <mergeCell ref="AE70:AG70"/>
    <mergeCell ref="AI70:AK70"/>
    <mergeCell ref="AM70:AO70"/>
    <mergeCell ref="AP70:AQ70"/>
    <mergeCell ref="AR70:AS70"/>
    <mergeCell ref="AT70:AV70"/>
    <mergeCell ref="AW72:AY72"/>
    <mergeCell ref="B73:D73"/>
    <mergeCell ref="F73:H73"/>
    <mergeCell ref="I73:J73"/>
    <mergeCell ref="K73:L73"/>
    <mergeCell ref="O73:P73"/>
    <mergeCell ref="R73:S73"/>
    <mergeCell ref="T73:U73"/>
    <mergeCell ref="V73:Y73"/>
    <mergeCell ref="AA73:AC73"/>
    <mergeCell ref="AE73:AG73"/>
    <mergeCell ref="AI73:AK73"/>
    <mergeCell ref="AM73:AO73"/>
    <mergeCell ref="AP73:AQ73"/>
    <mergeCell ref="AR73:AS73"/>
    <mergeCell ref="AT73:AV73"/>
    <mergeCell ref="AW71:AY71"/>
    <mergeCell ref="B72:D72"/>
    <mergeCell ref="F72:H72"/>
    <mergeCell ref="I72:J72"/>
    <mergeCell ref="K72:L72"/>
    <mergeCell ref="O72:P72"/>
    <mergeCell ref="R72:S72"/>
    <mergeCell ref="T72:U72"/>
    <mergeCell ref="V72:Y72"/>
    <mergeCell ref="AA72:AC72"/>
    <mergeCell ref="AE72:AG72"/>
    <mergeCell ref="AI72:AK72"/>
    <mergeCell ref="AM72:AO72"/>
    <mergeCell ref="AP72:AQ72"/>
    <mergeCell ref="AR72:AS72"/>
    <mergeCell ref="AT72:AV72"/>
    <mergeCell ref="AW74:AY74"/>
    <mergeCell ref="B75:D75"/>
    <mergeCell ref="F75:H75"/>
    <mergeCell ref="I75:J75"/>
    <mergeCell ref="K75:L75"/>
    <mergeCell ref="O75:P75"/>
    <mergeCell ref="R75:S75"/>
    <mergeCell ref="T75:U75"/>
    <mergeCell ref="V75:Y75"/>
    <mergeCell ref="AA75:AC75"/>
    <mergeCell ref="AE75:AG75"/>
    <mergeCell ref="AI75:AK75"/>
    <mergeCell ref="AM75:AO75"/>
    <mergeCell ref="AP75:AQ75"/>
    <mergeCell ref="AR75:AS75"/>
    <mergeCell ref="AT75:AV75"/>
    <mergeCell ref="AW73:AY73"/>
    <mergeCell ref="B74:D74"/>
    <mergeCell ref="F74:H74"/>
    <mergeCell ref="I74:J74"/>
    <mergeCell ref="K74:L74"/>
    <mergeCell ref="O74:P74"/>
    <mergeCell ref="R74:S74"/>
    <mergeCell ref="T74:U74"/>
    <mergeCell ref="V74:Y74"/>
    <mergeCell ref="AA74:AC74"/>
    <mergeCell ref="AE74:AG74"/>
    <mergeCell ref="AI74:AK74"/>
    <mergeCell ref="AM74:AO74"/>
    <mergeCell ref="AP74:AQ74"/>
    <mergeCell ref="AR74:AS74"/>
    <mergeCell ref="AT74:AV74"/>
    <mergeCell ref="AW76:AY76"/>
    <mergeCell ref="B77:D77"/>
    <mergeCell ref="F77:H77"/>
    <mergeCell ref="I77:J77"/>
    <mergeCell ref="K77:L77"/>
    <mergeCell ref="O77:P77"/>
    <mergeCell ref="R77:S77"/>
    <mergeCell ref="T77:U77"/>
    <mergeCell ref="V77:Y77"/>
    <mergeCell ref="AA77:AC77"/>
    <mergeCell ref="AE77:AG77"/>
    <mergeCell ref="AI77:AK77"/>
    <mergeCell ref="AM77:AO77"/>
    <mergeCell ref="AP77:AQ77"/>
    <mergeCell ref="AR77:AS77"/>
    <mergeCell ref="AT77:AV77"/>
    <mergeCell ref="AW75:AY75"/>
    <mergeCell ref="B76:D76"/>
    <mergeCell ref="F76:H76"/>
    <mergeCell ref="I76:J76"/>
    <mergeCell ref="K76:L76"/>
    <mergeCell ref="O76:P76"/>
    <mergeCell ref="R76:S76"/>
    <mergeCell ref="T76:U76"/>
    <mergeCell ref="V76:Y76"/>
    <mergeCell ref="AA76:AC76"/>
    <mergeCell ref="AE76:AG76"/>
    <mergeCell ref="AI76:AK76"/>
    <mergeCell ref="AM76:AO76"/>
    <mergeCell ref="AP76:AQ76"/>
    <mergeCell ref="AR76:AS76"/>
    <mergeCell ref="AT76:AV76"/>
    <mergeCell ref="AW78:AY78"/>
    <mergeCell ref="B79:D79"/>
    <mergeCell ref="F79:H79"/>
    <mergeCell ref="I79:J79"/>
    <mergeCell ref="K79:L79"/>
    <mergeCell ref="O79:P79"/>
    <mergeCell ref="R79:S79"/>
    <mergeCell ref="T79:U79"/>
    <mergeCell ref="V79:Y79"/>
    <mergeCell ref="AA79:AC79"/>
    <mergeCell ref="AE79:AG79"/>
    <mergeCell ref="AI79:AK79"/>
    <mergeCell ref="AM79:AO79"/>
    <mergeCell ref="AP79:AQ79"/>
    <mergeCell ref="AR79:AS79"/>
    <mergeCell ref="AT79:AV79"/>
    <mergeCell ref="AW77:AY77"/>
    <mergeCell ref="B78:D78"/>
    <mergeCell ref="F78:H78"/>
    <mergeCell ref="I78:J78"/>
    <mergeCell ref="K78:L78"/>
    <mergeCell ref="O78:P78"/>
    <mergeCell ref="R78:S78"/>
    <mergeCell ref="T78:U78"/>
    <mergeCell ref="V78:Y78"/>
    <mergeCell ref="AA78:AC78"/>
    <mergeCell ref="AE78:AG78"/>
    <mergeCell ref="AI78:AK78"/>
    <mergeCell ref="AM78:AO78"/>
    <mergeCell ref="AP78:AQ78"/>
    <mergeCell ref="AR78:AS78"/>
    <mergeCell ref="AT78:AV78"/>
    <mergeCell ref="AW80:AY80"/>
    <mergeCell ref="B81:D81"/>
    <mergeCell ref="F81:H81"/>
    <mergeCell ref="I81:J81"/>
    <mergeCell ref="K81:L81"/>
    <mergeCell ref="O81:P81"/>
    <mergeCell ref="R81:S81"/>
    <mergeCell ref="T81:U81"/>
    <mergeCell ref="V81:Y81"/>
    <mergeCell ref="AA81:AC81"/>
    <mergeCell ref="AE81:AG81"/>
    <mergeCell ref="AI81:AK81"/>
    <mergeCell ref="AM81:AO81"/>
    <mergeCell ref="AP81:AQ81"/>
    <mergeCell ref="AR81:AS81"/>
    <mergeCell ref="AT81:AV81"/>
    <mergeCell ref="AW79:AY79"/>
    <mergeCell ref="B80:D80"/>
    <mergeCell ref="F80:H80"/>
    <mergeCell ref="I80:J80"/>
    <mergeCell ref="K80:L80"/>
    <mergeCell ref="O80:P80"/>
    <mergeCell ref="R80:S80"/>
    <mergeCell ref="T80:U80"/>
    <mergeCell ref="V80:Y80"/>
    <mergeCell ref="AA80:AC80"/>
    <mergeCell ref="AE80:AG80"/>
    <mergeCell ref="AI80:AK80"/>
    <mergeCell ref="AM80:AO80"/>
    <mergeCell ref="AP80:AQ80"/>
    <mergeCell ref="AR80:AS80"/>
    <mergeCell ref="AT80:AV80"/>
    <mergeCell ref="AW82:AY82"/>
    <mergeCell ref="B83:D83"/>
    <mergeCell ref="F83:H83"/>
    <mergeCell ref="I83:J83"/>
    <mergeCell ref="K83:L83"/>
    <mergeCell ref="O83:P83"/>
    <mergeCell ref="R83:S83"/>
    <mergeCell ref="T83:U83"/>
    <mergeCell ref="V83:Y83"/>
    <mergeCell ref="AA83:AC83"/>
    <mergeCell ref="AE83:AG83"/>
    <mergeCell ref="AI83:AK83"/>
    <mergeCell ref="AM83:AO83"/>
    <mergeCell ref="AP83:AQ83"/>
    <mergeCell ref="AR83:AS83"/>
    <mergeCell ref="AT83:AV83"/>
    <mergeCell ref="AW81:AY81"/>
    <mergeCell ref="B82:D82"/>
    <mergeCell ref="F82:H82"/>
    <mergeCell ref="I82:J82"/>
    <mergeCell ref="K82:L82"/>
    <mergeCell ref="O82:P82"/>
    <mergeCell ref="R82:S82"/>
    <mergeCell ref="T82:U82"/>
    <mergeCell ref="V82:Y82"/>
    <mergeCell ref="AA82:AC82"/>
    <mergeCell ref="AE82:AG82"/>
    <mergeCell ref="AI82:AK82"/>
    <mergeCell ref="AM82:AO82"/>
    <mergeCell ref="AP82:AQ82"/>
    <mergeCell ref="AR82:AS82"/>
    <mergeCell ref="AT82:AV82"/>
    <mergeCell ref="AW84:AY84"/>
    <mergeCell ref="B85:D85"/>
    <mergeCell ref="F85:H85"/>
    <mergeCell ref="I85:J85"/>
    <mergeCell ref="K85:L85"/>
    <mergeCell ref="O85:P85"/>
    <mergeCell ref="R85:S85"/>
    <mergeCell ref="T85:U85"/>
    <mergeCell ref="V85:Y85"/>
    <mergeCell ref="AA85:AC85"/>
    <mergeCell ref="AE85:AG85"/>
    <mergeCell ref="AI85:AK85"/>
    <mergeCell ref="AM85:AO85"/>
    <mergeCell ref="AP85:AQ85"/>
    <mergeCell ref="AR85:AS85"/>
    <mergeCell ref="AT85:AV85"/>
    <mergeCell ref="AW83:AY83"/>
    <mergeCell ref="B84:D84"/>
    <mergeCell ref="F84:H84"/>
    <mergeCell ref="I84:J84"/>
    <mergeCell ref="K84:L84"/>
    <mergeCell ref="O84:P84"/>
    <mergeCell ref="R84:S84"/>
    <mergeCell ref="T84:U84"/>
    <mergeCell ref="V84:Y84"/>
    <mergeCell ref="AA84:AC84"/>
    <mergeCell ref="AE84:AG84"/>
    <mergeCell ref="AI84:AK84"/>
    <mergeCell ref="AM84:AO84"/>
    <mergeCell ref="AP84:AQ84"/>
    <mergeCell ref="AR84:AS84"/>
    <mergeCell ref="AT84:AV84"/>
    <mergeCell ref="AW86:AY86"/>
    <mergeCell ref="B87:D87"/>
    <mergeCell ref="F87:H87"/>
    <mergeCell ref="I87:J87"/>
    <mergeCell ref="K87:L87"/>
    <mergeCell ref="O87:P87"/>
    <mergeCell ref="R87:S87"/>
    <mergeCell ref="T87:U87"/>
    <mergeCell ref="V87:Y87"/>
    <mergeCell ref="AA87:AC87"/>
    <mergeCell ref="AE87:AG87"/>
    <mergeCell ref="AI87:AK87"/>
    <mergeCell ref="AM87:AO87"/>
    <mergeCell ref="AP87:AQ87"/>
    <mergeCell ref="AR87:AS87"/>
    <mergeCell ref="AT87:AV87"/>
    <mergeCell ref="AW85:AY85"/>
    <mergeCell ref="B86:D86"/>
    <mergeCell ref="F86:H86"/>
    <mergeCell ref="I86:J86"/>
    <mergeCell ref="K86:L86"/>
    <mergeCell ref="O86:P86"/>
    <mergeCell ref="R86:S86"/>
    <mergeCell ref="T86:U86"/>
    <mergeCell ref="V86:Y86"/>
    <mergeCell ref="AA86:AC86"/>
    <mergeCell ref="AE86:AG86"/>
    <mergeCell ref="AI86:AK86"/>
    <mergeCell ref="AM86:AO86"/>
    <mergeCell ref="AP86:AQ86"/>
    <mergeCell ref="AR86:AS86"/>
    <mergeCell ref="AT86:AV86"/>
    <mergeCell ref="AW88:AY88"/>
    <mergeCell ref="B89:D89"/>
    <mergeCell ref="F89:H89"/>
    <mergeCell ref="I89:J89"/>
    <mergeCell ref="K89:L89"/>
    <mergeCell ref="O89:P89"/>
    <mergeCell ref="R89:S89"/>
    <mergeCell ref="T89:U89"/>
    <mergeCell ref="V89:Y89"/>
    <mergeCell ref="AA89:AC89"/>
    <mergeCell ref="AE89:AG89"/>
    <mergeCell ref="AI89:AK89"/>
    <mergeCell ref="AM89:AO89"/>
    <mergeCell ref="AP89:AQ89"/>
    <mergeCell ref="AR89:AS89"/>
    <mergeCell ref="AT89:AV89"/>
    <mergeCell ref="AW87:AY87"/>
    <mergeCell ref="B88:D88"/>
    <mergeCell ref="F88:H88"/>
    <mergeCell ref="I88:J88"/>
    <mergeCell ref="K88:L88"/>
    <mergeCell ref="O88:P88"/>
    <mergeCell ref="R88:S88"/>
    <mergeCell ref="T88:U88"/>
    <mergeCell ref="V88:Y88"/>
    <mergeCell ref="AA88:AC88"/>
    <mergeCell ref="AE88:AG88"/>
    <mergeCell ref="AI88:AK88"/>
    <mergeCell ref="AM88:AO88"/>
    <mergeCell ref="AP88:AQ88"/>
    <mergeCell ref="AR88:AS88"/>
    <mergeCell ref="AT88:AV88"/>
    <mergeCell ref="AW90:AY90"/>
    <mergeCell ref="B91:D91"/>
    <mergeCell ref="F91:H91"/>
    <mergeCell ref="I91:J91"/>
    <mergeCell ref="K91:L91"/>
    <mergeCell ref="O91:P91"/>
    <mergeCell ref="R91:S91"/>
    <mergeCell ref="T91:U91"/>
    <mergeCell ref="V91:Y91"/>
    <mergeCell ref="AA91:AC91"/>
    <mergeCell ref="AE91:AG91"/>
    <mergeCell ref="AI91:AK91"/>
    <mergeCell ref="AM91:AO91"/>
    <mergeCell ref="AP91:AQ91"/>
    <mergeCell ref="AR91:AS91"/>
    <mergeCell ref="AT91:AV91"/>
    <mergeCell ref="AW89:AY89"/>
    <mergeCell ref="B90:D90"/>
    <mergeCell ref="F90:H90"/>
    <mergeCell ref="I90:J90"/>
    <mergeCell ref="K90:L90"/>
    <mergeCell ref="O90:P90"/>
    <mergeCell ref="R90:S90"/>
    <mergeCell ref="T90:U90"/>
    <mergeCell ref="V90:Y90"/>
    <mergeCell ref="AA90:AC90"/>
    <mergeCell ref="AE90:AG90"/>
    <mergeCell ref="AI90:AK90"/>
    <mergeCell ref="AM90:AO90"/>
    <mergeCell ref="AP90:AQ90"/>
    <mergeCell ref="AR90:AS90"/>
    <mergeCell ref="AT90:AV90"/>
    <mergeCell ref="AW92:AY92"/>
    <mergeCell ref="B93:D93"/>
    <mergeCell ref="F93:H93"/>
    <mergeCell ref="I93:J93"/>
    <mergeCell ref="K93:L93"/>
    <mergeCell ref="O93:P93"/>
    <mergeCell ref="R93:S93"/>
    <mergeCell ref="T93:U93"/>
    <mergeCell ref="V93:Y93"/>
    <mergeCell ref="AA93:AC93"/>
    <mergeCell ref="AE93:AG93"/>
    <mergeCell ref="AI93:AK93"/>
    <mergeCell ref="AM93:AO93"/>
    <mergeCell ref="AP93:AQ93"/>
    <mergeCell ref="AR93:AS93"/>
    <mergeCell ref="AT93:AV93"/>
    <mergeCell ref="AW91:AY91"/>
    <mergeCell ref="B92:D92"/>
    <mergeCell ref="F92:H92"/>
    <mergeCell ref="I92:J92"/>
    <mergeCell ref="K92:L92"/>
    <mergeCell ref="O92:P92"/>
    <mergeCell ref="R92:S92"/>
    <mergeCell ref="T92:U92"/>
    <mergeCell ref="V92:Y92"/>
    <mergeCell ref="AA92:AC92"/>
    <mergeCell ref="AE92:AG92"/>
    <mergeCell ref="AI92:AK92"/>
    <mergeCell ref="AM92:AO92"/>
    <mergeCell ref="AP92:AQ92"/>
    <mergeCell ref="AR92:AS92"/>
    <mergeCell ref="AT92:AV92"/>
    <mergeCell ref="AW94:AY94"/>
    <mergeCell ref="B95:D95"/>
    <mergeCell ref="F95:H95"/>
    <mergeCell ref="I95:J95"/>
    <mergeCell ref="K95:L95"/>
    <mergeCell ref="O95:P95"/>
    <mergeCell ref="R95:S95"/>
    <mergeCell ref="T95:U95"/>
    <mergeCell ref="V95:Y95"/>
    <mergeCell ref="AA95:AC95"/>
    <mergeCell ref="AE95:AG95"/>
    <mergeCell ref="AI95:AK95"/>
    <mergeCell ref="AM95:AO95"/>
    <mergeCell ref="AP95:AQ95"/>
    <mergeCell ref="AR95:AS95"/>
    <mergeCell ref="AT95:AV95"/>
    <mergeCell ref="AW93:AY93"/>
    <mergeCell ref="B94:D94"/>
    <mergeCell ref="F94:H94"/>
    <mergeCell ref="I94:J94"/>
    <mergeCell ref="K94:L94"/>
    <mergeCell ref="O94:P94"/>
    <mergeCell ref="R94:S94"/>
    <mergeCell ref="T94:U94"/>
    <mergeCell ref="V94:Y94"/>
    <mergeCell ref="AA94:AC94"/>
    <mergeCell ref="AE94:AG94"/>
    <mergeCell ref="AI94:AK94"/>
    <mergeCell ref="AM94:AO94"/>
    <mergeCell ref="AP94:AQ94"/>
    <mergeCell ref="AR94:AS94"/>
    <mergeCell ref="AT94:AV94"/>
    <mergeCell ref="AW96:AY96"/>
    <mergeCell ref="B97:D97"/>
    <mergeCell ref="F97:H97"/>
    <mergeCell ref="I97:J97"/>
    <mergeCell ref="K97:L97"/>
    <mergeCell ref="O97:P97"/>
    <mergeCell ref="R97:S97"/>
    <mergeCell ref="T97:U97"/>
    <mergeCell ref="V97:Y97"/>
    <mergeCell ref="AA97:AC97"/>
    <mergeCell ref="AE97:AG97"/>
    <mergeCell ref="AI97:AK97"/>
    <mergeCell ref="AM97:AO97"/>
    <mergeCell ref="AP97:AQ97"/>
    <mergeCell ref="AR97:AS97"/>
    <mergeCell ref="AT97:AV97"/>
    <mergeCell ref="AW95:AY95"/>
    <mergeCell ref="B96:D96"/>
    <mergeCell ref="F96:H96"/>
    <mergeCell ref="I96:J96"/>
    <mergeCell ref="K96:L96"/>
    <mergeCell ref="O96:P96"/>
    <mergeCell ref="R96:S96"/>
    <mergeCell ref="T96:U96"/>
    <mergeCell ref="V96:Y96"/>
    <mergeCell ref="AA96:AC96"/>
    <mergeCell ref="AE96:AG96"/>
    <mergeCell ref="AI96:AK96"/>
    <mergeCell ref="AM96:AO96"/>
    <mergeCell ref="AP96:AQ96"/>
    <mergeCell ref="AR96:AS96"/>
    <mergeCell ref="AT96:AV96"/>
    <mergeCell ref="AW98:AY98"/>
    <mergeCell ref="B99:D99"/>
    <mergeCell ref="F99:H99"/>
    <mergeCell ref="I99:J99"/>
    <mergeCell ref="K99:L99"/>
    <mergeCell ref="O99:P99"/>
    <mergeCell ref="R99:S99"/>
    <mergeCell ref="T99:U99"/>
    <mergeCell ref="V99:Y99"/>
    <mergeCell ref="AA99:AC99"/>
    <mergeCell ref="AE99:AG99"/>
    <mergeCell ref="AI99:AK99"/>
    <mergeCell ref="AM99:AO99"/>
    <mergeCell ref="AP99:AQ99"/>
    <mergeCell ref="AR99:AS99"/>
    <mergeCell ref="AT99:AV99"/>
    <mergeCell ref="AW97:AY97"/>
    <mergeCell ref="B98:D98"/>
    <mergeCell ref="F98:H98"/>
    <mergeCell ref="I98:J98"/>
    <mergeCell ref="K98:L98"/>
    <mergeCell ref="O98:P98"/>
    <mergeCell ref="R98:S98"/>
    <mergeCell ref="T98:U98"/>
    <mergeCell ref="V98:Y98"/>
    <mergeCell ref="AA98:AC98"/>
    <mergeCell ref="AE98:AG98"/>
    <mergeCell ref="AI98:AK98"/>
    <mergeCell ref="AM98:AO98"/>
    <mergeCell ref="AP98:AQ98"/>
    <mergeCell ref="AR98:AS98"/>
    <mergeCell ref="AT98:AV98"/>
    <mergeCell ref="AW100:AY100"/>
    <mergeCell ref="B101:D101"/>
    <mergeCell ref="F101:H101"/>
    <mergeCell ref="I101:J101"/>
    <mergeCell ref="K101:L101"/>
    <mergeCell ref="O101:P101"/>
    <mergeCell ref="R101:S101"/>
    <mergeCell ref="T101:U101"/>
    <mergeCell ref="V101:Y101"/>
    <mergeCell ref="AA101:AC101"/>
    <mergeCell ref="AE101:AG101"/>
    <mergeCell ref="AI101:AK101"/>
    <mergeCell ref="AM101:AO101"/>
    <mergeCell ref="AP101:AQ101"/>
    <mergeCell ref="AR101:AS101"/>
    <mergeCell ref="AT101:AV101"/>
    <mergeCell ref="AW99:AY99"/>
    <mergeCell ref="B100:D100"/>
    <mergeCell ref="F100:H100"/>
    <mergeCell ref="I100:J100"/>
    <mergeCell ref="K100:L100"/>
    <mergeCell ref="O100:P100"/>
    <mergeCell ref="R100:S100"/>
    <mergeCell ref="T100:U100"/>
    <mergeCell ref="V100:Y100"/>
    <mergeCell ref="AA100:AC100"/>
    <mergeCell ref="AE100:AG100"/>
    <mergeCell ref="AI100:AK100"/>
    <mergeCell ref="AM100:AO100"/>
    <mergeCell ref="AP100:AQ100"/>
    <mergeCell ref="AR100:AS100"/>
    <mergeCell ref="AT100:AV100"/>
    <mergeCell ref="AW102:AY102"/>
    <mergeCell ref="B103:D103"/>
    <mergeCell ref="F103:H103"/>
    <mergeCell ref="I103:J103"/>
    <mergeCell ref="K103:L103"/>
    <mergeCell ref="O103:P103"/>
    <mergeCell ref="R103:S103"/>
    <mergeCell ref="T103:U103"/>
    <mergeCell ref="V103:Y103"/>
    <mergeCell ref="AA103:AC103"/>
    <mergeCell ref="AE103:AG103"/>
    <mergeCell ref="AI103:AK103"/>
    <mergeCell ref="AM103:AO103"/>
    <mergeCell ref="AP103:AQ103"/>
    <mergeCell ref="AR103:AS103"/>
    <mergeCell ref="AT103:AV103"/>
    <mergeCell ref="AW101:AY101"/>
    <mergeCell ref="B102:D102"/>
    <mergeCell ref="F102:H102"/>
    <mergeCell ref="I102:J102"/>
    <mergeCell ref="K102:L102"/>
    <mergeCell ref="O102:P102"/>
    <mergeCell ref="R102:S102"/>
    <mergeCell ref="T102:U102"/>
    <mergeCell ref="V102:Y102"/>
    <mergeCell ref="AA102:AC102"/>
    <mergeCell ref="AE102:AG102"/>
    <mergeCell ref="AI102:AK102"/>
    <mergeCell ref="AM102:AO102"/>
    <mergeCell ref="AP102:AQ102"/>
    <mergeCell ref="AR102:AS102"/>
    <mergeCell ref="AT102:AV102"/>
    <mergeCell ref="AW104:AY104"/>
    <mergeCell ref="B105:D105"/>
    <mergeCell ref="F105:H105"/>
    <mergeCell ref="I105:J105"/>
    <mergeCell ref="K105:L105"/>
    <mergeCell ref="O105:P105"/>
    <mergeCell ref="R105:S105"/>
    <mergeCell ref="T105:U105"/>
    <mergeCell ref="V105:Y105"/>
    <mergeCell ref="AA105:AC105"/>
    <mergeCell ref="AE105:AG105"/>
    <mergeCell ref="AI105:AK105"/>
    <mergeCell ref="AM105:AO105"/>
    <mergeCell ref="AP105:AQ105"/>
    <mergeCell ref="AR105:AS105"/>
    <mergeCell ref="AT105:AV105"/>
    <mergeCell ref="AW103:AY103"/>
    <mergeCell ref="B104:D104"/>
    <mergeCell ref="F104:H104"/>
    <mergeCell ref="I104:J104"/>
    <mergeCell ref="K104:L104"/>
    <mergeCell ref="O104:P104"/>
    <mergeCell ref="R104:S104"/>
    <mergeCell ref="T104:U104"/>
    <mergeCell ref="V104:Y104"/>
    <mergeCell ref="AA104:AC104"/>
    <mergeCell ref="AE104:AG104"/>
    <mergeCell ref="AI104:AK104"/>
    <mergeCell ref="AM104:AO104"/>
    <mergeCell ref="AP104:AQ104"/>
    <mergeCell ref="AR104:AS104"/>
    <mergeCell ref="AT104:AV104"/>
    <mergeCell ref="AW106:AY106"/>
    <mergeCell ref="B107:D107"/>
    <mergeCell ref="F107:H107"/>
    <mergeCell ref="I107:J107"/>
    <mergeCell ref="K107:L107"/>
    <mergeCell ref="O107:P107"/>
    <mergeCell ref="R107:S107"/>
    <mergeCell ref="T107:U107"/>
    <mergeCell ref="V107:Y107"/>
    <mergeCell ref="AA107:AC107"/>
    <mergeCell ref="AE107:AG107"/>
    <mergeCell ref="AI107:AK107"/>
    <mergeCell ref="AM107:AO107"/>
    <mergeCell ref="AP107:AQ107"/>
    <mergeCell ref="AR107:AS107"/>
    <mergeCell ref="AT107:AV107"/>
    <mergeCell ref="AW105:AY105"/>
    <mergeCell ref="B106:D106"/>
    <mergeCell ref="F106:H106"/>
    <mergeCell ref="I106:J106"/>
    <mergeCell ref="K106:L106"/>
    <mergeCell ref="O106:P106"/>
    <mergeCell ref="R106:S106"/>
    <mergeCell ref="T106:U106"/>
    <mergeCell ref="V106:Y106"/>
    <mergeCell ref="AA106:AC106"/>
    <mergeCell ref="AE106:AG106"/>
    <mergeCell ref="AI106:AK106"/>
    <mergeCell ref="AM106:AO106"/>
    <mergeCell ref="AP106:AQ106"/>
    <mergeCell ref="AR106:AS106"/>
    <mergeCell ref="AT106:AV106"/>
    <mergeCell ref="AW108:AY108"/>
    <mergeCell ref="B109:D109"/>
    <mergeCell ref="F109:H109"/>
    <mergeCell ref="I109:J109"/>
    <mergeCell ref="K109:L109"/>
    <mergeCell ref="O109:P109"/>
    <mergeCell ref="R109:S109"/>
    <mergeCell ref="T109:U109"/>
    <mergeCell ref="V109:Y109"/>
    <mergeCell ref="AA109:AC109"/>
    <mergeCell ref="AE109:AG109"/>
    <mergeCell ref="AI109:AK109"/>
    <mergeCell ref="AM109:AO109"/>
    <mergeCell ref="AP109:AQ109"/>
    <mergeCell ref="AR109:AS109"/>
    <mergeCell ref="AT109:AV109"/>
    <mergeCell ref="AW107:AY107"/>
    <mergeCell ref="B108:D108"/>
    <mergeCell ref="F108:H108"/>
    <mergeCell ref="I108:J108"/>
    <mergeCell ref="K108:L108"/>
    <mergeCell ref="O108:P108"/>
    <mergeCell ref="R108:S108"/>
    <mergeCell ref="T108:U108"/>
    <mergeCell ref="V108:Y108"/>
    <mergeCell ref="AA108:AC108"/>
    <mergeCell ref="AE108:AG108"/>
    <mergeCell ref="AI108:AK108"/>
    <mergeCell ref="AM108:AO108"/>
    <mergeCell ref="AP108:AQ108"/>
    <mergeCell ref="AR108:AS108"/>
    <mergeCell ref="AT108:AV108"/>
    <mergeCell ref="AW110:AY110"/>
    <mergeCell ref="B111:D111"/>
    <mergeCell ref="F111:H111"/>
    <mergeCell ref="I111:J111"/>
    <mergeCell ref="K111:L111"/>
    <mergeCell ref="O111:P111"/>
    <mergeCell ref="R111:S111"/>
    <mergeCell ref="T111:U111"/>
    <mergeCell ref="V111:Y111"/>
    <mergeCell ref="AA111:AC111"/>
    <mergeCell ref="AE111:AG111"/>
    <mergeCell ref="AI111:AK111"/>
    <mergeCell ref="AM111:AO111"/>
    <mergeCell ref="AP111:AQ111"/>
    <mergeCell ref="AR111:AS111"/>
    <mergeCell ref="AT111:AV111"/>
    <mergeCell ref="AW109:AY109"/>
    <mergeCell ref="B110:D110"/>
    <mergeCell ref="F110:H110"/>
    <mergeCell ref="I110:J110"/>
    <mergeCell ref="K110:L110"/>
    <mergeCell ref="O110:P110"/>
    <mergeCell ref="R110:S110"/>
    <mergeCell ref="T110:U110"/>
    <mergeCell ref="V110:Y110"/>
    <mergeCell ref="AA110:AC110"/>
    <mergeCell ref="AE110:AG110"/>
    <mergeCell ref="AI110:AK110"/>
    <mergeCell ref="AM110:AO110"/>
    <mergeCell ref="AP110:AQ110"/>
    <mergeCell ref="AR110:AS110"/>
    <mergeCell ref="AT110:AV110"/>
    <mergeCell ref="AW112:AY112"/>
    <mergeCell ref="B113:D113"/>
    <mergeCell ref="F113:H113"/>
    <mergeCell ref="I113:J113"/>
    <mergeCell ref="K113:L113"/>
    <mergeCell ref="O113:P113"/>
    <mergeCell ref="R113:S113"/>
    <mergeCell ref="T113:U113"/>
    <mergeCell ref="V113:Y113"/>
    <mergeCell ref="AA113:AC113"/>
    <mergeCell ref="AE113:AG113"/>
    <mergeCell ref="AI113:AK113"/>
    <mergeCell ref="AM113:AO113"/>
    <mergeCell ref="AP113:AQ113"/>
    <mergeCell ref="AR113:AS113"/>
    <mergeCell ref="AT113:AV113"/>
    <mergeCell ref="AW111:AY111"/>
    <mergeCell ref="B112:D112"/>
    <mergeCell ref="F112:H112"/>
    <mergeCell ref="I112:J112"/>
    <mergeCell ref="K112:L112"/>
    <mergeCell ref="O112:P112"/>
    <mergeCell ref="R112:S112"/>
    <mergeCell ref="T112:U112"/>
    <mergeCell ref="V112:Y112"/>
    <mergeCell ref="AA112:AC112"/>
    <mergeCell ref="AE112:AG112"/>
    <mergeCell ref="AI112:AK112"/>
    <mergeCell ref="AM112:AO112"/>
    <mergeCell ref="AP112:AQ112"/>
    <mergeCell ref="AR112:AS112"/>
    <mergeCell ref="AT112:AV112"/>
    <mergeCell ref="AW114:AY114"/>
    <mergeCell ref="B115:D115"/>
    <mergeCell ref="F115:H115"/>
    <mergeCell ref="I115:J115"/>
    <mergeCell ref="K115:L115"/>
    <mergeCell ref="O115:P115"/>
    <mergeCell ref="R115:S115"/>
    <mergeCell ref="T115:U115"/>
    <mergeCell ref="V115:Y115"/>
    <mergeCell ref="AA115:AC115"/>
    <mergeCell ref="AE115:AG115"/>
    <mergeCell ref="AI115:AK115"/>
    <mergeCell ref="AM115:AO115"/>
    <mergeCell ref="AP115:AQ115"/>
    <mergeCell ref="AR115:AS115"/>
    <mergeCell ref="AT115:AV115"/>
    <mergeCell ref="AW113:AY113"/>
    <mergeCell ref="B114:D114"/>
    <mergeCell ref="F114:H114"/>
    <mergeCell ref="I114:J114"/>
    <mergeCell ref="K114:L114"/>
    <mergeCell ref="O114:P114"/>
    <mergeCell ref="R114:S114"/>
    <mergeCell ref="T114:U114"/>
    <mergeCell ref="V114:Y114"/>
    <mergeCell ref="AA114:AC114"/>
    <mergeCell ref="AE114:AG114"/>
    <mergeCell ref="AI114:AK114"/>
    <mergeCell ref="AM114:AO114"/>
    <mergeCell ref="AP114:AQ114"/>
    <mergeCell ref="AR114:AS114"/>
    <mergeCell ref="AT114:AV114"/>
    <mergeCell ref="AW116:AY116"/>
    <mergeCell ref="B117:D117"/>
    <mergeCell ref="F117:H117"/>
    <mergeCell ref="I117:J117"/>
    <mergeCell ref="K117:L117"/>
    <mergeCell ref="O117:P117"/>
    <mergeCell ref="R117:S117"/>
    <mergeCell ref="T117:U117"/>
    <mergeCell ref="V117:Y117"/>
    <mergeCell ref="AA117:AC117"/>
    <mergeCell ref="AE117:AG117"/>
    <mergeCell ref="AI117:AK117"/>
    <mergeCell ref="AM117:AO117"/>
    <mergeCell ref="AP117:AQ117"/>
    <mergeCell ref="AR117:AS117"/>
    <mergeCell ref="AT117:AV117"/>
    <mergeCell ref="AW115:AY115"/>
    <mergeCell ref="B116:D116"/>
    <mergeCell ref="F116:H116"/>
    <mergeCell ref="I116:J116"/>
    <mergeCell ref="K116:L116"/>
    <mergeCell ref="O116:P116"/>
    <mergeCell ref="R116:S116"/>
    <mergeCell ref="T116:U116"/>
    <mergeCell ref="V116:Y116"/>
    <mergeCell ref="AA116:AC116"/>
    <mergeCell ref="AE116:AG116"/>
    <mergeCell ref="AI116:AK116"/>
    <mergeCell ref="AM116:AO116"/>
    <mergeCell ref="AP116:AQ116"/>
    <mergeCell ref="AR116:AS116"/>
    <mergeCell ref="AT116:AV116"/>
    <mergeCell ref="AW118:AY118"/>
    <mergeCell ref="B119:D119"/>
    <mergeCell ref="F119:H119"/>
    <mergeCell ref="I119:J119"/>
    <mergeCell ref="K119:L119"/>
    <mergeCell ref="O119:P119"/>
    <mergeCell ref="R119:S119"/>
    <mergeCell ref="T119:U119"/>
    <mergeCell ref="V119:Y119"/>
    <mergeCell ref="AA119:AC119"/>
    <mergeCell ref="AE119:AG119"/>
    <mergeCell ref="AI119:AK119"/>
    <mergeCell ref="AM119:AO119"/>
    <mergeCell ref="AP119:AQ119"/>
    <mergeCell ref="AR119:AS119"/>
    <mergeCell ref="AT119:AV119"/>
    <mergeCell ref="AW117:AY117"/>
    <mergeCell ref="B118:D118"/>
    <mergeCell ref="F118:H118"/>
    <mergeCell ref="I118:J118"/>
    <mergeCell ref="K118:L118"/>
    <mergeCell ref="O118:P118"/>
    <mergeCell ref="R118:S118"/>
    <mergeCell ref="T118:U118"/>
    <mergeCell ref="V118:Y118"/>
    <mergeCell ref="AA118:AC118"/>
    <mergeCell ref="AE118:AG118"/>
    <mergeCell ref="AI118:AK118"/>
    <mergeCell ref="AM118:AO118"/>
    <mergeCell ref="AP118:AQ118"/>
    <mergeCell ref="AR118:AS118"/>
    <mergeCell ref="AT118:AV118"/>
    <mergeCell ref="AW120:AY120"/>
    <mergeCell ref="B121:D121"/>
    <mergeCell ref="F121:H121"/>
    <mergeCell ref="I121:J121"/>
    <mergeCell ref="K121:L121"/>
    <mergeCell ref="O121:P121"/>
    <mergeCell ref="R121:S121"/>
    <mergeCell ref="T121:U121"/>
    <mergeCell ref="V121:Y121"/>
    <mergeCell ref="AA121:AC121"/>
    <mergeCell ref="AE121:AG121"/>
    <mergeCell ref="AI121:AK121"/>
    <mergeCell ref="AM121:AO121"/>
    <mergeCell ref="AP121:AQ121"/>
    <mergeCell ref="AR121:AS121"/>
    <mergeCell ref="AT121:AV121"/>
    <mergeCell ref="AW119:AY119"/>
    <mergeCell ref="B120:D120"/>
    <mergeCell ref="F120:H120"/>
    <mergeCell ref="I120:J120"/>
    <mergeCell ref="K120:L120"/>
    <mergeCell ref="O120:P120"/>
    <mergeCell ref="R120:S120"/>
    <mergeCell ref="T120:U120"/>
    <mergeCell ref="V120:Y120"/>
    <mergeCell ref="AA120:AC120"/>
    <mergeCell ref="AE120:AG120"/>
    <mergeCell ref="AI120:AK120"/>
    <mergeCell ref="AM120:AO120"/>
    <mergeCell ref="AP120:AQ120"/>
    <mergeCell ref="AR120:AS120"/>
    <mergeCell ref="AT120:AV120"/>
    <mergeCell ref="AW122:AY122"/>
    <mergeCell ref="B123:D123"/>
    <mergeCell ref="F123:H123"/>
    <mergeCell ref="I123:J123"/>
    <mergeCell ref="K123:L123"/>
    <mergeCell ref="O123:P123"/>
    <mergeCell ref="R123:S123"/>
    <mergeCell ref="T123:U123"/>
    <mergeCell ref="V123:Y123"/>
    <mergeCell ref="AA123:AC123"/>
    <mergeCell ref="AE123:AG123"/>
    <mergeCell ref="AI123:AK123"/>
    <mergeCell ref="AM123:AO123"/>
    <mergeCell ref="AP123:AQ123"/>
    <mergeCell ref="AR123:AS123"/>
    <mergeCell ref="AT123:AV123"/>
    <mergeCell ref="AW121:AY121"/>
    <mergeCell ref="B122:D122"/>
    <mergeCell ref="F122:H122"/>
    <mergeCell ref="I122:J122"/>
    <mergeCell ref="K122:L122"/>
    <mergeCell ref="O122:P122"/>
    <mergeCell ref="R122:S122"/>
    <mergeCell ref="T122:U122"/>
    <mergeCell ref="V122:Y122"/>
    <mergeCell ref="AA122:AC122"/>
    <mergeCell ref="AE122:AG122"/>
    <mergeCell ref="AI122:AK122"/>
    <mergeCell ref="AM122:AO122"/>
    <mergeCell ref="AP122:AQ122"/>
    <mergeCell ref="AR122:AS122"/>
    <mergeCell ref="AT122:AV122"/>
    <mergeCell ref="AW124:AY124"/>
    <mergeCell ref="B125:D125"/>
    <mergeCell ref="F125:H125"/>
    <mergeCell ref="I125:J125"/>
    <mergeCell ref="K125:L125"/>
    <mergeCell ref="O125:P125"/>
    <mergeCell ref="R125:S125"/>
    <mergeCell ref="T125:U125"/>
    <mergeCell ref="V125:Y125"/>
    <mergeCell ref="AA125:AC125"/>
    <mergeCell ref="AE125:AG125"/>
    <mergeCell ref="AI125:AK125"/>
    <mergeCell ref="AM125:AO125"/>
    <mergeCell ref="AP125:AQ125"/>
    <mergeCell ref="AR125:AS125"/>
    <mergeCell ref="AT125:AV125"/>
    <mergeCell ref="AW123:AY123"/>
    <mergeCell ref="B124:D124"/>
    <mergeCell ref="F124:H124"/>
    <mergeCell ref="I124:J124"/>
    <mergeCell ref="K124:L124"/>
    <mergeCell ref="O124:P124"/>
    <mergeCell ref="R124:S124"/>
    <mergeCell ref="T124:U124"/>
    <mergeCell ref="V124:Y124"/>
    <mergeCell ref="AA124:AC124"/>
    <mergeCell ref="AE124:AG124"/>
    <mergeCell ref="AI124:AK124"/>
    <mergeCell ref="AM124:AO124"/>
    <mergeCell ref="AP124:AQ124"/>
    <mergeCell ref="AR124:AS124"/>
    <mergeCell ref="AT124:AV124"/>
    <mergeCell ref="AW126:AY126"/>
    <mergeCell ref="B127:D127"/>
    <mergeCell ref="F127:H127"/>
    <mergeCell ref="I127:J127"/>
    <mergeCell ref="K127:L127"/>
    <mergeCell ref="O127:P127"/>
    <mergeCell ref="R127:S127"/>
    <mergeCell ref="T127:U127"/>
    <mergeCell ref="V127:Y127"/>
    <mergeCell ref="AA127:AC127"/>
    <mergeCell ref="AE127:AG127"/>
    <mergeCell ref="AI127:AK127"/>
    <mergeCell ref="AM127:AO127"/>
    <mergeCell ref="AP127:AQ127"/>
    <mergeCell ref="AR127:AS127"/>
    <mergeCell ref="AT127:AV127"/>
    <mergeCell ref="AW125:AY125"/>
    <mergeCell ref="B126:D126"/>
    <mergeCell ref="F126:H126"/>
    <mergeCell ref="I126:J126"/>
    <mergeCell ref="K126:L126"/>
    <mergeCell ref="O126:P126"/>
    <mergeCell ref="R126:S126"/>
    <mergeCell ref="T126:U126"/>
    <mergeCell ref="V126:Y126"/>
    <mergeCell ref="AA126:AC126"/>
    <mergeCell ref="AE126:AG126"/>
    <mergeCell ref="AI126:AK126"/>
    <mergeCell ref="AM126:AO126"/>
    <mergeCell ref="AP126:AQ126"/>
    <mergeCell ref="AR126:AS126"/>
    <mergeCell ref="AT126:AV126"/>
    <mergeCell ref="AW128:AY128"/>
    <mergeCell ref="B129:D129"/>
    <mergeCell ref="F129:H129"/>
    <mergeCell ref="I129:J129"/>
    <mergeCell ref="K129:L129"/>
    <mergeCell ref="O129:P129"/>
    <mergeCell ref="R129:S129"/>
    <mergeCell ref="T129:U129"/>
    <mergeCell ref="V129:Y129"/>
    <mergeCell ref="AA129:AC129"/>
    <mergeCell ref="AE129:AG129"/>
    <mergeCell ref="AI129:AK129"/>
    <mergeCell ref="AM129:AO129"/>
    <mergeCell ref="AP129:AQ129"/>
    <mergeCell ref="AR129:AS129"/>
    <mergeCell ref="AT129:AV129"/>
    <mergeCell ref="AW127:AY127"/>
    <mergeCell ref="B128:D128"/>
    <mergeCell ref="F128:H128"/>
    <mergeCell ref="I128:J128"/>
    <mergeCell ref="K128:L128"/>
    <mergeCell ref="O128:P128"/>
    <mergeCell ref="R128:S128"/>
    <mergeCell ref="T128:U128"/>
    <mergeCell ref="V128:Y128"/>
    <mergeCell ref="AA128:AC128"/>
    <mergeCell ref="AE128:AG128"/>
    <mergeCell ref="AI128:AK128"/>
    <mergeCell ref="AM128:AO128"/>
    <mergeCell ref="AP128:AQ128"/>
    <mergeCell ref="AR128:AS128"/>
    <mergeCell ref="AT128:AV128"/>
    <mergeCell ref="AW130:AY130"/>
    <mergeCell ref="B131:D131"/>
    <mergeCell ref="F131:H131"/>
    <mergeCell ref="I131:J131"/>
    <mergeCell ref="K131:L131"/>
    <mergeCell ref="O131:P131"/>
    <mergeCell ref="R131:S131"/>
    <mergeCell ref="T131:U131"/>
    <mergeCell ref="V131:Y131"/>
    <mergeCell ref="AA131:AC131"/>
    <mergeCell ref="AE131:AG131"/>
    <mergeCell ref="AI131:AK131"/>
    <mergeCell ref="AM131:AO131"/>
    <mergeCell ref="AP131:AQ131"/>
    <mergeCell ref="AR131:AS131"/>
    <mergeCell ref="AT131:AV131"/>
    <mergeCell ref="AW129:AY129"/>
    <mergeCell ref="B130:D130"/>
    <mergeCell ref="F130:H130"/>
    <mergeCell ref="I130:J130"/>
    <mergeCell ref="K130:L130"/>
    <mergeCell ref="O130:P130"/>
    <mergeCell ref="R130:S130"/>
    <mergeCell ref="T130:U130"/>
    <mergeCell ref="V130:Y130"/>
    <mergeCell ref="AA130:AC130"/>
    <mergeCell ref="AE130:AG130"/>
    <mergeCell ref="AI130:AK130"/>
    <mergeCell ref="AM130:AO130"/>
    <mergeCell ref="AP130:AQ130"/>
    <mergeCell ref="AR130:AS130"/>
    <mergeCell ref="AT130:AV130"/>
    <mergeCell ref="AW132:AY132"/>
    <mergeCell ref="B133:D133"/>
    <mergeCell ref="F133:H133"/>
    <mergeCell ref="I133:J133"/>
    <mergeCell ref="K133:L133"/>
    <mergeCell ref="O133:P133"/>
    <mergeCell ref="R133:S133"/>
    <mergeCell ref="T133:U133"/>
    <mergeCell ref="V133:Y133"/>
    <mergeCell ref="AA133:AC133"/>
    <mergeCell ref="AE133:AG133"/>
    <mergeCell ref="AI133:AK133"/>
    <mergeCell ref="AM133:AO133"/>
    <mergeCell ref="AP133:AQ133"/>
    <mergeCell ref="AR133:AS133"/>
    <mergeCell ref="AT133:AV133"/>
    <mergeCell ref="AW131:AY131"/>
    <mergeCell ref="B132:D132"/>
    <mergeCell ref="F132:H132"/>
    <mergeCell ref="I132:J132"/>
    <mergeCell ref="K132:L132"/>
    <mergeCell ref="O132:P132"/>
    <mergeCell ref="R132:S132"/>
    <mergeCell ref="T132:U132"/>
    <mergeCell ref="V132:Y132"/>
    <mergeCell ref="AA132:AC132"/>
    <mergeCell ref="AE132:AG132"/>
    <mergeCell ref="AI132:AK132"/>
    <mergeCell ref="AM132:AO132"/>
    <mergeCell ref="AP132:AQ132"/>
    <mergeCell ref="AR132:AS132"/>
    <mergeCell ref="AT132:AV132"/>
    <mergeCell ref="AW134:AY134"/>
    <mergeCell ref="B135:D135"/>
    <mergeCell ref="F135:H135"/>
    <mergeCell ref="I135:J135"/>
    <mergeCell ref="K135:L135"/>
    <mergeCell ref="O135:P135"/>
    <mergeCell ref="R135:S135"/>
    <mergeCell ref="T135:U135"/>
    <mergeCell ref="V135:Y135"/>
    <mergeCell ref="AA135:AC135"/>
    <mergeCell ref="AE135:AG135"/>
    <mergeCell ref="AI135:AK135"/>
    <mergeCell ref="AM135:AO135"/>
    <mergeCell ref="AP135:AQ135"/>
    <mergeCell ref="AR135:AS135"/>
    <mergeCell ref="AT135:AV135"/>
    <mergeCell ref="AW133:AY133"/>
    <mergeCell ref="B134:D134"/>
    <mergeCell ref="F134:H134"/>
    <mergeCell ref="I134:J134"/>
    <mergeCell ref="K134:L134"/>
    <mergeCell ref="O134:P134"/>
    <mergeCell ref="R134:S134"/>
    <mergeCell ref="T134:U134"/>
    <mergeCell ref="V134:Y134"/>
    <mergeCell ref="AA134:AC134"/>
    <mergeCell ref="AE134:AG134"/>
    <mergeCell ref="AI134:AK134"/>
    <mergeCell ref="AM134:AO134"/>
    <mergeCell ref="AP134:AQ134"/>
    <mergeCell ref="AR134:AS134"/>
    <mergeCell ref="AT134:AV134"/>
    <mergeCell ref="AW136:AY136"/>
    <mergeCell ref="B137:D137"/>
    <mergeCell ref="F137:H137"/>
    <mergeCell ref="I137:J137"/>
    <mergeCell ref="K137:L137"/>
    <mergeCell ref="O137:P137"/>
    <mergeCell ref="R137:S137"/>
    <mergeCell ref="T137:U137"/>
    <mergeCell ref="V137:Y137"/>
    <mergeCell ref="AA137:AC137"/>
    <mergeCell ref="AE137:AG137"/>
    <mergeCell ref="AI137:AK137"/>
    <mergeCell ref="AM137:AO137"/>
    <mergeCell ref="AP137:AQ137"/>
    <mergeCell ref="AR137:AS137"/>
    <mergeCell ref="AT137:AV137"/>
    <mergeCell ref="AW135:AY135"/>
    <mergeCell ref="B136:D136"/>
    <mergeCell ref="F136:H136"/>
    <mergeCell ref="I136:J136"/>
    <mergeCell ref="K136:L136"/>
    <mergeCell ref="O136:P136"/>
    <mergeCell ref="R136:S136"/>
    <mergeCell ref="T136:U136"/>
    <mergeCell ref="V136:Y136"/>
    <mergeCell ref="AA136:AC136"/>
    <mergeCell ref="AE136:AG136"/>
    <mergeCell ref="AI136:AK136"/>
    <mergeCell ref="AM136:AO136"/>
    <mergeCell ref="AP136:AQ136"/>
    <mergeCell ref="AR136:AS136"/>
    <mergeCell ref="AT136:AV136"/>
    <mergeCell ref="AW138:AY138"/>
    <mergeCell ref="B139:D139"/>
    <mergeCell ref="F139:H139"/>
    <mergeCell ref="I139:J139"/>
    <mergeCell ref="K139:L139"/>
    <mergeCell ref="O139:P139"/>
    <mergeCell ref="R139:S139"/>
    <mergeCell ref="T139:U139"/>
    <mergeCell ref="V139:Y139"/>
    <mergeCell ref="AA139:AC139"/>
    <mergeCell ref="AE139:AG139"/>
    <mergeCell ref="AI139:AK139"/>
    <mergeCell ref="AM139:AO139"/>
    <mergeCell ref="AP139:AQ139"/>
    <mergeCell ref="AR139:AS139"/>
    <mergeCell ref="AT139:AV139"/>
    <mergeCell ref="AW137:AY137"/>
    <mergeCell ref="B138:D138"/>
    <mergeCell ref="F138:H138"/>
    <mergeCell ref="I138:J138"/>
    <mergeCell ref="K138:L138"/>
    <mergeCell ref="O138:P138"/>
    <mergeCell ref="R138:S138"/>
    <mergeCell ref="T138:U138"/>
    <mergeCell ref="V138:Y138"/>
    <mergeCell ref="AA138:AC138"/>
    <mergeCell ref="AE138:AG138"/>
    <mergeCell ref="AI138:AK138"/>
    <mergeCell ref="AM138:AO138"/>
    <mergeCell ref="AP138:AQ138"/>
    <mergeCell ref="AR138:AS138"/>
    <mergeCell ref="AT138:AV138"/>
    <mergeCell ref="AW140:AY140"/>
    <mergeCell ref="B141:D141"/>
    <mergeCell ref="F141:H141"/>
    <mergeCell ref="I141:J141"/>
    <mergeCell ref="K141:L141"/>
    <mergeCell ref="O141:P141"/>
    <mergeCell ref="R141:S141"/>
    <mergeCell ref="T141:U141"/>
    <mergeCell ref="V141:Y141"/>
    <mergeCell ref="AA141:AC141"/>
    <mergeCell ref="AE141:AG141"/>
    <mergeCell ref="AI141:AK141"/>
    <mergeCell ref="AM141:AO141"/>
    <mergeCell ref="AP141:AQ141"/>
    <mergeCell ref="AR141:AS141"/>
    <mergeCell ref="AT141:AV141"/>
    <mergeCell ref="AW139:AY139"/>
    <mergeCell ref="B140:D140"/>
    <mergeCell ref="F140:H140"/>
    <mergeCell ref="I140:J140"/>
    <mergeCell ref="K140:L140"/>
    <mergeCell ref="O140:P140"/>
    <mergeCell ref="R140:S140"/>
    <mergeCell ref="T140:U140"/>
    <mergeCell ref="V140:Y140"/>
    <mergeCell ref="AA140:AC140"/>
    <mergeCell ref="AE140:AG140"/>
    <mergeCell ref="AI140:AK140"/>
    <mergeCell ref="AM140:AO140"/>
    <mergeCell ref="AP140:AQ140"/>
    <mergeCell ref="AR140:AS140"/>
    <mergeCell ref="AT140:AV140"/>
    <mergeCell ref="AW142:AY142"/>
    <mergeCell ref="B143:D143"/>
    <mergeCell ref="F143:H143"/>
    <mergeCell ref="I143:J143"/>
    <mergeCell ref="K143:L143"/>
    <mergeCell ref="O143:P143"/>
    <mergeCell ref="R143:S143"/>
    <mergeCell ref="T143:U143"/>
    <mergeCell ref="V143:Y143"/>
    <mergeCell ref="AA143:AC143"/>
    <mergeCell ref="AE143:AG143"/>
    <mergeCell ref="AI143:AK143"/>
    <mergeCell ref="AM143:AO143"/>
    <mergeCell ref="AP143:AQ143"/>
    <mergeCell ref="AR143:AS143"/>
    <mergeCell ref="AT143:AV143"/>
    <mergeCell ref="AW141:AY141"/>
    <mergeCell ref="B142:D142"/>
    <mergeCell ref="F142:H142"/>
    <mergeCell ref="I142:J142"/>
    <mergeCell ref="K142:L142"/>
    <mergeCell ref="O142:P142"/>
    <mergeCell ref="R142:S142"/>
    <mergeCell ref="T142:U142"/>
    <mergeCell ref="V142:Y142"/>
    <mergeCell ref="AA142:AC142"/>
    <mergeCell ref="AE142:AG142"/>
    <mergeCell ref="AI142:AK142"/>
    <mergeCell ref="AM142:AO142"/>
    <mergeCell ref="AP142:AQ142"/>
    <mergeCell ref="AR142:AS142"/>
    <mergeCell ref="AT142:AV142"/>
    <mergeCell ref="AW144:AY144"/>
    <mergeCell ref="B145:D145"/>
    <mergeCell ref="F145:H145"/>
    <mergeCell ref="I145:J145"/>
    <mergeCell ref="K145:L145"/>
    <mergeCell ref="O145:P145"/>
    <mergeCell ref="R145:S145"/>
    <mergeCell ref="T145:U145"/>
    <mergeCell ref="V145:Y145"/>
    <mergeCell ref="AA145:AC145"/>
    <mergeCell ref="AE145:AG145"/>
    <mergeCell ref="AI145:AK145"/>
    <mergeCell ref="AM145:AO145"/>
    <mergeCell ref="AP145:AQ145"/>
    <mergeCell ref="AR145:AS145"/>
    <mergeCell ref="AT145:AV145"/>
    <mergeCell ref="AW143:AY143"/>
    <mergeCell ref="B144:D144"/>
    <mergeCell ref="F144:H144"/>
    <mergeCell ref="I144:J144"/>
    <mergeCell ref="K144:L144"/>
    <mergeCell ref="O144:P144"/>
    <mergeCell ref="R144:S144"/>
    <mergeCell ref="T144:U144"/>
    <mergeCell ref="V144:Y144"/>
    <mergeCell ref="AA144:AC144"/>
    <mergeCell ref="AE144:AG144"/>
    <mergeCell ref="AI144:AK144"/>
    <mergeCell ref="AM144:AO144"/>
    <mergeCell ref="AP144:AQ144"/>
    <mergeCell ref="AR144:AS144"/>
    <mergeCell ref="AT144:AV144"/>
    <mergeCell ref="AW146:AY146"/>
    <mergeCell ref="B147:D147"/>
    <mergeCell ref="F147:H147"/>
    <mergeCell ref="I147:J147"/>
    <mergeCell ref="K147:L147"/>
    <mergeCell ref="O147:P147"/>
    <mergeCell ref="R147:S147"/>
    <mergeCell ref="T147:U147"/>
    <mergeCell ref="V147:Y147"/>
    <mergeCell ref="AA147:AC147"/>
    <mergeCell ref="AE147:AG147"/>
    <mergeCell ref="AI147:AK147"/>
    <mergeCell ref="AM147:AO147"/>
    <mergeCell ref="AP147:AQ147"/>
    <mergeCell ref="AR147:AS147"/>
    <mergeCell ref="AT147:AV147"/>
    <mergeCell ref="AW145:AY145"/>
    <mergeCell ref="B146:D146"/>
    <mergeCell ref="F146:H146"/>
    <mergeCell ref="I146:J146"/>
    <mergeCell ref="K146:L146"/>
    <mergeCell ref="O146:P146"/>
    <mergeCell ref="R146:S146"/>
    <mergeCell ref="T146:U146"/>
    <mergeCell ref="V146:Y146"/>
    <mergeCell ref="AA146:AC146"/>
    <mergeCell ref="AE146:AG146"/>
    <mergeCell ref="AI146:AK146"/>
    <mergeCell ref="AM146:AO146"/>
    <mergeCell ref="AP146:AQ146"/>
    <mergeCell ref="AR146:AS146"/>
    <mergeCell ref="AT146:AV146"/>
    <mergeCell ref="AW148:AY148"/>
    <mergeCell ref="B149:D149"/>
    <mergeCell ref="F149:H149"/>
    <mergeCell ref="I149:J149"/>
    <mergeCell ref="K149:L149"/>
    <mergeCell ref="O149:P149"/>
    <mergeCell ref="R149:S149"/>
    <mergeCell ref="T149:U149"/>
    <mergeCell ref="V149:Y149"/>
    <mergeCell ref="AA149:AC149"/>
    <mergeCell ref="AE149:AG149"/>
    <mergeCell ref="AI149:AK149"/>
    <mergeCell ref="AM149:AO149"/>
    <mergeCell ref="AP149:AQ149"/>
    <mergeCell ref="AR149:AS149"/>
    <mergeCell ref="AT149:AV149"/>
    <mergeCell ref="AW147:AY147"/>
    <mergeCell ref="B148:D148"/>
    <mergeCell ref="F148:H148"/>
    <mergeCell ref="I148:J148"/>
    <mergeCell ref="K148:L148"/>
    <mergeCell ref="O148:P148"/>
    <mergeCell ref="R148:S148"/>
    <mergeCell ref="T148:U148"/>
    <mergeCell ref="V148:Y148"/>
    <mergeCell ref="AA148:AC148"/>
    <mergeCell ref="AE148:AG148"/>
    <mergeCell ref="AI148:AK148"/>
    <mergeCell ref="AM148:AO148"/>
    <mergeCell ref="AP148:AQ148"/>
    <mergeCell ref="AR148:AS148"/>
    <mergeCell ref="AT148:AV148"/>
    <mergeCell ref="AW150:AY150"/>
    <mergeCell ref="B151:D151"/>
    <mergeCell ref="F151:H151"/>
    <mergeCell ref="I151:J151"/>
    <mergeCell ref="K151:L151"/>
    <mergeCell ref="O151:P151"/>
    <mergeCell ref="R151:S151"/>
    <mergeCell ref="T151:U151"/>
    <mergeCell ref="V151:Y151"/>
    <mergeCell ref="AA151:AC151"/>
    <mergeCell ref="AE151:AG151"/>
    <mergeCell ref="AI151:AK151"/>
    <mergeCell ref="AM151:AO151"/>
    <mergeCell ref="AP151:AQ151"/>
    <mergeCell ref="AR151:AS151"/>
    <mergeCell ref="AT151:AV151"/>
    <mergeCell ref="AW149:AY149"/>
    <mergeCell ref="B150:D150"/>
    <mergeCell ref="F150:H150"/>
    <mergeCell ref="I150:J150"/>
    <mergeCell ref="K150:L150"/>
    <mergeCell ref="O150:P150"/>
    <mergeCell ref="R150:S150"/>
    <mergeCell ref="T150:U150"/>
    <mergeCell ref="V150:Y150"/>
    <mergeCell ref="AA150:AC150"/>
    <mergeCell ref="AE150:AG150"/>
    <mergeCell ref="AI150:AK150"/>
    <mergeCell ref="AM150:AO150"/>
    <mergeCell ref="AP150:AQ150"/>
    <mergeCell ref="AR150:AS150"/>
    <mergeCell ref="AT150:AV150"/>
    <mergeCell ref="AW152:AY152"/>
    <mergeCell ref="B153:D153"/>
    <mergeCell ref="F153:H153"/>
    <mergeCell ref="I153:J153"/>
    <mergeCell ref="K153:L153"/>
    <mergeCell ref="O153:P153"/>
    <mergeCell ref="R153:S153"/>
    <mergeCell ref="T153:U153"/>
    <mergeCell ref="V153:Y153"/>
    <mergeCell ref="AA153:AC153"/>
    <mergeCell ref="AE153:AG153"/>
    <mergeCell ref="AI153:AK153"/>
    <mergeCell ref="AM153:AO153"/>
    <mergeCell ref="AP153:AQ153"/>
    <mergeCell ref="AR153:AS153"/>
    <mergeCell ref="AT153:AV153"/>
    <mergeCell ref="AW151:AY151"/>
    <mergeCell ref="B152:D152"/>
    <mergeCell ref="F152:H152"/>
    <mergeCell ref="I152:J152"/>
    <mergeCell ref="K152:L152"/>
    <mergeCell ref="O152:P152"/>
    <mergeCell ref="R152:S152"/>
    <mergeCell ref="T152:U152"/>
    <mergeCell ref="V152:Y152"/>
    <mergeCell ref="AA152:AC152"/>
    <mergeCell ref="AE152:AG152"/>
    <mergeCell ref="AI152:AK152"/>
    <mergeCell ref="AM152:AO152"/>
    <mergeCell ref="AP152:AQ152"/>
    <mergeCell ref="AR152:AS152"/>
    <mergeCell ref="AT152:AV152"/>
    <mergeCell ref="AW154:AY154"/>
    <mergeCell ref="B155:D155"/>
    <mergeCell ref="F155:H155"/>
    <mergeCell ref="I155:J155"/>
    <mergeCell ref="K155:L155"/>
    <mergeCell ref="O155:P155"/>
    <mergeCell ref="R155:S155"/>
    <mergeCell ref="T155:U155"/>
    <mergeCell ref="V155:Y155"/>
    <mergeCell ref="AA155:AC155"/>
    <mergeCell ref="AE155:AG155"/>
    <mergeCell ref="AI155:AK155"/>
    <mergeCell ref="AM155:AO155"/>
    <mergeCell ref="AP155:AQ155"/>
    <mergeCell ref="AR155:AS155"/>
    <mergeCell ref="AT155:AV155"/>
    <mergeCell ref="AW153:AY153"/>
    <mergeCell ref="B154:D154"/>
    <mergeCell ref="F154:H154"/>
    <mergeCell ref="I154:J154"/>
    <mergeCell ref="K154:L154"/>
    <mergeCell ref="O154:P154"/>
    <mergeCell ref="R154:S154"/>
    <mergeCell ref="T154:U154"/>
    <mergeCell ref="V154:Y154"/>
    <mergeCell ref="AA154:AC154"/>
    <mergeCell ref="AE154:AG154"/>
    <mergeCell ref="AI154:AK154"/>
    <mergeCell ref="AM154:AO154"/>
    <mergeCell ref="AP154:AQ154"/>
    <mergeCell ref="AR154:AS154"/>
    <mergeCell ref="AT154:AV154"/>
    <mergeCell ref="AW156:AY156"/>
    <mergeCell ref="B157:D157"/>
    <mergeCell ref="F157:H157"/>
    <mergeCell ref="I157:J157"/>
    <mergeCell ref="K157:L157"/>
    <mergeCell ref="O157:P157"/>
    <mergeCell ref="R157:S157"/>
    <mergeCell ref="T157:U157"/>
    <mergeCell ref="V157:Y157"/>
    <mergeCell ref="AA157:AC157"/>
    <mergeCell ref="AE157:AG157"/>
    <mergeCell ref="AI157:AK157"/>
    <mergeCell ref="AM157:AO157"/>
    <mergeCell ref="AP157:AQ157"/>
    <mergeCell ref="AR157:AS157"/>
    <mergeCell ref="AT157:AV157"/>
    <mergeCell ref="AW155:AY155"/>
    <mergeCell ref="B156:D156"/>
    <mergeCell ref="F156:H156"/>
    <mergeCell ref="I156:J156"/>
    <mergeCell ref="K156:L156"/>
    <mergeCell ref="O156:P156"/>
    <mergeCell ref="R156:S156"/>
    <mergeCell ref="T156:U156"/>
    <mergeCell ref="V156:Y156"/>
    <mergeCell ref="AA156:AC156"/>
    <mergeCell ref="AE156:AG156"/>
    <mergeCell ref="AI156:AK156"/>
    <mergeCell ref="AM156:AO156"/>
    <mergeCell ref="AP156:AQ156"/>
    <mergeCell ref="AR156:AS156"/>
    <mergeCell ref="AT156:AV156"/>
    <mergeCell ref="AW158:AY158"/>
    <mergeCell ref="B159:D159"/>
    <mergeCell ref="F159:H159"/>
    <mergeCell ref="I159:J159"/>
    <mergeCell ref="K159:L159"/>
    <mergeCell ref="O159:P159"/>
    <mergeCell ref="R159:S159"/>
    <mergeCell ref="T159:U159"/>
    <mergeCell ref="V159:Y159"/>
    <mergeCell ref="AA159:AC159"/>
    <mergeCell ref="AE159:AG159"/>
    <mergeCell ref="AI159:AK159"/>
    <mergeCell ref="AM159:AO159"/>
    <mergeCell ref="AP159:AQ159"/>
    <mergeCell ref="AR159:AS159"/>
    <mergeCell ref="AT159:AV159"/>
    <mergeCell ref="AW157:AY157"/>
    <mergeCell ref="B158:D158"/>
    <mergeCell ref="F158:H158"/>
    <mergeCell ref="I158:J158"/>
    <mergeCell ref="K158:L158"/>
    <mergeCell ref="O158:P158"/>
    <mergeCell ref="R158:S158"/>
    <mergeCell ref="T158:U158"/>
    <mergeCell ref="V158:Y158"/>
    <mergeCell ref="AA158:AC158"/>
    <mergeCell ref="AE158:AG158"/>
    <mergeCell ref="AI158:AK158"/>
    <mergeCell ref="AM158:AO158"/>
    <mergeCell ref="AP158:AQ158"/>
    <mergeCell ref="AR158:AS158"/>
    <mergeCell ref="AT158:AV158"/>
    <mergeCell ref="AW160:AY160"/>
    <mergeCell ref="B161:D161"/>
    <mergeCell ref="F161:H161"/>
    <mergeCell ref="I161:J161"/>
    <mergeCell ref="K161:L161"/>
    <mergeCell ref="O161:P161"/>
    <mergeCell ref="R161:S161"/>
    <mergeCell ref="T161:U161"/>
    <mergeCell ref="V161:Y161"/>
    <mergeCell ref="AA161:AC161"/>
    <mergeCell ref="AE161:AG161"/>
    <mergeCell ref="AI161:AK161"/>
    <mergeCell ref="AM161:AO161"/>
    <mergeCell ref="AP161:AQ161"/>
    <mergeCell ref="AR161:AS161"/>
    <mergeCell ref="AT161:AV161"/>
    <mergeCell ref="AW159:AY159"/>
    <mergeCell ref="B160:D160"/>
    <mergeCell ref="F160:H160"/>
    <mergeCell ref="I160:J160"/>
    <mergeCell ref="K160:L160"/>
    <mergeCell ref="O160:P160"/>
    <mergeCell ref="R160:S160"/>
    <mergeCell ref="T160:U160"/>
    <mergeCell ref="V160:Y160"/>
    <mergeCell ref="AA160:AC160"/>
    <mergeCell ref="AE160:AG160"/>
    <mergeCell ref="AI160:AK160"/>
    <mergeCell ref="AM160:AO160"/>
    <mergeCell ref="AP160:AQ160"/>
    <mergeCell ref="AR160:AS160"/>
    <mergeCell ref="AT160:AV160"/>
    <mergeCell ref="AW162:AY162"/>
    <mergeCell ref="B163:D163"/>
    <mergeCell ref="F163:H163"/>
    <mergeCell ref="I163:J163"/>
    <mergeCell ref="K163:L163"/>
    <mergeCell ref="O163:P163"/>
    <mergeCell ref="R163:S163"/>
    <mergeCell ref="T163:U163"/>
    <mergeCell ref="V163:Y163"/>
    <mergeCell ref="AA163:AC163"/>
    <mergeCell ref="AE163:AG163"/>
    <mergeCell ref="AI163:AK163"/>
    <mergeCell ref="AM163:AO163"/>
    <mergeCell ref="AP163:AQ163"/>
    <mergeCell ref="AR163:AS163"/>
    <mergeCell ref="AT163:AV163"/>
    <mergeCell ref="AW161:AY161"/>
    <mergeCell ref="B162:D162"/>
    <mergeCell ref="F162:H162"/>
    <mergeCell ref="I162:J162"/>
    <mergeCell ref="K162:L162"/>
    <mergeCell ref="O162:P162"/>
    <mergeCell ref="R162:S162"/>
    <mergeCell ref="T162:U162"/>
    <mergeCell ref="V162:Y162"/>
    <mergeCell ref="AA162:AC162"/>
    <mergeCell ref="AE162:AG162"/>
    <mergeCell ref="AI162:AK162"/>
    <mergeCell ref="AM162:AO162"/>
    <mergeCell ref="AP162:AQ162"/>
    <mergeCell ref="AR162:AS162"/>
    <mergeCell ref="AT162:AV162"/>
    <mergeCell ref="AW164:AY164"/>
    <mergeCell ref="B165:D165"/>
    <mergeCell ref="F165:H165"/>
    <mergeCell ref="I165:J165"/>
    <mergeCell ref="K165:L165"/>
    <mergeCell ref="O165:P165"/>
    <mergeCell ref="R165:S165"/>
    <mergeCell ref="T165:U165"/>
    <mergeCell ref="V165:Y165"/>
    <mergeCell ref="AA165:AC165"/>
    <mergeCell ref="AE165:AG165"/>
    <mergeCell ref="AI165:AK165"/>
    <mergeCell ref="AM165:AO165"/>
    <mergeCell ref="AP165:AQ165"/>
    <mergeCell ref="AR165:AS165"/>
    <mergeCell ref="AT165:AV165"/>
    <mergeCell ref="AW163:AY163"/>
    <mergeCell ref="B164:D164"/>
    <mergeCell ref="F164:H164"/>
    <mergeCell ref="I164:J164"/>
    <mergeCell ref="K164:L164"/>
    <mergeCell ref="O164:P164"/>
    <mergeCell ref="R164:S164"/>
    <mergeCell ref="T164:U164"/>
    <mergeCell ref="V164:Y164"/>
    <mergeCell ref="AA164:AC164"/>
    <mergeCell ref="AE164:AG164"/>
    <mergeCell ref="AI164:AK164"/>
    <mergeCell ref="AM164:AO164"/>
    <mergeCell ref="AP164:AQ164"/>
    <mergeCell ref="AR164:AS164"/>
    <mergeCell ref="AT164:AV164"/>
    <mergeCell ref="AW166:AY166"/>
    <mergeCell ref="B167:D167"/>
    <mergeCell ref="F167:H167"/>
    <mergeCell ref="I167:J167"/>
    <mergeCell ref="K167:L167"/>
    <mergeCell ref="O167:P167"/>
    <mergeCell ref="R167:S167"/>
    <mergeCell ref="T167:U167"/>
    <mergeCell ref="V167:Y167"/>
    <mergeCell ref="AA167:AC167"/>
    <mergeCell ref="AE167:AG167"/>
    <mergeCell ref="AI167:AK167"/>
    <mergeCell ref="AM167:AO167"/>
    <mergeCell ref="AP167:AQ167"/>
    <mergeCell ref="AR167:AS167"/>
    <mergeCell ref="AT167:AV167"/>
    <mergeCell ref="AW165:AY165"/>
    <mergeCell ref="B166:D166"/>
    <mergeCell ref="F166:H166"/>
    <mergeCell ref="I166:J166"/>
    <mergeCell ref="K166:L166"/>
    <mergeCell ref="O166:P166"/>
    <mergeCell ref="R166:S166"/>
    <mergeCell ref="T166:U166"/>
    <mergeCell ref="V166:Y166"/>
    <mergeCell ref="AA166:AC166"/>
    <mergeCell ref="AE166:AG166"/>
    <mergeCell ref="AI166:AK166"/>
    <mergeCell ref="AM166:AO166"/>
    <mergeCell ref="AP166:AQ166"/>
    <mergeCell ref="AR166:AS166"/>
    <mergeCell ref="AT166:AV166"/>
    <mergeCell ref="AW168:AY168"/>
    <mergeCell ref="B169:D169"/>
    <mergeCell ref="F169:H169"/>
    <mergeCell ref="I169:J169"/>
    <mergeCell ref="K169:L169"/>
    <mergeCell ref="O169:P169"/>
    <mergeCell ref="R169:S169"/>
    <mergeCell ref="T169:U169"/>
    <mergeCell ref="V169:Y169"/>
    <mergeCell ref="AA169:AC169"/>
    <mergeCell ref="AE169:AG169"/>
    <mergeCell ref="AI169:AK169"/>
    <mergeCell ref="AM169:AO169"/>
    <mergeCell ref="AP169:AQ169"/>
    <mergeCell ref="AR169:AS169"/>
    <mergeCell ref="AT169:AV169"/>
    <mergeCell ref="AW167:AY167"/>
    <mergeCell ref="B168:D168"/>
    <mergeCell ref="F168:H168"/>
    <mergeCell ref="I168:J168"/>
    <mergeCell ref="K168:L168"/>
    <mergeCell ref="O168:P168"/>
    <mergeCell ref="R168:S168"/>
    <mergeCell ref="T168:U168"/>
    <mergeCell ref="V168:Y168"/>
    <mergeCell ref="AA168:AC168"/>
    <mergeCell ref="AE168:AG168"/>
    <mergeCell ref="AI168:AK168"/>
    <mergeCell ref="AM168:AO168"/>
    <mergeCell ref="AP168:AQ168"/>
    <mergeCell ref="AR168:AS168"/>
    <mergeCell ref="AT168:AV168"/>
    <mergeCell ref="AW170:AY170"/>
    <mergeCell ref="B171:D171"/>
    <mergeCell ref="F171:H171"/>
    <mergeCell ref="I171:J171"/>
    <mergeCell ref="K171:L171"/>
    <mergeCell ref="O171:P171"/>
    <mergeCell ref="R171:S171"/>
    <mergeCell ref="T171:U171"/>
    <mergeCell ref="V171:Y171"/>
    <mergeCell ref="AA171:AC171"/>
    <mergeCell ref="AE171:AG171"/>
    <mergeCell ref="AI171:AK171"/>
    <mergeCell ref="AM171:AO171"/>
    <mergeCell ref="AP171:AQ171"/>
    <mergeCell ref="AR171:AS171"/>
    <mergeCell ref="AT171:AV171"/>
    <mergeCell ref="AW169:AY169"/>
    <mergeCell ref="B170:D170"/>
    <mergeCell ref="F170:H170"/>
    <mergeCell ref="I170:J170"/>
    <mergeCell ref="K170:L170"/>
    <mergeCell ref="O170:P170"/>
    <mergeCell ref="R170:S170"/>
    <mergeCell ref="T170:U170"/>
    <mergeCell ref="V170:Y170"/>
    <mergeCell ref="AA170:AC170"/>
    <mergeCell ref="AE170:AG170"/>
    <mergeCell ref="AI170:AK170"/>
    <mergeCell ref="AM170:AO170"/>
    <mergeCell ref="AP170:AQ170"/>
    <mergeCell ref="AR170:AS170"/>
    <mergeCell ref="AT170:AV170"/>
    <mergeCell ref="AW172:AY172"/>
    <mergeCell ref="B173:D173"/>
    <mergeCell ref="F173:H173"/>
    <mergeCell ref="I173:J173"/>
    <mergeCell ref="K173:L173"/>
    <mergeCell ref="O173:P173"/>
    <mergeCell ref="R173:S173"/>
    <mergeCell ref="T173:U173"/>
    <mergeCell ref="V173:Y173"/>
    <mergeCell ref="AA173:AC173"/>
    <mergeCell ref="AE173:AG173"/>
    <mergeCell ref="AI173:AK173"/>
    <mergeCell ref="AM173:AO173"/>
    <mergeCell ref="AP173:AQ173"/>
    <mergeCell ref="AR173:AS173"/>
    <mergeCell ref="AT173:AV173"/>
    <mergeCell ref="AW171:AY171"/>
    <mergeCell ref="B172:D172"/>
    <mergeCell ref="F172:H172"/>
    <mergeCell ref="I172:J172"/>
    <mergeCell ref="K172:L172"/>
    <mergeCell ref="O172:P172"/>
    <mergeCell ref="R172:S172"/>
    <mergeCell ref="T172:U172"/>
    <mergeCell ref="V172:Y172"/>
    <mergeCell ref="AA172:AC172"/>
    <mergeCell ref="AE172:AG172"/>
    <mergeCell ref="AI172:AK172"/>
    <mergeCell ref="AM172:AO172"/>
    <mergeCell ref="AP172:AQ172"/>
    <mergeCell ref="AR172:AS172"/>
    <mergeCell ref="AT172:AV172"/>
    <mergeCell ref="AW174:AY174"/>
    <mergeCell ref="B175:D175"/>
    <mergeCell ref="F175:H175"/>
    <mergeCell ref="I175:J175"/>
    <mergeCell ref="K175:L175"/>
    <mergeCell ref="O175:P175"/>
    <mergeCell ref="R175:S175"/>
    <mergeCell ref="T175:U175"/>
    <mergeCell ref="V175:Y175"/>
    <mergeCell ref="AA175:AC175"/>
    <mergeCell ref="AE175:AG175"/>
    <mergeCell ref="AI175:AK175"/>
    <mergeCell ref="AM175:AO175"/>
    <mergeCell ref="AP175:AQ175"/>
    <mergeCell ref="AR175:AS175"/>
    <mergeCell ref="AT175:AV175"/>
    <mergeCell ref="AW173:AY173"/>
    <mergeCell ref="B174:D174"/>
    <mergeCell ref="F174:H174"/>
    <mergeCell ref="I174:J174"/>
    <mergeCell ref="K174:L174"/>
    <mergeCell ref="O174:P174"/>
    <mergeCell ref="R174:S174"/>
    <mergeCell ref="T174:U174"/>
    <mergeCell ref="V174:Y174"/>
    <mergeCell ref="AA174:AC174"/>
    <mergeCell ref="AE174:AG174"/>
    <mergeCell ref="AI174:AK174"/>
    <mergeCell ref="AM174:AO174"/>
    <mergeCell ref="AP174:AQ174"/>
    <mergeCell ref="AR174:AS174"/>
    <mergeCell ref="AT174:AV174"/>
    <mergeCell ref="AW176:AY176"/>
    <mergeCell ref="B177:D177"/>
    <mergeCell ref="F177:H177"/>
    <mergeCell ref="I177:J177"/>
    <mergeCell ref="K177:L177"/>
    <mergeCell ref="O177:P177"/>
    <mergeCell ref="R177:S177"/>
    <mergeCell ref="T177:U177"/>
    <mergeCell ref="V177:Y177"/>
    <mergeCell ref="AA177:AC177"/>
    <mergeCell ref="AE177:AG177"/>
    <mergeCell ref="AI177:AK177"/>
    <mergeCell ref="AM177:AO177"/>
    <mergeCell ref="AP177:AQ177"/>
    <mergeCell ref="AR177:AS177"/>
    <mergeCell ref="AT177:AV177"/>
    <mergeCell ref="AW175:AY175"/>
    <mergeCell ref="B176:D176"/>
    <mergeCell ref="F176:H176"/>
    <mergeCell ref="I176:J176"/>
    <mergeCell ref="K176:L176"/>
    <mergeCell ref="O176:P176"/>
    <mergeCell ref="R176:S176"/>
    <mergeCell ref="T176:U176"/>
    <mergeCell ref="V176:Y176"/>
    <mergeCell ref="AA176:AC176"/>
    <mergeCell ref="AE176:AG176"/>
    <mergeCell ref="AI176:AK176"/>
    <mergeCell ref="AM176:AO176"/>
    <mergeCell ref="AP176:AQ176"/>
    <mergeCell ref="AR176:AS176"/>
    <mergeCell ref="AT176:AV176"/>
    <mergeCell ref="AW178:AY178"/>
    <mergeCell ref="B179:D179"/>
    <mergeCell ref="F179:H179"/>
    <mergeCell ref="I179:J179"/>
    <mergeCell ref="K179:L179"/>
    <mergeCell ref="O179:P179"/>
    <mergeCell ref="R179:S179"/>
    <mergeCell ref="T179:U179"/>
    <mergeCell ref="V179:Y179"/>
    <mergeCell ref="AA179:AC179"/>
    <mergeCell ref="AE179:AG179"/>
    <mergeCell ref="AI179:AK179"/>
    <mergeCell ref="AM179:AO179"/>
    <mergeCell ref="AP179:AQ179"/>
    <mergeCell ref="AR179:AS179"/>
    <mergeCell ref="AT179:AV179"/>
    <mergeCell ref="AW177:AY177"/>
    <mergeCell ref="B178:D178"/>
    <mergeCell ref="F178:H178"/>
    <mergeCell ref="I178:J178"/>
    <mergeCell ref="K178:L178"/>
    <mergeCell ref="O178:P178"/>
    <mergeCell ref="R178:S178"/>
    <mergeCell ref="T178:U178"/>
    <mergeCell ref="V178:Y178"/>
    <mergeCell ref="AA178:AC178"/>
    <mergeCell ref="AE178:AG178"/>
    <mergeCell ref="AI178:AK178"/>
    <mergeCell ref="AM178:AO178"/>
    <mergeCell ref="AP178:AQ178"/>
    <mergeCell ref="AR178:AS178"/>
    <mergeCell ref="AT178:AV178"/>
    <mergeCell ref="AW180:AY180"/>
    <mergeCell ref="B181:D181"/>
    <mergeCell ref="F181:H181"/>
    <mergeCell ref="I181:J181"/>
    <mergeCell ref="K181:L181"/>
    <mergeCell ref="O181:P181"/>
    <mergeCell ref="R181:S181"/>
    <mergeCell ref="T181:U181"/>
    <mergeCell ref="V181:Y181"/>
    <mergeCell ref="AA181:AC181"/>
    <mergeCell ref="AE181:AG181"/>
    <mergeCell ref="AI181:AK181"/>
    <mergeCell ref="AM181:AO181"/>
    <mergeCell ref="AP181:AQ181"/>
    <mergeCell ref="AR181:AS181"/>
    <mergeCell ref="AT181:AV181"/>
    <mergeCell ref="AW179:AY179"/>
    <mergeCell ref="B180:D180"/>
    <mergeCell ref="F180:H180"/>
    <mergeCell ref="I180:J180"/>
    <mergeCell ref="K180:L180"/>
    <mergeCell ref="O180:P180"/>
    <mergeCell ref="R180:S180"/>
    <mergeCell ref="T180:U180"/>
    <mergeCell ref="V180:Y180"/>
    <mergeCell ref="AA180:AC180"/>
    <mergeCell ref="AE180:AG180"/>
    <mergeCell ref="AI180:AK180"/>
    <mergeCell ref="AM180:AO180"/>
    <mergeCell ref="AP180:AQ180"/>
    <mergeCell ref="AR180:AS180"/>
    <mergeCell ref="AT180:AV180"/>
    <mergeCell ref="AW182:AY182"/>
    <mergeCell ref="B183:D183"/>
    <mergeCell ref="F183:H183"/>
    <mergeCell ref="I183:J183"/>
    <mergeCell ref="K183:L183"/>
    <mergeCell ref="O183:P183"/>
    <mergeCell ref="R183:S183"/>
    <mergeCell ref="T183:U183"/>
    <mergeCell ref="V183:Y183"/>
    <mergeCell ref="AA183:AC183"/>
    <mergeCell ref="AE183:AG183"/>
    <mergeCell ref="AI183:AK183"/>
    <mergeCell ref="AM183:AO183"/>
    <mergeCell ref="AP183:AQ183"/>
    <mergeCell ref="AR183:AS183"/>
    <mergeCell ref="AT183:AV183"/>
    <mergeCell ref="AW181:AY181"/>
    <mergeCell ref="B182:D182"/>
    <mergeCell ref="F182:H182"/>
    <mergeCell ref="I182:J182"/>
    <mergeCell ref="K182:L182"/>
    <mergeCell ref="O182:P182"/>
    <mergeCell ref="R182:S182"/>
    <mergeCell ref="T182:U182"/>
    <mergeCell ref="V182:Y182"/>
    <mergeCell ref="AA182:AC182"/>
    <mergeCell ref="AE182:AG182"/>
    <mergeCell ref="AI182:AK182"/>
    <mergeCell ref="AM182:AO182"/>
    <mergeCell ref="AP182:AQ182"/>
    <mergeCell ref="AR182:AS182"/>
    <mergeCell ref="AT182:AV182"/>
    <mergeCell ref="AW184:AY184"/>
    <mergeCell ref="B185:D185"/>
    <mergeCell ref="F185:H185"/>
    <mergeCell ref="I185:J185"/>
    <mergeCell ref="K185:L185"/>
    <mergeCell ref="O185:P185"/>
    <mergeCell ref="R185:S185"/>
    <mergeCell ref="T185:U185"/>
    <mergeCell ref="V185:Y185"/>
    <mergeCell ref="AA185:AC185"/>
    <mergeCell ref="AE185:AG185"/>
    <mergeCell ref="AI185:AK185"/>
    <mergeCell ref="AM185:AO185"/>
    <mergeCell ref="AP185:AQ185"/>
    <mergeCell ref="AR185:AS185"/>
    <mergeCell ref="AT185:AV185"/>
    <mergeCell ref="AW183:AY183"/>
    <mergeCell ref="B184:D184"/>
    <mergeCell ref="F184:H184"/>
    <mergeCell ref="I184:J184"/>
    <mergeCell ref="K184:L184"/>
    <mergeCell ref="O184:P184"/>
    <mergeCell ref="R184:S184"/>
    <mergeCell ref="T184:U184"/>
    <mergeCell ref="V184:Y184"/>
    <mergeCell ref="AA184:AC184"/>
    <mergeCell ref="AE184:AG184"/>
    <mergeCell ref="AI184:AK184"/>
    <mergeCell ref="AM184:AO184"/>
    <mergeCell ref="AP184:AQ184"/>
    <mergeCell ref="AR184:AS184"/>
    <mergeCell ref="AT184:AV184"/>
    <mergeCell ref="AW186:AY186"/>
    <mergeCell ref="B187:D187"/>
    <mergeCell ref="F187:H187"/>
    <mergeCell ref="I187:J187"/>
    <mergeCell ref="K187:L187"/>
    <mergeCell ref="O187:P187"/>
    <mergeCell ref="R187:S187"/>
    <mergeCell ref="T187:U187"/>
    <mergeCell ref="V187:Y187"/>
    <mergeCell ref="AA187:AC187"/>
    <mergeCell ref="AE187:AG187"/>
    <mergeCell ref="AI187:AK187"/>
    <mergeCell ref="AM187:AO187"/>
    <mergeCell ref="AP187:AQ187"/>
    <mergeCell ref="AR187:AS187"/>
    <mergeCell ref="AT187:AV187"/>
    <mergeCell ref="AW185:AY185"/>
    <mergeCell ref="B186:D186"/>
    <mergeCell ref="F186:H186"/>
    <mergeCell ref="I186:J186"/>
    <mergeCell ref="K186:L186"/>
    <mergeCell ref="O186:P186"/>
    <mergeCell ref="R186:S186"/>
    <mergeCell ref="T186:U186"/>
    <mergeCell ref="V186:Y186"/>
    <mergeCell ref="AA186:AC186"/>
    <mergeCell ref="AE186:AG186"/>
    <mergeCell ref="AI186:AK186"/>
    <mergeCell ref="AM186:AO186"/>
    <mergeCell ref="AP186:AQ186"/>
    <mergeCell ref="AR186:AS186"/>
    <mergeCell ref="AT186:AV186"/>
    <mergeCell ref="AW188:AY188"/>
    <mergeCell ref="B189:D189"/>
    <mergeCell ref="F189:H189"/>
    <mergeCell ref="I189:J189"/>
    <mergeCell ref="K189:L189"/>
    <mergeCell ref="O189:P189"/>
    <mergeCell ref="R189:S189"/>
    <mergeCell ref="T189:U189"/>
    <mergeCell ref="V189:Y189"/>
    <mergeCell ref="AA189:AC189"/>
    <mergeCell ref="AE189:AG189"/>
    <mergeCell ref="AI189:AK189"/>
    <mergeCell ref="AM189:AO189"/>
    <mergeCell ref="AP189:AQ189"/>
    <mergeCell ref="AR189:AS189"/>
    <mergeCell ref="AT189:AV189"/>
    <mergeCell ref="AW187:AY187"/>
    <mergeCell ref="B188:D188"/>
    <mergeCell ref="F188:H188"/>
    <mergeCell ref="I188:J188"/>
    <mergeCell ref="K188:L188"/>
    <mergeCell ref="O188:P188"/>
    <mergeCell ref="R188:S188"/>
    <mergeCell ref="T188:U188"/>
    <mergeCell ref="V188:Y188"/>
    <mergeCell ref="AA188:AC188"/>
    <mergeCell ref="AE188:AG188"/>
    <mergeCell ref="AI188:AK188"/>
    <mergeCell ref="AM188:AO188"/>
    <mergeCell ref="AP188:AQ188"/>
    <mergeCell ref="AR188:AS188"/>
    <mergeCell ref="AT188:AV188"/>
    <mergeCell ref="AW190:AY190"/>
    <mergeCell ref="B191:D191"/>
    <mergeCell ref="F191:H191"/>
    <mergeCell ref="I191:J191"/>
    <mergeCell ref="K191:L191"/>
    <mergeCell ref="O191:P191"/>
    <mergeCell ref="R191:S191"/>
    <mergeCell ref="T191:U191"/>
    <mergeCell ref="V191:Y191"/>
    <mergeCell ref="AA191:AC191"/>
    <mergeCell ref="AE191:AG191"/>
    <mergeCell ref="AI191:AK191"/>
    <mergeCell ref="AM191:AO191"/>
    <mergeCell ref="AP191:AQ191"/>
    <mergeCell ref="AR191:AS191"/>
    <mergeCell ref="AT191:AV191"/>
    <mergeCell ref="AW189:AY189"/>
    <mergeCell ref="B190:D190"/>
    <mergeCell ref="F190:H190"/>
    <mergeCell ref="I190:J190"/>
    <mergeCell ref="K190:L190"/>
    <mergeCell ref="O190:P190"/>
    <mergeCell ref="R190:S190"/>
    <mergeCell ref="T190:U190"/>
    <mergeCell ref="V190:Y190"/>
    <mergeCell ref="AA190:AC190"/>
    <mergeCell ref="AE190:AG190"/>
    <mergeCell ref="AI190:AK190"/>
    <mergeCell ref="AM190:AO190"/>
    <mergeCell ref="AP190:AQ190"/>
    <mergeCell ref="AR190:AS190"/>
    <mergeCell ref="AT190:AV190"/>
    <mergeCell ref="AW192:AY192"/>
    <mergeCell ref="B193:D193"/>
    <mergeCell ref="F193:H193"/>
    <mergeCell ref="I193:J193"/>
    <mergeCell ref="K193:L193"/>
    <mergeCell ref="O193:P193"/>
    <mergeCell ref="R193:S193"/>
    <mergeCell ref="T193:U193"/>
    <mergeCell ref="V193:Y193"/>
    <mergeCell ref="AA193:AC193"/>
    <mergeCell ref="AE193:AG193"/>
    <mergeCell ref="AI193:AK193"/>
    <mergeCell ref="AM193:AO193"/>
    <mergeCell ref="AP193:AQ193"/>
    <mergeCell ref="AR193:AS193"/>
    <mergeCell ref="AT193:AV193"/>
    <mergeCell ref="AW191:AY191"/>
    <mergeCell ref="B192:D192"/>
    <mergeCell ref="F192:H192"/>
    <mergeCell ref="I192:J192"/>
    <mergeCell ref="K192:L192"/>
    <mergeCell ref="O192:P192"/>
    <mergeCell ref="R192:S192"/>
    <mergeCell ref="T192:U192"/>
    <mergeCell ref="V192:Y192"/>
    <mergeCell ref="AA192:AC192"/>
    <mergeCell ref="AE192:AG192"/>
    <mergeCell ref="AI192:AK192"/>
    <mergeCell ref="AM192:AO192"/>
    <mergeCell ref="AP192:AQ192"/>
    <mergeCell ref="AR192:AS192"/>
    <mergeCell ref="AT192:AV192"/>
    <mergeCell ref="AW194:AY194"/>
    <mergeCell ref="B195:D195"/>
    <mergeCell ref="F195:H195"/>
    <mergeCell ref="I195:J195"/>
    <mergeCell ref="K195:L195"/>
    <mergeCell ref="O195:P195"/>
    <mergeCell ref="R195:S195"/>
    <mergeCell ref="T195:U195"/>
    <mergeCell ref="V195:Y195"/>
    <mergeCell ref="AA195:AC195"/>
    <mergeCell ref="AE195:AG195"/>
    <mergeCell ref="AI195:AK195"/>
    <mergeCell ref="AM195:AO195"/>
    <mergeCell ref="AP195:AQ195"/>
    <mergeCell ref="AR195:AS195"/>
    <mergeCell ref="AT195:AV195"/>
    <mergeCell ref="AW193:AY193"/>
    <mergeCell ref="B194:D194"/>
    <mergeCell ref="F194:H194"/>
    <mergeCell ref="I194:J194"/>
    <mergeCell ref="K194:L194"/>
    <mergeCell ref="O194:P194"/>
    <mergeCell ref="R194:S194"/>
    <mergeCell ref="T194:U194"/>
    <mergeCell ref="V194:Y194"/>
    <mergeCell ref="AA194:AC194"/>
    <mergeCell ref="AE194:AG194"/>
    <mergeCell ref="AI194:AK194"/>
    <mergeCell ref="AM194:AO194"/>
    <mergeCell ref="AP194:AQ194"/>
    <mergeCell ref="AR194:AS194"/>
    <mergeCell ref="AT194:AV194"/>
    <mergeCell ref="AW196:AY196"/>
    <mergeCell ref="B197:D197"/>
    <mergeCell ref="F197:H197"/>
    <mergeCell ref="I197:J197"/>
    <mergeCell ref="K197:L197"/>
    <mergeCell ref="O197:P197"/>
    <mergeCell ref="R197:S197"/>
    <mergeCell ref="T197:U197"/>
    <mergeCell ref="V197:Y197"/>
    <mergeCell ref="AA197:AC197"/>
    <mergeCell ref="AE197:AG197"/>
    <mergeCell ref="AI197:AK197"/>
    <mergeCell ref="AM197:AO197"/>
    <mergeCell ref="AP197:AQ197"/>
    <mergeCell ref="AR197:AS197"/>
    <mergeCell ref="AT197:AV197"/>
    <mergeCell ref="AW195:AY195"/>
    <mergeCell ref="B196:D196"/>
    <mergeCell ref="F196:H196"/>
    <mergeCell ref="I196:J196"/>
    <mergeCell ref="K196:L196"/>
    <mergeCell ref="O196:P196"/>
    <mergeCell ref="R196:S196"/>
    <mergeCell ref="T196:U196"/>
    <mergeCell ref="V196:Y196"/>
    <mergeCell ref="AA196:AC196"/>
    <mergeCell ref="AE196:AG196"/>
    <mergeCell ref="AI196:AK196"/>
    <mergeCell ref="AM196:AO196"/>
    <mergeCell ref="AP196:AQ196"/>
    <mergeCell ref="AR196:AS196"/>
    <mergeCell ref="AT196:AV196"/>
    <mergeCell ref="AW198:AY198"/>
    <mergeCell ref="B199:D199"/>
    <mergeCell ref="F199:H199"/>
    <mergeCell ref="I199:J199"/>
    <mergeCell ref="K199:L199"/>
    <mergeCell ref="O199:P199"/>
    <mergeCell ref="R199:S199"/>
    <mergeCell ref="T199:U199"/>
    <mergeCell ref="V199:Y199"/>
    <mergeCell ref="AA199:AC199"/>
    <mergeCell ref="AE199:AG199"/>
    <mergeCell ref="AI199:AK199"/>
    <mergeCell ref="AM199:AO199"/>
    <mergeCell ref="AP199:AQ199"/>
    <mergeCell ref="AR199:AS199"/>
    <mergeCell ref="AT199:AV199"/>
    <mergeCell ref="AW197:AY197"/>
    <mergeCell ref="B198:D198"/>
    <mergeCell ref="F198:H198"/>
    <mergeCell ref="I198:J198"/>
    <mergeCell ref="K198:L198"/>
    <mergeCell ref="O198:P198"/>
    <mergeCell ref="R198:S198"/>
    <mergeCell ref="T198:U198"/>
    <mergeCell ref="V198:Y198"/>
    <mergeCell ref="AA198:AC198"/>
    <mergeCell ref="AE198:AG198"/>
    <mergeCell ref="AI198:AK198"/>
    <mergeCell ref="AM198:AO198"/>
    <mergeCell ref="AP198:AQ198"/>
    <mergeCell ref="AR198:AS198"/>
    <mergeCell ref="AT198:AV198"/>
    <mergeCell ref="AW200:AY200"/>
    <mergeCell ref="B201:D201"/>
    <mergeCell ref="F201:H201"/>
    <mergeCell ref="I201:J201"/>
    <mergeCell ref="K201:L201"/>
    <mergeCell ref="O201:P201"/>
    <mergeCell ref="R201:S201"/>
    <mergeCell ref="T201:U201"/>
    <mergeCell ref="V201:Y201"/>
    <mergeCell ref="AA201:AC201"/>
    <mergeCell ref="AE201:AG201"/>
    <mergeCell ref="AI201:AK201"/>
    <mergeCell ref="AM201:AO201"/>
    <mergeCell ref="AP201:AQ201"/>
    <mergeCell ref="AR201:AS201"/>
    <mergeCell ref="AT201:AV201"/>
    <mergeCell ref="AW199:AY199"/>
    <mergeCell ref="B200:D200"/>
    <mergeCell ref="F200:H200"/>
    <mergeCell ref="I200:J200"/>
    <mergeCell ref="K200:L200"/>
    <mergeCell ref="O200:P200"/>
    <mergeCell ref="R200:S200"/>
    <mergeCell ref="T200:U200"/>
    <mergeCell ref="V200:Y200"/>
    <mergeCell ref="AA200:AC200"/>
    <mergeCell ref="AE200:AG200"/>
    <mergeCell ref="AI200:AK200"/>
    <mergeCell ref="AM200:AO200"/>
    <mergeCell ref="AP200:AQ200"/>
    <mergeCell ref="AR200:AS200"/>
    <mergeCell ref="AT200:AV200"/>
    <mergeCell ref="AW202:AY202"/>
    <mergeCell ref="B203:D203"/>
    <mergeCell ref="F203:H203"/>
    <mergeCell ref="I203:J203"/>
    <mergeCell ref="K203:L203"/>
    <mergeCell ref="O203:P203"/>
    <mergeCell ref="R203:S203"/>
    <mergeCell ref="T203:U203"/>
    <mergeCell ref="V203:Y203"/>
    <mergeCell ref="AA203:AC203"/>
    <mergeCell ref="AE203:AG203"/>
    <mergeCell ref="AI203:AK203"/>
    <mergeCell ref="AM203:AO203"/>
    <mergeCell ref="AP203:AQ203"/>
    <mergeCell ref="AR203:AS203"/>
    <mergeCell ref="AT203:AV203"/>
    <mergeCell ref="AW201:AY201"/>
    <mergeCell ref="B202:D202"/>
    <mergeCell ref="F202:H202"/>
    <mergeCell ref="I202:J202"/>
    <mergeCell ref="K202:L202"/>
    <mergeCell ref="O202:P202"/>
    <mergeCell ref="R202:S202"/>
    <mergeCell ref="T202:U202"/>
    <mergeCell ref="V202:Y202"/>
    <mergeCell ref="AA202:AC202"/>
    <mergeCell ref="AE202:AG202"/>
    <mergeCell ref="AI202:AK202"/>
    <mergeCell ref="AM202:AO202"/>
    <mergeCell ref="AP202:AQ202"/>
    <mergeCell ref="AR202:AS202"/>
    <mergeCell ref="AT202:AV202"/>
    <mergeCell ref="AW204:AY204"/>
    <mergeCell ref="B205:D205"/>
    <mergeCell ref="F205:H205"/>
    <mergeCell ref="I205:J205"/>
    <mergeCell ref="K205:L205"/>
    <mergeCell ref="O205:P205"/>
    <mergeCell ref="R205:S205"/>
    <mergeCell ref="T205:U205"/>
    <mergeCell ref="V205:Y205"/>
    <mergeCell ref="AA205:AC205"/>
    <mergeCell ref="AE205:AG205"/>
    <mergeCell ref="AI205:AK205"/>
    <mergeCell ref="AM205:AO205"/>
    <mergeCell ref="AP205:AQ205"/>
    <mergeCell ref="AR205:AS205"/>
    <mergeCell ref="AT205:AV205"/>
    <mergeCell ref="AW203:AY203"/>
    <mergeCell ref="B204:D204"/>
    <mergeCell ref="F204:H204"/>
    <mergeCell ref="I204:J204"/>
    <mergeCell ref="K204:L204"/>
    <mergeCell ref="O204:P204"/>
    <mergeCell ref="R204:S204"/>
    <mergeCell ref="T204:U204"/>
    <mergeCell ref="V204:Y204"/>
    <mergeCell ref="AA204:AC204"/>
    <mergeCell ref="AE204:AG204"/>
    <mergeCell ref="AI204:AK204"/>
    <mergeCell ref="AM204:AO204"/>
    <mergeCell ref="AP204:AQ204"/>
    <mergeCell ref="AR204:AS204"/>
    <mergeCell ref="AT204:AV204"/>
    <mergeCell ref="AW206:AY206"/>
    <mergeCell ref="B207:D207"/>
    <mergeCell ref="F207:H207"/>
    <mergeCell ref="I207:J207"/>
    <mergeCell ref="K207:L207"/>
    <mergeCell ref="O207:P207"/>
    <mergeCell ref="R207:S207"/>
    <mergeCell ref="T207:U207"/>
    <mergeCell ref="V207:Y207"/>
    <mergeCell ref="AA207:AC207"/>
    <mergeCell ref="AE207:AG207"/>
    <mergeCell ref="AI207:AK207"/>
    <mergeCell ref="AM207:AO207"/>
    <mergeCell ref="AP207:AQ207"/>
    <mergeCell ref="AR207:AS207"/>
    <mergeCell ref="AT207:AV207"/>
    <mergeCell ref="AW205:AY205"/>
    <mergeCell ref="B206:D206"/>
    <mergeCell ref="F206:H206"/>
    <mergeCell ref="I206:J206"/>
    <mergeCell ref="K206:L206"/>
    <mergeCell ref="O206:P206"/>
    <mergeCell ref="R206:S206"/>
    <mergeCell ref="T206:U206"/>
    <mergeCell ref="V206:Y206"/>
    <mergeCell ref="AA206:AC206"/>
    <mergeCell ref="AE206:AG206"/>
    <mergeCell ref="AI206:AK206"/>
    <mergeCell ref="AM206:AO206"/>
    <mergeCell ref="AP206:AQ206"/>
    <mergeCell ref="AR206:AS206"/>
    <mergeCell ref="AT206:AV206"/>
    <mergeCell ref="AW208:AY208"/>
    <mergeCell ref="B209:D209"/>
    <mergeCell ref="F209:H209"/>
    <mergeCell ref="I209:J209"/>
    <mergeCell ref="K209:L209"/>
    <mergeCell ref="O209:P209"/>
    <mergeCell ref="R209:S209"/>
    <mergeCell ref="T209:U209"/>
    <mergeCell ref="V209:Y209"/>
    <mergeCell ref="AA209:AC209"/>
    <mergeCell ref="AE209:AG209"/>
    <mergeCell ref="AI209:AK209"/>
    <mergeCell ref="AM209:AO209"/>
    <mergeCell ref="AP209:AQ209"/>
    <mergeCell ref="AR209:AS209"/>
    <mergeCell ref="AT209:AV209"/>
    <mergeCell ref="AW207:AY207"/>
    <mergeCell ref="B208:D208"/>
    <mergeCell ref="F208:H208"/>
    <mergeCell ref="I208:J208"/>
    <mergeCell ref="K208:L208"/>
    <mergeCell ref="O208:P208"/>
    <mergeCell ref="R208:S208"/>
    <mergeCell ref="T208:U208"/>
    <mergeCell ref="V208:Y208"/>
    <mergeCell ref="AA208:AC208"/>
    <mergeCell ref="AE208:AG208"/>
    <mergeCell ref="AI208:AK208"/>
    <mergeCell ref="AM208:AO208"/>
    <mergeCell ref="AP208:AQ208"/>
    <mergeCell ref="AR208:AS208"/>
    <mergeCell ref="AT208:AV208"/>
    <mergeCell ref="AW210:AY210"/>
    <mergeCell ref="B211:D211"/>
    <mergeCell ref="F211:H211"/>
    <mergeCell ref="I211:J211"/>
    <mergeCell ref="K211:L211"/>
    <mergeCell ref="O211:P211"/>
    <mergeCell ref="R211:S211"/>
    <mergeCell ref="T211:U211"/>
    <mergeCell ref="V211:Y211"/>
    <mergeCell ref="AA211:AC211"/>
    <mergeCell ref="AE211:AG211"/>
    <mergeCell ref="AI211:AK211"/>
    <mergeCell ref="AM211:AO211"/>
    <mergeCell ref="AP211:AQ211"/>
    <mergeCell ref="AR211:AS211"/>
    <mergeCell ref="AT211:AV211"/>
    <mergeCell ref="AW209:AY209"/>
    <mergeCell ref="B210:D210"/>
    <mergeCell ref="F210:H210"/>
    <mergeCell ref="I210:J210"/>
    <mergeCell ref="K210:L210"/>
    <mergeCell ref="O210:P210"/>
    <mergeCell ref="R210:S210"/>
    <mergeCell ref="T210:U210"/>
    <mergeCell ref="V210:Y210"/>
    <mergeCell ref="AA210:AC210"/>
    <mergeCell ref="AE210:AG210"/>
    <mergeCell ref="AI210:AK210"/>
    <mergeCell ref="AM210:AO210"/>
    <mergeCell ref="AP210:AQ210"/>
    <mergeCell ref="AR210:AS210"/>
    <mergeCell ref="AT210:AV210"/>
    <mergeCell ref="AW212:AY212"/>
    <mergeCell ref="B213:D213"/>
    <mergeCell ref="F213:H213"/>
    <mergeCell ref="I213:J213"/>
    <mergeCell ref="K213:L213"/>
    <mergeCell ref="O213:P213"/>
    <mergeCell ref="R213:S213"/>
    <mergeCell ref="T213:U213"/>
    <mergeCell ref="V213:Y213"/>
    <mergeCell ref="AA213:AC213"/>
    <mergeCell ref="AE213:AG213"/>
    <mergeCell ref="AI213:AK213"/>
    <mergeCell ref="AM213:AO213"/>
    <mergeCell ref="AP213:AQ213"/>
    <mergeCell ref="AR213:AS213"/>
    <mergeCell ref="AT213:AV213"/>
    <mergeCell ref="AW211:AY211"/>
    <mergeCell ref="B212:D212"/>
    <mergeCell ref="F212:H212"/>
    <mergeCell ref="I212:J212"/>
    <mergeCell ref="K212:L212"/>
    <mergeCell ref="O212:P212"/>
    <mergeCell ref="R212:S212"/>
    <mergeCell ref="T212:U212"/>
    <mergeCell ref="V212:Y212"/>
    <mergeCell ref="AA212:AC212"/>
    <mergeCell ref="AE212:AG212"/>
    <mergeCell ref="AI212:AK212"/>
    <mergeCell ref="AM212:AO212"/>
    <mergeCell ref="AP212:AQ212"/>
    <mergeCell ref="AR212:AS212"/>
    <mergeCell ref="AT212:AV212"/>
    <mergeCell ref="AW214:AY214"/>
    <mergeCell ref="B215:D215"/>
    <mergeCell ref="F215:H215"/>
    <mergeCell ref="I215:J215"/>
    <mergeCell ref="K215:L215"/>
    <mergeCell ref="O215:P215"/>
    <mergeCell ref="R215:S215"/>
    <mergeCell ref="T215:U215"/>
    <mergeCell ref="V215:Y215"/>
    <mergeCell ref="AA215:AC215"/>
    <mergeCell ref="AE215:AG215"/>
    <mergeCell ref="AI215:AK215"/>
    <mergeCell ref="AM215:AO215"/>
    <mergeCell ref="AP215:AQ215"/>
    <mergeCell ref="AR215:AS215"/>
    <mergeCell ref="AT215:AV215"/>
    <mergeCell ref="AW213:AY213"/>
    <mergeCell ref="B214:D214"/>
    <mergeCell ref="F214:H214"/>
    <mergeCell ref="I214:J214"/>
    <mergeCell ref="K214:L214"/>
    <mergeCell ref="O214:P214"/>
    <mergeCell ref="R214:S214"/>
    <mergeCell ref="T214:U214"/>
    <mergeCell ref="V214:Y214"/>
    <mergeCell ref="AA214:AC214"/>
    <mergeCell ref="AE214:AG214"/>
    <mergeCell ref="AI214:AK214"/>
    <mergeCell ref="AM214:AO214"/>
    <mergeCell ref="AP214:AQ214"/>
    <mergeCell ref="AR214:AS214"/>
    <mergeCell ref="AT214:AV214"/>
    <mergeCell ref="AW216:AY216"/>
    <mergeCell ref="B217:D217"/>
    <mergeCell ref="F217:H217"/>
    <mergeCell ref="I217:J217"/>
    <mergeCell ref="K217:L217"/>
    <mergeCell ref="O217:P217"/>
    <mergeCell ref="R217:S217"/>
    <mergeCell ref="T217:U217"/>
    <mergeCell ref="V217:Y217"/>
    <mergeCell ref="AA217:AC217"/>
    <mergeCell ref="AE217:AG217"/>
    <mergeCell ref="AI217:AK217"/>
    <mergeCell ref="AM217:AO217"/>
    <mergeCell ref="AP217:AQ217"/>
    <mergeCell ref="AR217:AS217"/>
    <mergeCell ref="AT217:AV217"/>
    <mergeCell ref="AW215:AY215"/>
    <mergeCell ref="B216:D216"/>
    <mergeCell ref="F216:H216"/>
    <mergeCell ref="I216:J216"/>
    <mergeCell ref="K216:L216"/>
    <mergeCell ref="O216:P216"/>
    <mergeCell ref="R216:S216"/>
    <mergeCell ref="T216:U216"/>
    <mergeCell ref="V216:Y216"/>
    <mergeCell ref="AA216:AC216"/>
    <mergeCell ref="AE216:AG216"/>
    <mergeCell ref="AI216:AK216"/>
    <mergeCell ref="AM216:AO216"/>
    <mergeCell ref="AP216:AQ216"/>
    <mergeCell ref="AR216:AS216"/>
    <mergeCell ref="AT216:AV216"/>
    <mergeCell ref="AW218:AY218"/>
    <mergeCell ref="B219:D219"/>
    <mergeCell ref="F219:H219"/>
    <mergeCell ref="I219:J219"/>
    <mergeCell ref="K219:L219"/>
    <mergeCell ref="O219:P219"/>
    <mergeCell ref="R219:S219"/>
    <mergeCell ref="T219:U219"/>
    <mergeCell ref="V219:Y219"/>
    <mergeCell ref="AA219:AC219"/>
    <mergeCell ref="AE219:AG219"/>
    <mergeCell ref="AI219:AK219"/>
    <mergeCell ref="AM219:AO219"/>
    <mergeCell ref="AP219:AQ219"/>
    <mergeCell ref="AR219:AS219"/>
    <mergeCell ref="AT219:AV219"/>
    <mergeCell ref="AW217:AY217"/>
    <mergeCell ref="B218:D218"/>
    <mergeCell ref="F218:H218"/>
    <mergeCell ref="I218:J218"/>
    <mergeCell ref="K218:L218"/>
    <mergeCell ref="O218:P218"/>
    <mergeCell ref="R218:S218"/>
    <mergeCell ref="T218:U218"/>
    <mergeCell ref="V218:Y218"/>
    <mergeCell ref="AA218:AC218"/>
    <mergeCell ref="AE218:AG218"/>
    <mergeCell ref="AI218:AK218"/>
    <mergeCell ref="AM218:AO218"/>
    <mergeCell ref="AP218:AQ218"/>
    <mergeCell ref="AR218:AS218"/>
    <mergeCell ref="AT218:AV218"/>
    <mergeCell ref="AW220:AY220"/>
    <mergeCell ref="B221:D221"/>
    <mergeCell ref="F221:H221"/>
    <mergeCell ref="I221:J221"/>
    <mergeCell ref="K221:L221"/>
    <mergeCell ref="O221:P221"/>
    <mergeCell ref="R221:S221"/>
    <mergeCell ref="T221:U221"/>
    <mergeCell ref="V221:Y221"/>
    <mergeCell ref="AA221:AC221"/>
    <mergeCell ref="AE221:AG221"/>
    <mergeCell ref="AI221:AK221"/>
    <mergeCell ref="AM221:AO221"/>
    <mergeCell ref="AP221:AQ221"/>
    <mergeCell ref="AR221:AS221"/>
    <mergeCell ref="AT221:AV221"/>
    <mergeCell ref="AW219:AY219"/>
    <mergeCell ref="B220:D220"/>
    <mergeCell ref="F220:H220"/>
    <mergeCell ref="I220:J220"/>
    <mergeCell ref="K220:L220"/>
    <mergeCell ref="O220:P220"/>
    <mergeCell ref="R220:S220"/>
    <mergeCell ref="T220:U220"/>
    <mergeCell ref="V220:Y220"/>
    <mergeCell ref="AA220:AC220"/>
    <mergeCell ref="AE220:AG220"/>
    <mergeCell ref="AI220:AK220"/>
    <mergeCell ref="AM220:AO220"/>
    <mergeCell ref="AP220:AQ220"/>
    <mergeCell ref="AR220:AS220"/>
    <mergeCell ref="AT220:AV220"/>
    <mergeCell ref="AW222:AY222"/>
    <mergeCell ref="B223:D223"/>
    <mergeCell ref="F223:H223"/>
    <mergeCell ref="I223:J223"/>
    <mergeCell ref="K223:L223"/>
    <mergeCell ref="O223:P223"/>
    <mergeCell ref="R223:S223"/>
    <mergeCell ref="T223:U223"/>
    <mergeCell ref="V223:Y223"/>
    <mergeCell ref="AA223:AC223"/>
    <mergeCell ref="AE223:AG223"/>
    <mergeCell ref="AI223:AK223"/>
    <mergeCell ref="AM223:AO223"/>
    <mergeCell ref="AP223:AQ223"/>
    <mergeCell ref="AR223:AS223"/>
    <mergeCell ref="AT223:AV223"/>
    <mergeCell ref="AW221:AY221"/>
    <mergeCell ref="B222:D222"/>
    <mergeCell ref="F222:H222"/>
    <mergeCell ref="I222:J222"/>
    <mergeCell ref="K222:L222"/>
    <mergeCell ref="O222:P222"/>
    <mergeCell ref="R222:S222"/>
    <mergeCell ref="T222:U222"/>
    <mergeCell ref="V222:Y222"/>
    <mergeCell ref="AA222:AC222"/>
    <mergeCell ref="AE222:AG222"/>
    <mergeCell ref="AI222:AK222"/>
    <mergeCell ref="AM222:AO222"/>
    <mergeCell ref="AP222:AQ222"/>
    <mergeCell ref="AR222:AS222"/>
    <mergeCell ref="AT222:AV222"/>
    <mergeCell ref="AW224:AY224"/>
    <mergeCell ref="B225:D225"/>
    <mergeCell ref="F225:H225"/>
    <mergeCell ref="I225:J225"/>
    <mergeCell ref="K225:L225"/>
    <mergeCell ref="O225:P225"/>
    <mergeCell ref="R225:S225"/>
    <mergeCell ref="T225:U225"/>
    <mergeCell ref="V225:Y225"/>
    <mergeCell ref="AA225:AC225"/>
    <mergeCell ref="AE225:AG225"/>
    <mergeCell ref="AI225:AK225"/>
    <mergeCell ref="AM225:AO225"/>
    <mergeCell ref="AP225:AQ225"/>
    <mergeCell ref="AR225:AS225"/>
    <mergeCell ref="AT225:AV225"/>
    <mergeCell ref="AW223:AY223"/>
    <mergeCell ref="B224:D224"/>
    <mergeCell ref="F224:H224"/>
    <mergeCell ref="I224:J224"/>
    <mergeCell ref="K224:L224"/>
    <mergeCell ref="O224:P224"/>
    <mergeCell ref="R224:S224"/>
    <mergeCell ref="T224:U224"/>
    <mergeCell ref="V224:Y224"/>
    <mergeCell ref="AA224:AC224"/>
    <mergeCell ref="AE224:AG224"/>
    <mergeCell ref="AI224:AK224"/>
    <mergeCell ref="AM224:AO224"/>
    <mergeCell ref="AP224:AQ224"/>
    <mergeCell ref="AR224:AS224"/>
    <mergeCell ref="AT224:AV224"/>
    <mergeCell ref="AW226:AY226"/>
    <mergeCell ref="B227:D227"/>
    <mergeCell ref="F227:H227"/>
    <mergeCell ref="I227:J227"/>
    <mergeCell ref="K227:L227"/>
    <mergeCell ref="O227:P227"/>
    <mergeCell ref="R227:S227"/>
    <mergeCell ref="T227:U227"/>
    <mergeCell ref="V227:Y227"/>
    <mergeCell ref="AA227:AC227"/>
    <mergeCell ref="AE227:AG227"/>
    <mergeCell ref="AI227:AK227"/>
    <mergeCell ref="AM227:AO227"/>
    <mergeCell ref="AP227:AQ227"/>
    <mergeCell ref="AR227:AS227"/>
    <mergeCell ref="AT227:AV227"/>
    <mergeCell ref="AW225:AY225"/>
    <mergeCell ref="B226:D226"/>
    <mergeCell ref="F226:H226"/>
    <mergeCell ref="I226:J226"/>
    <mergeCell ref="K226:L226"/>
    <mergeCell ref="O226:P226"/>
    <mergeCell ref="R226:S226"/>
    <mergeCell ref="T226:U226"/>
    <mergeCell ref="V226:Y226"/>
    <mergeCell ref="AA226:AC226"/>
    <mergeCell ref="AE226:AG226"/>
    <mergeCell ref="AI226:AK226"/>
    <mergeCell ref="AM226:AO226"/>
    <mergeCell ref="AP226:AQ226"/>
    <mergeCell ref="AR226:AS226"/>
    <mergeCell ref="AT226:AV226"/>
    <mergeCell ref="AW228:AY228"/>
    <mergeCell ref="B229:D229"/>
    <mergeCell ref="F229:H229"/>
    <mergeCell ref="I229:J229"/>
    <mergeCell ref="K229:L229"/>
    <mergeCell ref="O229:P229"/>
    <mergeCell ref="R229:S229"/>
    <mergeCell ref="T229:U229"/>
    <mergeCell ref="V229:Y229"/>
    <mergeCell ref="AA229:AC229"/>
    <mergeCell ref="AE229:AG229"/>
    <mergeCell ref="AI229:AK229"/>
    <mergeCell ref="AM229:AO229"/>
    <mergeCell ref="AP229:AQ229"/>
    <mergeCell ref="AR229:AS229"/>
    <mergeCell ref="AT229:AV229"/>
    <mergeCell ref="AW227:AY227"/>
    <mergeCell ref="B228:D228"/>
    <mergeCell ref="F228:H228"/>
    <mergeCell ref="I228:J228"/>
    <mergeCell ref="K228:L228"/>
    <mergeCell ref="O228:P228"/>
    <mergeCell ref="R228:S228"/>
    <mergeCell ref="T228:U228"/>
    <mergeCell ref="V228:Y228"/>
    <mergeCell ref="AA228:AC228"/>
    <mergeCell ref="AE228:AG228"/>
    <mergeCell ref="AI228:AK228"/>
    <mergeCell ref="AM228:AO228"/>
    <mergeCell ref="AP228:AQ228"/>
    <mergeCell ref="AR228:AS228"/>
    <mergeCell ref="AT228:AV228"/>
    <mergeCell ref="AW230:AY230"/>
    <mergeCell ref="B231:D231"/>
    <mergeCell ref="F231:H231"/>
    <mergeCell ref="I231:J231"/>
    <mergeCell ref="K231:L231"/>
    <mergeCell ref="O231:P231"/>
    <mergeCell ref="R231:S231"/>
    <mergeCell ref="T231:U231"/>
    <mergeCell ref="V231:Y231"/>
    <mergeCell ref="AA231:AC231"/>
    <mergeCell ref="AE231:AG231"/>
    <mergeCell ref="AI231:AK231"/>
    <mergeCell ref="AM231:AO231"/>
    <mergeCell ref="AP231:AQ231"/>
    <mergeCell ref="AR231:AS231"/>
    <mergeCell ref="AT231:AV231"/>
    <mergeCell ref="AW229:AY229"/>
    <mergeCell ref="B230:D230"/>
    <mergeCell ref="F230:H230"/>
    <mergeCell ref="I230:J230"/>
    <mergeCell ref="K230:L230"/>
    <mergeCell ref="O230:P230"/>
    <mergeCell ref="R230:S230"/>
    <mergeCell ref="T230:U230"/>
    <mergeCell ref="V230:Y230"/>
    <mergeCell ref="AA230:AC230"/>
    <mergeCell ref="AE230:AG230"/>
    <mergeCell ref="AI230:AK230"/>
    <mergeCell ref="AM230:AO230"/>
    <mergeCell ref="AP230:AQ230"/>
    <mergeCell ref="AR230:AS230"/>
    <mergeCell ref="AT230:AV230"/>
    <mergeCell ref="AW232:AY232"/>
    <mergeCell ref="B233:D233"/>
    <mergeCell ref="F233:H233"/>
    <mergeCell ref="I233:J233"/>
    <mergeCell ref="K233:L233"/>
    <mergeCell ref="O233:P233"/>
    <mergeCell ref="R233:S233"/>
    <mergeCell ref="T233:U233"/>
    <mergeCell ref="V233:Y233"/>
    <mergeCell ref="AA233:AC233"/>
    <mergeCell ref="AE233:AG233"/>
    <mergeCell ref="AI233:AK233"/>
    <mergeCell ref="AM233:AO233"/>
    <mergeCell ref="AP233:AQ233"/>
    <mergeCell ref="AR233:AS233"/>
    <mergeCell ref="AT233:AV233"/>
    <mergeCell ref="AW231:AY231"/>
    <mergeCell ref="B232:D232"/>
    <mergeCell ref="F232:H232"/>
    <mergeCell ref="I232:J232"/>
    <mergeCell ref="K232:L232"/>
    <mergeCell ref="O232:P232"/>
    <mergeCell ref="R232:S232"/>
    <mergeCell ref="T232:U232"/>
    <mergeCell ref="V232:Y232"/>
    <mergeCell ref="AA232:AC232"/>
    <mergeCell ref="AE232:AG232"/>
    <mergeCell ref="AI232:AK232"/>
    <mergeCell ref="AM232:AO232"/>
    <mergeCell ref="AP232:AQ232"/>
    <mergeCell ref="AR232:AS232"/>
    <mergeCell ref="AT232:AV232"/>
    <mergeCell ref="AW234:AY234"/>
    <mergeCell ref="B235:D235"/>
    <mergeCell ref="F235:H235"/>
    <mergeCell ref="I235:J235"/>
    <mergeCell ref="K235:L235"/>
    <mergeCell ref="O235:P235"/>
    <mergeCell ref="R235:S235"/>
    <mergeCell ref="T235:U235"/>
    <mergeCell ref="V235:Y235"/>
    <mergeCell ref="AA235:AC235"/>
    <mergeCell ref="AE235:AG235"/>
    <mergeCell ref="AI235:AK235"/>
    <mergeCell ref="AM235:AO235"/>
    <mergeCell ref="AP235:AQ235"/>
    <mergeCell ref="AR235:AS235"/>
    <mergeCell ref="AT235:AV235"/>
    <mergeCell ref="AW233:AY233"/>
    <mergeCell ref="B234:D234"/>
    <mergeCell ref="F234:H234"/>
    <mergeCell ref="I234:J234"/>
    <mergeCell ref="K234:L234"/>
    <mergeCell ref="O234:P234"/>
    <mergeCell ref="R234:S234"/>
    <mergeCell ref="T234:U234"/>
    <mergeCell ref="V234:Y234"/>
    <mergeCell ref="AA234:AC234"/>
    <mergeCell ref="AE234:AG234"/>
    <mergeCell ref="AI234:AK234"/>
    <mergeCell ref="AM234:AO234"/>
    <mergeCell ref="AP234:AQ234"/>
    <mergeCell ref="AR234:AS234"/>
    <mergeCell ref="AT234:AV234"/>
    <mergeCell ref="AW236:AY236"/>
    <mergeCell ref="B237:D237"/>
    <mergeCell ref="F237:H237"/>
    <mergeCell ref="I237:J237"/>
    <mergeCell ref="K237:L237"/>
    <mergeCell ref="O237:P237"/>
    <mergeCell ref="R237:S237"/>
    <mergeCell ref="T237:U237"/>
    <mergeCell ref="V237:Y237"/>
    <mergeCell ref="AA237:AC237"/>
    <mergeCell ref="AE237:AG237"/>
    <mergeCell ref="AI237:AK237"/>
    <mergeCell ref="AM237:AO237"/>
    <mergeCell ref="AP237:AQ237"/>
    <mergeCell ref="AR237:AS237"/>
    <mergeCell ref="AT237:AV237"/>
    <mergeCell ref="AW235:AY235"/>
    <mergeCell ref="B236:D236"/>
    <mergeCell ref="F236:H236"/>
    <mergeCell ref="I236:J236"/>
    <mergeCell ref="K236:L236"/>
    <mergeCell ref="O236:P236"/>
    <mergeCell ref="R236:S236"/>
    <mergeCell ref="T236:U236"/>
    <mergeCell ref="V236:Y236"/>
    <mergeCell ref="AA236:AC236"/>
    <mergeCell ref="AE236:AG236"/>
    <mergeCell ref="AI236:AK236"/>
    <mergeCell ref="AM236:AO236"/>
    <mergeCell ref="AP236:AQ236"/>
    <mergeCell ref="AR236:AS236"/>
    <mergeCell ref="AT236:AV236"/>
    <mergeCell ref="AW238:AY238"/>
    <mergeCell ref="B239:D239"/>
    <mergeCell ref="F239:H239"/>
    <mergeCell ref="I239:J239"/>
    <mergeCell ref="K239:L239"/>
    <mergeCell ref="O239:P239"/>
    <mergeCell ref="R239:S239"/>
    <mergeCell ref="T239:U239"/>
    <mergeCell ref="V239:Y239"/>
    <mergeCell ref="AA239:AC239"/>
    <mergeCell ref="AE239:AG239"/>
    <mergeCell ref="AI239:AK239"/>
    <mergeCell ref="AM239:AO239"/>
    <mergeCell ref="AP239:AQ239"/>
    <mergeCell ref="AR239:AS239"/>
    <mergeCell ref="AT239:AV239"/>
    <mergeCell ref="AW237:AY237"/>
    <mergeCell ref="B238:D238"/>
    <mergeCell ref="F238:H238"/>
    <mergeCell ref="I238:J238"/>
    <mergeCell ref="K238:L238"/>
    <mergeCell ref="O238:P238"/>
    <mergeCell ref="R238:S238"/>
    <mergeCell ref="T238:U238"/>
    <mergeCell ref="V238:Y238"/>
    <mergeCell ref="AA238:AC238"/>
    <mergeCell ref="AE238:AG238"/>
    <mergeCell ref="AI238:AK238"/>
    <mergeCell ref="AM238:AO238"/>
    <mergeCell ref="AP238:AQ238"/>
    <mergeCell ref="AR238:AS238"/>
    <mergeCell ref="AT238:AV238"/>
    <mergeCell ref="AW240:AY240"/>
    <mergeCell ref="B241:D241"/>
    <mergeCell ref="F241:H241"/>
    <mergeCell ref="I241:J241"/>
    <mergeCell ref="K241:L241"/>
    <mergeCell ref="O241:P241"/>
    <mergeCell ref="R241:S241"/>
    <mergeCell ref="T241:U241"/>
    <mergeCell ref="V241:Y241"/>
    <mergeCell ref="AA241:AC241"/>
    <mergeCell ref="AE241:AG241"/>
    <mergeCell ref="AI241:AK241"/>
    <mergeCell ref="AM241:AO241"/>
    <mergeCell ref="AP241:AQ241"/>
    <mergeCell ref="AR241:AS241"/>
    <mergeCell ref="AT241:AV241"/>
    <mergeCell ref="AW239:AY239"/>
    <mergeCell ref="B240:D240"/>
    <mergeCell ref="F240:H240"/>
    <mergeCell ref="I240:J240"/>
    <mergeCell ref="K240:L240"/>
    <mergeCell ref="O240:P240"/>
    <mergeCell ref="R240:S240"/>
    <mergeCell ref="T240:U240"/>
    <mergeCell ref="V240:Y240"/>
    <mergeCell ref="AA240:AC240"/>
    <mergeCell ref="AE240:AG240"/>
    <mergeCell ref="AI240:AK240"/>
    <mergeCell ref="AM240:AO240"/>
    <mergeCell ref="AP240:AQ240"/>
    <mergeCell ref="AR240:AS240"/>
    <mergeCell ref="AT240:AV240"/>
    <mergeCell ref="AW242:AY242"/>
    <mergeCell ref="B243:D243"/>
    <mergeCell ref="F243:H243"/>
    <mergeCell ref="I243:J243"/>
    <mergeCell ref="K243:L243"/>
    <mergeCell ref="O243:P243"/>
    <mergeCell ref="R243:S243"/>
    <mergeCell ref="T243:U243"/>
    <mergeCell ref="V243:Y243"/>
    <mergeCell ref="AA243:AC243"/>
    <mergeCell ref="AE243:AG243"/>
    <mergeCell ref="AI243:AK243"/>
    <mergeCell ref="AM243:AO243"/>
    <mergeCell ref="AP243:AQ243"/>
    <mergeCell ref="AR243:AS243"/>
    <mergeCell ref="AT243:AV243"/>
    <mergeCell ref="AW241:AY241"/>
    <mergeCell ref="B242:D242"/>
    <mergeCell ref="F242:H242"/>
    <mergeCell ref="I242:J242"/>
    <mergeCell ref="K242:L242"/>
    <mergeCell ref="O242:P242"/>
    <mergeCell ref="R242:S242"/>
    <mergeCell ref="T242:U242"/>
    <mergeCell ref="V242:Y242"/>
    <mergeCell ref="AA242:AC242"/>
    <mergeCell ref="AE242:AG242"/>
    <mergeCell ref="AI242:AK242"/>
    <mergeCell ref="AM242:AO242"/>
    <mergeCell ref="AP242:AQ242"/>
    <mergeCell ref="AR242:AS242"/>
    <mergeCell ref="AT242:AV242"/>
    <mergeCell ref="AW244:AY244"/>
    <mergeCell ref="B245:D245"/>
    <mergeCell ref="F245:H245"/>
    <mergeCell ref="I245:J245"/>
    <mergeCell ref="K245:L245"/>
    <mergeCell ref="O245:P245"/>
    <mergeCell ref="R245:S245"/>
    <mergeCell ref="T245:U245"/>
    <mergeCell ref="V245:Y245"/>
    <mergeCell ref="AA245:AC245"/>
    <mergeCell ref="AE245:AG245"/>
    <mergeCell ref="AI245:AK245"/>
    <mergeCell ref="AM245:AO245"/>
    <mergeCell ref="AP245:AQ245"/>
    <mergeCell ref="AR245:AS245"/>
    <mergeCell ref="AT245:AV245"/>
    <mergeCell ref="AW243:AY243"/>
    <mergeCell ref="B244:D244"/>
    <mergeCell ref="F244:H244"/>
    <mergeCell ref="I244:J244"/>
    <mergeCell ref="K244:L244"/>
    <mergeCell ref="O244:P244"/>
    <mergeCell ref="R244:S244"/>
    <mergeCell ref="T244:U244"/>
    <mergeCell ref="V244:Y244"/>
    <mergeCell ref="AA244:AC244"/>
    <mergeCell ref="AE244:AG244"/>
    <mergeCell ref="AI244:AK244"/>
    <mergeCell ref="AM244:AO244"/>
    <mergeCell ref="AP244:AQ244"/>
    <mergeCell ref="AR244:AS244"/>
    <mergeCell ref="AT244:AV244"/>
    <mergeCell ref="AW246:AY246"/>
    <mergeCell ref="B247:D247"/>
    <mergeCell ref="F247:H247"/>
    <mergeCell ref="I247:J247"/>
    <mergeCell ref="K247:L247"/>
    <mergeCell ref="O247:P247"/>
    <mergeCell ref="R247:S247"/>
    <mergeCell ref="T247:U247"/>
    <mergeCell ref="V247:Y247"/>
    <mergeCell ref="AA247:AC247"/>
    <mergeCell ref="AE247:AG247"/>
    <mergeCell ref="AI247:AK247"/>
    <mergeCell ref="AM247:AO247"/>
    <mergeCell ref="AP247:AQ247"/>
    <mergeCell ref="AR247:AS247"/>
    <mergeCell ref="AT247:AV247"/>
    <mergeCell ref="AW245:AY245"/>
    <mergeCell ref="B246:D246"/>
    <mergeCell ref="F246:H246"/>
    <mergeCell ref="I246:J246"/>
    <mergeCell ref="K246:L246"/>
    <mergeCell ref="O246:P246"/>
    <mergeCell ref="R246:S246"/>
    <mergeCell ref="T246:U246"/>
    <mergeCell ref="V246:Y246"/>
    <mergeCell ref="AA246:AC246"/>
    <mergeCell ref="AE246:AG246"/>
    <mergeCell ref="AI246:AK246"/>
    <mergeCell ref="AM246:AO246"/>
    <mergeCell ref="AP246:AQ246"/>
    <mergeCell ref="AR246:AS246"/>
    <mergeCell ref="AT246:AV246"/>
    <mergeCell ref="AW248:AY248"/>
    <mergeCell ref="B249:D249"/>
    <mergeCell ref="F249:H249"/>
    <mergeCell ref="I249:J249"/>
    <mergeCell ref="K249:L249"/>
    <mergeCell ref="O249:P249"/>
    <mergeCell ref="R249:S249"/>
    <mergeCell ref="T249:U249"/>
    <mergeCell ref="V249:Y249"/>
    <mergeCell ref="AA249:AC249"/>
    <mergeCell ref="AE249:AG249"/>
    <mergeCell ref="AI249:AK249"/>
    <mergeCell ref="AM249:AO249"/>
    <mergeCell ref="AP249:AQ249"/>
    <mergeCell ref="AR249:AS249"/>
    <mergeCell ref="AT249:AV249"/>
    <mergeCell ref="AW247:AY247"/>
    <mergeCell ref="B248:D248"/>
    <mergeCell ref="F248:H248"/>
    <mergeCell ref="I248:J248"/>
    <mergeCell ref="K248:L248"/>
    <mergeCell ref="O248:P248"/>
    <mergeCell ref="R248:S248"/>
    <mergeCell ref="T248:U248"/>
    <mergeCell ref="V248:Y248"/>
    <mergeCell ref="AA248:AC248"/>
    <mergeCell ref="AE248:AG248"/>
    <mergeCell ref="AI248:AK248"/>
    <mergeCell ref="AM248:AO248"/>
    <mergeCell ref="AP248:AQ248"/>
    <mergeCell ref="AR248:AS248"/>
    <mergeCell ref="AT248:AV248"/>
    <mergeCell ref="AW250:AY250"/>
    <mergeCell ref="B251:D251"/>
    <mergeCell ref="F251:H251"/>
    <mergeCell ref="I251:J251"/>
    <mergeCell ref="K251:L251"/>
    <mergeCell ref="O251:P251"/>
    <mergeCell ref="R251:S251"/>
    <mergeCell ref="T251:U251"/>
    <mergeCell ref="V251:Y251"/>
    <mergeCell ref="AA251:AC251"/>
    <mergeCell ref="AE251:AG251"/>
    <mergeCell ref="AI251:AK251"/>
    <mergeCell ref="AM251:AO251"/>
    <mergeCell ref="AP251:AQ251"/>
    <mergeCell ref="AR251:AS251"/>
    <mergeCell ref="AT251:AV251"/>
    <mergeCell ref="AW249:AY249"/>
    <mergeCell ref="B250:D250"/>
    <mergeCell ref="F250:H250"/>
    <mergeCell ref="I250:J250"/>
    <mergeCell ref="K250:L250"/>
    <mergeCell ref="O250:P250"/>
    <mergeCell ref="R250:S250"/>
    <mergeCell ref="T250:U250"/>
    <mergeCell ref="V250:Y250"/>
    <mergeCell ref="AA250:AC250"/>
    <mergeCell ref="AE250:AG250"/>
    <mergeCell ref="AI250:AK250"/>
    <mergeCell ref="AM250:AO250"/>
    <mergeCell ref="AP250:AQ250"/>
    <mergeCell ref="AR250:AS250"/>
    <mergeCell ref="AT250:AV250"/>
    <mergeCell ref="AW252:AY252"/>
    <mergeCell ref="B253:D253"/>
    <mergeCell ref="F253:H253"/>
    <mergeCell ref="I253:J253"/>
    <mergeCell ref="K253:L253"/>
    <mergeCell ref="O253:P253"/>
    <mergeCell ref="R253:S253"/>
    <mergeCell ref="T253:U253"/>
    <mergeCell ref="V253:Y253"/>
    <mergeCell ref="AA253:AC253"/>
    <mergeCell ref="AE253:AG253"/>
    <mergeCell ref="AI253:AK253"/>
    <mergeCell ref="AM253:AO253"/>
    <mergeCell ref="AP253:AQ253"/>
    <mergeCell ref="AR253:AS253"/>
    <mergeCell ref="AT253:AV253"/>
    <mergeCell ref="AW251:AY251"/>
    <mergeCell ref="B252:D252"/>
    <mergeCell ref="F252:H252"/>
    <mergeCell ref="I252:J252"/>
    <mergeCell ref="K252:L252"/>
    <mergeCell ref="O252:P252"/>
    <mergeCell ref="R252:S252"/>
    <mergeCell ref="T252:U252"/>
    <mergeCell ref="V252:Y252"/>
    <mergeCell ref="AA252:AC252"/>
    <mergeCell ref="AE252:AG252"/>
    <mergeCell ref="AI252:AK252"/>
    <mergeCell ref="AM252:AO252"/>
    <mergeCell ref="AP252:AQ252"/>
    <mergeCell ref="AR252:AS252"/>
    <mergeCell ref="AT252:AV252"/>
    <mergeCell ref="AW254:AY254"/>
    <mergeCell ref="B255:D255"/>
    <mergeCell ref="F255:H255"/>
    <mergeCell ref="I255:J255"/>
    <mergeCell ref="K255:L255"/>
    <mergeCell ref="O255:P255"/>
    <mergeCell ref="R255:S255"/>
    <mergeCell ref="T255:U255"/>
    <mergeCell ref="V255:Y255"/>
    <mergeCell ref="AA255:AC255"/>
    <mergeCell ref="AE255:AG255"/>
    <mergeCell ref="AI255:AK255"/>
    <mergeCell ref="AM255:AO255"/>
    <mergeCell ref="AP255:AQ255"/>
    <mergeCell ref="AR255:AS255"/>
    <mergeCell ref="AT255:AV255"/>
    <mergeCell ref="AW253:AY253"/>
    <mergeCell ref="B254:D254"/>
    <mergeCell ref="F254:H254"/>
    <mergeCell ref="I254:J254"/>
    <mergeCell ref="K254:L254"/>
    <mergeCell ref="O254:P254"/>
    <mergeCell ref="R254:S254"/>
    <mergeCell ref="T254:U254"/>
    <mergeCell ref="V254:Y254"/>
    <mergeCell ref="AA254:AC254"/>
    <mergeCell ref="AE254:AG254"/>
    <mergeCell ref="AI254:AK254"/>
    <mergeCell ref="AM254:AO254"/>
    <mergeCell ref="AP254:AQ254"/>
    <mergeCell ref="AR254:AS254"/>
    <mergeCell ref="AT254:AV254"/>
    <mergeCell ref="AW256:AY256"/>
    <mergeCell ref="B257:D257"/>
    <mergeCell ref="F257:H257"/>
    <mergeCell ref="I257:J257"/>
    <mergeCell ref="K257:L257"/>
    <mergeCell ref="O257:P257"/>
    <mergeCell ref="R257:S257"/>
    <mergeCell ref="T257:U257"/>
    <mergeCell ref="V257:Y257"/>
    <mergeCell ref="AA257:AC257"/>
    <mergeCell ref="AE257:AG257"/>
    <mergeCell ref="AI257:AK257"/>
    <mergeCell ref="AM257:AO257"/>
    <mergeCell ref="AP257:AQ257"/>
    <mergeCell ref="AR257:AS257"/>
    <mergeCell ref="AT257:AV257"/>
    <mergeCell ref="AW255:AY255"/>
    <mergeCell ref="B256:D256"/>
    <mergeCell ref="F256:H256"/>
    <mergeCell ref="I256:J256"/>
    <mergeCell ref="K256:L256"/>
    <mergeCell ref="O256:P256"/>
    <mergeCell ref="R256:S256"/>
    <mergeCell ref="T256:U256"/>
    <mergeCell ref="V256:Y256"/>
    <mergeCell ref="AA256:AC256"/>
    <mergeCell ref="AE256:AG256"/>
    <mergeCell ref="AI256:AK256"/>
    <mergeCell ref="AM256:AO256"/>
    <mergeCell ref="AP256:AQ256"/>
    <mergeCell ref="AR256:AS256"/>
    <mergeCell ref="AT256:AV256"/>
    <mergeCell ref="AW258:AY258"/>
    <mergeCell ref="B259:D259"/>
    <mergeCell ref="F259:H259"/>
    <mergeCell ref="I259:J259"/>
    <mergeCell ref="K259:L259"/>
    <mergeCell ref="O259:P259"/>
    <mergeCell ref="R259:S259"/>
    <mergeCell ref="T259:U259"/>
    <mergeCell ref="V259:Y259"/>
    <mergeCell ref="AA259:AC259"/>
    <mergeCell ref="AE259:AG259"/>
    <mergeCell ref="AI259:AK259"/>
    <mergeCell ref="AM259:AO259"/>
    <mergeCell ref="AP259:AQ259"/>
    <mergeCell ref="AR259:AS259"/>
    <mergeCell ref="AT259:AV259"/>
    <mergeCell ref="AW257:AY257"/>
    <mergeCell ref="B258:D258"/>
    <mergeCell ref="F258:H258"/>
    <mergeCell ref="I258:J258"/>
    <mergeCell ref="K258:L258"/>
    <mergeCell ref="O258:P258"/>
    <mergeCell ref="R258:S258"/>
    <mergeCell ref="T258:U258"/>
    <mergeCell ref="V258:Y258"/>
    <mergeCell ref="AA258:AC258"/>
    <mergeCell ref="AE258:AG258"/>
    <mergeCell ref="AI258:AK258"/>
    <mergeCell ref="AM258:AO258"/>
    <mergeCell ref="AP258:AQ258"/>
    <mergeCell ref="AR258:AS258"/>
    <mergeCell ref="AT258:AV258"/>
    <mergeCell ref="AW260:AY260"/>
    <mergeCell ref="B261:D261"/>
    <mergeCell ref="F261:H261"/>
    <mergeCell ref="I261:J261"/>
    <mergeCell ref="K261:L261"/>
    <mergeCell ref="O261:P261"/>
    <mergeCell ref="R261:S261"/>
    <mergeCell ref="T261:U261"/>
    <mergeCell ref="V261:Y261"/>
    <mergeCell ref="AA261:AC261"/>
    <mergeCell ref="AE261:AG261"/>
    <mergeCell ref="AI261:AK261"/>
    <mergeCell ref="AM261:AO261"/>
    <mergeCell ref="AP261:AQ261"/>
    <mergeCell ref="AR261:AS261"/>
    <mergeCell ref="AT261:AV261"/>
    <mergeCell ref="AW259:AY259"/>
    <mergeCell ref="B260:D260"/>
    <mergeCell ref="F260:H260"/>
    <mergeCell ref="I260:J260"/>
    <mergeCell ref="K260:L260"/>
    <mergeCell ref="O260:P260"/>
    <mergeCell ref="R260:S260"/>
    <mergeCell ref="T260:U260"/>
    <mergeCell ref="V260:Y260"/>
    <mergeCell ref="AA260:AC260"/>
    <mergeCell ref="AE260:AG260"/>
    <mergeCell ref="AI260:AK260"/>
    <mergeCell ref="AM260:AO260"/>
    <mergeCell ref="AP260:AQ260"/>
    <mergeCell ref="AR260:AS260"/>
    <mergeCell ref="AT260:AV260"/>
    <mergeCell ref="AP263:AQ263"/>
    <mergeCell ref="AR263:AS263"/>
    <mergeCell ref="AT263:AV263"/>
    <mergeCell ref="AW261:AY261"/>
    <mergeCell ref="B262:D262"/>
    <mergeCell ref="F262:H262"/>
    <mergeCell ref="I262:J262"/>
    <mergeCell ref="K262:L262"/>
    <mergeCell ref="O262:P262"/>
    <mergeCell ref="R262:S262"/>
    <mergeCell ref="T262:U262"/>
    <mergeCell ref="V262:Y262"/>
    <mergeCell ref="AA262:AC262"/>
    <mergeCell ref="AE262:AG262"/>
    <mergeCell ref="AI262:AK262"/>
    <mergeCell ref="AM262:AO262"/>
    <mergeCell ref="AP262:AQ262"/>
    <mergeCell ref="AR262:AS262"/>
    <mergeCell ref="AT262:AV262"/>
    <mergeCell ref="M261:N261"/>
    <mergeCell ref="M262:N262"/>
    <mergeCell ref="M263:N263"/>
    <mergeCell ref="AW264:AY264"/>
    <mergeCell ref="T8:U8"/>
    <mergeCell ref="R8:S8"/>
    <mergeCell ref="AW263:AY263"/>
    <mergeCell ref="B264:D264"/>
    <mergeCell ref="F264:H264"/>
    <mergeCell ref="I264:J264"/>
    <mergeCell ref="K264:L264"/>
    <mergeCell ref="O264:P264"/>
    <mergeCell ref="R264:S264"/>
    <mergeCell ref="T264:U264"/>
    <mergeCell ref="V264:Y264"/>
    <mergeCell ref="AA264:AC264"/>
    <mergeCell ref="AE264:AG264"/>
    <mergeCell ref="AI264:AK264"/>
    <mergeCell ref="AM264:AO264"/>
    <mergeCell ref="AP264:AQ264"/>
    <mergeCell ref="AR264:AS264"/>
    <mergeCell ref="AT264:AV264"/>
    <mergeCell ref="AW262:AY262"/>
    <mergeCell ref="B263:D263"/>
    <mergeCell ref="F263:H263"/>
    <mergeCell ref="I263:J263"/>
    <mergeCell ref="K263:L263"/>
    <mergeCell ref="O263:P263"/>
    <mergeCell ref="R263:S263"/>
    <mergeCell ref="T263:U263"/>
    <mergeCell ref="V263:Y263"/>
    <mergeCell ref="AA263:AC263"/>
    <mergeCell ref="AE263:AG263"/>
    <mergeCell ref="AI263:AK263"/>
    <mergeCell ref="AM263:AO263"/>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M111:N111"/>
    <mergeCell ref="M112:N112"/>
    <mergeCell ref="M113:N113"/>
    <mergeCell ref="M114:N114"/>
    <mergeCell ref="M115:N115"/>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M134:N134"/>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M149:N149"/>
    <mergeCell ref="M150:N150"/>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87:N187"/>
    <mergeCell ref="M188:N188"/>
    <mergeCell ref="M189:N189"/>
    <mergeCell ref="M190:N190"/>
    <mergeCell ref="M191:N191"/>
    <mergeCell ref="M192:N192"/>
    <mergeCell ref="M193:N193"/>
    <mergeCell ref="M194:N194"/>
    <mergeCell ref="M195:N195"/>
    <mergeCell ref="M196:N196"/>
    <mergeCell ref="M197:N197"/>
    <mergeCell ref="M198:N198"/>
    <mergeCell ref="M199:N199"/>
    <mergeCell ref="M200:N200"/>
    <mergeCell ref="M201:N201"/>
    <mergeCell ref="M202:N202"/>
    <mergeCell ref="M203:N203"/>
    <mergeCell ref="M204:N204"/>
    <mergeCell ref="M205:N205"/>
    <mergeCell ref="M206:N206"/>
    <mergeCell ref="M207:N207"/>
    <mergeCell ref="M208:N208"/>
    <mergeCell ref="M209:N209"/>
    <mergeCell ref="M240:N240"/>
    <mergeCell ref="M241:N241"/>
    <mergeCell ref="M242:N242"/>
    <mergeCell ref="M243:N243"/>
    <mergeCell ref="M210:N210"/>
    <mergeCell ref="M211:N211"/>
    <mergeCell ref="M212:N212"/>
    <mergeCell ref="M213:N213"/>
    <mergeCell ref="M214:N214"/>
    <mergeCell ref="M215:N215"/>
    <mergeCell ref="M216:N216"/>
    <mergeCell ref="M217:N217"/>
    <mergeCell ref="M218:N218"/>
    <mergeCell ref="M219:N219"/>
    <mergeCell ref="M220:N220"/>
    <mergeCell ref="M221:N221"/>
    <mergeCell ref="M222:N222"/>
    <mergeCell ref="M223:N223"/>
    <mergeCell ref="M224:N224"/>
    <mergeCell ref="M225:N225"/>
    <mergeCell ref="M226:N226"/>
    <mergeCell ref="M264:N264"/>
    <mergeCell ref="K6:N6"/>
    <mergeCell ref="M244:N244"/>
    <mergeCell ref="M245:N245"/>
    <mergeCell ref="M246:N246"/>
    <mergeCell ref="M247:N247"/>
    <mergeCell ref="M248:N248"/>
    <mergeCell ref="M249:N249"/>
    <mergeCell ref="M250:N250"/>
    <mergeCell ref="M251:N251"/>
    <mergeCell ref="M252:N252"/>
    <mergeCell ref="M253:N253"/>
    <mergeCell ref="M254:N254"/>
    <mergeCell ref="M255:N255"/>
    <mergeCell ref="M256:N256"/>
    <mergeCell ref="M257:N257"/>
    <mergeCell ref="M258:N258"/>
    <mergeCell ref="M259:N259"/>
    <mergeCell ref="M260:N260"/>
    <mergeCell ref="M227:N227"/>
    <mergeCell ref="M228:N228"/>
    <mergeCell ref="M229:N229"/>
    <mergeCell ref="M230:N230"/>
    <mergeCell ref="M231:N231"/>
    <mergeCell ref="M232:N232"/>
    <mergeCell ref="M233:N233"/>
    <mergeCell ref="M234:N234"/>
    <mergeCell ref="M235:N235"/>
    <mergeCell ref="M236:N236"/>
    <mergeCell ref="M237:N237"/>
    <mergeCell ref="M238:N238"/>
    <mergeCell ref="M239:N239"/>
  </mergeCells>
  <conditionalFormatting sqref="R12:S264">
    <cfRule type="expression" dxfId="18" priority="18">
      <formula>Q12=3</formula>
    </cfRule>
  </conditionalFormatting>
  <conditionalFormatting sqref="T12:U264">
    <cfRule type="expression" dxfId="17" priority="17">
      <formula>Q12=3</formula>
    </cfRule>
  </conditionalFormatting>
  <conditionalFormatting sqref="V12:Z264">
    <cfRule type="expression" dxfId="16" priority="13">
      <formula>Q12=3</formula>
    </cfRule>
  </conditionalFormatting>
  <conditionalFormatting sqref="AA12:AD264">
    <cfRule type="expression" dxfId="15" priority="11">
      <formula>Q12=3</formula>
    </cfRule>
  </conditionalFormatting>
  <conditionalFormatting sqref="AE12:AG53">
    <cfRule type="expression" dxfId="14" priority="2530">
      <formula>Q12=3</formula>
    </cfRule>
    <cfRule type="expression" dxfId="13" priority="2534">
      <formula>Q12=2</formula>
    </cfRule>
  </conditionalFormatting>
  <conditionalFormatting sqref="AE54:AG54">
    <cfRule type="expression" dxfId="12" priority="2261">
      <formula>U54=3</formula>
    </cfRule>
  </conditionalFormatting>
  <conditionalFormatting sqref="AE55:AG264">
    <cfRule type="expression" dxfId="11" priority="7">
      <formula>Q55=3</formula>
    </cfRule>
    <cfRule type="expression" dxfId="10" priority="8">
      <formula>Q55=2</formula>
    </cfRule>
  </conditionalFormatting>
  <conditionalFormatting sqref="AH12:AH264">
    <cfRule type="expression" dxfId="9" priority="6029">
      <formula>T14=3</formula>
    </cfRule>
    <cfRule type="expression" dxfId="8" priority="6030">
      <formula>T14=2</formula>
    </cfRule>
  </conditionalFormatting>
  <conditionalFormatting sqref="AI12:AL264">
    <cfRule type="expression" dxfId="7" priority="5">
      <formula>Q12=3</formula>
    </cfRule>
  </conditionalFormatting>
  <conditionalFormatting sqref="AM12:AO264">
    <cfRule type="expression" dxfId="6" priority="1">
      <formula>Q12=3</formula>
    </cfRule>
    <cfRule type="expression" dxfId="5" priority="2">
      <formula>Q12=2</formula>
    </cfRule>
  </conditionalFormatting>
  <conditionalFormatting sqref="AR12:AS264">
    <cfRule type="expression" dxfId="4" priority="19">
      <formula>Q12=2</formula>
    </cfRule>
    <cfRule type="expression" dxfId="3" priority="21">
      <formula>Q12=3</formula>
    </cfRule>
  </conditionalFormatting>
  <conditionalFormatting sqref="AW12:AY264">
    <cfRule type="expression" dxfId="2" priority="20">
      <formula>Q12=3</formula>
    </cfRule>
    <cfRule type="expression" dxfId="1" priority="26">
      <formula>Q12=2</formula>
    </cfRule>
  </conditionalFormatting>
  <dataValidations count="4">
    <dataValidation type="list" allowBlank="1" showInputMessage="1" showErrorMessage="1" sqref="O12:P264" xr:uid="{00000000-0002-0000-0200-000000000000}">
      <formula1>$AZ$5:$AZ$7</formula1>
    </dataValidation>
    <dataValidation type="list" allowBlank="1" showInputMessage="1" showErrorMessage="1" sqref="AW12:AY264" xr:uid="{00000000-0002-0000-0200-000001000000}">
      <formula1>$BD$1:$BD$2</formula1>
    </dataValidation>
    <dataValidation type="list" allowBlank="1" showInputMessage="1" showErrorMessage="1" sqref="R12:S264" xr:uid="{00000000-0002-0000-0200-000002000000}">
      <formula1>$BB$1:$BB$6</formula1>
    </dataValidation>
    <dataValidation type="list" allowBlank="1" showInputMessage="1" showErrorMessage="1" sqref="T12:U264" xr:uid="{00000000-0002-0000-0200-000003000000}">
      <formula1>$BC$1:$BC$4</formula1>
    </dataValidation>
  </dataValidations>
  <printOptions horizontalCentered="1"/>
  <pageMargins left="0.5" right="0.5" top="0.75" bottom="0.5" header="0.3" footer="0.05"/>
  <pageSetup paperSize="9" scale="70" orientation="landscape" r:id="rId1"/>
  <colBreaks count="1" manualBreakCount="1">
    <brk id="26" min="2" max="266"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T70"/>
  <sheetViews>
    <sheetView zoomScaleNormal="100" workbookViewId="0">
      <pane xSplit="15" ySplit="13" topLeftCell="P14" activePane="bottomRight" state="frozen"/>
      <selection pane="topRight" activeCell="N1" sqref="N1"/>
      <selection pane="bottomLeft" activeCell="A11" sqref="A11"/>
      <selection pane="bottomRight"/>
    </sheetView>
  </sheetViews>
  <sheetFormatPr defaultColWidth="9.140625" defaultRowHeight="15" x14ac:dyDescent="0.25"/>
  <cols>
    <col min="1" max="1" width="3.42578125" style="1" customWidth="1"/>
    <col min="2" max="4" width="7.7109375" style="1" customWidth="1"/>
    <col min="5" max="5" width="7.7109375" style="1" hidden="1" customWidth="1"/>
    <col min="6" max="11" width="9.28515625" style="1" customWidth="1"/>
    <col min="12" max="12" width="9.28515625" style="1" hidden="1" customWidth="1"/>
    <col min="13" max="15" width="9.140625" style="1"/>
    <col min="16" max="20" width="9.140625" style="64" hidden="1" customWidth="1"/>
    <col min="21" max="21" width="9.140625" style="1" customWidth="1"/>
    <col min="22" max="16384" width="9.140625" style="1"/>
  </cols>
  <sheetData>
    <row r="1" spans="2:20" s="2" customFormat="1" ht="27" customHeight="1" x14ac:dyDescent="0.25">
      <c r="B1" s="223"/>
      <c r="C1" s="223"/>
      <c r="F1" s="222"/>
      <c r="G1" s="222"/>
      <c r="I1" s="222"/>
      <c r="J1" s="222"/>
      <c r="P1" s="63"/>
      <c r="Q1" s="63"/>
      <c r="R1" s="63"/>
      <c r="S1" s="63"/>
      <c r="T1" s="63"/>
    </row>
    <row r="2" spans="2:20" s="2" customFormat="1" ht="8.25" customHeight="1" x14ac:dyDescent="0.25">
      <c r="B2" s="153"/>
      <c r="C2" s="153"/>
      <c r="F2" s="153"/>
      <c r="G2" s="153"/>
      <c r="K2" s="154"/>
      <c r="L2" s="154"/>
      <c r="M2" s="154"/>
      <c r="O2" s="154"/>
      <c r="P2" s="154"/>
      <c r="Q2" s="154"/>
    </row>
    <row r="3" spans="2:20" ht="26.25" customHeight="1" x14ac:dyDescent="0.25">
      <c r="B3" s="329" t="s">
        <v>301</v>
      </c>
      <c r="C3" s="329"/>
      <c r="D3" s="329"/>
      <c r="E3" s="329"/>
      <c r="F3" s="329"/>
      <c r="G3" s="329"/>
      <c r="H3" s="329"/>
      <c r="I3" s="329"/>
      <c r="J3" s="329"/>
      <c r="K3" s="329"/>
      <c r="L3" s="329"/>
      <c r="M3" s="329"/>
      <c r="N3" s="329"/>
      <c r="O3" s="329"/>
    </row>
    <row r="4" spans="2:20" ht="21.75" customHeight="1" x14ac:dyDescent="0.25">
      <c r="B4" s="330" t="s">
        <v>119</v>
      </c>
      <c r="C4" s="330"/>
      <c r="D4" s="330"/>
      <c r="E4" s="330"/>
      <c r="F4" s="330"/>
      <c r="G4" s="330"/>
      <c r="H4" s="330"/>
      <c r="I4" s="330"/>
      <c r="J4" s="330"/>
      <c r="K4" s="330"/>
      <c r="L4" s="330"/>
      <c r="M4" s="330"/>
      <c r="N4" s="330"/>
      <c r="O4" s="330"/>
    </row>
    <row r="6" spans="2:20" s="18" customFormat="1" ht="15.75" x14ac:dyDescent="0.25">
      <c r="B6" s="319" t="s">
        <v>54</v>
      </c>
      <c r="C6" s="319"/>
      <c r="D6" s="328" t="str">
        <f>IF(Var!D7=0,"",Var!D7)</f>
        <v/>
      </c>
      <c r="E6" s="328"/>
      <c r="F6" s="328"/>
      <c r="G6" s="319" t="s">
        <v>55</v>
      </c>
      <c r="H6" s="319"/>
      <c r="I6" s="328" t="str">
        <f>IF(Var!I7=0,"",Var!I7)</f>
        <v/>
      </c>
      <c r="J6" s="328"/>
      <c r="K6" s="319" t="s">
        <v>6</v>
      </c>
      <c r="L6" s="319"/>
      <c r="M6" s="319"/>
      <c r="N6" s="328" t="str">
        <f>IF(Var!N7=0,"",Var!N7)</f>
        <v/>
      </c>
      <c r="O6" s="328"/>
      <c r="P6" s="65"/>
      <c r="Q6" s="65"/>
      <c r="R6" s="65"/>
      <c r="S6" s="65"/>
      <c r="T6" s="65"/>
    </row>
    <row r="7" spans="2:20" s="18" customFormat="1" ht="15.75" x14ac:dyDescent="0.25">
      <c r="B7" s="54"/>
      <c r="C7" s="54"/>
      <c r="D7" s="54"/>
      <c r="E7" s="54"/>
      <c r="F7" s="54"/>
      <c r="G7" s="54"/>
      <c r="H7" s="54"/>
      <c r="I7" s="54"/>
      <c r="J7" s="54"/>
      <c r="K7" s="54"/>
      <c r="L7" s="54"/>
      <c r="M7" s="54"/>
      <c r="N7" s="54"/>
      <c r="O7" s="54"/>
      <c r="P7" s="65"/>
      <c r="Q7" s="65"/>
      <c r="R7" s="65"/>
      <c r="S7" s="65"/>
      <c r="T7" s="65"/>
    </row>
    <row r="8" spans="2:20" s="18" customFormat="1" ht="15.75" x14ac:dyDescent="0.25">
      <c r="B8" s="331" t="s">
        <v>90</v>
      </c>
      <c r="C8" s="331"/>
      <c r="D8" s="331"/>
      <c r="E8" s="331"/>
      <c r="F8" s="331"/>
      <c r="G8" s="331"/>
      <c r="H8" s="331"/>
      <c r="I8" s="331"/>
      <c r="J8" s="331"/>
      <c r="K8" s="331"/>
      <c r="L8" s="331"/>
      <c r="M8" s="331"/>
      <c r="N8" s="331"/>
      <c r="O8" s="159"/>
      <c r="P8" s="65"/>
      <c r="Q8" s="65"/>
      <c r="R8" s="65"/>
      <c r="S8" s="65"/>
      <c r="T8" s="65"/>
    </row>
    <row r="9" spans="2:20" ht="15.75" x14ac:dyDescent="0.25">
      <c r="B9" s="15"/>
      <c r="C9" s="15"/>
      <c r="D9" s="15"/>
      <c r="E9" s="15"/>
      <c r="F9" s="15"/>
      <c r="G9" s="15"/>
      <c r="H9" s="15"/>
    </row>
    <row r="10" spans="2:20" s="15" customFormat="1" ht="15.75" x14ac:dyDescent="0.25">
      <c r="B10" s="320" t="s">
        <v>8</v>
      </c>
      <c r="C10" s="321"/>
      <c r="D10" s="322"/>
      <c r="E10" s="96"/>
      <c r="F10" s="320" t="s">
        <v>52</v>
      </c>
      <c r="G10" s="321"/>
      <c r="H10" s="322"/>
      <c r="I10" s="320" t="s">
        <v>53</v>
      </c>
      <c r="J10" s="321"/>
      <c r="K10" s="322"/>
      <c r="L10" s="332" t="s">
        <v>97</v>
      </c>
      <c r="M10" s="320" t="s">
        <v>58</v>
      </c>
      <c r="N10" s="321"/>
      <c r="O10" s="322"/>
      <c r="P10" s="66"/>
      <c r="Q10" s="66"/>
      <c r="R10" s="66"/>
      <c r="S10" s="66"/>
      <c r="T10" s="66"/>
    </row>
    <row r="11" spans="2:20" s="15" customFormat="1" ht="21" customHeight="1" x14ac:dyDescent="0.25">
      <c r="B11" s="323"/>
      <c r="C11" s="252"/>
      <c r="D11" s="324"/>
      <c r="E11" s="85" t="s">
        <v>212</v>
      </c>
      <c r="F11" s="323"/>
      <c r="G11" s="252"/>
      <c r="H11" s="324"/>
      <c r="I11" s="323"/>
      <c r="J11" s="252"/>
      <c r="K11" s="324"/>
      <c r="L11" s="333"/>
      <c r="M11" s="323"/>
      <c r="N11" s="252"/>
      <c r="O11" s="324"/>
      <c r="P11" s="66"/>
      <c r="Q11" s="66"/>
      <c r="R11" s="66"/>
      <c r="S11" s="66"/>
      <c r="T11" s="66"/>
    </row>
    <row r="12" spans="2:20" s="15" customFormat="1" ht="26.25" customHeight="1" x14ac:dyDescent="0.25">
      <c r="B12" s="325"/>
      <c r="C12" s="326"/>
      <c r="D12" s="327"/>
      <c r="E12" s="97" t="s">
        <v>213</v>
      </c>
      <c r="F12" s="325"/>
      <c r="G12" s="326"/>
      <c r="H12" s="327"/>
      <c r="I12" s="325"/>
      <c r="J12" s="326"/>
      <c r="K12" s="327"/>
      <c r="L12" s="334"/>
      <c r="M12" s="325"/>
      <c r="N12" s="326"/>
      <c r="O12" s="327"/>
      <c r="P12" s="66"/>
      <c r="Q12" s="66"/>
      <c r="R12" s="66"/>
      <c r="S12" s="66"/>
      <c r="T12" s="66"/>
    </row>
    <row r="13" spans="2:20" s="15" customFormat="1" ht="26.25" customHeight="1" x14ac:dyDescent="0.25">
      <c r="B13" s="316">
        <f>E13</f>
        <v>0</v>
      </c>
      <c r="C13" s="317"/>
      <c r="D13" s="318"/>
      <c r="E13" s="99">
        <f>SUBTOTAL(9,E14:E63)</f>
        <v>0</v>
      </c>
      <c r="F13" s="316">
        <f>SUBTOTAL(9,F14:H63)</f>
        <v>0</v>
      </c>
      <c r="G13" s="317"/>
      <c r="H13" s="318"/>
      <c r="I13" s="316">
        <f>L13</f>
        <v>0</v>
      </c>
      <c r="J13" s="317"/>
      <c r="K13" s="318"/>
      <c r="L13" s="61">
        <f>SUBTOTAL(9,L14:L63)</f>
        <v>0</v>
      </c>
      <c r="M13" s="316">
        <f>SUBTOTAL(9,M14:O63)</f>
        <v>0</v>
      </c>
      <c r="N13" s="317"/>
      <c r="O13" s="318"/>
      <c r="P13" s="66"/>
      <c r="Q13" s="66"/>
      <c r="R13" s="66"/>
      <c r="S13" s="66" t="s">
        <v>98</v>
      </c>
      <c r="T13" s="66"/>
    </row>
    <row r="14" spans="2:20" ht="15" customHeight="1" x14ac:dyDescent="0.25">
      <c r="B14" s="269"/>
      <c r="C14" s="270"/>
      <c r="D14" s="271"/>
      <c r="E14" s="95">
        <f>IF(B14="",0,1)</f>
        <v>0</v>
      </c>
      <c r="F14" s="315"/>
      <c r="G14" s="315"/>
      <c r="H14" s="315"/>
      <c r="I14" s="315"/>
      <c r="J14" s="315"/>
      <c r="K14" s="315"/>
      <c r="L14" s="62">
        <f>IF(I14="YES",1,0)</f>
        <v>0</v>
      </c>
      <c r="M14" s="315"/>
      <c r="N14" s="315"/>
      <c r="O14" s="315"/>
      <c r="S14" s="64" t="str">
        <f>IF(B14=0,"",B14)</f>
        <v/>
      </c>
    </row>
    <row r="15" spans="2:20" ht="15" customHeight="1" x14ac:dyDescent="0.25">
      <c r="B15" s="314"/>
      <c r="C15" s="314"/>
      <c r="D15" s="314"/>
      <c r="E15" s="95">
        <f t="shared" ref="E15:E63" si="0">IF(B15="",0,1)</f>
        <v>0</v>
      </c>
      <c r="F15" s="315"/>
      <c r="G15" s="315"/>
      <c r="H15" s="315"/>
      <c r="I15" s="315"/>
      <c r="J15" s="315"/>
      <c r="K15" s="315"/>
      <c r="L15" s="62">
        <f t="shared" ref="L15:L63" si="1">IF(I15="YES",1,0)</f>
        <v>0</v>
      </c>
      <c r="M15" s="315"/>
      <c r="N15" s="315"/>
      <c r="O15" s="315"/>
      <c r="R15" s="67"/>
      <c r="S15" s="64" t="str">
        <f t="shared" ref="S15:S63" si="2">IF(B15=0,"",B15)</f>
        <v/>
      </c>
    </row>
    <row r="16" spans="2:20" x14ac:dyDescent="0.25">
      <c r="B16" s="314"/>
      <c r="C16" s="314"/>
      <c r="D16" s="314"/>
      <c r="E16" s="95">
        <f t="shared" si="0"/>
        <v>0</v>
      </c>
      <c r="F16" s="315"/>
      <c r="G16" s="315"/>
      <c r="H16" s="315"/>
      <c r="I16" s="315"/>
      <c r="J16" s="315"/>
      <c r="K16" s="315"/>
      <c r="L16" s="62">
        <f t="shared" si="1"/>
        <v>0</v>
      </c>
      <c r="M16" s="315"/>
      <c r="N16" s="315"/>
      <c r="O16" s="315"/>
      <c r="R16" s="67"/>
      <c r="S16" s="64" t="str">
        <f t="shared" si="2"/>
        <v/>
      </c>
    </row>
    <row r="17" spans="2:19" x14ac:dyDescent="0.25">
      <c r="B17" s="314"/>
      <c r="C17" s="314"/>
      <c r="D17" s="314"/>
      <c r="E17" s="95">
        <f t="shared" si="0"/>
        <v>0</v>
      </c>
      <c r="F17" s="315"/>
      <c r="G17" s="315"/>
      <c r="H17" s="315"/>
      <c r="I17" s="315"/>
      <c r="J17" s="315"/>
      <c r="K17" s="315"/>
      <c r="L17" s="62">
        <f t="shared" si="1"/>
        <v>0</v>
      </c>
      <c r="M17" s="315"/>
      <c r="N17" s="315"/>
      <c r="O17" s="315"/>
      <c r="S17" s="64" t="str">
        <f t="shared" si="2"/>
        <v/>
      </c>
    </row>
    <row r="18" spans="2:19" x14ac:dyDescent="0.25">
      <c r="B18" s="314"/>
      <c r="C18" s="314"/>
      <c r="D18" s="314"/>
      <c r="E18" s="95">
        <f t="shared" si="0"/>
        <v>0</v>
      </c>
      <c r="F18" s="315"/>
      <c r="G18" s="315"/>
      <c r="H18" s="315"/>
      <c r="I18" s="315"/>
      <c r="J18" s="315"/>
      <c r="K18" s="315"/>
      <c r="L18" s="62">
        <f t="shared" si="1"/>
        <v>0</v>
      </c>
      <c r="M18" s="315"/>
      <c r="N18" s="315"/>
      <c r="O18" s="315"/>
      <c r="S18" s="64" t="str">
        <f t="shared" si="2"/>
        <v/>
      </c>
    </row>
    <row r="19" spans="2:19" x14ac:dyDescent="0.25">
      <c r="B19" s="314"/>
      <c r="C19" s="314"/>
      <c r="D19" s="314"/>
      <c r="E19" s="95">
        <f t="shared" si="0"/>
        <v>0</v>
      </c>
      <c r="F19" s="315"/>
      <c r="G19" s="315"/>
      <c r="H19" s="315"/>
      <c r="I19" s="315"/>
      <c r="J19" s="315"/>
      <c r="K19" s="315"/>
      <c r="L19" s="98">
        <f t="shared" si="1"/>
        <v>0</v>
      </c>
      <c r="M19" s="315"/>
      <c r="N19" s="315"/>
      <c r="O19" s="315"/>
      <c r="S19" s="64" t="str">
        <f t="shared" si="2"/>
        <v/>
      </c>
    </row>
    <row r="20" spans="2:19" x14ac:dyDescent="0.25">
      <c r="B20" s="314"/>
      <c r="C20" s="314"/>
      <c r="D20" s="314"/>
      <c r="E20" s="95">
        <f t="shared" si="0"/>
        <v>0</v>
      </c>
      <c r="F20" s="315"/>
      <c r="G20" s="315"/>
      <c r="H20" s="315"/>
      <c r="I20" s="315"/>
      <c r="J20" s="315"/>
      <c r="K20" s="315"/>
      <c r="L20" s="98">
        <f t="shared" si="1"/>
        <v>0</v>
      </c>
      <c r="M20" s="315"/>
      <c r="N20" s="315"/>
      <c r="O20" s="315"/>
      <c r="S20" s="64" t="str">
        <f t="shared" si="2"/>
        <v/>
      </c>
    </row>
    <row r="21" spans="2:19" x14ac:dyDescent="0.25">
      <c r="B21" s="314"/>
      <c r="C21" s="314"/>
      <c r="D21" s="314"/>
      <c r="E21" s="95">
        <f t="shared" si="0"/>
        <v>0</v>
      </c>
      <c r="F21" s="315"/>
      <c r="G21" s="315"/>
      <c r="H21" s="315"/>
      <c r="I21" s="315"/>
      <c r="J21" s="315"/>
      <c r="K21" s="315"/>
      <c r="L21" s="98">
        <f t="shared" si="1"/>
        <v>0</v>
      </c>
      <c r="M21" s="315"/>
      <c r="N21" s="315"/>
      <c r="O21" s="315"/>
      <c r="S21" s="64" t="str">
        <f t="shared" si="2"/>
        <v/>
      </c>
    </row>
    <row r="22" spans="2:19" x14ac:dyDescent="0.25">
      <c r="B22" s="314"/>
      <c r="C22" s="314"/>
      <c r="D22" s="314"/>
      <c r="E22" s="95">
        <f t="shared" si="0"/>
        <v>0</v>
      </c>
      <c r="F22" s="315"/>
      <c r="G22" s="315"/>
      <c r="H22" s="315"/>
      <c r="I22" s="315"/>
      <c r="J22" s="315"/>
      <c r="K22" s="315"/>
      <c r="L22" s="98">
        <f t="shared" si="1"/>
        <v>0</v>
      </c>
      <c r="M22" s="315"/>
      <c r="N22" s="315"/>
      <c r="O22" s="315"/>
      <c r="S22" s="64" t="str">
        <f t="shared" si="2"/>
        <v/>
      </c>
    </row>
    <row r="23" spans="2:19" ht="15" customHeight="1" x14ac:dyDescent="0.25">
      <c r="B23" s="269"/>
      <c r="C23" s="270"/>
      <c r="D23" s="271"/>
      <c r="E23" s="95">
        <f t="shared" si="0"/>
        <v>0</v>
      </c>
      <c r="F23" s="315"/>
      <c r="G23" s="315"/>
      <c r="H23" s="315"/>
      <c r="I23" s="315"/>
      <c r="J23" s="315"/>
      <c r="K23" s="315"/>
      <c r="L23" s="98">
        <f t="shared" si="1"/>
        <v>0</v>
      </c>
      <c r="M23" s="315"/>
      <c r="N23" s="315"/>
      <c r="O23" s="315"/>
      <c r="S23" s="64" t="str">
        <f t="shared" si="2"/>
        <v/>
      </c>
    </row>
    <row r="24" spans="2:19" ht="15" customHeight="1" x14ac:dyDescent="0.25">
      <c r="B24" s="269"/>
      <c r="C24" s="270"/>
      <c r="D24" s="271"/>
      <c r="E24" s="95">
        <f t="shared" si="0"/>
        <v>0</v>
      </c>
      <c r="F24" s="315"/>
      <c r="G24" s="315"/>
      <c r="H24" s="315"/>
      <c r="I24" s="315"/>
      <c r="J24" s="315"/>
      <c r="K24" s="315"/>
      <c r="L24" s="98">
        <f t="shared" si="1"/>
        <v>0</v>
      </c>
      <c r="M24" s="315"/>
      <c r="N24" s="315"/>
      <c r="O24" s="315"/>
      <c r="S24" s="64" t="str">
        <f t="shared" si="2"/>
        <v/>
      </c>
    </row>
    <row r="25" spans="2:19" ht="15" customHeight="1" x14ac:dyDescent="0.25">
      <c r="B25" s="269"/>
      <c r="C25" s="270"/>
      <c r="D25" s="271"/>
      <c r="E25" s="95">
        <f t="shared" si="0"/>
        <v>0</v>
      </c>
      <c r="F25" s="315"/>
      <c r="G25" s="315"/>
      <c r="H25" s="315"/>
      <c r="I25" s="315"/>
      <c r="J25" s="315"/>
      <c r="K25" s="315"/>
      <c r="L25" s="98">
        <f t="shared" si="1"/>
        <v>0</v>
      </c>
      <c r="M25" s="315"/>
      <c r="N25" s="315"/>
      <c r="O25" s="315"/>
      <c r="S25" s="64" t="str">
        <f t="shared" si="2"/>
        <v/>
      </c>
    </row>
    <row r="26" spans="2:19" ht="15" customHeight="1" x14ac:dyDescent="0.25">
      <c r="B26" s="269"/>
      <c r="C26" s="270"/>
      <c r="D26" s="271"/>
      <c r="E26" s="95">
        <f t="shared" si="0"/>
        <v>0</v>
      </c>
      <c r="F26" s="315"/>
      <c r="G26" s="315"/>
      <c r="H26" s="315"/>
      <c r="I26" s="315"/>
      <c r="J26" s="315"/>
      <c r="K26" s="315"/>
      <c r="L26" s="98">
        <f t="shared" si="1"/>
        <v>0</v>
      </c>
      <c r="M26" s="315"/>
      <c r="N26" s="315"/>
      <c r="O26" s="315"/>
      <c r="S26" s="64" t="str">
        <f t="shared" si="2"/>
        <v/>
      </c>
    </row>
    <row r="27" spans="2:19" ht="15" customHeight="1" x14ac:dyDescent="0.25">
      <c r="B27" s="269"/>
      <c r="C27" s="270"/>
      <c r="D27" s="271"/>
      <c r="E27" s="95">
        <f t="shared" si="0"/>
        <v>0</v>
      </c>
      <c r="F27" s="315"/>
      <c r="G27" s="315"/>
      <c r="H27" s="315"/>
      <c r="I27" s="315"/>
      <c r="J27" s="315"/>
      <c r="K27" s="315"/>
      <c r="L27" s="98">
        <f t="shared" si="1"/>
        <v>0</v>
      </c>
      <c r="M27" s="315"/>
      <c r="N27" s="315"/>
      <c r="O27" s="315"/>
      <c r="S27" s="64" t="str">
        <f t="shared" si="2"/>
        <v/>
      </c>
    </row>
    <row r="28" spans="2:19" ht="15" customHeight="1" x14ac:dyDescent="0.25">
      <c r="B28" s="269"/>
      <c r="C28" s="270"/>
      <c r="D28" s="271"/>
      <c r="E28" s="95">
        <f t="shared" si="0"/>
        <v>0</v>
      </c>
      <c r="F28" s="315"/>
      <c r="G28" s="315"/>
      <c r="H28" s="315"/>
      <c r="I28" s="315"/>
      <c r="J28" s="315"/>
      <c r="K28" s="315"/>
      <c r="L28" s="98">
        <f t="shared" si="1"/>
        <v>0</v>
      </c>
      <c r="M28" s="315"/>
      <c r="N28" s="315"/>
      <c r="O28" s="315"/>
      <c r="S28" s="64" t="str">
        <f t="shared" si="2"/>
        <v/>
      </c>
    </row>
    <row r="29" spans="2:19" ht="15" customHeight="1" x14ac:dyDescent="0.25">
      <c r="B29" s="269"/>
      <c r="C29" s="270"/>
      <c r="D29" s="271"/>
      <c r="E29" s="95">
        <f t="shared" si="0"/>
        <v>0</v>
      </c>
      <c r="F29" s="315"/>
      <c r="G29" s="315"/>
      <c r="H29" s="315"/>
      <c r="I29" s="315"/>
      <c r="J29" s="315"/>
      <c r="K29" s="315"/>
      <c r="L29" s="98">
        <f t="shared" si="1"/>
        <v>0</v>
      </c>
      <c r="M29" s="315"/>
      <c r="N29" s="315"/>
      <c r="O29" s="315"/>
      <c r="S29" s="64" t="str">
        <f t="shared" si="2"/>
        <v/>
      </c>
    </row>
    <row r="30" spans="2:19" ht="15" customHeight="1" x14ac:dyDescent="0.25">
      <c r="B30" s="269"/>
      <c r="C30" s="270"/>
      <c r="D30" s="271"/>
      <c r="E30" s="95">
        <f t="shared" si="0"/>
        <v>0</v>
      </c>
      <c r="F30" s="315"/>
      <c r="G30" s="315"/>
      <c r="H30" s="315"/>
      <c r="I30" s="315"/>
      <c r="J30" s="315"/>
      <c r="K30" s="315"/>
      <c r="L30" s="98">
        <f t="shared" si="1"/>
        <v>0</v>
      </c>
      <c r="M30" s="315"/>
      <c r="N30" s="315"/>
      <c r="O30" s="315"/>
      <c r="S30" s="64" t="str">
        <f t="shared" si="2"/>
        <v/>
      </c>
    </row>
    <row r="31" spans="2:19" ht="15" customHeight="1" x14ac:dyDescent="0.25">
      <c r="B31" s="269"/>
      <c r="C31" s="270"/>
      <c r="D31" s="271"/>
      <c r="E31" s="95">
        <f t="shared" si="0"/>
        <v>0</v>
      </c>
      <c r="F31" s="315"/>
      <c r="G31" s="315"/>
      <c r="H31" s="315"/>
      <c r="I31" s="315"/>
      <c r="J31" s="315"/>
      <c r="K31" s="315"/>
      <c r="L31" s="98">
        <f t="shared" si="1"/>
        <v>0</v>
      </c>
      <c r="M31" s="315"/>
      <c r="N31" s="315"/>
      <c r="O31" s="315"/>
      <c r="S31" s="64" t="str">
        <f t="shared" si="2"/>
        <v/>
      </c>
    </row>
    <row r="32" spans="2:19" x14ac:dyDescent="0.25">
      <c r="B32" s="269"/>
      <c r="C32" s="270"/>
      <c r="D32" s="271"/>
      <c r="E32" s="95">
        <f t="shared" si="0"/>
        <v>0</v>
      </c>
      <c r="F32" s="315"/>
      <c r="G32" s="315"/>
      <c r="H32" s="315"/>
      <c r="I32" s="315"/>
      <c r="J32" s="315"/>
      <c r="K32" s="315"/>
      <c r="L32" s="98">
        <f t="shared" si="1"/>
        <v>0</v>
      </c>
      <c r="M32" s="315"/>
      <c r="N32" s="315"/>
      <c r="O32" s="315"/>
      <c r="S32" s="64" t="str">
        <f t="shared" si="2"/>
        <v/>
      </c>
    </row>
    <row r="33" spans="2:19" x14ac:dyDescent="0.25">
      <c r="B33" s="269"/>
      <c r="C33" s="270"/>
      <c r="D33" s="271"/>
      <c r="E33" s="95">
        <f t="shared" si="0"/>
        <v>0</v>
      </c>
      <c r="F33" s="315"/>
      <c r="G33" s="315"/>
      <c r="H33" s="315"/>
      <c r="I33" s="315"/>
      <c r="J33" s="315"/>
      <c r="K33" s="315"/>
      <c r="L33" s="98">
        <f t="shared" si="1"/>
        <v>0</v>
      </c>
      <c r="M33" s="315"/>
      <c r="N33" s="315"/>
      <c r="O33" s="315"/>
      <c r="S33" s="64" t="str">
        <f t="shared" si="2"/>
        <v/>
      </c>
    </row>
    <row r="34" spans="2:19" x14ac:dyDescent="0.25">
      <c r="B34" s="314"/>
      <c r="C34" s="314"/>
      <c r="D34" s="314"/>
      <c r="E34" s="95">
        <f t="shared" si="0"/>
        <v>0</v>
      </c>
      <c r="F34" s="315"/>
      <c r="G34" s="315"/>
      <c r="H34" s="315"/>
      <c r="I34" s="315"/>
      <c r="J34" s="315"/>
      <c r="K34" s="315"/>
      <c r="L34" s="98">
        <f t="shared" si="1"/>
        <v>0</v>
      </c>
      <c r="M34" s="315"/>
      <c r="N34" s="315"/>
      <c r="O34" s="315"/>
      <c r="S34" s="64" t="str">
        <f t="shared" si="2"/>
        <v/>
      </c>
    </row>
    <row r="35" spans="2:19" x14ac:dyDescent="0.25">
      <c r="B35" s="314"/>
      <c r="C35" s="314"/>
      <c r="D35" s="314"/>
      <c r="E35" s="95">
        <f t="shared" si="0"/>
        <v>0</v>
      </c>
      <c r="F35" s="315"/>
      <c r="G35" s="315"/>
      <c r="H35" s="315"/>
      <c r="I35" s="315"/>
      <c r="J35" s="315"/>
      <c r="K35" s="315"/>
      <c r="L35" s="98">
        <f t="shared" si="1"/>
        <v>0</v>
      </c>
      <c r="M35" s="315"/>
      <c r="N35" s="315"/>
      <c r="O35" s="315"/>
      <c r="S35" s="64" t="str">
        <f t="shared" si="2"/>
        <v/>
      </c>
    </row>
    <row r="36" spans="2:19" x14ac:dyDescent="0.25">
      <c r="B36" s="314"/>
      <c r="C36" s="314"/>
      <c r="D36" s="314"/>
      <c r="E36" s="95">
        <f t="shared" si="0"/>
        <v>0</v>
      </c>
      <c r="F36" s="315"/>
      <c r="G36" s="315"/>
      <c r="H36" s="315"/>
      <c r="I36" s="315"/>
      <c r="J36" s="315"/>
      <c r="K36" s="315"/>
      <c r="L36" s="98">
        <f t="shared" si="1"/>
        <v>0</v>
      </c>
      <c r="M36" s="315"/>
      <c r="N36" s="315"/>
      <c r="O36" s="315"/>
      <c r="S36" s="64" t="str">
        <f t="shared" si="2"/>
        <v/>
      </c>
    </row>
    <row r="37" spans="2:19" x14ac:dyDescent="0.25">
      <c r="B37" s="314"/>
      <c r="C37" s="314"/>
      <c r="D37" s="314"/>
      <c r="E37" s="95">
        <f t="shared" si="0"/>
        <v>0</v>
      </c>
      <c r="F37" s="315"/>
      <c r="G37" s="315"/>
      <c r="H37" s="315"/>
      <c r="I37" s="315"/>
      <c r="J37" s="315"/>
      <c r="K37" s="315"/>
      <c r="L37" s="98">
        <f t="shared" si="1"/>
        <v>0</v>
      </c>
      <c r="M37" s="315"/>
      <c r="N37" s="315"/>
      <c r="O37" s="315"/>
      <c r="S37" s="64" t="str">
        <f t="shared" si="2"/>
        <v/>
      </c>
    </row>
    <row r="38" spans="2:19" x14ac:dyDescent="0.25">
      <c r="B38" s="314"/>
      <c r="C38" s="314"/>
      <c r="D38" s="314"/>
      <c r="E38" s="95">
        <f t="shared" si="0"/>
        <v>0</v>
      </c>
      <c r="F38" s="315"/>
      <c r="G38" s="315"/>
      <c r="H38" s="315"/>
      <c r="I38" s="315"/>
      <c r="J38" s="315"/>
      <c r="K38" s="315"/>
      <c r="L38" s="98">
        <f t="shared" si="1"/>
        <v>0</v>
      </c>
      <c r="M38" s="315"/>
      <c r="N38" s="315"/>
      <c r="O38" s="315"/>
      <c r="S38" s="64" t="str">
        <f t="shared" si="2"/>
        <v/>
      </c>
    </row>
    <row r="39" spans="2:19" x14ac:dyDescent="0.25">
      <c r="B39" s="314"/>
      <c r="C39" s="314"/>
      <c r="D39" s="314"/>
      <c r="E39" s="95">
        <f t="shared" si="0"/>
        <v>0</v>
      </c>
      <c r="F39" s="315"/>
      <c r="G39" s="315"/>
      <c r="H39" s="315"/>
      <c r="I39" s="315"/>
      <c r="J39" s="315"/>
      <c r="K39" s="315"/>
      <c r="L39" s="98">
        <f t="shared" si="1"/>
        <v>0</v>
      </c>
      <c r="M39" s="315"/>
      <c r="N39" s="315"/>
      <c r="O39" s="315"/>
      <c r="S39" s="64" t="str">
        <f t="shared" si="2"/>
        <v/>
      </c>
    </row>
    <row r="40" spans="2:19" x14ac:dyDescent="0.25">
      <c r="B40" s="314"/>
      <c r="C40" s="314"/>
      <c r="D40" s="314"/>
      <c r="E40" s="95">
        <f t="shared" si="0"/>
        <v>0</v>
      </c>
      <c r="F40" s="315"/>
      <c r="G40" s="315"/>
      <c r="H40" s="315"/>
      <c r="I40" s="315"/>
      <c r="J40" s="315"/>
      <c r="K40" s="315"/>
      <c r="L40" s="98">
        <f t="shared" si="1"/>
        <v>0</v>
      </c>
      <c r="M40" s="315"/>
      <c r="N40" s="315"/>
      <c r="O40" s="315"/>
      <c r="S40" s="64" t="str">
        <f t="shared" si="2"/>
        <v/>
      </c>
    </row>
    <row r="41" spans="2:19" x14ac:dyDescent="0.25">
      <c r="B41" s="314"/>
      <c r="C41" s="314"/>
      <c r="D41" s="314"/>
      <c r="E41" s="95">
        <f t="shared" si="0"/>
        <v>0</v>
      </c>
      <c r="F41" s="315"/>
      <c r="G41" s="315"/>
      <c r="H41" s="315"/>
      <c r="I41" s="315"/>
      <c r="J41" s="315"/>
      <c r="K41" s="315"/>
      <c r="L41" s="98">
        <f t="shared" si="1"/>
        <v>0</v>
      </c>
      <c r="M41" s="315"/>
      <c r="N41" s="315"/>
      <c r="O41" s="315"/>
      <c r="S41" s="64" t="str">
        <f t="shared" si="2"/>
        <v/>
      </c>
    </row>
    <row r="42" spans="2:19" x14ac:dyDescent="0.25">
      <c r="B42" s="314"/>
      <c r="C42" s="314"/>
      <c r="D42" s="314"/>
      <c r="E42" s="95">
        <f t="shared" si="0"/>
        <v>0</v>
      </c>
      <c r="F42" s="315"/>
      <c r="G42" s="315"/>
      <c r="H42" s="315"/>
      <c r="I42" s="315"/>
      <c r="J42" s="315"/>
      <c r="K42" s="315"/>
      <c r="L42" s="98">
        <f t="shared" si="1"/>
        <v>0</v>
      </c>
      <c r="M42" s="315"/>
      <c r="N42" s="315"/>
      <c r="O42" s="315"/>
      <c r="S42" s="64" t="str">
        <f t="shared" si="2"/>
        <v/>
      </c>
    </row>
    <row r="43" spans="2:19" x14ac:dyDescent="0.25">
      <c r="B43" s="314"/>
      <c r="C43" s="314"/>
      <c r="D43" s="314"/>
      <c r="E43" s="95">
        <f t="shared" si="0"/>
        <v>0</v>
      </c>
      <c r="F43" s="315"/>
      <c r="G43" s="315"/>
      <c r="H43" s="315"/>
      <c r="I43" s="315"/>
      <c r="J43" s="315"/>
      <c r="K43" s="315"/>
      <c r="L43" s="98">
        <f t="shared" si="1"/>
        <v>0</v>
      </c>
      <c r="M43" s="315"/>
      <c r="N43" s="315"/>
      <c r="O43" s="315"/>
      <c r="S43" s="64" t="str">
        <f t="shared" si="2"/>
        <v/>
      </c>
    </row>
    <row r="44" spans="2:19" x14ac:dyDescent="0.25">
      <c r="B44" s="314"/>
      <c r="C44" s="314"/>
      <c r="D44" s="314"/>
      <c r="E44" s="95">
        <f t="shared" si="0"/>
        <v>0</v>
      </c>
      <c r="F44" s="315"/>
      <c r="G44" s="315"/>
      <c r="H44" s="315"/>
      <c r="I44" s="315"/>
      <c r="J44" s="315"/>
      <c r="K44" s="315"/>
      <c r="L44" s="98">
        <f t="shared" si="1"/>
        <v>0</v>
      </c>
      <c r="M44" s="315"/>
      <c r="N44" s="315"/>
      <c r="O44" s="315"/>
      <c r="S44" s="64" t="str">
        <f t="shared" si="2"/>
        <v/>
      </c>
    </row>
    <row r="45" spans="2:19" x14ac:dyDescent="0.25">
      <c r="B45" s="314"/>
      <c r="C45" s="314"/>
      <c r="D45" s="314"/>
      <c r="E45" s="95">
        <f t="shared" si="0"/>
        <v>0</v>
      </c>
      <c r="F45" s="315"/>
      <c r="G45" s="315"/>
      <c r="H45" s="315"/>
      <c r="I45" s="315"/>
      <c r="J45" s="315"/>
      <c r="K45" s="315"/>
      <c r="L45" s="98">
        <f t="shared" si="1"/>
        <v>0</v>
      </c>
      <c r="M45" s="315"/>
      <c r="N45" s="315"/>
      <c r="O45" s="315"/>
      <c r="S45" s="64" t="str">
        <f t="shared" si="2"/>
        <v/>
      </c>
    </row>
    <row r="46" spans="2:19" x14ac:dyDescent="0.25">
      <c r="B46" s="314"/>
      <c r="C46" s="314"/>
      <c r="D46" s="314"/>
      <c r="E46" s="95">
        <f t="shared" si="0"/>
        <v>0</v>
      </c>
      <c r="F46" s="315"/>
      <c r="G46" s="315"/>
      <c r="H46" s="315"/>
      <c r="I46" s="315"/>
      <c r="J46" s="315"/>
      <c r="K46" s="315"/>
      <c r="L46" s="98">
        <f t="shared" si="1"/>
        <v>0</v>
      </c>
      <c r="M46" s="315"/>
      <c r="N46" s="315"/>
      <c r="O46" s="315"/>
      <c r="S46" s="64" t="str">
        <f t="shared" si="2"/>
        <v/>
      </c>
    </row>
    <row r="47" spans="2:19" x14ac:dyDescent="0.25">
      <c r="B47" s="314"/>
      <c r="C47" s="314"/>
      <c r="D47" s="314"/>
      <c r="E47" s="95">
        <f t="shared" si="0"/>
        <v>0</v>
      </c>
      <c r="F47" s="315"/>
      <c r="G47" s="315"/>
      <c r="H47" s="315"/>
      <c r="I47" s="315"/>
      <c r="J47" s="315"/>
      <c r="K47" s="315"/>
      <c r="L47" s="98">
        <f t="shared" si="1"/>
        <v>0</v>
      </c>
      <c r="M47" s="315"/>
      <c r="N47" s="315"/>
      <c r="O47" s="315"/>
      <c r="S47" s="64" t="str">
        <f t="shared" si="2"/>
        <v/>
      </c>
    </row>
    <row r="48" spans="2:19" x14ac:dyDescent="0.25">
      <c r="B48" s="314"/>
      <c r="C48" s="314"/>
      <c r="D48" s="314"/>
      <c r="E48" s="95">
        <f t="shared" si="0"/>
        <v>0</v>
      </c>
      <c r="F48" s="315"/>
      <c r="G48" s="315"/>
      <c r="H48" s="315"/>
      <c r="I48" s="315"/>
      <c r="J48" s="315"/>
      <c r="K48" s="315"/>
      <c r="L48" s="98">
        <f t="shared" si="1"/>
        <v>0</v>
      </c>
      <c r="M48" s="315"/>
      <c r="N48" s="315"/>
      <c r="O48" s="315"/>
      <c r="S48" s="64" t="str">
        <f t="shared" si="2"/>
        <v/>
      </c>
    </row>
    <row r="49" spans="2:19" x14ac:dyDescent="0.25">
      <c r="B49" s="314"/>
      <c r="C49" s="314"/>
      <c r="D49" s="314"/>
      <c r="E49" s="95">
        <f t="shared" si="0"/>
        <v>0</v>
      </c>
      <c r="F49" s="315"/>
      <c r="G49" s="315"/>
      <c r="H49" s="315"/>
      <c r="I49" s="315"/>
      <c r="J49" s="315"/>
      <c r="K49" s="315"/>
      <c r="L49" s="98">
        <f t="shared" si="1"/>
        <v>0</v>
      </c>
      <c r="M49" s="315"/>
      <c r="N49" s="315"/>
      <c r="O49" s="315"/>
      <c r="S49" s="64" t="str">
        <f t="shared" si="2"/>
        <v/>
      </c>
    </row>
    <row r="50" spans="2:19" x14ac:dyDescent="0.25">
      <c r="B50" s="314"/>
      <c r="C50" s="314"/>
      <c r="D50" s="314"/>
      <c r="E50" s="95">
        <f t="shared" si="0"/>
        <v>0</v>
      </c>
      <c r="F50" s="315"/>
      <c r="G50" s="315"/>
      <c r="H50" s="315"/>
      <c r="I50" s="315"/>
      <c r="J50" s="315"/>
      <c r="K50" s="315"/>
      <c r="L50" s="98">
        <f t="shared" si="1"/>
        <v>0</v>
      </c>
      <c r="M50" s="315"/>
      <c r="N50" s="315"/>
      <c r="O50" s="315"/>
      <c r="S50" s="64" t="str">
        <f t="shared" si="2"/>
        <v/>
      </c>
    </row>
    <row r="51" spans="2:19" x14ac:dyDescent="0.25">
      <c r="B51" s="314"/>
      <c r="C51" s="314"/>
      <c r="D51" s="314"/>
      <c r="E51" s="95">
        <f t="shared" si="0"/>
        <v>0</v>
      </c>
      <c r="F51" s="315"/>
      <c r="G51" s="315"/>
      <c r="H51" s="315"/>
      <c r="I51" s="315"/>
      <c r="J51" s="315"/>
      <c r="K51" s="315"/>
      <c r="L51" s="98">
        <f t="shared" si="1"/>
        <v>0</v>
      </c>
      <c r="M51" s="315"/>
      <c r="N51" s="315"/>
      <c r="O51" s="315"/>
      <c r="S51" s="64" t="str">
        <f t="shared" si="2"/>
        <v/>
      </c>
    </row>
    <row r="52" spans="2:19" x14ac:dyDescent="0.25">
      <c r="B52" s="314"/>
      <c r="C52" s="314"/>
      <c r="D52" s="314"/>
      <c r="E52" s="95">
        <f t="shared" si="0"/>
        <v>0</v>
      </c>
      <c r="F52" s="315"/>
      <c r="G52" s="315"/>
      <c r="H52" s="315"/>
      <c r="I52" s="315"/>
      <c r="J52" s="315"/>
      <c r="K52" s="315"/>
      <c r="L52" s="98">
        <f t="shared" si="1"/>
        <v>0</v>
      </c>
      <c r="M52" s="315"/>
      <c r="N52" s="315"/>
      <c r="O52" s="315"/>
      <c r="S52" s="64" t="str">
        <f t="shared" si="2"/>
        <v/>
      </c>
    </row>
    <row r="53" spans="2:19" x14ac:dyDescent="0.25">
      <c r="B53" s="314"/>
      <c r="C53" s="314"/>
      <c r="D53" s="314"/>
      <c r="E53" s="95">
        <f t="shared" si="0"/>
        <v>0</v>
      </c>
      <c r="F53" s="315"/>
      <c r="G53" s="315"/>
      <c r="H53" s="315"/>
      <c r="I53" s="315"/>
      <c r="J53" s="315"/>
      <c r="K53" s="315"/>
      <c r="L53" s="98">
        <f t="shared" si="1"/>
        <v>0</v>
      </c>
      <c r="M53" s="315"/>
      <c r="N53" s="315"/>
      <c r="O53" s="315"/>
      <c r="S53" s="64" t="str">
        <f t="shared" si="2"/>
        <v/>
      </c>
    </row>
    <row r="54" spans="2:19" x14ac:dyDescent="0.25">
      <c r="B54" s="269"/>
      <c r="C54" s="270"/>
      <c r="D54" s="271"/>
      <c r="E54" s="95">
        <f t="shared" si="0"/>
        <v>0</v>
      </c>
      <c r="F54" s="315"/>
      <c r="G54" s="315"/>
      <c r="H54" s="315"/>
      <c r="I54" s="315"/>
      <c r="J54" s="315"/>
      <c r="K54" s="315"/>
      <c r="L54" s="98">
        <f t="shared" si="1"/>
        <v>0</v>
      </c>
      <c r="M54" s="315"/>
      <c r="N54" s="315"/>
      <c r="O54" s="315"/>
      <c r="S54" s="64" t="str">
        <f t="shared" si="2"/>
        <v/>
      </c>
    </row>
    <row r="55" spans="2:19" ht="15" customHeight="1" x14ac:dyDescent="0.25">
      <c r="B55" s="269"/>
      <c r="C55" s="270"/>
      <c r="D55" s="271"/>
      <c r="E55" s="95">
        <f t="shared" si="0"/>
        <v>0</v>
      </c>
      <c r="F55" s="315"/>
      <c r="G55" s="315"/>
      <c r="H55" s="315"/>
      <c r="I55" s="315"/>
      <c r="J55" s="315"/>
      <c r="K55" s="315"/>
      <c r="L55" s="98">
        <f t="shared" si="1"/>
        <v>0</v>
      </c>
      <c r="M55" s="315"/>
      <c r="N55" s="315"/>
      <c r="O55" s="315"/>
      <c r="S55" s="64" t="str">
        <f t="shared" si="2"/>
        <v/>
      </c>
    </row>
    <row r="56" spans="2:19" x14ac:dyDescent="0.25">
      <c r="B56" s="314"/>
      <c r="C56" s="314"/>
      <c r="D56" s="314"/>
      <c r="E56" s="95">
        <f t="shared" si="0"/>
        <v>0</v>
      </c>
      <c r="F56" s="315"/>
      <c r="G56" s="315"/>
      <c r="H56" s="315"/>
      <c r="I56" s="315"/>
      <c r="J56" s="315"/>
      <c r="K56" s="315"/>
      <c r="L56" s="98">
        <f t="shared" si="1"/>
        <v>0</v>
      </c>
      <c r="M56" s="315"/>
      <c r="N56" s="315"/>
      <c r="O56" s="315"/>
      <c r="S56" s="64" t="str">
        <f t="shared" si="2"/>
        <v/>
      </c>
    </row>
    <row r="57" spans="2:19" x14ac:dyDescent="0.25">
      <c r="B57" s="314"/>
      <c r="C57" s="314"/>
      <c r="D57" s="314"/>
      <c r="E57" s="95">
        <f t="shared" si="0"/>
        <v>0</v>
      </c>
      <c r="F57" s="315"/>
      <c r="G57" s="315"/>
      <c r="H57" s="315"/>
      <c r="I57" s="315"/>
      <c r="J57" s="315"/>
      <c r="K57" s="315"/>
      <c r="L57" s="98">
        <f t="shared" si="1"/>
        <v>0</v>
      </c>
      <c r="M57" s="315"/>
      <c r="N57" s="315"/>
      <c r="O57" s="315"/>
      <c r="S57" s="64" t="str">
        <f t="shared" si="2"/>
        <v/>
      </c>
    </row>
    <row r="58" spans="2:19" x14ac:dyDescent="0.25">
      <c r="B58" s="314"/>
      <c r="C58" s="314"/>
      <c r="D58" s="314"/>
      <c r="E58" s="95">
        <f t="shared" si="0"/>
        <v>0</v>
      </c>
      <c r="F58" s="315"/>
      <c r="G58" s="315"/>
      <c r="H58" s="315"/>
      <c r="I58" s="315"/>
      <c r="J58" s="315"/>
      <c r="K58" s="315"/>
      <c r="L58" s="98">
        <f t="shared" si="1"/>
        <v>0</v>
      </c>
      <c r="M58" s="315"/>
      <c r="N58" s="315"/>
      <c r="O58" s="315"/>
      <c r="S58" s="64" t="str">
        <f t="shared" si="2"/>
        <v/>
      </c>
    </row>
    <row r="59" spans="2:19" x14ac:dyDescent="0.25">
      <c r="B59" s="314"/>
      <c r="C59" s="314"/>
      <c r="D59" s="314"/>
      <c r="E59" s="95">
        <f t="shared" si="0"/>
        <v>0</v>
      </c>
      <c r="F59" s="315"/>
      <c r="G59" s="315"/>
      <c r="H59" s="315"/>
      <c r="I59" s="315"/>
      <c r="J59" s="315"/>
      <c r="K59" s="315"/>
      <c r="L59" s="98">
        <f t="shared" si="1"/>
        <v>0</v>
      </c>
      <c r="M59" s="315"/>
      <c r="N59" s="315"/>
      <c r="O59" s="315"/>
      <c r="S59" s="64" t="str">
        <f t="shared" si="2"/>
        <v/>
      </c>
    </row>
    <row r="60" spans="2:19" x14ac:dyDescent="0.25">
      <c r="B60" s="314"/>
      <c r="C60" s="314"/>
      <c r="D60" s="314"/>
      <c r="E60" s="95">
        <f t="shared" si="0"/>
        <v>0</v>
      </c>
      <c r="F60" s="315"/>
      <c r="G60" s="315"/>
      <c r="H60" s="315"/>
      <c r="I60" s="315"/>
      <c r="J60" s="315"/>
      <c r="K60" s="315"/>
      <c r="L60" s="98">
        <f t="shared" si="1"/>
        <v>0</v>
      </c>
      <c r="M60" s="315"/>
      <c r="N60" s="315"/>
      <c r="O60" s="315"/>
      <c r="S60" s="64" t="str">
        <f t="shared" si="2"/>
        <v/>
      </c>
    </row>
    <row r="61" spans="2:19" x14ac:dyDescent="0.25">
      <c r="B61" s="314"/>
      <c r="C61" s="314"/>
      <c r="D61" s="314"/>
      <c r="E61" s="95">
        <f t="shared" si="0"/>
        <v>0</v>
      </c>
      <c r="F61" s="315"/>
      <c r="G61" s="315"/>
      <c r="H61" s="315"/>
      <c r="I61" s="315"/>
      <c r="J61" s="315"/>
      <c r="K61" s="315"/>
      <c r="L61" s="98">
        <f t="shared" si="1"/>
        <v>0</v>
      </c>
      <c r="M61" s="315"/>
      <c r="N61" s="315"/>
      <c r="O61" s="315"/>
      <c r="S61" s="64" t="str">
        <f t="shared" si="2"/>
        <v/>
      </c>
    </row>
    <row r="62" spans="2:19" x14ac:dyDescent="0.25">
      <c r="B62" s="314"/>
      <c r="C62" s="314"/>
      <c r="D62" s="314"/>
      <c r="E62" s="95">
        <f t="shared" si="0"/>
        <v>0</v>
      </c>
      <c r="F62" s="315"/>
      <c r="G62" s="315"/>
      <c r="H62" s="315"/>
      <c r="I62" s="315"/>
      <c r="J62" s="315"/>
      <c r="K62" s="315"/>
      <c r="L62" s="98">
        <f t="shared" si="1"/>
        <v>0</v>
      </c>
      <c r="M62" s="315"/>
      <c r="N62" s="315"/>
      <c r="O62" s="315"/>
      <c r="S62" s="64" t="str">
        <f t="shared" si="2"/>
        <v/>
      </c>
    </row>
    <row r="63" spans="2:19" x14ac:dyDescent="0.25">
      <c r="B63" s="314"/>
      <c r="C63" s="314"/>
      <c r="D63" s="314"/>
      <c r="E63" s="95">
        <f t="shared" si="0"/>
        <v>0</v>
      </c>
      <c r="F63" s="315"/>
      <c r="G63" s="315"/>
      <c r="H63" s="315"/>
      <c r="I63" s="315"/>
      <c r="J63" s="315"/>
      <c r="K63" s="315"/>
      <c r="L63" s="98">
        <f t="shared" si="1"/>
        <v>0</v>
      </c>
      <c r="M63" s="315"/>
      <c r="N63" s="315"/>
      <c r="O63" s="315"/>
      <c r="S63" s="64" t="str">
        <f t="shared" si="2"/>
        <v/>
      </c>
    </row>
    <row r="64" spans="2:19" x14ac:dyDescent="0.25">
      <c r="P64" s="64" t="s">
        <v>94</v>
      </c>
    </row>
    <row r="65" spans="16:17" x14ac:dyDescent="0.25">
      <c r="P65" s="64" t="s">
        <v>95</v>
      </c>
      <c r="Q65" s="64" t="s">
        <v>96</v>
      </c>
    </row>
    <row r="66" spans="16:17" x14ac:dyDescent="0.25">
      <c r="P66" s="67">
        <v>1</v>
      </c>
      <c r="Q66" s="67" t="s">
        <v>88</v>
      </c>
    </row>
    <row r="67" spans="16:17" x14ac:dyDescent="0.25">
      <c r="P67" s="67">
        <v>2</v>
      </c>
      <c r="Q67" s="67" t="s">
        <v>89</v>
      </c>
    </row>
    <row r="68" spans="16:17" x14ac:dyDescent="0.25">
      <c r="P68" s="67">
        <v>3</v>
      </c>
      <c r="Q68" s="67"/>
    </row>
    <row r="69" spans="16:17" x14ac:dyDescent="0.25">
      <c r="P69" s="67">
        <v>4</v>
      </c>
      <c r="Q69" s="67"/>
    </row>
    <row r="70" spans="16:17" x14ac:dyDescent="0.25">
      <c r="P70" s="67">
        <v>5</v>
      </c>
      <c r="Q70" s="67"/>
    </row>
  </sheetData>
  <sheetProtection sheet="1" objects="1" scenarios="1"/>
  <autoFilter ref="B13:K70" xr:uid="{00000000-0009-0000-0000-000003000000}">
    <filterColumn colId="0" showButton="0"/>
    <filterColumn colId="1" showButton="0"/>
    <filterColumn colId="4" showButton="0"/>
    <filterColumn colId="5" showButton="0"/>
    <filterColumn colId="7" showButton="0"/>
    <filterColumn colId="8" showButton="0"/>
  </autoFilter>
  <mergeCells count="218">
    <mergeCell ref="K6:M6"/>
    <mergeCell ref="I10:K12"/>
    <mergeCell ref="M10:O12"/>
    <mergeCell ref="B6:C6"/>
    <mergeCell ref="D6:F6"/>
    <mergeCell ref="G6:H6"/>
    <mergeCell ref="I6:J6"/>
    <mergeCell ref="B3:O3"/>
    <mergeCell ref="B4:O4"/>
    <mergeCell ref="N6:O6"/>
    <mergeCell ref="B10:D12"/>
    <mergeCell ref="F10:H12"/>
    <mergeCell ref="B8:N8"/>
    <mergeCell ref="L10:L12"/>
    <mergeCell ref="F15:H15"/>
    <mergeCell ref="I15:K15"/>
    <mergeCell ref="M15:O15"/>
    <mergeCell ref="B13:D13"/>
    <mergeCell ref="F13:H13"/>
    <mergeCell ref="I13:K13"/>
    <mergeCell ref="M13:O13"/>
    <mergeCell ref="F18:H18"/>
    <mergeCell ref="I18:K18"/>
    <mergeCell ref="M18:O18"/>
    <mergeCell ref="B18:D18"/>
    <mergeCell ref="B14:D14"/>
    <mergeCell ref="F14:H14"/>
    <mergeCell ref="I14:K14"/>
    <mergeCell ref="M14:O14"/>
    <mergeCell ref="B17:D17"/>
    <mergeCell ref="F17:H17"/>
    <mergeCell ref="B16:D16"/>
    <mergeCell ref="F16:H16"/>
    <mergeCell ref="I16:K16"/>
    <mergeCell ref="M16:O16"/>
    <mergeCell ref="B15:D15"/>
    <mergeCell ref="I17:K17"/>
    <mergeCell ref="M17:O17"/>
    <mergeCell ref="B24:D24"/>
    <mergeCell ref="F24:H24"/>
    <mergeCell ref="I24:K24"/>
    <mergeCell ref="M24:O24"/>
    <mergeCell ref="B23:D23"/>
    <mergeCell ref="F23:H23"/>
    <mergeCell ref="I23:K23"/>
    <mergeCell ref="M23:O23"/>
    <mergeCell ref="B19:D19"/>
    <mergeCell ref="F19:H19"/>
    <mergeCell ref="I19:K19"/>
    <mergeCell ref="M19:O19"/>
    <mergeCell ref="B22:D22"/>
    <mergeCell ref="F22:H22"/>
    <mergeCell ref="I22:K22"/>
    <mergeCell ref="M22:O22"/>
    <mergeCell ref="B21:D21"/>
    <mergeCell ref="F21:H21"/>
    <mergeCell ref="I21:K21"/>
    <mergeCell ref="M21:O21"/>
    <mergeCell ref="B20:D20"/>
    <mergeCell ref="F20:H20"/>
    <mergeCell ref="I20:K20"/>
    <mergeCell ref="M20:O20"/>
    <mergeCell ref="B27:D27"/>
    <mergeCell ref="F27:H27"/>
    <mergeCell ref="I27:K27"/>
    <mergeCell ref="M27:O27"/>
    <mergeCell ref="B26:D26"/>
    <mergeCell ref="F26:H26"/>
    <mergeCell ref="I26:K26"/>
    <mergeCell ref="M26:O26"/>
    <mergeCell ref="B25:D25"/>
    <mergeCell ref="F25:H25"/>
    <mergeCell ref="I25:K25"/>
    <mergeCell ref="M25:O25"/>
    <mergeCell ref="B30:D30"/>
    <mergeCell ref="F30:H30"/>
    <mergeCell ref="I30:K30"/>
    <mergeCell ref="M30:O30"/>
    <mergeCell ref="B29:D29"/>
    <mergeCell ref="F29:H29"/>
    <mergeCell ref="I29:K29"/>
    <mergeCell ref="M29:O29"/>
    <mergeCell ref="B28:D28"/>
    <mergeCell ref="F28:H28"/>
    <mergeCell ref="I28:K28"/>
    <mergeCell ref="M28:O28"/>
    <mergeCell ref="B33:D33"/>
    <mergeCell ref="F33:H33"/>
    <mergeCell ref="I33:K33"/>
    <mergeCell ref="M33:O33"/>
    <mergeCell ref="B32:D32"/>
    <mergeCell ref="F32:H32"/>
    <mergeCell ref="I32:K32"/>
    <mergeCell ref="M32:O32"/>
    <mergeCell ref="B31:D31"/>
    <mergeCell ref="F31:H31"/>
    <mergeCell ref="I31:K31"/>
    <mergeCell ref="M31:O31"/>
    <mergeCell ref="B36:D36"/>
    <mergeCell ref="F36:H36"/>
    <mergeCell ref="I36:K36"/>
    <mergeCell ref="M36:O36"/>
    <mergeCell ref="B35:D35"/>
    <mergeCell ref="F35:H35"/>
    <mergeCell ref="I35:K35"/>
    <mergeCell ref="M35:O35"/>
    <mergeCell ref="B34:D34"/>
    <mergeCell ref="F34:H34"/>
    <mergeCell ref="I34:K34"/>
    <mergeCell ref="M34:O34"/>
    <mergeCell ref="B39:D39"/>
    <mergeCell ref="F39:H39"/>
    <mergeCell ref="I39:K39"/>
    <mergeCell ref="M39:O39"/>
    <mergeCell ref="B38:D38"/>
    <mergeCell ref="F38:H38"/>
    <mergeCell ref="I38:K38"/>
    <mergeCell ref="M38:O38"/>
    <mergeCell ref="B37:D37"/>
    <mergeCell ref="F37:H37"/>
    <mergeCell ref="I37:K37"/>
    <mergeCell ref="M37:O37"/>
    <mergeCell ref="B42:D42"/>
    <mergeCell ref="F42:H42"/>
    <mergeCell ref="I42:K42"/>
    <mergeCell ref="M42:O42"/>
    <mergeCell ref="B41:D41"/>
    <mergeCell ref="F41:H41"/>
    <mergeCell ref="I41:K41"/>
    <mergeCell ref="M41:O41"/>
    <mergeCell ref="B40:D40"/>
    <mergeCell ref="F40:H40"/>
    <mergeCell ref="I40:K40"/>
    <mergeCell ref="M40:O40"/>
    <mergeCell ref="B45:D45"/>
    <mergeCell ref="F45:H45"/>
    <mergeCell ref="I45:K45"/>
    <mergeCell ref="M45:O45"/>
    <mergeCell ref="B44:D44"/>
    <mergeCell ref="F44:H44"/>
    <mergeCell ref="I44:K44"/>
    <mergeCell ref="M44:O44"/>
    <mergeCell ref="B43:D43"/>
    <mergeCell ref="F43:H43"/>
    <mergeCell ref="I43:K43"/>
    <mergeCell ref="M43:O43"/>
    <mergeCell ref="B48:D48"/>
    <mergeCell ref="F48:H48"/>
    <mergeCell ref="I48:K48"/>
    <mergeCell ref="M48:O48"/>
    <mergeCell ref="B47:D47"/>
    <mergeCell ref="F47:H47"/>
    <mergeCell ref="I47:K47"/>
    <mergeCell ref="M47:O47"/>
    <mergeCell ref="B46:D46"/>
    <mergeCell ref="F46:H46"/>
    <mergeCell ref="I46:K46"/>
    <mergeCell ref="M46:O46"/>
    <mergeCell ref="B51:D51"/>
    <mergeCell ref="F51:H51"/>
    <mergeCell ref="I51:K51"/>
    <mergeCell ref="M51:O51"/>
    <mergeCell ref="B50:D50"/>
    <mergeCell ref="F50:H50"/>
    <mergeCell ref="I50:K50"/>
    <mergeCell ref="M50:O50"/>
    <mergeCell ref="B49:D49"/>
    <mergeCell ref="F49:H49"/>
    <mergeCell ref="I49:K49"/>
    <mergeCell ref="M49:O49"/>
    <mergeCell ref="B54:D54"/>
    <mergeCell ref="F54:H54"/>
    <mergeCell ref="I54:K54"/>
    <mergeCell ref="M54:O54"/>
    <mergeCell ref="B53:D53"/>
    <mergeCell ref="F53:H53"/>
    <mergeCell ref="I53:K53"/>
    <mergeCell ref="M53:O53"/>
    <mergeCell ref="B52:D52"/>
    <mergeCell ref="F52:H52"/>
    <mergeCell ref="I52:K52"/>
    <mergeCell ref="M52:O52"/>
    <mergeCell ref="B57:D57"/>
    <mergeCell ref="F57:H57"/>
    <mergeCell ref="I57:K57"/>
    <mergeCell ref="M57:O57"/>
    <mergeCell ref="B56:D56"/>
    <mergeCell ref="F56:H56"/>
    <mergeCell ref="I56:K56"/>
    <mergeCell ref="M56:O56"/>
    <mergeCell ref="B55:D55"/>
    <mergeCell ref="F55:H55"/>
    <mergeCell ref="I55:K55"/>
    <mergeCell ref="M55:O55"/>
    <mergeCell ref="B63:D63"/>
    <mergeCell ref="F63:H63"/>
    <mergeCell ref="I63:K63"/>
    <mergeCell ref="M63:O63"/>
    <mergeCell ref="B62:D62"/>
    <mergeCell ref="F62:H62"/>
    <mergeCell ref="I62:K62"/>
    <mergeCell ref="M62:O62"/>
    <mergeCell ref="B61:D61"/>
    <mergeCell ref="F61:H61"/>
    <mergeCell ref="I61:K61"/>
    <mergeCell ref="M61:O61"/>
    <mergeCell ref="B60:D60"/>
    <mergeCell ref="F60:H60"/>
    <mergeCell ref="I60:K60"/>
    <mergeCell ref="M60:O60"/>
    <mergeCell ref="B59:D59"/>
    <mergeCell ref="F59:H59"/>
    <mergeCell ref="I59:K59"/>
    <mergeCell ref="M59:O59"/>
    <mergeCell ref="B58:D58"/>
    <mergeCell ref="F58:H58"/>
    <mergeCell ref="I58:K58"/>
    <mergeCell ref="M58:O58"/>
  </mergeCells>
  <conditionalFormatting sqref="M14:O63">
    <cfRule type="expression" dxfId="0" priority="1">
      <formula>I14="NO"</formula>
    </cfRule>
  </conditionalFormatting>
  <dataValidations count="2">
    <dataValidation type="list" allowBlank="1" showInputMessage="1" showErrorMessage="1" sqref="I14:K63" xr:uid="{00000000-0002-0000-0300-000000000000}">
      <formula1>$Q$66:$Q$67</formula1>
    </dataValidation>
    <dataValidation type="list" allowBlank="1" showInputMessage="1" showErrorMessage="1" sqref="F14:H63" xr:uid="{00000000-0002-0000-0300-000001000000}">
      <formula1>$P$66:$P$70</formula1>
    </dataValidation>
  </dataValidations>
  <printOptions horizontalCentered="1"/>
  <pageMargins left="0.7" right="0.7"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V39"/>
  <sheetViews>
    <sheetView zoomScale="80" zoomScaleNormal="80" workbookViewId="0">
      <pane xSplit="19" ySplit="10" topLeftCell="T11" activePane="bottomRight" state="frozen"/>
      <selection pane="topRight" activeCell="T1" sqref="T1"/>
      <selection pane="bottomLeft" activeCell="A10" sqref="A10"/>
      <selection pane="bottomRight"/>
    </sheetView>
  </sheetViews>
  <sheetFormatPr defaultColWidth="9.140625" defaultRowHeight="15.75" x14ac:dyDescent="0.25"/>
  <cols>
    <col min="1" max="1" width="5.42578125" style="15" customWidth="1"/>
    <col min="2" max="2" width="9.140625" style="15" customWidth="1"/>
    <col min="3" max="3" width="5.140625" style="15" customWidth="1"/>
    <col min="4" max="4" width="12.5703125" style="55" customWidth="1"/>
    <col min="5" max="5" width="11.7109375" style="15" customWidth="1"/>
    <col min="6" max="7" width="7.5703125" style="15" customWidth="1"/>
    <col min="8" max="9" width="8.85546875" style="15" customWidth="1"/>
    <col min="10" max="14" width="7.5703125" style="15" customWidth="1"/>
    <col min="15" max="16" width="8.28515625" style="15" customWidth="1"/>
    <col min="17" max="17" width="12.85546875" style="15" customWidth="1"/>
    <col min="18" max="18" width="12.85546875" style="66" customWidth="1"/>
    <col min="19" max="19" width="14.140625" style="15" customWidth="1"/>
    <col min="20" max="20" width="11" style="56" hidden="1" customWidth="1"/>
    <col min="21" max="21" width="9.140625" style="56" hidden="1" customWidth="1"/>
    <col min="22" max="22" width="0" style="15" hidden="1" customWidth="1"/>
    <col min="23" max="16384" width="9.140625" style="15"/>
  </cols>
  <sheetData>
    <row r="1" spans="2:22" s="2" customFormat="1" ht="27" customHeight="1" x14ac:dyDescent="0.25">
      <c r="B1" s="222"/>
      <c r="C1" s="222"/>
      <c r="D1" s="110"/>
      <c r="E1" s="222"/>
      <c r="F1" s="222"/>
      <c r="H1" s="222"/>
      <c r="I1" s="222"/>
      <c r="R1" s="63"/>
      <c r="T1" s="89"/>
      <c r="U1" s="89"/>
    </row>
    <row r="2" spans="2:22" s="2" customFormat="1" ht="8.25" customHeight="1" x14ac:dyDescent="0.25">
      <c r="B2" s="153"/>
      <c r="C2" s="153"/>
      <c r="D2" s="110"/>
      <c r="E2" s="153"/>
      <c r="F2" s="153"/>
      <c r="J2" s="154"/>
      <c r="K2" s="154"/>
      <c r="L2" s="154"/>
      <c r="N2" s="154"/>
      <c r="O2" s="154"/>
      <c r="P2" s="154"/>
      <c r="Q2" s="154"/>
      <c r="T2" s="89"/>
      <c r="U2" s="89"/>
    </row>
    <row r="3" spans="2:22" ht="29.25" customHeight="1" x14ac:dyDescent="0.25">
      <c r="B3" s="329" t="s">
        <v>302</v>
      </c>
      <c r="C3" s="329"/>
      <c r="D3" s="329"/>
      <c r="E3" s="329"/>
      <c r="F3" s="329"/>
      <c r="G3" s="329"/>
      <c r="H3" s="329"/>
      <c r="I3" s="329"/>
      <c r="J3" s="329"/>
      <c r="K3" s="329"/>
      <c r="L3" s="329"/>
      <c r="M3" s="329"/>
      <c r="N3" s="329"/>
      <c r="O3" s="329"/>
      <c r="P3" s="329"/>
      <c r="Q3" s="329"/>
      <c r="R3" s="329"/>
      <c r="S3" s="329"/>
    </row>
    <row r="4" spans="2:22" ht="22.5" customHeight="1" x14ac:dyDescent="0.25">
      <c r="B4" s="330" t="s">
        <v>129</v>
      </c>
      <c r="C4" s="330"/>
      <c r="D4" s="330"/>
      <c r="E4" s="330"/>
      <c r="F4" s="330"/>
      <c r="G4" s="330"/>
      <c r="H4" s="330"/>
      <c r="I4" s="330"/>
      <c r="J4" s="330"/>
      <c r="K4" s="330"/>
      <c r="L4" s="330"/>
      <c r="M4" s="330"/>
      <c r="N4" s="330"/>
      <c r="O4" s="330"/>
      <c r="P4" s="330"/>
      <c r="Q4" s="330"/>
      <c r="R4" s="330"/>
      <c r="S4" s="330"/>
    </row>
    <row r="6" spans="2:22" s="2" customFormat="1" ht="18.75" x14ac:dyDescent="0.25">
      <c r="B6" s="335" t="s">
        <v>0</v>
      </c>
      <c r="C6" s="335"/>
      <c r="D6" s="335"/>
      <c r="E6" s="264" t="str">
        <f>IF('C for c'!C2=0,"",'C for c'!C2)</f>
        <v/>
      </c>
      <c r="F6" s="264"/>
      <c r="G6" s="89"/>
      <c r="H6" s="264" t="s">
        <v>7</v>
      </c>
      <c r="I6" s="264"/>
      <c r="J6" s="264"/>
      <c r="K6" s="264" t="str">
        <f>IF('C for c'!C3=0,"",'C for c'!C3)</f>
        <v/>
      </c>
      <c r="L6" s="264"/>
      <c r="M6" s="264"/>
      <c r="N6" s="264" t="s">
        <v>6</v>
      </c>
      <c r="O6" s="264"/>
      <c r="P6" s="264"/>
      <c r="Q6" s="264" t="str">
        <f>IF('C for c'!C4=0,"",'C for c'!C4)</f>
        <v/>
      </c>
      <c r="R6" s="264"/>
      <c r="T6" s="89"/>
      <c r="U6" s="89"/>
    </row>
    <row r="7" spans="2:22" ht="16.5" thickBot="1" x14ac:dyDescent="0.3"/>
    <row r="8" spans="2:22" s="122" customFormat="1" ht="37.5" customHeight="1" x14ac:dyDescent="0.25">
      <c r="B8" s="336" t="s">
        <v>15</v>
      </c>
      <c r="C8" s="337"/>
      <c r="D8" s="337" t="s">
        <v>14</v>
      </c>
      <c r="E8" s="340" t="s">
        <v>120</v>
      </c>
      <c r="F8" s="337" t="s">
        <v>16</v>
      </c>
      <c r="G8" s="337"/>
      <c r="H8" s="337"/>
      <c r="I8" s="337"/>
      <c r="J8" s="337"/>
      <c r="K8" s="337"/>
      <c r="L8" s="337"/>
      <c r="M8" s="337"/>
      <c r="N8" s="337"/>
      <c r="O8" s="340" t="s">
        <v>124</v>
      </c>
      <c r="P8" s="340"/>
      <c r="Q8" s="340" t="s">
        <v>121</v>
      </c>
      <c r="R8" s="340"/>
      <c r="S8" s="344" t="s">
        <v>125</v>
      </c>
      <c r="T8" s="342" t="s">
        <v>126</v>
      </c>
      <c r="U8" s="342" t="s">
        <v>127</v>
      </c>
      <c r="V8" s="342" t="s">
        <v>128</v>
      </c>
    </row>
    <row r="9" spans="2:22" s="122" customFormat="1" ht="28.5" customHeight="1" thickBot="1" x14ac:dyDescent="0.3">
      <c r="B9" s="338"/>
      <c r="C9" s="339"/>
      <c r="D9" s="339"/>
      <c r="E9" s="341"/>
      <c r="F9" s="339"/>
      <c r="G9" s="339"/>
      <c r="H9" s="339"/>
      <c r="I9" s="339"/>
      <c r="J9" s="339"/>
      <c r="K9" s="339"/>
      <c r="L9" s="339"/>
      <c r="M9" s="339"/>
      <c r="N9" s="339"/>
      <c r="O9" s="341"/>
      <c r="P9" s="341"/>
      <c r="Q9" s="231" t="s">
        <v>122</v>
      </c>
      <c r="R9" s="231" t="s">
        <v>123</v>
      </c>
      <c r="S9" s="345"/>
      <c r="T9" s="343"/>
      <c r="U9" s="343"/>
      <c r="V9" s="343"/>
    </row>
    <row r="10" spans="2:22" ht="21.75" customHeight="1" thickBot="1" x14ac:dyDescent="0.3">
      <c r="B10" s="346"/>
      <c r="C10" s="347"/>
      <c r="D10" s="229"/>
      <c r="E10" s="121">
        <f>SUBTOTAL(9,E11:E26)</f>
        <v>0</v>
      </c>
      <c r="F10" s="348"/>
      <c r="G10" s="349"/>
      <c r="H10" s="349"/>
      <c r="I10" s="349"/>
      <c r="J10" s="349"/>
      <c r="K10" s="349"/>
      <c r="L10" s="349"/>
      <c r="M10" s="349"/>
      <c r="N10" s="350"/>
      <c r="O10" s="374">
        <f>SUBTOTAL(9,O11:P26)</f>
        <v>0</v>
      </c>
      <c r="P10" s="375"/>
      <c r="Q10" s="119">
        <f>T10</f>
        <v>0</v>
      </c>
      <c r="R10" s="121">
        <f>U10</f>
        <v>0</v>
      </c>
      <c r="S10" s="230">
        <f>V10</f>
        <v>0</v>
      </c>
      <c r="T10" s="101">
        <f>SUM(T11:T26)</f>
        <v>0</v>
      </c>
      <c r="U10" s="100">
        <f>SUM(U11:U26)</f>
        <v>0</v>
      </c>
      <c r="V10" s="100">
        <f>SUM(V11:V26)</f>
        <v>0</v>
      </c>
    </row>
    <row r="11" spans="2:22" ht="29.25" customHeight="1" x14ac:dyDescent="0.25">
      <c r="B11" s="356"/>
      <c r="C11" s="357"/>
      <c r="D11" s="111"/>
      <c r="E11" s="104"/>
      <c r="F11" s="378"/>
      <c r="G11" s="379"/>
      <c r="H11" s="379"/>
      <c r="I11" s="379"/>
      <c r="J11" s="379"/>
      <c r="K11" s="379"/>
      <c r="L11" s="379"/>
      <c r="M11" s="379"/>
      <c r="N11" s="380"/>
      <c r="O11" s="376"/>
      <c r="P11" s="377"/>
      <c r="Q11" s="115"/>
      <c r="R11" s="104"/>
      <c r="S11" s="57"/>
      <c r="T11" s="56">
        <f>IF(Q11="YES",1,0)</f>
        <v>0</v>
      </c>
      <c r="U11" s="56">
        <f>IF(R11="YES",1,0)</f>
        <v>0</v>
      </c>
      <c r="V11" s="56">
        <f>IF(S11="YES",1,0)</f>
        <v>0</v>
      </c>
    </row>
    <row r="12" spans="2:22" ht="29.25" customHeight="1" x14ac:dyDescent="0.25">
      <c r="B12" s="358"/>
      <c r="C12" s="359"/>
      <c r="D12" s="112"/>
      <c r="E12" s="103"/>
      <c r="F12" s="360"/>
      <c r="G12" s="361"/>
      <c r="H12" s="361"/>
      <c r="I12" s="361"/>
      <c r="J12" s="361"/>
      <c r="K12" s="361"/>
      <c r="L12" s="361"/>
      <c r="M12" s="361"/>
      <c r="N12" s="362"/>
      <c r="O12" s="365"/>
      <c r="P12" s="366"/>
      <c r="Q12" s="116"/>
      <c r="R12" s="103"/>
      <c r="S12" s="58"/>
      <c r="T12" s="56">
        <f t="shared" ref="T12:T26" si="0">IF(Q12="YES",1,0)</f>
        <v>0</v>
      </c>
      <c r="U12" s="56">
        <f t="shared" ref="U12:U26" si="1">IF(R12="YES",1,0)</f>
        <v>0</v>
      </c>
      <c r="V12" s="56">
        <f t="shared" ref="V12:V26" si="2">IF(S12="YES",1,0)</f>
        <v>0</v>
      </c>
    </row>
    <row r="13" spans="2:22" ht="29.25" customHeight="1" x14ac:dyDescent="0.25">
      <c r="B13" s="354"/>
      <c r="C13" s="355"/>
      <c r="D13" s="113"/>
      <c r="E13" s="102"/>
      <c r="F13" s="351"/>
      <c r="G13" s="352"/>
      <c r="H13" s="352"/>
      <c r="I13" s="352"/>
      <c r="J13" s="352"/>
      <c r="K13" s="352"/>
      <c r="L13" s="352"/>
      <c r="M13" s="352"/>
      <c r="N13" s="353"/>
      <c r="O13" s="363"/>
      <c r="P13" s="364"/>
      <c r="Q13" s="117"/>
      <c r="R13" s="102"/>
      <c r="S13" s="59"/>
      <c r="T13" s="56">
        <f t="shared" si="0"/>
        <v>0</v>
      </c>
      <c r="U13" s="56">
        <f t="shared" si="1"/>
        <v>0</v>
      </c>
      <c r="V13" s="56">
        <f t="shared" si="2"/>
        <v>0</v>
      </c>
    </row>
    <row r="14" spans="2:22" ht="29.25" customHeight="1" x14ac:dyDescent="0.25">
      <c r="B14" s="358"/>
      <c r="C14" s="359"/>
      <c r="D14" s="112"/>
      <c r="E14" s="103"/>
      <c r="F14" s="360"/>
      <c r="G14" s="361"/>
      <c r="H14" s="361"/>
      <c r="I14" s="361"/>
      <c r="J14" s="361"/>
      <c r="K14" s="361"/>
      <c r="L14" s="361"/>
      <c r="M14" s="361"/>
      <c r="N14" s="362"/>
      <c r="O14" s="365"/>
      <c r="P14" s="366"/>
      <c r="Q14" s="116"/>
      <c r="R14" s="103"/>
      <c r="S14" s="58"/>
      <c r="T14" s="56">
        <f t="shared" si="0"/>
        <v>0</v>
      </c>
      <c r="U14" s="56">
        <f t="shared" si="1"/>
        <v>0</v>
      </c>
      <c r="V14" s="56">
        <f t="shared" si="2"/>
        <v>0</v>
      </c>
    </row>
    <row r="15" spans="2:22" ht="29.25" customHeight="1" x14ac:dyDescent="0.25">
      <c r="B15" s="354"/>
      <c r="C15" s="355"/>
      <c r="D15" s="113"/>
      <c r="E15" s="102"/>
      <c r="F15" s="351"/>
      <c r="G15" s="352"/>
      <c r="H15" s="352"/>
      <c r="I15" s="352"/>
      <c r="J15" s="352"/>
      <c r="K15" s="352"/>
      <c r="L15" s="352"/>
      <c r="M15" s="352"/>
      <c r="N15" s="353"/>
      <c r="O15" s="363"/>
      <c r="P15" s="364"/>
      <c r="Q15" s="117"/>
      <c r="R15" s="102"/>
      <c r="S15" s="59"/>
      <c r="T15" s="56">
        <f t="shared" si="0"/>
        <v>0</v>
      </c>
      <c r="U15" s="56">
        <f t="shared" si="1"/>
        <v>0</v>
      </c>
      <c r="V15" s="56">
        <f t="shared" si="2"/>
        <v>0</v>
      </c>
    </row>
    <row r="16" spans="2:22" ht="29.25" customHeight="1" x14ac:dyDescent="0.25">
      <c r="B16" s="358"/>
      <c r="C16" s="359"/>
      <c r="D16" s="112"/>
      <c r="E16" s="103"/>
      <c r="F16" s="360"/>
      <c r="G16" s="361"/>
      <c r="H16" s="361"/>
      <c r="I16" s="361"/>
      <c r="J16" s="361"/>
      <c r="K16" s="361"/>
      <c r="L16" s="361"/>
      <c r="M16" s="361"/>
      <c r="N16" s="362"/>
      <c r="O16" s="365"/>
      <c r="P16" s="366"/>
      <c r="Q16" s="116"/>
      <c r="R16" s="103"/>
      <c r="S16" s="58"/>
      <c r="T16" s="56">
        <f t="shared" si="0"/>
        <v>0</v>
      </c>
      <c r="U16" s="56">
        <f t="shared" si="1"/>
        <v>0</v>
      </c>
      <c r="V16" s="56">
        <f t="shared" si="2"/>
        <v>0</v>
      </c>
    </row>
    <row r="17" spans="2:22" ht="29.25" customHeight="1" x14ac:dyDescent="0.25">
      <c r="B17" s="354"/>
      <c r="C17" s="355"/>
      <c r="D17" s="113"/>
      <c r="E17" s="102"/>
      <c r="F17" s="351"/>
      <c r="G17" s="352"/>
      <c r="H17" s="352"/>
      <c r="I17" s="352"/>
      <c r="J17" s="352"/>
      <c r="K17" s="352"/>
      <c r="L17" s="352"/>
      <c r="M17" s="352"/>
      <c r="N17" s="353"/>
      <c r="O17" s="363"/>
      <c r="P17" s="364"/>
      <c r="Q17" s="117"/>
      <c r="R17" s="102"/>
      <c r="S17" s="59"/>
      <c r="T17" s="56">
        <f t="shared" si="0"/>
        <v>0</v>
      </c>
      <c r="U17" s="56">
        <f t="shared" si="1"/>
        <v>0</v>
      </c>
      <c r="V17" s="56">
        <f t="shared" si="2"/>
        <v>0</v>
      </c>
    </row>
    <row r="18" spans="2:22" ht="29.25" customHeight="1" x14ac:dyDescent="0.25">
      <c r="B18" s="358"/>
      <c r="C18" s="359"/>
      <c r="D18" s="112"/>
      <c r="E18" s="103"/>
      <c r="F18" s="360"/>
      <c r="G18" s="361"/>
      <c r="H18" s="361"/>
      <c r="I18" s="361"/>
      <c r="J18" s="361"/>
      <c r="K18" s="361"/>
      <c r="L18" s="361"/>
      <c r="M18" s="361"/>
      <c r="N18" s="362"/>
      <c r="O18" s="365"/>
      <c r="P18" s="366"/>
      <c r="Q18" s="116"/>
      <c r="R18" s="103"/>
      <c r="S18" s="58"/>
      <c r="T18" s="56">
        <f t="shared" si="0"/>
        <v>0</v>
      </c>
      <c r="U18" s="56">
        <f t="shared" si="1"/>
        <v>0</v>
      </c>
      <c r="V18" s="56">
        <f t="shared" si="2"/>
        <v>0</v>
      </c>
    </row>
    <row r="19" spans="2:22" ht="29.25" customHeight="1" x14ac:dyDescent="0.25">
      <c r="B19" s="354"/>
      <c r="C19" s="355"/>
      <c r="D19" s="113"/>
      <c r="E19" s="102"/>
      <c r="F19" s="351"/>
      <c r="G19" s="352"/>
      <c r="H19" s="352"/>
      <c r="I19" s="352"/>
      <c r="J19" s="352"/>
      <c r="K19" s="352"/>
      <c r="L19" s="352"/>
      <c r="M19" s="352"/>
      <c r="N19" s="353"/>
      <c r="O19" s="363"/>
      <c r="P19" s="364"/>
      <c r="Q19" s="117"/>
      <c r="R19" s="102"/>
      <c r="S19" s="59"/>
      <c r="T19" s="56">
        <f t="shared" si="0"/>
        <v>0</v>
      </c>
      <c r="U19" s="56">
        <f t="shared" si="1"/>
        <v>0</v>
      </c>
      <c r="V19" s="56">
        <f t="shared" si="2"/>
        <v>0</v>
      </c>
    </row>
    <row r="20" spans="2:22" ht="29.25" customHeight="1" x14ac:dyDescent="0.25">
      <c r="B20" s="358"/>
      <c r="C20" s="359"/>
      <c r="D20" s="112"/>
      <c r="E20" s="103"/>
      <c r="F20" s="360"/>
      <c r="G20" s="361"/>
      <c r="H20" s="361"/>
      <c r="I20" s="361"/>
      <c r="J20" s="361"/>
      <c r="K20" s="361"/>
      <c r="L20" s="361"/>
      <c r="M20" s="361"/>
      <c r="N20" s="362"/>
      <c r="O20" s="365"/>
      <c r="P20" s="366"/>
      <c r="Q20" s="116"/>
      <c r="R20" s="103"/>
      <c r="S20" s="58"/>
      <c r="T20" s="56">
        <f t="shared" si="0"/>
        <v>0</v>
      </c>
      <c r="U20" s="56">
        <f t="shared" si="1"/>
        <v>0</v>
      </c>
      <c r="V20" s="56">
        <f t="shared" si="2"/>
        <v>0</v>
      </c>
    </row>
    <row r="21" spans="2:22" ht="29.25" customHeight="1" x14ac:dyDescent="0.25">
      <c r="B21" s="354"/>
      <c r="C21" s="355"/>
      <c r="D21" s="113"/>
      <c r="E21" s="102"/>
      <c r="F21" s="351"/>
      <c r="G21" s="352"/>
      <c r="H21" s="352"/>
      <c r="I21" s="352"/>
      <c r="J21" s="352"/>
      <c r="K21" s="352"/>
      <c r="L21" s="352"/>
      <c r="M21" s="352"/>
      <c r="N21" s="353"/>
      <c r="O21" s="363"/>
      <c r="P21" s="364"/>
      <c r="Q21" s="117"/>
      <c r="R21" s="102"/>
      <c r="S21" s="59"/>
      <c r="T21" s="56">
        <f t="shared" si="0"/>
        <v>0</v>
      </c>
      <c r="U21" s="56">
        <f t="shared" si="1"/>
        <v>0</v>
      </c>
      <c r="V21" s="56">
        <f t="shared" si="2"/>
        <v>0</v>
      </c>
    </row>
    <row r="22" spans="2:22" ht="29.25" customHeight="1" x14ac:dyDescent="0.25">
      <c r="B22" s="358"/>
      <c r="C22" s="359"/>
      <c r="D22" s="112"/>
      <c r="E22" s="103"/>
      <c r="F22" s="360"/>
      <c r="G22" s="361"/>
      <c r="H22" s="361"/>
      <c r="I22" s="361"/>
      <c r="J22" s="361"/>
      <c r="K22" s="361"/>
      <c r="L22" s="361"/>
      <c r="M22" s="361"/>
      <c r="N22" s="362"/>
      <c r="O22" s="365"/>
      <c r="P22" s="366"/>
      <c r="Q22" s="116"/>
      <c r="R22" s="103"/>
      <c r="S22" s="58"/>
      <c r="T22" s="56">
        <f t="shared" si="0"/>
        <v>0</v>
      </c>
      <c r="U22" s="56">
        <f t="shared" si="1"/>
        <v>0</v>
      </c>
      <c r="V22" s="56">
        <f t="shared" si="2"/>
        <v>0</v>
      </c>
    </row>
    <row r="23" spans="2:22" ht="29.25" customHeight="1" x14ac:dyDescent="0.25">
      <c r="B23" s="354"/>
      <c r="C23" s="355"/>
      <c r="D23" s="113"/>
      <c r="E23" s="102"/>
      <c r="F23" s="351"/>
      <c r="G23" s="352"/>
      <c r="H23" s="352"/>
      <c r="I23" s="352"/>
      <c r="J23" s="352"/>
      <c r="K23" s="352"/>
      <c r="L23" s="352"/>
      <c r="M23" s="352"/>
      <c r="N23" s="353"/>
      <c r="O23" s="363"/>
      <c r="P23" s="364"/>
      <c r="Q23" s="117"/>
      <c r="R23" s="102"/>
      <c r="S23" s="59"/>
      <c r="T23" s="56">
        <f t="shared" si="0"/>
        <v>0</v>
      </c>
      <c r="U23" s="56">
        <f t="shared" si="1"/>
        <v>0</v>
      </c>
      <c r="V23" s="56">
        <f t="shared" si="2"/>
        <v>0</v>
      </c>
    </row>
    <row r="24" spans="2:22" ht="29.25" customHeight="1" x14ac:dyDescent="0.25">
      <c r="B24" s="358"/>
      <c r="C24" s="359"/>
      <c r="D24" s="112"/>
      <c r="E24" s="103"/>
      <c r="F24" s="360"/>
      <c r="G24" s="361"/>
      <c r="H24" s="361"/>
      <c r="I24" s="361"/>
      <c r="J24" s="361"/>
      <c r="K24" s="361"/>
      <c r="L24" s="361"/>
      <c r="M24" s="361"/>
      <c r="N24" s="362"/>
      <c r="O24" s="365"/>
      <c r="P24" s="366"/>
      <c r="Q24" s="116"/>
      <c r="R24" s="103"/>
      <c r="S24" s="58"/>
      <c r="T24" s="56">
        <f t="shared" si="0"/>
        <v>0</v>
      </c>
      <c r="U24" s="56">
        <f t="shared" si="1"/>
        <v>0</v>
      </c>
      <c r="V24" s="56">
        <f t="shared" si="2"/>
        <v>0</v>
      </c>
    </row>
    <row r="25" spans="2:22" ht="29.25" customHeight="1" x14ac:dyDescent="0.25">
      <c r="B25" s="354"/>
      <c r="C25" s="355"/>
      <c r="D25" s="113"/>
      <c r="E25" s="102"/>
      <c r="F25" s="351"/>
      <c r="G25" s="352"/>
      <c r="H25" s="352"/>
      <c r="I25" s="352"/>
      <c r="J25" s="352"/>
      <c r="K25" s="352"/>
      <c r="L25" s="352"/>
      <c r="M25" s="352"/>
      <c r="N25" s="353"/>
      <c r="O25" s="363"/>
      <c r="P25" s="364"/>
      <c r="Q25" s="117"/>
      <c r="R25" s="102"/>
      <c r="S25" s="59"/>
      <c r="T25" s="56">
        <f t="shared" si="0"/>
        <v>0</v>
      </c>
      <c r="U25" s="56">
        <f t="shared" si="1"/>
        <v>0</v>
      </c>
      <c r="V25" s="56">
        <f t="shared" si="2"/>
        <v>0</v>
      </c>
    </row>
    <row r="26" spans="2:22" ht="29.25" customHeight="1" thickBot="1" x14ac:dyDescent="0.3">
      <c r="B26" s="367"/>
      <c r="C26" s="368"/>
      <c r="D26" s="114"/>
      <c r="E26" s="105"/>
      <c r="F26" s="369"/>
      <c r="G26" s="370"/>
      <c r="H26" s="370"/>
      <c r="I26" s="370"/>
      <c r="J26" s="370"/>
      <c r="K26" s="370"/>
      <c r="L26" s="370"/>
      <c r="M26" s="370"/>
      <c r="N26" s="371"/>
      <c r="O26" s="372"/>
      <c r="P26" s="373"/>
      <c r="Q26" s="118"/>
      <c r="R26" s="105"/>
      <c r="S26" s="60"/>
      <c r="T26" s="56">
        <f t="shared" si="0"/>
        <v>0</v>
      </c>
      <c r="U26" s="56">
        <f t="shared" si="1"/>
        <v>0</v>
      </c>
      <c r="V26" s="56">
        <f t="shared" si="2"/>
        <v>0</v>
      </c>
    </row>
    <row r="28" spans="2:22" x14ac:dyDescent="0.25">
      <c r="T28" s="56" t="s">
        <v>91</v>
      </c>
    </row>
    <row r="29" spans="2:22" s="55" customFormat="1" ht="31.5" x14ac:dyDescent="0.25">
      <c r="R29" s="84"/>
      <c r="T29" s="120" t="s">
        <v>92</v>
      </c>
      <c r="U29" s="122" t="s">
        <v>93</v>
      </c>
    </row>
    <row r="30" spans="2:22" x14ac:dyDescent="0.25">
      <c r="T30" s="56">
        <v>1</v>
      </c>
      <c r="U30" s="68" t="s">
        <v>88</v>
      </c>
    </row>
    <row r="31" spans="2:22" x14ac:dyDescent="0.25">
      <c r="T31" s="56">
        <v>2</v>
      </c>
      <c r="U31" s="68" t="s">
        <v>89</v>
      </c>
    </row>
    <row r="32" spans="2:22" x14ac:dyDescent="0.25">
      <c r="T32" s="56">
        <v>3</v>
      </c>
      <c r="U32" s="68"/>
    </row>
    <row r="33" spans="20:21" x14ac:dyDescent="0.25">
      <c r="T33" s="56">
        <v>4</v>
      </c>
      <c r="U33" s="68"/>
    </row>
    <row r="34" spans="20:21" x14ac:dyDescent="0.25">
      <c r="T34" s="56">
        <v>5</v>
      </c>
      <c r="U34" s="68"/>
    </row>
    <row r="35" spans="20:21" x14ac:dyDescent="0.25">
      <c r="T35" s="56">
        <v>6</v>
      </c>
      <c r="U35" s="68"/>
    </row>
    <row r="36" spans="20:21" x14ac:dyDescent="0.25">
      <c r="T36" s="56">
        <v>7</v>
      </c>
      <c r="U36" s="68"/>
    </row>
    <row r="37" spans="20:21" x14ac:dyDescent="0.25">
      <c r="T37" s="56">
        <v>8</v>
      </c>
      <c r="U37" s="68"/>
    </row>
    <row r="38" spans="20:21" x14ac:dyDescent="0.25">
      <c r="T38" s="56">
        <v>9</v>
      </c>
      <c r="U38" s="68"/>
    </row>
    <row r="39" spans="20:21" x14ac:dyDescent="0.25">
      <c r="T39" s="56">
        <v>10</v>
      </c>
      <c r="U39" s="68"/>
    </row>
  </sheetData>
  <sheetProtection sheet="1" objects="1" scenarios="1"/>
  <autoFilter ref="B10:D10" xr:uid="{00000000-0009-0000-0000-000004000000}">
    <filterColumn colId="0" showButton="0"/>
  </autoFilter>
  <mergeCells count="69">
    <mergeCell ref="O10:P10"/>
    <mergeCell ref="H6:J6"/>
    <mergeCell ref="E6:F6"/>
    <mergeCell ref="K6:M6"/>
    <mergeCell ref="O13:P13"/>
    <mergeCell ref="O8:P9"/>
    <mergeCell ref="O11:P11"/>
    <mergeCell ref="F11:N11"/>
    <mergeCell ref="F8:N9"/>
    <mergeCell ref="O12:P12"/>
    <mergeCell ref="N6:P6"/>
    <mergeCell ref="O15:P15"/>
    <mergeCell ref="B16:C16"/>
    <mergeCell ref="F16:N16"/>
    <mergeCell ref="O16:P16"/>
    <mergeCell ref="B14:C14"/>
    <mergeCell ref="F14:N14"/>
    <mergeCell ref="O14:P14"/>
    <mergeCell ref="B26:C26"/>
    <mergeCell ref="F26:N26"/>
    <mergeCell ref="O26:P26"/>
    <mergeCell ref="O23:P23"/>
    <mergeCell ref="B24:C24"/>
    <mergeCell ref="F24:N24"/>
    <mergeCell ref="O24:P24"/>
    <mergeCell ref="B25:C25"/>
    <mergeCell ref="F25:N25"/>
    <mergeCell ref="B23:C23"/>
    <mergeCell ref="F23:N23"/>
    <mergeCell ref="O25:P25"/>
    <mergeCell ref="F20:N20"/>
    <mergeCell ref="O20:P20"/>
    <mergeCell ref="O17:P17"/>
    <mergeCell ref="B18:C18"/>
    <mergeCell ref="O18:P18"/>
    <mergeCell ref="B19:C19"/>
    <mergeCell ref="B17:C17"/>
    <mergeCell ref="F17:N17"/>
    <mergeCell ref="F18:N18"/>
    <mergeCell ref="O19:P19"/>
    <mergeCell ref="B20:C20"/>
    <mergeCell ref="O21:P21"/>
    <mergeCell ref="B22:C22"/>
    <mergeCell ref="F22:N22"/>
    <mergeCell ref="O22:P22"/>
    <mergeCell ref="B21:C21"/>
    <mergeCell ref="F21:N21"/>
    <mergeCell ref="B10:C10"/>
    <mergeCell ref="F10:N10"/>
    <mergeCell ref="F19:N19"/>
    <mergeCell ref="B15:C15"/>
    <mergeCell ref="F15:N15"/>
    <mergeCell ref="B11:C11"/>
    <mergeCell ref="B12:C12"/>
    <mergeCell ref="F12:N12"/>
    <mergeCell ref="B13:C13"/>
    <mergeCell ref="F13:N13"/>
    <mergeCell ref="T8:T9"/>
    <mergeCell ref="U8:U9"/>
    <mergeCell ref="V8:V9"/>
    <mergeCell ref="Q6:R6"/>
    <mergeCell ref="Q8:R8"/>
    <mergeCell ref="S8:S9"/>
    <mergeCell ref="B4:S4"/>
    <mergeCell ref="B3:S3"/>
    <mergeCell ref="B6:D6"/>
    <mergeCell ref="B8:C9"/>
    <mergeCell ref="D8:D9"/>
    <mergeCell ref="E8:E9"/>
  </mergeCells>
  <dataValidations count="2">
    <dataValidation type="list" allowBlank="1" showInputMessage="1" showErrorMessage="1" sqref="E11:E26" xr:uid="{00000000-0002-0000-0400-000000000000}">
      <formula1>$T$30:$T$39</formula1>
    </dataValidation>
    <dataValidation type="list" allowBlank="1" showInputMessage="1" showErrorMessage="1" sqref="Q11:S26" xr:uid="{00000000-0002-0000-0400-000001000000}">
      <formula1>$U$30:$U$31</formula1>
    </dataValidation>
  </dataValidations>
  <printOptions horizontalCentered="1"/>
  <pageMargins left="0.7" right="0.7" top="0.75" bottom="0.75" header="0.3" footer="0.3"/>
  <pageSetup paperSize="9" scale="7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E339"/>
  <sheetViews>
    <sheetView view="pageBreakPreview" zoomScale="80" zoomScaleNormal="70" zoomScaleSheetLayoutView="80" workbookViewId="0">
      <pane xSplit="8" ySplit="12" topLeftCell="I13" activePane="bottomRight" state="frozen"/>
      <selection pane="topRight" activeCell="H1" sqref="H1"/>
      <selection pane="bottomLeft" activeCell="A12" sqref="A12"/>
      <selection pane="bottomRight"/>
    </sheetView>
  </sheetViews>
  <sheetFormatPr defaultColWidth="9.140625" defaultRowHeight="15" x14ac:dyDescent="0.25"/>
  <cols>
    <col min="1" max="1" width="3.7109375" style="1" customWidth="1"/>
    <col min="2" max="2" width="9.140625" style="1" customWidth="1"/>
    <col min="3" max="4" width="9.140625" style="1"/>
    <col min="5" max="5" width="9.140625" style="1" hidden="1" customWidth="1"/>
    <col min="6" max="8" width="9.140625" style="1" customWidth="1"/>
    <col min="9" max="14" width="7.28515625" style="1" customWidth="1"/>
    <col min="15" max="16" width="9.140625" style="1" customWidth="1"/>
    <col min="17" max="17" width="9.140625" style="1" hidden="1" customWidth="1"/>
    <col min="18" max="25" width="9.140625" style="1" customWidth="1"/>
    <col min="26" max="26" width="9.140625" style="1" hidden="1" customWidth="1"/>
    <col min="27" max="29" width="6.42578125" style="1" customWidth="1"/>
    <col min="30" max="30" width="6.42578125" style="1" hidden="1" customWidth="1"/>
    <col min="31" max="33" width="6.42578125" style="1" customWidth="1"/>
    <col min="34" max="34" width="6.42578125" style="1" hidden="1" customWidth="1"/>
    <col min="35" max="37" width="6.42578125" style="1" customWidth="1"/>
    <col min="38" max="38" width="6.42578125" style="1" hidden="1" customWidth="1"/>
    <col min="39" max="41" width="6.42578125" style="1" customWidth="1"/>
    <col min="42" max="43" width="7" style="1" customWidth="1"/>
    <col min="44" max="45" width="9.140625" style="1" customWidth="1"/>
    <col min="46" max="48" width="6.140625" style="1" customWidth="1"/>
    <col min="49" max="51" width="3.42578125" style="1" customWidth="1"/>
    <col min="52" max="52" width="9.140625" style="1" hidden="1" customWidth="1"/>
    <col min="53" max="54" width="9.140625" style="1" customWidth="1"/>
    <col min="55" max="56" width="9.140625" style="1" hidden="1" customWidth="1"/>
    <col min="57" max="57" width="0" style="1" hidden="1" customWidth="1"/>
    <col min="58" max="16384" width="9.140625" style="1"/>
  </cols>
  <sheetData>
    <row r="1" spans="2:57" s="2" customFormat="1" ht="27" customHeight="1" x14ac:dyDescent="0.25">
      <c r="B1" s="224"/>
      <c r="C1" s="224"/>
      <c r="F1" s="224"/>
      <c r="G1" s="224"/>
      <c r="I1" s="224"/>
      <c r="J1" s="224"/>
      <c r="T1" s="225"/>
      <c r="U1" s="225"/>
      <c r="V1" s="225"/>
      <c r="X1" s="225"/>
      <c r="Y1" s="225"/>
      <c r="Z1" s="225"/>
      <c r="BB1" s="1"/>
      <c r="BD1" s="126"/>
      <c r="BE1" s="126"/>
    </row>
    <row r="2" spans="2:57" s="2" customFormat="1" ht="8.25" customHeight="1" x14ac:dyDescent="0.25">
      <c r="B2" s="153"/>
      <c r="C2" s="153"/>
      <c r="F2" s="153"/>
      <c r="G2" s="153"/>
      <c r="K2" s="154"/>
      <c r="L2" s="154"/>
      <c r="M2" s="154"/>
      <c r="N2" s="154"/>
      <c r="O2" s="154"/>
      <c r="P2" s="154"/>
      <c r="Q2" s="154"/>
      <c r="S2" s="154"/>
      <c r="T2" s="154"/>
      <c r="U2" s="154"/>
      <c r="BD2" s="126"/>
      <c r="BE2" s="126"/>
    </row>
    <row r="3" spans="2:57" s="2" customFormat="1" ht="43.5" customHeight="1" x14ac:dyDescent="0.25">
      <c r="B3" s="383" t="s">
        <v>298</v>
      </c>
      <c r="C3" s="383"/>
      <c r="D3" s="383"/>
      <c r="E3" s="383"/>
      <c r="F3" s="383"/>
      <c r="G3" s="383"/>
      <c r="H3" s="383"/>
      <c r="I3" s="383"/>
      <c r="J3" s="383"/>
      <c r="K3" s="383"/>
      <c r="L3" s="383"/>
      <c r="M3" s="383"/>
      <c r="N3" s="383"/>
      <c r="O3" s="383"/>
      <c r="P3" s="383"/>
      <c r="Q3" s="383"/>
      <c r="R3" s="383"/>
      <c r="S3" s="383"/>
      <c r="T3" s="383"/>
      <c r="U3" s="383"/>
      <c r="V3" s="383"/>
      <c r="W3" s="383"/>
      <c r="X3" s="383"/>
      <c r="Y3" s="383"/>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BD3" s="126"/>
      <c r="BE3" s="126"/>
    </row>
    <row r="4" spans="2:57" ht="34.5" customHeight="1" x14ac:dyDescent="0.4">
      <c r="B4" s="385" t="s">
        <v>277</v>
      </c>
      <c r="C4" s="385"/>
      <c r="D4" s="385"/>
      <c r="E4" s="385"/>
      <c r="F4" s="385"/>
      <c r="G4" s="385"/>
      <c r="H4" s="385"/>
      <c r="I4" s="386" t="s">
        <v>54</v>
      </c>
      <c r="J4" s="386"/>
      <c r="K4" s="386"/>
      <c r="L4" s="384" t="str">
        <f>IF(Var!D7=0,"",Var!D7)</f>
        <v/>
      </c>
      <c r="M4" s="384"/>
      <c r="N4" s="384"/>
      <c r="O4" s="386" t="s">
        <v>55</v>
      </c>
      <c r="P4" s="386"/>
      <c r="Q4" s="233"/>
      <c r="R4" s="384" t="str">
        <f>IF(Var!I7=0,"",Var!I7)</f>
        <v/>
      </c>
      <c r="S4" s="384"/>
      <c r="T4" s="384"/>
      <c r="U4" s="12"/>
      <c r="V4" s="12" t="s">
        <v>159</v>
      </c>
      <c r="W4" s="384" t="str">
        <f>IF(Var!N7=0,"",Var!N7)</f>
        <v/>
      </c>
      <c r="X4" s="384"/>
      <c r="Y4" s="384"/>
      <c r="Z4" s="19"/>
      <c r="AA4" s="205"/>
      <c r="AB4" s="205"/>
      <c r="AC4" s="205"/>
      <c r="AD4" s="19"/>
      <c r="AE4" s="205"/>
      <c r="AF4" s="205"/>
      <c r="AG4" s="205"/>
      <c r="AH4" s="19"/>
      <c r="AI4" s="205"/>
      <c r="AJ4" s="205"/>
      <c r="AK4" s="205"/>
      <c r="AL4" s="20"/>
      <c r="AZ4" s="20"/>
    </row>
    <row r="5" spans="2:57" ht="15.75" customHeight="1" x14ac:dyDescent="0.25">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row>
    <row r="6" spans="2:57" s="2" customFormat="1" ht="18.75" hidden="1" x14ac:dyDescent="0.25">
      <c r="B6" s="264"/>
      <c r="C6" s="264"/>
      <c r="D6" s="264"/>
      <c r="E6" s="89"/>
      <c r="K6" s="264"/>
      <c r="L6" s="264"/>
      <c r="M6" s="264"/>
      <c r="N6" s="264"/>
      <c r="T6" s="264"/>
      <c r="U6" s="264"/>
      <c r="V6" s="264"/>
      <c r="AB6" s="89"/>
      <c r="AG6" s="264"/>
      <c r="AH6" s="264"/>
      <c r="AI6" s="264"/>
      <c r="AJ6" s="264"/>
      <c r="AK6" s="264"/>
      <c r="BB6" s="1"/>
      <c r="BD6" s="126"/>
    </row>
    <row r="7" spans="2:57" ht="15.75" hidden="1" x14ac:dyDescent="0.2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spans="2:57" s="2" customFormat="1" ht="8.25" customHeight="1" x14ac:dyDescent="0.25">
      <c r="B8" s="153"/>
      <c r="C8" s="153"/>
      <c r="F8" s="153"/>
      <c r="G8" s="153"/>
      <c r="K8" s="154"/>
      <c r="L8" s="154"/>
      <c r="M8" s="154"/>
      <c r="N8" s="154"/>
      <c r="O8" s="154"/>
      <c r="Q8" s="154"/>
      <c r="R8" s="154"/>
      <c r="S8" s="154"/>
      <c r="BB8" s="126"/>
      <c r="BC8" s="126"/>
    </row>
    <row r="9" spans="2:57" s="21" customFormat="1" ht="15" customHeight="1" x14ac:dyDescent="0.25">
      <c r="B9" s="387" t="s">
        <v>8</v>
      </c>
      <c r="C9" s="388"/>
      <c r="D9" s="389"/>
      <c r="E9" s="90"/>
      <c r="F9" s="291">
        <v>1</v>
      </c>
      <c r="G9" s="292"/>
      <c r="H9" s="293"/>
      <c r="I9" s="268">
        <v>2.1</v>
      </c>
      <c r="J9" s="267"/>
      <c r="K9" s="268">
        <v>2.2000000000000002</v>
      </c>
      <c r="L9" s="267"/>
      <c r="M9" s="268">
        <v>2.2999999999999998</v>
      </c>
      <c r="N9" s="267"/>
      <c r="O9" s="268">
        <v>3</v>
      </c>
      <c r="P9" s="267"/>
      <c r="Q9" s="88"/>
      <c r="R9" s="268">
        <v>4</v>
      </c>
      <c r="S9" s="266"/>
      <c r="T9" s="266">
        <v>5</v>
      </c>
      <c r="U9" s="267"/>
      <c r="V9" s="268">
        <v>6</v>
      </c>
      <c r="W9" s="266"/>
      <c r="X9" s="266"/>
      <c r="Y9" s="267"/>
      <c r="Z9" s="88"/>
      <c r="AA9" s="268">
        <v>7.1</v>
      </c>
      <c r="AB9" s="266"/>
      <c r="AC9" s="267"/>
      <c r="AD9" s="88"/>
      <c r="AE9" s="268">
        <v>7.2</v>
      </c>
      <c r="AF9" s="266"/>
      <c r="AG9" s="267"/>
      <c r="AH9" s="88"/>
      <c r="AI9" s="268">
        <v>8.1</v>
      </c>
      <c r="AJ9" s="266"/>
      <c r="AK9" s="267"/>
      <c r="AL9" s="88"/>
      <c r="AM9" s="268">
        <v>8.1999999999999993</v>
      </c>
      <c r="AN9" s="266"/>
      <c r="AO9" s="267"/>
      <c r="AP9" s="268">
        <v>9</v>
      </c>
      <c r="AQ9" s="267"/>
      <c r="AR9" s="268">
        <v>10</v>
      </c>
      <c r="AS9" s="267"/>
      <c r="AT9" s="268">
        <v>11</v>
      </c>
      <c r="AU9" s="266"/>
      <c r="AV9" s="267"/>
      <c r="AW9" s="268">
        <v>12</v>
      </c>
      <c r="AX9" s="266"/>
      <c r="AY9" s="267"/>
    </row>
    <row r="10" spans="2:57" s="22" customFormat="1" ht="25.5" customHeight="1" x14ac:dyDescent="0.25">
      <c r="B10" s="390"/>
      <c r="C10" s="391"/>
      <c r="D10" s="392"/>
      <c r="E10" s="91"/>
      <c r="F10" s="294" t="s">
        <v>9</v>
      </c>
      <c r="G10" s="295"/>
      <c r="H10" s="296"/>
      <c r="I10" s="281" t="s">
        <v>10</v>
      </c>
      <c r="J10" s="282"/>
      <c r="K10" s="282"/>
      <c r="L10" s="282"/>
      <c r="M10" s="282"/>
      <c r="N10" s="283"/>
      <c r="O10" s="284" t="s">
        <v>162</v>
      </c>
      <c r="P10" s="285"/>
      <c r="Q10" s="93"/>
      <c r="R10" s="284" t="s">
        <v>170</v>
      </c>
      <c r="S10" s="285"/>
      <c r="T10" s="284" t="s">
        <v>171</v>
      </c>
      <c r="U10" s="285"/>
      <c r="V10" s="284" t="s">
        <v>163</v>
      </c>
      <c r="W10" s="300"/>
      <c r="X10" s="300"/>
      <c r="Y10" s="285"/>
      <c r="Z10" s="93"/>
      <c r="AA10" s="281" t="s">
        <v>36</v>
      </c>
      <c r="AB10" s="282"/>
      <c r="AC10" s="282"/>
      <c r="AD10" s="282"/>
      <c r="AE10" s="282"/>
      <c r="AF10" s="282"/>
      <c r="AG10" s="282"/>
      <c r="AH10" s="86"/>
      <c r="AI10" s="302" t="s">
        <v>37</v>
      </c>
      <c r="AJ10" s="302"/>
      <c r="AK10" s="302"/>
      <c r="AL10" s="302"/>
      <c r="AM10" s="302"/>
      <c r="AN10" s="302"/>
      <c r="AO10" s="302"/>
      <c r="AP10" s="276" t="s">
        <v>182</v>
      </c>
      <c r="AQ10" s="276"/>
      <c r="AR10" s="276" t="s">
        <v>165</v>
      </c>
      <c r="AS10" s="276"/>
      <c r="AT10" s="276" t="s">
        <v>33</v>
      </c>
      <c r="AU10" s="276"/>
      <c r="AV10" s="276"/>
      <c r="AW10" s="280" t="s">
        <v>183</v>
      </c>
      <c r="AX10" s="280"/>
      <c r="AY10" s="280"/>
      <c r="BC10" s="21" t="s">
        <v>178</v>
      </c>
    </row>
    <row r="11" spans="2:57" s="23" customFormat="1" ht="48" customHeight="1" x14ac:dyDescent="0.25">
      <c r="B11" s="393"/>
      <c r="C11" s="394"/>
      <c r="D11" s="395"/>
      <c r="E11" s="92"/>
      <c r="F11" s="297"/>
      <c r="G11" s="298"/>
      <c r="H11" s="299"/>
      <c r="I11" s="277" t="s">
        <v>3</v>
      </c>
      <c r="J11" s="279"/>
      <c r="K11" s="277" t="s">
        <v>17</v>
      </c>
      <c r="L11" s="279"/>
      <c r="M11" s="277" t="s">
        <v>269</v>
      </c>
      <c r="N11" s="279"/>
      <c r="O11" s="286"/>
      <c r="P11" s="287"/>
      <c r="Q11" s="94" t="s">
        <v>169</v>
      </c>
      <c r="R11" s="286"/>
      <c r="S11" s="287"/>
      <c r="T11" s="286"/>
      <c r="U11" s="287"/>
      <c r="V11" s="286"/>
      <c r="W11" s="301"/>
      <c r="X11" s="301"/>
      <c r="Y11" s="287"/>
      <c r="Z11" s="94" t="s">
        <v>208</v>
      </c>
      <c r="AA11" s="277" t="s">
        <v>50</v>
      </c>
      <c r="AB11" s="278"/>
      <c r="AC11" s="279"/>
      <c r="AD11" s="133" t="s">
        <v>209</v>
      </c>
      <c r="AE11" s="277" t="s">
        <v>51</v>
      </c>
      <c r="AF11" s="278"/>
      <c r="AG11" s="279"/>
      <c r="AH11" s="133" t="s">
        <v>210</v>
      </c>
      <c r="AI11" s="277" t="s">
        <v>48</v>
      </c>
      <c r="AJ11" s="278"/>
      <c r="AK11" s="279"/>
      <c r="AL11" s="133" t="s">
        <v>211</v>
      </c>
      <c r="AM11" s="277" t="s">
        <v>49</v>
      </c>
      <c r="AN11" s="278"/>
      <c r="AO11" s="279"/>
      <c r="AP11" s="276"/>
      <c r="AQ11" s="276"/>
      <c r="AR11" s="276"/>
      <c r="AS11" s="276"/>
      <c r="AT11" s="276"/>
      <c r="AU11" s="276"/>
      <c r="AV11" s="276"/>
      <c r="AW11" s="280"/>
      <c r="AX11" s="280"/>
      <c r="AY11" s="280"/>
      <c r="BC11" s="21">
        <f>SUBTOTAL(9,BC13:BC265)</f>
        <v>0</v>
      </c>
      <c r="BD11" s="21">
        <f>SUBTOTAL(9,BD13:BD265)</f>
        <v>0</v>
      </c>
      <c r="BE11" s="21">
        <f>SUBTOTAL(9,BE13:BE265)</f>
        <v>0</v>
      </c>
    </row>
    <row r="12" spans="2:57" s="23" customFormat="1" ht="19.5" customHeight="1" x14ac:dyDescent="0.25">
      <c r="B12" s="288"/>
      <c r="C12" s="289"/>
      <c r="D12" s="290"/>
      <c r="E12" s="87">
        <f>SUBTOTAL(9,E13:E265)</f>
        <v>0</v>
      </c>
      <c r="F12" s="288">
        <f>E12</f>
        <v>0</v>
      </c>
      <c r="G12" s="289"/>
      <c r="H12" s="290"/>
      <c r="I12" s="303">
        <f>SUBTOTAL(9,I13:J265)</f>
        <v>0</v>
      </c>
      <c r="J12" s="304"/>
      <c r="K12" s="303">
        <f>SUBTOTAL(9,K13:L265)</f>
        <v>0</v>
      </c>
      <c r="L12" s="304"/>
      <c r="M12" s="303">
        <f>SUBTOTAL(9,M13:N265)</f>
        <v>0</v>
      </c>
      <c r="N12" s="304"/>
      <c r="O12" s="305"/>
      <c r="P12" s="306"/>
      <c r="Q12" s="127"/>
      <c r="R12" s="273"/>
      <c r="S12" s="275"/>
      <c r="T12" s="273"/>
      <c r="U12" s="275"/>
      <c r="V12" s="307"/>
      <c r="W12" s="308"/>
      <c r="X12" s="308"/>
      <c r="Y12" s="309"/>
      <c r="Z12" s="134">
        <f>SUBTOTAL(9,Z13:Z265)</f>
        <v>0</v>
      </c>
      <c r="AA12" s="288">
        <f>Z12</f>
        <v>0</v>
      </c>
      <c r="AB12" s="289"/>
      <c r="AC12" s="290"/>
      <c r="AD12" s="87">
        <f>SUBTOTAL(9,AD13:AD265)</f>
        <v>0</v>
      </c>
      <c r="AE12" s="288">
        <f>AD12</f>
        <v>0</v>
      </c>
      <c r="AF12" s="289"/>
      <c r="AG12" s="290"/>
      <c r="AH12" s="87">
        <f>SUBTOTAL(9,AH13:AH265)</f>
        <v>0</v>
      </c>
      <c r="AI12" s="288">
        <f>AH12</f>
        <v>0</v>
      </c>
      <c r="AJ12" s="289"/>
      <c r="AK12" s="290"/>
      <c r="AL12" s="87">
        <f>SUBTOTAL(9,AL13:AL265)</f>
        <v>0</v>
      </c>
      <c r="AM12" s="288">
        <f>AL12</f>
        <v>0</v>
      </c>
      <c r="AN12" s="289"/>
      <c r="AO12" s="290"/>
      <c r="AP12" s="305"/>
      <c r="AQ12" s="306"/>
      <c r="AR12" s="303">
        <f>SUBTOTAL(9,AR13:AS265)</f>
        <v>0</v>
      </c>
      <c r="AS12" s="304"/>
      <c r="AT12" s="273"/>
      <c r="AU12" s="274"/>
      <c r="AV12" s="275"/>
      <c r="AW12" s="288">
        <f>AZ12</f>
        <v>0</v>
      </c>
      <c r="AX12" s="289"/>
      <c r="AY12" s="290"/>
      <c r="AZ12" s="128">
        <f>SUBTOTAL(9,AZ13:AZ265)</f>
        <v>0</v>
      </c>
      <c r="BC12" s="21" t="s">
        <v>188</v>
      </c>
      <c r="BD12" s="23" t="s">
        <v>189</v>
      </c>
      <c r="BE12" s="23" t="s">
        <v>190</v>
      </c>
    </row>
    <row r="13" spans="2:57" s="24" customFormat="1" ht="21.95" customHeight="1" x14ac:dyDescent="0.25">
      <c r="B13" s="397" t="str">
        <f>IF(CHMTCmTm!B12=0,"",CHMTCmTm!B12)</f>
        <v/>
      </c>
      <c r="C13" s="398"/>
      <c r="D13" s="399"/>
      <c r="E13" s="216">
        <f>CHMTCmTm!E12</f>
        <v>0</v>
      </c>
      <c r="F13" s="397" t="str">
        <f>IF(CHMTCmTm!F12=0,"",CHMTCmTm!F12)</f>
        <v/>
      </c>
      <c r="G13" s="398"/>
      <c r="H13" s="399"/>
      <c r="I13" s="381" t="str">
        <f>IF(CHMTCmTm!I12=0,"",CHMTCmTm!I12)</f>
        <v/>
      </c>
      <c r="J13" s="382"/>
      <c r="K13" s="381" t="str">
        <f>IF(CHMTCmTm!K12=0,"",CHMTCmTm!K12)</f>
        <v/>
      </c>
      <c r="L13" s="382"/>
      <c r="M13" s="381" t="str">
        <f>IF(CHMTCmTm!M12=0,"",CHMTCmTm!M12)</f>
        <v/>
      </c>
      <c r="N13" s="382"/>
      <c r="O13" s="381" t="str">
        <f>IF(CHMTCmTm!O12=0,"",CHMTCmTm!O12)</f>
        <v/>
      </c>
      <c r="P13" s="382"/>
      <c r="Q13" s="215" t="b">
        <f>CHMTCmTm!Q12</f>
        <v>0</v>
      </c>
      <c r="R13" s="381" t="str">
        <f>IF(CHMTCmTm!R12=0,"",CHMTCmTm!R12)</f>
        <v/>
      </c>
      <c r="S13" s="382"/>
      <c r="T13" s="381" t="str">
        <f>IF(CHMTCmTm!T12=0,"",CHMTCmTm!T12)</f>
        <v/>
      </c>
      <c r="U13" s="382"/>
      <c r="V13" s="381" t="str">
        <f>IF(CHMTCmTm!V12=0,"",CHMTCmTm!V12)</f>
        <v/>
      </c>
      <c r="W13" s="396"/>
      <c r="X13" s="396"/>
      <c r="Y13" s="382"/>
      <c r="Z13" s="215">
        <f>CHMTCmTm!Z12</f>
        <v>0</v>
      </c>
      <c r="AA13" s="381" t="str">
        <f>IF(CHMTCmTm!AA12=0,"",CHMTCmTm!AA12)</f>
        <v/>
      </c>
      <c r="AB13" s="396"/>
      <c r="AC13" s="382"/>
      <c r="AD13" s="215">
        <f>CHMTCmTm!AD12</f>
        <v>0</v>
      </c>
      <c r="AE13" s="381" t="str">
        <f>IF(CHMTCmTm!AE12=0,"",CHMTCmTm!AE12)</f>
        <v/>
      </c>
      <c r="AF13" s="396"/>
      <c r="AG13" s="382"/>
      <c r="AH13" s="215">
        <f>CHMTCmTm!AH12</f>
        <v>0</v>
      </c>
      <c r="AI13" s="381" t="str">
        <f>IF(CHMTCmTm!AI12=0,"",CHMTCmTm!AI12)</f>
        <v/>
      </c>
      <c r="AJ13" s="396"/>
      <c r="AK13" s="382"/>
      <c r="AL13" s="215">
        <f>CHMTCmTm!AL12</f>
        <v>0</v>
      </c>
      <c r="AM13" s="381" t="str">
        <f>IF(CHMTCmTm!AM12=0,"",CHMTCmTm!AM12)</f>
        <v/>
      </c>
      <c r="AN13" s="396"/>
      <c r="AO13" s="382"/>
      <c r="AP13" s="381" t="str">
        <f>IF(CHMTCmTm!AP12=0,"",CHMTCmTm!AP12)</f>
        <v/>
      </c>
      <c r="AQ13" s="382"/>
      <c r="AR13" s="381" t="str">
        <f>IF(CHMTCmTm!AR12=0,"",CHMTCmTm!AR12)</f>
        <v/>
      </c>
      <c r="AS13" s="382"/>
      <c r="AT13" s="381" t="str">
        <f>IF(CHMTCmTm!AT12=0,"",CHMTCmTm!AT12)</f>
        <v/>
      </c>
      <c r="AU13" s="396"/>
      <c r="AV13" s="382"/>
      <c r="AW13" s="381" t="str">
        <f>IF(CHMTCmTm!AW12=0,"",CHMTCmTm!AW12)</f>
        <v/>
      </c>
      <c r="AX13" s="396"/>
      <c r="AY13" s="382"/>
      <c r="AZ13" s="24">
        <f>CHMTCmTm!AZ12</f>
        <v>0</v>
      </c>
      <c r="BC13" s="24">
        <f>COUNTIF(CHMTCmTm!O12, "Outreach Session")</f>
        <v>0</v>
      </c>
      <c r="BD13" s="24">
        <f>COUNTIF(CHMTCmTm!O12, "Mobile Clinic")</f>
        <v>0</v>
      </c>
      <c r="BE13" s="24">
        <f>COUNTIF(CHMTCmTm!O12, "Health Facility")</f>
        <v>0</v>
      </c>
    </row>
    <row r="14" spans="2:57" s="24" customFormat="1" ht="21.95" customHeight="1" x14ac:dyDescent="0.25">
      <c r="B14" s="397" t="str">
        <f>IF(CHMTCmTm!B13=0,"",CHMTCmTm!B13)</f>
        <v/>
      </c>
      <c r="C14" s="398"/>
      <c r="D14" s="399"/>
      <c r="E14" s="216">
        <f>CHMTCmTm!E13</f>
        <v>0</v>
      </c>
      <c r="F14" s="397" t="str">
        <f>IF(CHMTCmTm!F13=0,"",CHMTCmTm!F13)</f>
        <v/>
      </c>
      <c r="G14" s="398"/>
      <c r="H14" s="399"/>
      <c r="I14" s="381" t="str">
        <f>IF(CHMTCmTm!I13=0,"",CHMTCmTm!I13)</f>
        <v/>
      </c>
      <c r="J14" s="382"/>
      <c r="K14" s="381" t="str">
        <f>IF(CHMTCmTm!K13=0,"",CHMTCmTm!K13)</f>
        <v/>
      </c>
      <c r="L14" s="382"/>
      <c r="M14" s="381" t="str">
        <f>IF(CHMTCmTm!M13=0,"",CHMTCmTm!M13)</f>
        <v/>
      </c>
      <c r="N14" s="382"/>
      <c r="O14" s="381" t="str">
        <f>IF(CHMTCmTm!O13=0,"",CHMTCmTm!O13)</f>
        <v/>
      </c>
      <c r="P14" s="382"/>
      <c r="Q14" s="215" t="b">
        <f>CHMTCmTm!Q13</f>
        <v>0</v>
      </c>
      <c r="R14" s="381" t="str">
        <f>IF(CHMTCmTm!R13=0,"",CHMTCmTm!R13)</f>
        <v/>
      </c>
      <c r="S14" s="382"/>
      <c r="T14" s="381" t="str">
        <f>IF(CHMTCmTm!T13=0,"",CHMTCmTm!T13)</f>
        <v/>
      </c>
      <c r="U14" s="382"/>
      <c r="V14" s="381" t="str">
        <f>IF(CHMTCmTm!V13=0,"",CHMTCmTm!V13)</f>
        <v/>
      </c>
      <c r="W14" s="396"/>
      <c r="X14" s="396"/>
      <c r="Y14" s="382"/>
      <c r="Z14" s="215">
        <f>CHMTCmTm!Z13</f>
        <v>0</v>
      </c>
      <c r="AA14" s="381" t="str">
        <f>IF(CHMTCmTm!AA13=0,"",CHMTCmTm!AA13)</f>
        <v/>
      </c>
      <c r="AB14" s="396"/>
      <c r="AC14" s="382"/>
      <c r="AD14" s="215">
        <f>CHMTCmTm!AD13</f>
        <v>0</v>
      </c>
      <c r="AE14" s="381" t="str">
        <f>IF(CHMTCmTm!AE13=0,"",CHMTCmTm!AE13)</f>
        <v/>
      </c>
      <c r="AF14" s="396"/>
      <c r="AG14" s="382"/>
      <c r="AH14" s="215">
        <f>CHMTCmTm!AH13</f>
        <v>0</v>
      </c>
      <c r="AI14" s="381" t="str">
        <f>IF(CHMTCmTm!AI13=0,"",CHMTCmTm!AI13)</f>
        <v/>
      </c>
      <c r="AJ14" s="396"/>
      <c r="AK14" s="382"/>
      <c r="AL14" s="215">
        <f>CHMTCmTm!AL13</f>
        <v>0</v>
      </c>
      <c r="AM14" s="381" t="str">
        <f>IF(CHMTCmTm!AM13=0,"",CHMTCmTm!AM13)</f>
        <v/>
      </c>
      <c r="AN14" s="396"/>
      <c r="AO14" s="382"/>
      <c r="AP14" s="381" t="str">
        <f>IF(CHMTCmTm!AP13=0,"",CHMTCmTm!AP13)</f>
        <v/>
      </c>
      <c r="AQ14" s="382"/>
      <c r="AR14" s="381" t="str">
        <f>IF(CHMTCmTm!AR13=0,"",CHMTCmTm!AR13)</f>
        <v/>
      </c>
      <c r="AS14" s="382"/>
      <c r="AT14" s="381" t="str">
        <f>IF(CHMTCmTm!AT13=0,"",CHMTCmTm!AT13)</f>
        <v/>
      </c>
      <c r="AU14" s="396"/>
      <c r="AV14" s="382"/>
      <c r="AW14" s="381" t="str">
        <f>IF(CHMTCmTm!AW13=0,"",CHMTCmTm!AW13)</f>
        <v/>
      </c>
      <c r="AX14" s="396"/>
      <c r="AY14" s="382"/>
      <c r="AZ14" s="24">
        <f>CHMTCmTm!AZ13</f>
        <v>0</v>
      </c>
      <c r="BC14" s="24">
        <f>COUNTIF(CHMTCmTm!O13, "Outreach Session")</f>
        <v>0</v>
      </c>
      <c r="BD14" s="24">
        <f>COUNTIF(CHMTCmTm!O13, "Mobile Clinic")</f>
        <v>0</v>
      </c>
      <c r="BE14" s="24">
        <f>COUNTIF(CHMTCmTm!O13, "Health Facility")</f>
        <v>0</v>
      </c>
    </row>
    <row r="15" spans="2:57" s="24" customFormat="1" ht="21.95" customHeight="1" x14ac:dyDescent="0.25">
      <c r="B15" s="397" t="str">
        <f>IF(CHMTCmTm!B14=0,"",CHMTCmTm!B14)</f>
        <v/>
      </c>
      <c r="C15" s="398"/>
      <c r="D15" s="399"/>
      <c r="E15" s="216">
        <f>CHMTCmTm!E14</f>
        <v>0</v>
      </c>
      <c r="F15" s="397" t="str">
        <f>IF(CHMTCmTm!F14=0,"",CHMTCmTm!F14)</f>
        <v/>
      </c>
      <c r="G15" s="398"/>
      <c r="H15" s="399"/>
      <c r="I15" s="381" t="str">
        <f>IF(CHMTCmTm!I14=0,"",CHMTCmTm!I14)</f>
        <v/>
      </c>
      <c r="J15" s="382"/>
      <c r="K15" s="381" t="str">
        <f>IF(CHMTCmTm!K14=0,"",CHMTCmTm!K14)</f>
        <v/>
      </c>
      <c r="L15" s="382"/>
      <c r="M15" s="381" t="str">
        <f>IF(CHMTCmTm!M14=0,"",CHMTCmTm!M14)</f>
        <v/>
      </c>
      <c r="N15" s="382"/>
      <c r="O15" s="381" t="str">
        <f>IF(CHMTCmTm!O14=0,"",CHMTCmTm!O14)</f>
        <v/>
      </c>
      <c r="P15" s="382"/>
      <c r="Q15" s="215" t="b">
        <f>CHMTCmTm!Q14</f>
        <v>0</v>
      </c>
      <c r="R15" s="381" t="str">
        <f>IF(CHMTCmTm!R14=0,"",CHMTCmTm!R14)</f>
        <v/>
      </c>
      <c r="S15" s="382"/>
      <c r="T15" s="381" t="str">
        <f>IF(CHMTCmTm!T14=0,"",CHMTCmTm!T14)</f>
        <v/>
      </c>
      <c r="U15" s="382"/>
      <c r="V15" s="381" t="str">
        <f>IF(CHMTCmTm!V14=0,"",CHMTCmTm!V14)</f>
        <v/>
      </c>
      <c r="W15" s="396"/>
      <c r="X15" s="396"/>
      <c r="Y15" s="382"/>
      <c r="Z15" s="215">
        <f>CHMTCmTm!Z14</f>
        <v>0</v>
      </c>
      <c r="AA15" s="381" t="str">
        <f>IF(CHMTCmTm!AA14=0,"",CHMTCmTm!AA14)</f>
        <v/>
      </c>
      <c r="AB15" s="396"/>
      <c r="AC15" s="382"/>
      <c r="AD15" s="215">
        <f>CHMTCmTm!AD14</f>
        <v>0</v>
      </c>
      <c r="AE15" s="381" t="str">
        <f>IF(CHMTCmTm!AE14=0,"",CHMTCmTm!AE14)</f>
        <v/>
      </c>
      <c r="AF15" s="396"/>
      <c r="AG15" s="382"/>
      <c r="AH15" s="215">
        <f>CHMTCmTm!AH14</f>
        <v>0</v>
      </c>
      <c r="AI15" s="381" t="str">
        <f>IF(CHMTCmTm!AI14=0,"",CHMTCmTm!AI14)</f>
        <v/>
      </c>
      <c r="AJ15" s="396"/>
      <c r="AK15" s="382"/>
      <c r="AL15" s="215">
        <f>CHMTCmTm!AL14</f>
        <v>0</v>
      </c>
      <c r="AM15" s="381" t="str">
        <f>IF(CHMTCmTm!AM14=0,"",CHMTCmTm!AM14)</f>
        <v/>
      </c>
      <c r="AN15" s="396"/>
      <c r="AO15" s="382"/>
      <c r="AP15" s="381" t="str">
        <f>IF(CHMTCmTm!AP14=0,"",CHMTCmTm!AP14)</f>
        <v/>
      </c>
      <c r="AQ15" s="382"/>
      <c r="AR15" s="381" t="str">
        <f>IF(CHMTCmTm!AR14=0,"",CHMTCmTm!AR14)</f>
        <v/>
      </c>
      <c r="AS15" s="382"/>
      <c r="AT15" s="381" t="str">
        <f>IF(CHMTCmTm!AT14=0,"",CHMTCmTm!AT14)</f>
        <v/>
      </c>
      <c r="AU15" s="396"/>
      <c r="AV15" s="382"/>
      <c r="AW15" s="381" t="str">
        <f>IF(CHMTCmTm!AW14=0,"",CHMTCmTm!AW14)</f>
        <v/>
      </c>
      <c r="AX15" s="396"/>
      <c r="AY15" s="382"/>
      <c r="AZ15" s="24">
        <f>CHMTCmTm!AZ14</f>
        <v>0</v>
      </c>
      <c r="BC15" s="24">
        <f>COUNTIF(CHMTCmTm!O14, "Outreach Session")</f>
        <v>0</v>
      </c>
      <c r="BD15" s="24">
        <f>COUNTIF(CHMTCmTm!O14, "Mobile Clinic")</f>
        <v>0</v>
      </c>
      <c r="BE15" s="24">
        <f>COUNTIF(CHMTCmTm!O14, "Health Facility")</f>
        <v>0</v>
      </c>
    </row>
    <row r="16" spans="2:57" s="24" customFormat="1" ht="21.95" customHeight="1" x14ac:dyDescent="0.25">
      <c r="B16" s="397" t="str">
        <f>IF(CHMTCmTm!B15=0,"",CHMTCmTm!B15)</f>
        <v/>
      </c>
      <c r="C16" s="398"/>
      <c r="D16" s="399"/>
      <c r="E16" s="216">
        <f>CHMTCmTm!E15</f>
        <v>0</v>
      </c>
      <c r="F16" s="397" t="str">
        <f>IF(CHMTCmTm!F15=0,"",CHMTCmTm!F15)</f>
        <v/>
      </c>
      <c r="G16" s="398"/>
      <c r="H16" s="399"/>
      <c r="I16" s="381" t="str">
        <f>IF(CHMTCmTm!I15=0,"",CHMTCmTm!I15)</f>
        <v/>
      </c>
      <c r="J16" s="382"/>
      <c r="K16" s="381" t="str">
        <f>IF(CHMTCmTm!K15=0,"",CHMTCmTm!K15)</f>
        <v/>
      </c>
      <c r="L16" s="382"/>
      <c r="M16" s="381" t="str">
        <f>IF(CHMTCmTm!M15=0,"",CHMTCmTm!M15)</f>
        <v/>
      </c>
      <c r="N16" s="382"/>
      <c r="O16" s="381" t="str">
        <f>IF(CHMTCmTm!O15=0,"",CHMTCmTm!O15)</f>
        <v/>
      </c>
      <c r="P16" s="382"/>
      <c r="Q16" s="215" t="b">
        <f>CHMTCmTm!Q15</f>
        <v>0</v>
      </c>
      <c r="R16" s="381" t="str">
        <f>IF(CHMTCmTm!R15=0,"",CHMTCmTm!R15)</f>
        <v/>
      </c>
      <c r="S16" s="382"/>
      <c r="T16" s="381" t="str">
        <f>IF(CHMTCmTm!T15=0,"",CHMTCmTm!T15)</f>
        <v/>
      </c>
      <c r="U16" s="382"/>
      <c r="V16" s="381" t="str">
        <f>IF(CHMTCmTm!V15=0,"",CHMTCmTm!V15)</f>
        <v/>
      </c>
      <c r="W16" s="396"/>
      <c r="X16" s="396"/>
      <c r="Y16" s="382"/>
      <c r="Z16" s="215">
        <f>CHMTCmTm!Z15</f>
        <v>0</v>
      </c>
      <c r="AA16" s="381" t="str">
        <f>IF(CHMTCmTm!AA15=0,"",CHMTCmTm!AA15)</f>
        <v/>
      </c>
      <c r="AB16" s="396"/>
      <c r="AC16" s="382"/>
      <c r="AD16" s="215">
        <f>CHMTCmTm!AD15</f>
        <v>0</v>
      </c>
      <c r="AE16" s="381" t="str">
        <f>IF(CHMTCmTm!AE15=0,"",CHMTCmTm!AE15)</f>
        <v/>
      </c>
      <c r="AF16" s="396"/>
      <c r="AG16" s="382"/>
      <c r="AH16" s="215">
        <f>CHMTCmTm!AH15</f>
        <v>0</v>
      </c>
      <c r="AI16" s="381" t="str">
        <f>IF(CHMTCmTm!AI15=0,"",CHMTCmTm!AI15)</f>
        <v/>
      </c>
      <c r="AJ16" s="396"/>
      <c r="AK16" s="382"/>
      <c r="AL16" s="215">
        <f>CHMTCmTm!AL15</f>
        <v>0</v>
      </c>
      <c r="AM16" s="381" t="str">
        <f>IF(CHMTCmTm!AM15=0,"",CHMTCmTm!AM15)</f>
        <v/>
      </c>
      <c r="AN16" s="396"/>
      <c r="AO16" s="382"/>
      <c r="AP16" s="381" t="str">
        <f>IF(CHMTCmTm!AP15=0,"",CHMTCmTm!AP15)</f>
        <v/>
      </c>
      <c r="AQ16" s="382"/>
      <c r="AR16" s="381" t="str">
        <f>IF(CHMTCmTm!AR15=0,"",CHMTCmTm!AR15)</f>
        <v/>
      </c>
      <c r="AS16" s="382"/>
      <c r="AT16" s="381" t="str">
        <f>IF(CHMTCmTm!AT15=0,"",CHMTCmTm!AT15)</f>
        <v/>
      </c>
      <c r="AU16" s="396"/>
      <c r="AV16" s="382"/>
      <c r="AW16" s="381" t="str">
        <f>IF(CHMTCmTm!AW15=0,"",CHMTCmTm!AW15)</f>
        <v/>
      </c>
      <c r="AX16" s="396"/>
      <c r="AY16" s="382"/>
      <c r="AZ16" s="24">
        <f>CHMTCmTm!AZ15</f>
        <v>0</v>
      </c>
      <c r="BC16" s="24">
        <f>COUNTIF(CHMTCmTm!O15, "Outreach Session")</f>
        <v>0</v>
      </c>
      <c r="BD16" s="24">
        <f>COUNTIF(CHMTCmTm!O15, "Mobile Clinic")</f>
        <v>0</v>
      </c>
      <c r="BE16" s="24">
        <f>COUNTIF(CHMTCmTm!O15, "Health Facility")</f>
        <v>0</v>
      </c>
    </row>
    <row r="17" spans="2:57" s="24" customFormat="1" ht="21.95" customHeight="1" x14ac:dyDescent="0.25">
      <c r="B17" s="397" t="str">
        <f>IF(CHMTCmTm!B16=0,"",CHMTCmTm!B16)</f>
        <v/>
      </c>
      <c r="C17" s="398"/>
      <c r="D17" s="399"/>
      <c r="E17" s="216">
        <f>CHMTCmTm!E16</f>
        <v>0</v>
      </c>
      <c r="F17" s="397" t="str">
        <f>IF(CHMTCmTm!F16=0,"",CHMTCmTm!F16)</f>
        <v/>
      </c>
      <c r="G17" s="398"/>
      <c r="H17" s="399"/>
      <c r="I17" s="381" t="str">
        <f>IF(CHMTCmTm!I16=0,"",CHMTCmTm!I16)</f>
        <v/>
      </c>
      <c r="J17" s="382"/>
      <c r="K17" s="381" t="str">
        <f>IF(CHMTCmTm!K16=0,"",CHMTCmTm!K16)</f>
        <v/>
      </c>
      <c r="L17" s="382"/>
      <c r="M17" s="381" t="str">
        <f>IF(CHMTCmTm!M16=0,"",CHMTCmTm!M16)</f>
        <v/>
      </c>
      <c r="N17" s="382"/>
      <c r="O17" s="381" t="str">
        <f>IF(CHMTCmTm!O16=0,"",CHMTCmTm!O16)</f>
        <v/>
      </c>
      <c r="P17" s="382"/>
      <c r="Q17" s="215" t="b">
        <f>CHMTCmTm!Q16</f>
        <v>0</v>
      </c>
      <c r="R17" s="381" t="str">
        <f>IF(CHMTCmTm!R16=0,"",CHMTCmTm!R16)</f>
        <v/>
      </c>
      <c r="S17" s="382"/>
      <c r="T17" s="381" t="str">
        <f>IF(CHMTCmTm!T16=0,"",CHMTCmTm!T16)</f>
        <v/>
      </c>
      <c r="U17" s="382"/>
      <c r="V17" s="381" t="str">
        <f>IF(CHMTCmTm!V16=0,"",CHMTCmTm!V16)</f>
        <v/>
      </c>
      <c r="W17" s="396"/>
      <c r="X17" s="396"/>
      <c r="Y17" s="382"/>
      <c r="Z17" s="215">
        <f>CHMTCmTm!Z16</f>
        <v>0</v>
      </c>
      <c r="AA17" s="381" t="str">
        <f>IF(CHMTCmTm!AA16=0,"",CHMTCmTm!AA16)</f>
        <v/>
      </c>
      <c r="AB17" s="396"/>
      <c r="AC17" s="382"/>
      <c r="AD17" s="215">
        <f>CHMTCmTm!AD16</f>
        <v>0</v>
      </c>
      <c r="AE17" s="381" t="str">
        <f>IF(CHMTCmTm!AE16=0,"",CHMTCmTm!AE16)</f>
        <v/>
      </c>
      <c r="AF17" s="396"/>
      <c r="AG17" s="382"/>
      <c r="AH17" s="215">
        <f>CHMTCmTm!AH16</f>
        <v>0</v>
      </c>
      <c r="AI17" s="381" t="str">
        <f>IF(CHMTCmTm!AI16=0,"",CHMTCmTm!AI16)</f>
        <v/>
      </c>
      <c r="AJ17" s="396"/>
      <c r="AK17" s="382"/>
      <c r="AL17" s="215">
        <f>CHMTCmTm!AL16</f>
        <v>0</v>
      </c>
      <c r="AM17" s="381" t="str">
        <f>IF(CHMTCmTm!AM16=0,"",CHMTCmTm!AM16)</f>
        <v/>
      </c>
      <c r="AN17" s="396"/>
      <c r="AO17" s="382"/>
      <c r="AP17" s="381" t="str">
        <f>IF(CHMTCmTm!AP16=0,"",CHMTCmTm!AP16)</f>
        <v/>
      </c>
      <c r="AQ17" s="382"/>
      <c r="AR17" s="381" t="str">
        <f>IF(CHMTCmTm!AR16=0,"",CHMTCmTm!AR16)</f>
        <v/>
      </c>
      <c r="AS17" s="382"/>
      <c r="AT17" s="381" t="str">
        <f>IF(CHMTCmTm!AT16=0,"",CHMTCmTm!AT16)</f>
        <v/>
      </c>
      <c r="AU17" s="396"/>
      <c r="AV17" s="382"/>
      <c r="AW17" s="381" t="str">
        <f>IF(CHMTCmTm!AW16=0,"",CHMTCmTm!AW16)</f>
        <v/>
      </c>
      <c r="AX17" s="396"/>
      <c r="AY17" s="382"/>
      <c r="AZ17" s="24">
        <f>CHMTCmTm!AZ16</f>
        <v>0</v>
      </c>
      <c r="BC17" s="24">
        <f>COUNTIF(CHMTCmTm!O16, "Outreach Session")</f>
        <v>0</v>
      </c>
      <c r="BD17" s="24">
        <f>COUNTIF(CHMTCmTm!O16, "Mobile Clinic")</f>
        <v>0</v>
      </c>
      <c r="BE17" s="24">
        <f>COUNTIF(CHMTCmTm!O16, "Health Facility")</f>
        <v>0</v>
      </c>
    </row>
    <row r="18" spans="2:57" s="24" customFormat="1" ht="21.95" customHeight="1" x14ac:dyDescent="0.25">
      <c r="B18" s="397" t="str">
        <f>IF(CHMTCmTm!B17=0,"",CHMTCmTm!B17)</f>
        <v/>
      </c>
      <c r="C18" s="398"/>
      <c r="D18" s="399"/>
      <c r="E18" s="216">
        <f>CHMTCmTm!E17</f>
        <v>0</v>
      </c>
      <c r="F18" s="397" t="str">
        <f>IF(CHMTCmTm!F17=0,"",CHMTCmTm!F17)</f>
        <v/>
      </c>
      <c r="G18" s="398"/>
      <c r="H18" s="399"/>
      <c r="I18" s="381" t="str">
        <f>IF(CHMTCmTm!I17=0,"",CHMTCmTm!I17)</f>
        <v/>
      </c>
      <c r="J18" s="382"/>
      <c r="K18" s="381" t="str">
        <f>IF(CHMTCmTm!K17=0,"",CHMTCmTm!K17)</f>
        <v/>
      </c>
      <c r="L18" s="382"/>
      <c r="M18" s="381" t="str">
        <f>IF(CHMTCmTm!M17=0,"",CHMTCmTm!M17)</f>
        <v/>
      </c>
      <c r="N18" s="382"/>
      <c r="O18" s="381" t="str">
        <f>IF(CHMTCmTm!O17=0,"",CHMTCmTm!O17)</f>
        <v/>
      </c>
      <c r="P18" s="382"/>
      <c r="Q18" s="215" t="b">
        <f>CHMTCmTm!Q17</f>
        <v>0</v>
      </c>
      <c r="R18" s="381" t="str">
        <f>IF(CHMTCmTm!R17=0,"",CHMTCmTm!R17)</f>
        <v/>
      </c>
      <c r="S18" s="382"/>
      <c r="T18" s="381" t="str">
        <f>IF(CHMTCmTm!T17=0,"",CHMTCmTm!T17)</f>
        <v/>
      </c>
      <c r="U18" s="382"/>
      <c r="V18" s="381" t="str">
        <f>IF(CHMTCmTm!V17=0,"",CHMTCmTm!V17)</f>
        <v/>
      </c>
      <c r="W18" s="396"/>
      <c r="X18" s="396"/>
      <c r="Y18" s="382"/>
      <c r="Z18" s="215">
        <f>CHMTCmTm!Z17</f>
        <v>0</v>
      </c>
      <c r="AA18" s="381" t="str">
        <f>IF(CHMTCmTm!AA17=0,"",CHMTCmTm!AA17)</f>
        <v/>
      </c>
      <c r="AB18" s="396"/>
      <c r="AC18" s="382"/>
      <c r="AD18" s="215">
        <f>CHMTCmTm!AD17</f>
        <v>0</v>
      </c>
      <c r="AE18" s="381" t="str">
        <f>IF(CHMTCmTm!AE17=0,"",CHMTCmTm!AE17)</f>
        <v/>
      </c>
      <c r="AF18" s="396"/>
      <c r="AG18" s="382"/>
      <c r="AH18" s="215">
        <f>CHMTCmTm!AH17</f>
        <v>0</v>
      </c>
      <c r="AI18" s="381" t="str">
        <f>IF(CHMTCmTm!AI17=0,"",CHMTCmTm!AI17)</f>
        <v/>
      </c>
      <c r="AJ18" s="396"/>
      <c r="AK18" s="382"/>
      <c r="AL18" s="215">
        <f>CHMTCmTm!AL17</f>
        <v>0</v>
      </c>
      <c r="AM18" s="381" t="str">
        <f>IF(CHMTCmTm!AM17=0,"",CHMTCmTm!AM17)</f>
        <v/>
      </c>
      <c r="AN18" s="396"/>
      <c r="AO18" s="382"/>
      <c r="AP18" s="381" t="str">
        <f>IF(CHMTCmTm!AP17=0,"",CHMTCmTm!AP17)</f>
        <v/>
      </c>
      <c r="AQ18" s="382"/>
      <c r="AR18" s="381" t="str">
        <f>IF(CHMTCmTm!AR17=0,"",CHMTCmTm!AR17)</f>
        <v/>
      </c>
      <c r="AS18" s="382"/>
      <c r="AT18" s="381" t="str">
        <f>IF(CHMTCmTm!AT17=0,"",CHMTCmTm!AT17)</f>
        <v/>
      </c>
      <c r="AU18" s="396"/>
      <c r="AV18" s="382"/>
      <c r="AW18" s="381" t="str">
        <f>IF(CHMTCmTm!AW17=0,"",CHMTCmTm!AW17)</f>
        <v/>
      </c>
      <c r="AX18" s="396"/>
      <c r="AY18" s="382"/>
      <c r="AZ18" s="24">
        <f>CHMTCmTm!AZ17</f>
        <v>0</v>
      </c>
      <c r="BC18" s="24">
        <f>COUNTIF(CHMTCmTm!O17, "Outreach Session")</f>
        <v>0</v>
      </c>
      <c r="BD18" s="24">
        <f>COUNTIF(CHMTCmTm!O17, "Mobile Clinic")</f>
        <v>0</v>
      </c>
      <c r="BE18" s="24">
        <f>COUNTIF(CHMTCmTm!O17, "Health Facility")</f>
        <v>0</v>
      </c>
    </row>
    <row r="19" spans="2:57" s="24" customFormat="1" ht="21.95" customHeight="1" x14ac:dyDescent="0.25">
      <c r="B19" s="397" t="str">
        <f>IF(CHMTCmTm!B18=0,"",CHMTCmTm!B18)</f>
        <v/>
      </c>
      <c r="C19" s="398"/>
      <c r="D19" s="399"/>
      <c r="E19" s="216">
        <f>CHMTCmTm!E18</f>
        <v>0</v>
      </c>
      <c r="F19" s="397" t="str">
        <f>IF(CHMTCmTm!F18=0,"",CHMTCmTm!F18)</f>
        <v/>
      </c>
      <c r="G19" s="398"/>
      <c r="H19" s="399"/>
      <c r="I19" s="381" t="str">
        <f>IF(CHMTCmTm!I18=0,"",CHMTCmTm!I18)</f>
        <v/>
      </c>
      <c r="J19" s="382"/>
      <c r="K19" s="381" t="str">
        <f>IF(CHMTCmTm!K18=0,"",CHMTCmTm!K18)</f>
        <v/>
      </c>
      <c r="L19" s="382"/>
      <c r="M19" s="381" t="str">
        <f>IF(CHMTCmTm!M18=0,"",CHMTCmTm!M18)</f>
        <v/>
      </c>
      <c r="N19" s="382"/>
      <c r="O19" s="381" t="str">
        <f>IF(CHMTCmTm!O18=0,"",CHMTCmTm!O18)</f>
        <v/>
      </c>
      <c r="P19" s="382"/>
      <c r="Q19" s="215" t="b">
        <f>CHMTCmTm!Q18</f>
        <v>0</v>
      </c>
      <c r="R19" s="381" t="str">
        <f>IF(CHMTCmTm!R18=0,"",CHMTCmTm!R18)</f>
        <v/>
      </c>
      <c r="S19" s="382"/>
      <c r="T19" s="381" t="str">
        <f>IF(CHMTCmTm!T18=0,"",CHMTCmTm!T18)</f>
        <v/>
      </c>
      <c r="U19" s="382"/>
      <c r="V19" s="381" t="str">
        <f>IF(CHMTCmTm!V18=0,"",CHMTCmTm!V18)</f>
        <v/>
      </c>
      <c r="W19" s="396"/>
      <c r="X19" s="396"/>
      <c r="Y19" s="382"/>
      <c r="Z19" s="215">
        <f>CHMTCmTm!Z18</f>
        <v>0</v>
      </c>
      <c r="AA19" s="381" t="str">
        <f>IF(CHMTCmTm!AA18=0,"",CHMTCmTm!AA18)</f>
        <v/>
      </c>
      <c r="AB19" s="396"/>
      <c r="AC19" s="382"/>
      <c r="AD19" s="215">
        <f>CHMTCmTm!AD18</f>
        <v>0</v>
      </c>
      <c r="AE19" s="381" t="str">
        <f>IF(CHMTCmTm!AE18=0,"",CHMTCmTm!AE18)</f>
        <v/>
      </c>
      <c r="AF19" s="396"/>
      <c r="AG19" s="382"/>
      <c r="AH19" s="215">
        <f>CHMTCmTm!AH18</f>
        <v>0</v>
      </c>
      <c r="AI19" s="381" t="str">
        <f>IF(CHMTCmTm!AI18=0,"",CHMTCmTm!AI18)</f>
        <v/>
      </c>
      <c r="AJ19" s="396"/>
      <c r="AK19" s="382"/>
      <c r="AL19" s="215">
        <f>CHMTCmTm!AL18</f>
        <v>0</v>
      </c>
      <c r="AM19" s="381" t="str">
        <f>IF(CHMTCmTm!AM18=0,"",CHMTCmTm!AM18)</f>
        <v/>
      </c>
      <c r="AN19" s="396"/>
      <c r="AO19" s="382"/>
      <c r="AP19" s="381" t="str">
        <f>IF(CHMTCmTm!AP18=0,"",CHMTCmTm!AP18)</f>
        <v/>
      </c>
      <c r="AQ19" s="382"/>
      <c r="AR19" s="381" t="str">
        <f>IF(CHMTCmTm!AR18=0,"",CHMTCmTm!AR18)</f>
        <v/>
      </c>
      <c r="AS19" s="382"/>
      <c r="AT19" s="381" t="str">
        <f>IF(CHMTCmTm!AT18=0,"",CHMTCmTm!AT18)</f>
        <v/>
      </c>
      <c r="AU19" s="396"/>
      <c r="AV19" s="382"/>
      <c r="AW19" s="381" t="str">
        <f>IF(CHMTCmTm!AW18=0,"",CHMTCmTm!AW18)</f>
        <v/>
      </c>
      <c r="AX19" s="396"/>
      <c r="AY19" s="382"/>
      <c r="AZ19" s="24">
        <f>CHMTCmTm!AZ18</f>
        <v>0</v>
      </c>
      <c r="BC19" s="24">
        <f>COUNTIF(CHMTCmTm!O18, "Outreach Session")</f>
        <v>0</v>
      </c>
      <c r="BD19" s="24">
        <f>COUNTIF(CHMTCmTm!O18, "Mobile Clinic")</f>
        <v>0</v>
      </c>
      <c r="BE19" s="24">
        <f>COUNTIF(CHMTCmTm!O18, "Health Facility")</f>
        <v>0</v>
      </c>
    </row>
    <row r="20" spans="2:57" s="24" customFormat="1" ht="21.95" customHeight="1" x14ac:dyDescent="0.25">
      <c r="B20" s="397" t="str">
        <f>IF(CHMTCmTm!B19=0,"",CHMTCmTm!B19)</f>
        <v/>
      </c>
      <c r="C20" s="398"/>
      <c r="D20" s="399"/>
      <c r="E20" s="216">
        <f>CHMTCmTm!E19</f>
        <v>0</v>
      </c>
      <c r="F20" s="397" t="str">
        <f>IF(CHMTCmTm!F19=0,"",CHMTCmTm!F19)</f>
        <v/>
      </c>
      <c r="G20" s="398"/>
      <c r="H20" s="399"/>
      <c r="I20" s="381" t="str">
        <f>IF(CHMTCmTm!I19=0,"",CHMTCmTm!I19)</f>
        <v/>
      </c>
      <c r="J20" s="382"/>
      <c r="K20" s="381" t="str">
        <f>IF(CHMTCmTm!K19=0,"",CHMTCmTm!K19)</f>
        <v/>
      </c>
      <c r="L20" s="382"/>
      <c r="M20" s="381" t="str">
        <f>IF(CHMTCmTm!M19=0,"",CHMTCmTm!M19)</f>
        <v/>
      </c>
      <c r="N20" s="382"/>
      <c r="O20" s="381" t="str">
        <f>IF(CHMTCmTm!O19=0,"",CHMTCmTm!O19)</f>
        <v/>
      </c>
      <c r="P20" s="382"/>
      <c r="Q20" s="215" t="b">
        <f>CHMTCmTm!Q19</f>
        <v>0</v>
      </c>
      <c r="R20" s="381" t="str">
        <f>IF(CHMTCmTm!R19=0,"",CHMTCmTm!R19)</f>
        <v/>
      </c>
      <c r="S20" s="382"/>
      <c r="T20" s="381" t="str">
        <f>IF(CHMTCmTm!T19=0,"",CHMTCmTm!T19)</f>
        <v/>
      </c>
      <c r="U20" s="382"/>
      <c r="V20" s="381" t="str">
        <f>IF(CHMTCmTm!V19=0,"",CHMTCmTm!V19)</f>
        <v/>
      </c>
      <c r="W20" s="396"/>
      <c r="X20" s="396"/>
      <c r="Y20" s="382"/>
      <c r="Z20" s="215">
        <f>CHMTCmTm!Z19</f>
        <v>0</v>
      </c>
      <c r="AA20" s="381" t="str">
        <f>IF(CHMTCmTm!AA19=0,"",CHMTCmTm!AA19)</f>
        <v/>
      </c>
      <c r="AB20" s="396"/>
      <c r="AC20" s="382"/>
      <c r="AD20" s="215">
        <f>CHMTCmTm!AD19</f>
        <v>0</v>
      </c>
      <c r="AE20" s="381" t="str">
        <f>IF(CHMTCmTm!AE19=0,"",CHMTCmTm!AE19)</f>
        <v/>
      </c>
      <c r="AF20" s="396"/>
      <c r="AG20" s="382"/>
      <c r="AH20" s="215">
        <f>CHMTCmTm!AH19</f>
        <v>0</v>
      </c>
      <c r="AI20" s="381" t="str">
        <f>IF(CHMTCmTm!AI19=0,"",CHMTCmTm!AI19)</f>
        <v/>
      </c>
      <c r="AJ20" s="396"/>
      <c r="AK20" s="382"/>
      <c r="AL20" s="215">
        <f>CHMTCmTm!AL19</f>
        <v>0</v>
      </c>
      <c r="AM20" s="381" t="str">
        <f>IF(CHMTCmTm!AM19=0,"",CHMTCmTm!AM19)</f>
        <v/>
      </c>
      <c r="AN20" s="396"/>
      <c r="AO20" s="382"/>
      <c r="AP20" s="381" t="str">
        <f>IF(CHMTCmTm!AP19=0,"",CHMTCmTm!AP19)</f>
        <v/>
      </c>
      <c r="AQ20" s="382"/>
      <c r="AR20" s="381" t="str">
        <f>IF(CHMTCmTm!AR19=0,"",CHMTCmTm!AR19)</f>
        <v/>
      </c>
      <c r="AS20" s="382"/>
      <c r="AT20" s="381" t="str">
        <f>IF(CHMTCmTm!AT19=0,"",CHMTCmTm!AT19)</f>
        <v/>
      </c>
      <c r="AU20" s="396"/>
      <c r="AV20" s="382"/>
      <c r="AW20" s="381" t="str">
        <f>IF(CHMTCmTm!AW19=0,"",CHMTCmTm!AW19)</f>
        <v/>
      </c>
      <c r="AX20" s="396"/>
      <c r="AY20" s="382"/>
      <c r="AZ20" s="24">
        <f>CHMTCmTm!AZ19</f>
        <v>0</v>
      </c>
      <c r="BC20" s="24">
        <f>COUNTIF(CHMTCmTm!O19, "Outreach Session")</f>
        <v>0</v>
      </c>
      <c r="BD20" s="24">
        <f>COUNTIF(CHMTCmTm!O19, "Mobile Clinic")</f>
        <v>0</v>
      </c>
      <c r="BE20" s="24">
        <f>COUNTIF(CHMTCmTm!O19, "Health Facility")</f>
        <v>0</v>
      </c>
    </row>
    <row r="21" spans="2:57" s="24" customFormat="1" ht="21.95" customHeight="1" x14ac:dyDescent="0.25">
      <c r="B21" s="397" t="str">
        <f>IF(CHMTCmTm!B20=0,"",CHMTCmTm!B20)</f>
        <v/>
      </c>
      <c r="C21" s="398"/>
      <c r="D21" s="399"/>
      <c r="E21" s="216">
        <f>CHMTCmTm!E20</f>
        <v>0</v>
      </c>
      <c r="F21" s="397" t="str">
        <f>IF(CHMTCmTm!F20=0,"",CHMTCmTm!F20)</f>
        <v/>
      </c>
      <c r="G21" s="398"/>
      <c r="H21" s="399"/>
      <c r="I21" s="381" t="str">
        <f>IF(CHMTCmTm!I20=0,"",CHMTCmTm!I20)</f>
        <v/>
      </c>
      <c r="J21" s="382"/>
      <c r="K21" s="381" t="str">
        <f>IF(CHMTCmTm!K20=0,"",CHMTCmTm!K20)</f>
        <v/>
      </c>
      <c r="L21" s="382"/>
      <c r="M21" s="381" t="str">
        <f>IF(CHMTCmTm!M20=0,"",CHMTCmTm!M20)</f>
        <v/>
      </c>
      <c r="N21" s="382"/>
      <c r="O21" s="381" t="str">
        <f>IF(CHMTCmTm!O20=0,"",CHMTCmTm!O20)</f>
        <v/>
      </c>
      <c r="P21" s="382"/>
      <c r="Q21" s="215" t="b">
        <f>CHMTCmTm!Q20</f>
        <v>0</v>
      </c>
      <c r="R21" s="381" t="str">
        <f>IF(CHMTCmTm!R20=0,"",CHMTCmTm!R20)</f>
        <v/>
      </c>
      <c r="S21" s="382"/>
      <c r="T21" s="381" t="str">
        <f>IF(CHMTCmTm!T20=0,"",CHMTCmTm!T20)</f>
        <v/>
      </c>
      <c r="U21" s="382"/>
      <c r="V21" s="381" t="str">
        <f>IF(CHMTCmTm!V20=0,"",CHMTCmTm!V20)</f>
        <v/>
      </c>
      <c r="W21" s="396"/>
      <c r="X21" s="396"/>
      <c r="Y21" s="382"/>
      <c r="Z21" s="215">
        <f>CHMTCmTm!Z20</f>
        <v>0</v>
      </c>
      <c r="AA21" s="381" t="str">
        <f>IF(CHMTCmTm!AA20=0,"",CHMTCmTm!AA20)</f>
        <v/>
      </c>
      <c r="AB21" s="396"/>
      <c r="AC21" s="382"/>
      <c r="AD21" s="215">
        <f>CHMTCmTm!AD20</f>
        <v>0</v>
      </c>
      <c r="AE21" s="381" t="str">
        <f>IF(CHMTCmTm!AE20=0,"",CHMTCmTm!AE20)</f>
        <v/>
      </c>
      <c r="AF21" s="396"/>
      <c r="AG21" s="382"/>
      <c r="AH21" s="215">
        <f>CHMTCmTm!AH20</f>
        <v>0</v>
      </c>
      <c r="AI21" s="381" t="str">
        <f>IF(CHMTCmTm!AI20=0,"",CHMTCmTm!AI20)</f>
        <v/>
      </c>
      <c r="AJ21" s="396"/>
      <c r="AK21" s="382"/>
      <c r="AL21" s="215">
        <f>CHMTCmTm!AL20</f>
        <v>0</v>
      </c>
      <c r="AM21" s="381" t="str">
        <f>IF(CHMTCmTm!AM20=0,"",CHMTCmTm!AM20)</f>
        <v/>
      </c>
      <c r="AN21" s="396"/>
      <c r="AO21" s="382"/>
      <c r="AP21" s="381" t="str">
        <f>IF(CHMTCmTm!AP20=0,"",CHMTCmTm!AP20)</f>
        <v/>
      </c>
      <c r="AQ21" s="382"/>
      <c r="AR21" s="381" t="str">
        <f>IF(CHMTCmTm!AR20=0,"",CHMTCmTm!AR20)</f>
        <v/>
      </c>
      <c r="AS21" s="382"/>
      <c r="AT21" s="381" t="str">
        <f>IF(CHMTCmTm!AT20=0,"",CHMTCmTm!AT20)</f>
        <v/>
      </c>
      <c r="AU21" s="396"/>
      <c r="AV21" s="382"/>
      <c r="AW21" s="381" t="str">
        <f>IF(CHMTCmTm!AW20=0,"",CHMTCmTm!AW20)</f>
        <v/>
      </c>
      <c r="AX21" s="396"/>
      <c r="AY21" s="382"/>
      <c r="AZ21" s="24">
        <f>CHMTCmTm!AZ20</f>
        <v>0</v>
      </c>
      <c r="BC21" s="24">
        <f>COUNTIF(CHMTCmTm!O20, "Outreach Session")</f>
        <v>0</v>
      </c>
      <c r="BD21" s="24">
        <f>COUNTIF(CHMTCmTm!O20, "Mobile Clinic")</f>
        <v>0</v>
      </c>
      <c r="BE21" s="24">
        <f>COUNTIF(CHMTCmTm!O20, "Health Facility")</f>
        <v>0</v>
      </c>
    </row>
    <row r="22" spans="2:57" s="24" customFormat="1" ht="21.95" customHeight="1" x14ac:dyDescent="0.25">
      <c r="B22" s="397" t="str">
        <f>IF(CHMTCmTm!B21=0,"",CHMTCmTm!B21)</f>
        <v/>
      </c>
      <c r="C22" s="398"/>
      <c r="D22" s="399"/>
      <c r="E22" s="216">
        <f>CHMTCmTm!E21</f>
        <v>0</v>
      </c>
      <c r="F22" s="397" t="str">
        <f>IF(CHMTCmTm!F21=0,"",CHMTCmTm!F21)</f>
        <v/>
      </c>
      <c r="G22" s="398"/>
      <c r="H22" s="399"/>
      <c r="I22" s="381" t="str">
        <f>IF(CHMTCmTm!I21=0,"",CHMTCmTm!I21)</f>
        <v/>
      </c>
      <c r="J22" s="382"/>
      <c r="K22" s="381" t="str">
        <f>IF(CHMTCmTm!K21=0,"",CHMTCmTm!K21)</f>
        <v/>
      </c>
      <c r="L22" s="382"/>
      <c r="M22" s="381" t="str">
        <f>IF(CHMTCmTm!M21=0,"",CHMTCmTm!M21)</f>
        <v/>
      </c>
      <c r="N22" s="382"/>
      <c r="O22" s="381" t="str">
        <f>IF(CHMTCmTm!O21=0,"",CHMTCmTm!O21)</f>
        <v/>
      </c>
      <c r="P22" s="382"/>
      <c r="Q22" s="215" t="b">
        <f>CHMTCmTm!Q21</f>
        <v>0</v>
      </c>
      <c r="R22" s="381" t="str">
        <f>IF(CHMTCmTm!R21=0,"",CHMTCmTm!R21)</f>
        <v/>
      </c>
      <c r="S22" s="382"/>
      <c r="T22" s="381" t="str">
        <f>IF(CHMTCmTm!T21=0,"",CHMTCmTm!T21)</f>
        <v/>
      </c>
      <c r="U22" s="382"/>
      <c r="V22" s="381" t="str">
        <f>IF(CHMTCmTm!V21=0,"",CHMTCmTm!V21)</f>
        <v/>
      </c>
      <c r="W22" s="396"/>
      <c r="X22" s="396"/>
      <c r="Y22" s="382"/>
      <c r="Z22" s="215">
        <f>CHMTCmTm!Z21</f>
        <v>0</v>
      </c>
      <c r="AA22" s="381" t="str">
        <f>IF(CHMTCmTm!AA21=0,"",CHMTCmTm!AA21)</f>
        <v/>
      </c>
      <c r="AB22" s="396"/>
      <c r="AC22" s="382"/>
      <c r="AD22" s="215">
        <f>CHMTCmTm!AD21</f>
        <v>0</v>
      </c>
      <c r="AE22" s="381" t="str">
        <f>IF(CHMTCmTm!AE21=0,"",CHMTCmTm!AE21)</f>
        <v/>
      </c>
      <c r="AF22" s="396"/>
      <c r="AG22" s="382"/>
      <c r="AH22" s="215">
        <f>CHMTCmTm!AH21</f>
        <v>0</v>
      </c>
      <c r="AI22" s="381" t="str">
        <f>IF(CHMTCmTm!AI21=0,"",CHMTCmTm!AI21)</f>
        <v/>
      </c>
      <c r="AJ22" s="396"/>
      <c r="AK22" s="382"/>
      <c r="AL22" s="215">
        <f>CHMTCmTm!AL21</f>
        <v>0</v>
      </c>
      <c r="AM22" s="381" t="str">
        <f>IF(CHMTCmTm!AM21=0,"",CHMTCmTm!AM21)</f>
        <v/>
      </c>
      <c r="AN22" s="396"/>
      <c r="AO22" s="382"/>
      <c r="AP22" s="381" t="str">
        <f>IF(CHMTCmTm!AP21=0,"",CHMTCmTm!AP21)</f>
        <v/>
      </c>
      <c r="AQ22" s="382"/>
      <c r="AR22" s="381" t="str">
        <f>IF(CHMTCmTm!AR21=0,"",CHMTCmTm!AR21)</f>
        <v/>
      </c>
      <c r="AS22" s="382"/>
      <c r="AT22" s="381" t="str">
        <f>IF(CHMTCmTm!AT21=0,"",CHMTCmTm!AT21)</f>
        <v/>
      </c>
      <c r="AU22" s="396"/>
      <c r="AV22" s="382"/>
      <c r="AW22" s="381" t="str">
        <f>IF(CHMTCmTm!AW21=0,"",CHMTCmTm!AW21)</f>
        <v/>
      </c>
      <c r="AX22" s="396"/>
      <c r="AY22" s="382"/>
      <c r="AZ22" s="24">
        <f>CHMTCmTm!AZ21</f>
        <v>0</v>
      </c>
      <c r="BC22" s="24">
        <f>COUNTIF(CHMTCmTm!O21, "Outreach Session")</f>
        <v>0</v>
      </c>
      <c r="BD22" s="24">
        <f>COUNTIF(CHMTCmTm!O21, "Mobile Clinic")</f>
        <v>0</v>
      </c>
      <c r="BE22" s="24">
        <f>COUNTIF(CHMTCmTm!O21, "Health Facility")</f>
        <v>0</v>
      </c>
    </row>
    <row r="23" spans="2:57" s="24" customFormat="1" ht="21.95" customHeight="1" x14ac:dyDescent="0.25">
      <c r="B23" s="397" t="str">
        <f>IF(CHMTCmTm!B22=0,"",CHMTCmTm!B22)</f>
        <v/>
      </c>
      <c r="C23" s="398"/>
      <c r="D23" s="399"/>
      <c r="E23" s="216">
        <f>CHMTCmTm!E22</f>
        <v>0</v>
      </c>
      <c r="F23" s="397" t="str">
        <f>IF(CHMTCmTm!F22=0,"",CHMTCmTm!F22)</f>
        <v/>
      </c>
      <c r="G23" s="398"/>
      <c r="H23" s="399"/>
      <c r="I23" s="381" t="str">
        <f>IF(CHMTCmTm!I22=0,"",CHMTCmTm!I22)</f>
        <v/>
      </c>
      <c r="J23" s="382"/>
      <c r="K23" s="381" t="str">
        <f>IF(CHMTCmTm!K22=0,"",CHMTCmTm!K22)</f>
        <v/>
      </c>
      <c r="L23" s="382"/>
      <c r="M23" s="381" t="str">
        <f>IF(CHMTCmTm!M22=0,"",CHMTCmTm!M22)</f>
        <v/>
      </c>
      <c r="N23" s="382"/>
      <c r="O23" s="381" t="str">
        <f>IF(CHMTCmTm!O22=0,"",CHMTCmTm!O22)</f>
        <v/>
      </c>
      <c r="P23" s="382"/>
      <c r="Q23" s="215" t="b">
        <f>CHMTCmTm!Q22</f>
        <v>0</v>
      </c>
      <c r="R23" s="381" t="str">
        <f>IF(CHMTCmTm!R22=0,"",CHMTCmTm!R22)</f>
        <v/>
      </c>
      <c r="S23" s="382"/>
      <c r="T23" s="381" t="str">
        <f>IF(CHMTCmTm!T22=0,"",CHMTCmTm!T22)</f>
        <v/>
      </c>
      <c r="U23" s="382"/>
      <c r="V23" s="381" t="str">
        <f>IF(CHMTCmTm!V22=0,"",CHMTCmTm!V22)</f>
        <v/>
      </c>
      <c r="W23" s="396"/>
      <c r="X23" s="396"/>
      <c r="Y23" s="382"/>
      <c r="Z23" s="215">
        <f>CHMTCmTm!Z22</f>
        <v>0</v>
      </c>
      <c r="AA23" s="381" t="str">
        <f>IF(CHMTCmTm!AA22=0,"",CHMTCmTm!AA22)</f>
        <v/>
      </c>
      <c r="AB23" s="396"/>
      <c r="AC23" s="382"/>
      <c r="AD23" s="215">
        <f>CHMTCmTm!AD22</f>
        <v>0</v>
      </c>
      <c r="AE23" s="381" t="str">
        <f>IF(CHMTCmTm!AE22=0,"",CHMTCmTm!AE22)</f>
        <v/>
      </c>
      <c r="AF23" s="396"/>
      <c r="AG23" s="382"/>
      <c r="AH23" s="215">
        <f>CHMTCmTm!AH22</f>
        <v>0</v>
      </c>
      <c r="AI23" s="381" t="str">
        <f>IF(CHMTCmTm!AI22=0,"",CHMTCmTm!AI22)</f>
        <v/>
      </c>
      <c r="AJ23" s="396"/>
      <c r="AK23" s="382"/>
      <c r="AL23" s="215">
        <f>CHMTCmTm!AL22</f>
        <v>0</v>
      </c>
      <c r="AM23" s="381" t="str">
        <f>IF(CHMTCmTm!AM22=0,"",CHMTCmTm!AM22)</f>
        <v/>
      </c>
      <c r="AN23" s="396"/>
      <c r="AO23" s="382"/>
      <c r="AP23" s="381" t="str">
        <f>IF(CHMTCmTm!AP22=0,"",CHMTCmTm!AP22)</f>
        <v/>
      </c>
      <c r="AQ23" s="382"/>
      <c r="AR23" s="381" t="str">
        <f>IF(CHMTCmTm!AR22=0,"",CHMTCmTm!AR22)</f>
        <v/>
      </c>
      <c r="AS23" s="382"/>
      <c r="AT23" s="381" t="str">
        <f>IF(CHMTCmTm!AT22=0,"",CHMTCmTm!AT22)</f>
        <v/>
      </c>
      <c r="AU23" s="396"/>
      <c r="AV23" s="382"/>
      <c r="AW23" s="381" t="str">
        <f>IF(CHMTCmTm!AW22=0,"",CHMTCmTm!AW22)</f>
        <v/>
      </c>
      <c r="AX23" s="396"/>
      <c r="AY23" s="382"/>
      <c r="AZ23" s="24">
        <f>CHMTCmTm!AZ22</f>
        <v>0</v>
      </c>
      <c r="BC23" s="24">
        <f>COUNTIF(CHMTCmTm!O22, "Outreach Session")</f>
        <v>0</v>
      </c>
      <c r="BD23" s="24">
        <f>COUNTIF(CHMTCmTm!O22, "Mobile Clinic")</f>
        <v>0</v>
      </c>
      <c r="BE23" s="24">
        <f>COUNTIF(CHMTCmTm!O22, "Health Facility")</f>
        <v>0</v>
      </c>
    </row>
    <row r="24" spans="2:57" s="24" customFormat="1" ht="21.95" customHeight="1" x14ac:dyDescent="0.25">
      <c r="B24" s="397" t="str">
        <f>IF(CHMTCmTm!B23=0,"",CHMTCmTm!B23)</f>
        <v/>
      </c>
      <c r="C24" s="398"/>
      <c r="D24" s="399"/>
      <c r="E24" s="216">
        <f>CHMTCmTm!E23</f>
        <v>0</v>
      </c>
      <c r="F24" s="397" t="str">
        <f>IF(CHMTCmTm!F23=0,"",CHMTCmTm!F23)</f>
        <v/>
      </c>
      <c r="G24" s="398"/>
      <c r="H24" s="399"/>
      <c r="I24" s="381" t="str">
        <f>IF(CHMTCmTm!I23=0,"",CHMTCmTm!I23)</f>
        <v/>
      </c>
      <c r="J24" s="382"/>
      <c r="K24" s="381" t="str">
        <f>IF(CHMTCmTm!K23=0,"",CHMTCmTm!K23)</f>
        <v/>
      </c>
      <c r="L24" s="382"/>
      <c r="M24" s="381" t="str">
        <f>IF(CHMTCmTm!M23=0,"",CHMTCmTm!M23)</f>
        <v/>
      </c>
      <c r="N24" s="382"/>
      <c r="O24" s="381" t="str">
        <f>IF(CHMTCmTm!O23=0,"",CHMTCmTm!O23)</f>
        <v/>
      </c>
      <c r="P24" s="382"/>
      <c r="Q24" s="215" t="b">
        <f>CHMTCmTm!Q23</f>
        <v>0</v>
      </c>
      <c r="R24" s="381" t="str">
        <f>IF(CHMTCmTm!R23=0,"",CHMTCmTm!R23)</f>
        <v/>
      </c>
      <c r="S24" s="382"/>
      <c r="T24" s="381" t="str">
        <f>IF(CHMTCmTm!T23=0,"",CHMTCmTm!T23)</f>
        <v/>
      </c>
      <c r="U24" s="382"/>
      <c r="V24" s="381" t="str">
        <f>IF(CHMTCmTm!V23=0,"",CHMTCmTm!V23)</f>
        <v/>
      </c>
      <c r="W24" s="396"/>
      <c r="X24" s="396"/>
      <c r="Y24" s="382"/>
      <c r="Z24" s="215">
        <f>CHMTCmTm!Z23</f>
        <v>0</v>
      </c>
      <c r="AA24" s="381" t="str">
        <f>IF(CHMTCmTm!AA23=0,"",CHMTCmTm!AA23)</f>
        <v/>
      </c>
      <c r="AB24" s="396"/>
      <c r="AC24" s="382"/>
      <c r="AD24" s="215">
        <f>CHMTCmTm!AD23</f>
        <v>0</v>
      </c>
      <c r="AE24" s="381" t="str">
        <f>IF(CHMTCmTm!AE23=0,"",CHMTCmTm!AE23)</f>
        <v/>
      </c>
      <c r="AF24" s="396"/>
      <c r="AG24" s="382"/>
      <c r="AH24" s="215">
        <f>CHMTCmTm!AH23</f>
        <v>0</v>
      </c>
      <c r="AI24" s="381" t="str">
        <f>IF(CHMTCmTm!AI23=0,"",CHMTCmTm!AI23)</f>
        <v/>
      </c>
      <c r="AJ24" s="396"/>
      <c r="AK24" s="382"/>
      <c r="AL24" s="215">
        <f>CHMTCmTm!AL23</f>
        <v>0</v>
      </c>
      <c r="AM24" s="381" t="str">
        <f>IF(CHMTCmTm!AM23=0,"",CHMTCmTm!AM23)</f>
        <v/>
      </c>
      <c r="AN24" s="396"/>
      <c r="AO24" s="382"/>
      <c r="AP24" s="381" t="str">
        <f>IF(CHMTCmTm!AP23=0,"",CHMTCmTm!AP23)</f>
        <v/>
      </c>
      <c r="AQ24" s="382"/>
      <c r="AR24" s="381" t="str">
        <f>IF(CHMTCmTm!AR23=0,"",CHMTCmTm!AR23)</f>
        <v/>
      </c>
      <c r="AS24" s="382"/>
      <c r="AT24" s="381" t="str">
        <f>IF(CHMTCmTm!AT23=0,"",CHMTCmTm!AT23)</f>
        <v/>
      </c>
      <c r="AU24" s="396"/>
      <c r="AV24" s="382"/>
      <c r="AW24" s="381" t="str">
        <f>IF(CHMTCmTm!AW23=0,"",CHMTCmTm!AW23)</f>
        <v/>
      </c>
      <c r="AX24" s="396"/>
      <c r="AY24" s="382"/>
      <c r="AZ24" s="24">
        <f>CHMTCmTm!AZ23</f>
        <v>0</v>
      </c>
      <c r="BC24" s="24">
        <f>COUNTIF(CHMTCmTm!O23, "Outreach Session")</f>
        <v>0</v>
      </c>
      <c r="BD24" s="24">
        <f>COUNTIF(CHMTCmTm!O23, "Mobile Clinic")</f>
        <v>0</v>
      </c>
      <c r="BE24" s="24">
        <f>COUNTIF(CHMTCmTm!O23, "Health Facility")</f>
        <v>0</v>
      </c>
    </row>
    <row r="25" spans="2:57" s="24" customFormat="1" ht="21.95" customHeight="1" x14ac:dyDescent="0.25">
      <c r="B25" s="397" t="str">
        <f>IF(CHMTCmTm!B24=0,"",CHMTCmTm!B24)</f>
        <v/>
      </c>
      <c r="C25" s="398"/>
      <c r="D25" s="399"/>
      <c r="E25" s="216">
        <f>CHMTCmTm!E24</f>
        <v>0</v>
      </c>
      <c r="F25" s="397" t="str">
        <f>IF(CHMTCmTm!F24=0,"",CHMTCmTm!F24)</f>
        <v/>
      </c>
      <c r="G25" s="398"/>
      <c r="H25" s="399"/>
      <c r="I25" s="381" t="str">
        <f>IF(CHMTCmTm!I24=0,"",CHMTCmTm!I24)</f>
        <v/>
      </c>
      <c r="J25" s="382"/>
      <c r="K25" s="381" t="str">
        <f>IF(CHMTCmTm!K24=0,"",CHMTCmTm!K24)</f>
        <v/>
      </c>
      <c r="L25" s="382"/>
      <c r="M25" s="381" t="str">
        <f>IF(CHMTCmTm!M24=0,"",CHMTCmTm!M24)</f>
        <v/>
      </c>
      <c r="N25" s="382"/>
      <c r="O25" s="381" t="str">
        <f>IF(CHMTCmTm!O24=0,"",CHMTCmTm!O24)</f>
        <v/>
      </c>
      <c r="P25" s="382"/>
      <c r="Q25" s="215" t="b">
        <f>CHMTCmTm!Q24</f>
        <v>0</v>
      </c>
      <c r="R25" s="381" t="str">
        <f>IF(CHMTCmTm!R24=0,"",CHMTCmTm!R24)</f>
        <v/>
      </c>
      <c r="S25" s="382"/>
      <c r="T25" s="381" t="str">
        <f>IF(CHMTCmTm!T24=0,"",CHMTCmTm!T24)</f>
        <v/>
      </c>
      <c r="U25" s="382"/>
      <c r="V25" s="381" t="str">
        <f>IF(CHMTCmTm!V24=0,"",CHMTCmTm!V24)</f>
        <v/>
      </c>
      <c r="W25" s="396"/>
      <c r="X25" s="396"/>
      <c r="Y25" s="382"/>
      <c r="Z25" s="215">
        <f>CHMTCmTm!Z24</f>
        <v>0</v>
      </c>
      <c r="AA25" s="381" t="str">
        <f>IF(CHMTCmTm!AA24=0,"",CHMTCmTm!AA24)</f>
        <v/>
      </c>
      <c r="AB25" s="396"/>
      <c r="AC25" s="382"/>
      <c r="AD25" s="215">
        <f>CHMTCmTm!AD24</f>
        <v>0</v>
      </c>
      <c r="AE25" s="381" t="str">
        <f>IF(CHMTCmTm!AE24=0,"",CHMTCmTm!AE24)</f>
        <v/>
      </c>
      <c r="AF25" s="396"/>
      <c r="AG25" s="382"/>
      <c r="AH25" s="215">
        <f>CHMTCmTm!AH24</f>
        <v>0</v>
      </c>
      <c r="AI25" s="381" t="str">
        <f>IF(CHMTCmTm!AI24=0,"",CHMTCmTm!AI24)</f>
        <v/>
      </c>
      <c r="AJ25" s="396"/>
      <c r="AK25" s="382"/>
      <c r="AL25" s="215">
        <f>CHMTCmTm!AL24</f>
        <v>0</v>
      </c>
      <c r="AM25" s="381" t="str">
        <f>IF(CHMTCmTm!AM24=0,"",CHMTCmTm!AM24)</f>
        <v/>
      </c>
      <c r="AN25" s="396"/>
      <c r="AO25" s="382"/>
      <c r="AP25" s="381" t="str">
        <f>IF(CHMTCmTm!AP24=0,"",CHMTCmTm!AP24)</f>
        <v/>
      </c>
      <c r="AQ25" s="382"/>
      <c r="AR25" s="381" t="str">
        <f>IF(CHMTCmTm!AR24=0,"",CHMTCmTm!AR24)</f>
        <v/>
      </c>
      <c r="AS25" s="382"/>
      <c r="AT25" s="381" t="str">
        <f>IF(CHMTCmTm!AT24=0,"",CHMTCmTm!AT24)</f>
        <v/>
      </c>
      <c r="AU25" s="396"/>
      <c r="AV25" s="382"/>
      <c r="AW25" s="381" t="str">
        <f>IF(CHMTCmTm!AW24=0,"",CHMTCmTm!AW24)</f>
        <v/>
      </c>
      <c r="AX25" s="396"/>
      <c r="AY25" s="382"/>
      <c r="AZ25" s="24">
        <f>CHMTCmTm!AZ24</f>
        <v>0</v>
      </c>
      <c r="BC25" s="24">
        <f>COUNTIF(CHMTCmTm!O24, "Outreach Session")</f>
        <v>0</v>
      </c>
      <c r="BD25" s="24">
        <f>COUNTIF(CHMTCmTm!O24, "Mobile Clinic")</f>
        <v>0</v>
      </c>
      <c r="BE25" s="24">
        <f>COUNTIF(CHMTCmTm!O24, "Health Facility")</f>
        <v>0</v>
      </c>
    </row>
    <row r="26" spans="2:57" s="24" customFormat="1" ht="21.95" customHeight="1" x14ac:dyDescent="0.25">
      <c r="B26" s="397" t="str">
        <f>IF(CHMTCmTm!B25=0,"",CHMTCmTm!B25)</f>
        <v/>
      </c>
      <c r="C26" s="398"/>
      <c r="D26" s="399"/>
      <c r="E26" s="216">
        <f>CHMTCmTm!E25</f>
        <v>0</v>
      </c>
      <c r="F26" s="397" t="str">
        <f>IF(CHMTCmTm!F25=0,"",CHMTCmTm!F25)</f>
        <v/>
      </c>
      <c r="G26" s="398"/>
      <c r="H26" s="399"/>
      <c r="I26" s="381" t="str">
        <f>IF(CHMTCmTm!I25=0,"",CHMTCmTm!I25)</f>
        <v/>
      </c>
      <c r="J26" s="382"/>
      <c r="K26" s="381" t="str">
        <f>IF(CHMTCmTm!K25=0,"",CHMTCmTm!K25)</f>
        <v/>
      </c>
      <c r="L26" s="382"/>
      <c r="M26" s="381" t="str">
        <f>IF(CHMTCmTm!M25=0,"",CHMTCmTm!M25)</f>
        <v/>
      </c>
      <c r="N26" s="382"/>
      <c r="O26" s="381" t="str">
        <f>IF(CHMTCmTm!O25=0,"",CHMTCmTm!O25)</f>
        <v/>
      </c>
      <c r="P26" s="382"/>
      <c r="Q26" s="215" t="b">
        <f>CHMTCmTm!Q25</f>
        <v>0</v>
      </c>
      <c r="R26" s="381" t="str">
        <f>IF(CHMTCmTm!R25=0,"",CHMTCmTm!R25)</f>
        <v/>
      </c>
      <c r="S26" s="382"/>
      <c r="T26" s="381" t="str">
        <f>IF(CHMTCmTm!T25=0,"",CHMTCmTm!T25)</f>
        <v/>
      </c>
      <c r="U26" s="382"/>
      <c r="V26" s="381" t="str">
        <f>IF(CHMTCmTm!V25=0,"",CHMTCmTm!V25)</f>
        <v/>
      </c>
      <c r="W26" s="396"/>
      <c r="X26" s="396"/>
      <c r="Y26" s="382"/>
      <c r="Z26" s="215">
        <f>CHMTCmTm!Z25</f>
        <v>0</v>
      </c>
      <c r="AA26" s="381" t="str">
        <f>IF(CHMTCmTm!AA25=0,"",CHMTCmTm!AA25)</f>
        <v/>
      </c>
      <c r="AB26" s="396"/>
      <c r="AC26" s="382"/>
      <c r="AD26" s="215">
        <f>CHMTCmTm!AD25</f>
        <v>0</v>
      </c>
      <c r="AE26" s="381" t="str">
        <f>IF(CHMTCmTm!AE25=0,"",CHMTCmTm!AE25)</f>
        <v/>
      </c>
      <c r="AF26" s="396"/>
      <c r="AG26" s="382"/>
      <c r="AH26" s="215">
        <f>CHMTCmTm!AH25</f>
        <v>0</v>
      </c>
      <c r="AI26" s="381" t="str">
        <f>IF(CHMTCmTm!AI25=0,"",CHMTCmTm!AI25)</f>
        <v/>
      </c>
      <c r="AJ26" s="396"/>
      <c r="AK26" s="382"/>
      <c r="AL26" s="215">
        <f>CHMTCmTm!AL25</f>
        <v>0</v>
      </c>
      <c r="AM26" s="381" t="str">
        <f>IF(CHMTCmTm!AM25=0,"",CHMTCmTm!AM25)</f>
        <v/>
      </c>
      <c r="AN26" s="396"/>
      <c r="AO26" s="382"/>
      <c r="AP26" s="381" t="str">
        <f>IF(CHMTCmTm!AP25=0,"",CHMTCmTm!AP25)</f>
        <v/>
      </c>
      <c r="AQ26" s="382"/>
      <c r="AR26" s="381" t="str">
        <f>IF(CHMTCmTm!AR25=0,"",CHMTCmTm!AR25)</f>
        <v/>
      </c>
      <c r="AS26" s="382"/>
      <c r="AT26" s="381" t="str">
        <f>IF(CHMTCmTm!AT25=0,"",CHMTCmTm!AT25)</f>
        <v/>
      </c>
      <c r="AU26" s="396"/>
      <c r="AV26" s="382"/>
      <c r="AW26" s="381" t="str">
        <f>IF(CHMTCmTm!AW25=0,"",CHMTCmTm!AW25)</f>
        <v/>
      </c>
      <c r="AX26" s="396"/>
      <c r="AY26" s="382"/>
      <c r="AZ26" s="24">
        <f>CHMTCmTm!AZ25</f>
        <v>0</v>
      </c>
      <c r="BC26" s="24">
        <f>COUNTIF(CHMTCmTm!O25, "Outreach Session")</f>
        <v>0</v>
      </c>
      <c r="BD26" s="24">
        <f>COUNTIF(CHMTCmTm!O25, "Mobile Clinic")</f>
        <v>0</v>
      </c>
      <c r="BE26" s="24">
        <f>COUNTIF(CHMTCmTm!O25, "Health Facility")</f>
        <v>0</v>
      </c>
    </row>
    <row r="27" spans="2:57" s="24" customFormat="1" ht="21.95" customHeight="1" x14ac:dyDescent="0.25">
      <c r="B27" s="397" t="str">
        <f>IF(CHMTCmTm!B26=0,"",CHMTCmTm!B26)</f>
        <v/>
      </c>
      <c r="C27" s="398"/>
      <c r="D27" s="399"/>
      <c r="E27" s="216">
        <f>CHMTCmTm!E26</f>
        <v>0</v>
      </c>
      <c r="F27" s="397" t="str">
        <f>IF(CHMTCmTm!F26=0,"",CHMTCmTm!F26)</f>
        <v/>
      </c>
      <c r="G27" s="398"/>
      <c r="H27" s="399"/>
      <c r="I27" s="381" t="str">
        <f>IF(CHMTCmTm!I26=0,"",CHMTCmTm!I26)</f>
        <v/>
      </c>
      <c r="J27" s="382"/>
      <c r="K27" s="381" t="str">
        <f>IF(CHMTCmTm!K26=0,"",CHMTCmTm!K26)</f>
        <v/>
      </c>
      <c r="L27" s="382"/>
      <c r="M27" s="381" t="str">
        <f>IF(CHMTCmTm!M26=0,"",CHMTCmTm!M26)</f>
        <v/>
      </c>
      <c r="N27" s="382"/>
      <c r="O27" s="381" t="str">
        <f>IF(CHMTCmTm!O26=0,"",CHMTCmTm!O26)</f>
        <v/>
      </c>
      <c r="P27" s="382"/>
      <c r="Q27" s="215" t="b">
        <f>CHMTCmTm!Q26</f>
        <v>0</v>
      </c>
      <c r="R27" s="381" t="str">
        <f>IF(CHMTCmTm!R26=0,"",CHMTCmTm!R26)</f>
        <v/>
      </c>
      <c r="S27" s="382"/>
      <c r="T27" s="381" t="str">
        <f>IF(CHMTCmTm!T26=0,"",CHMTCmTm!T26)</f>
        <v/>
      </c>
      <c r="U27" s="382"/>
      <c r="V27" s="381" t="str">
        <f>IF(CHMTCmTm!V26=0,"",CHMTCmTm!V26)</f>
        <v/>
      </c>
      <c r="W27" s="396"/>
      <c r="X27" s="396"/>
      <c r="Y27" s="382"/>
      <c r="Z27" s="215">
        <f>CHMTCmTm!Z26</f>
        <v>0</v>
      </c>
      <c r="AA27" s="381" t="str">
        <f>IF(CHMTCmTm!AA26=0,"",CHMTCmTm!AA26)</f>
        <v/>
      </c>
      <c r="AB27" s="396"/>
      <c r="AC27" s="382"/>
      <c r="AD27" s="215">
        <f>CHMTCmTm!AD26</f>
        <v>0</v>
      </c>
      <c r="AE27" s="381" t="str">
        <f>IF(CHMTCmTm!AE26=0,"",CHMTCmTm!AE26)</f>
        <v/>
      </c>
      <c r="AF27" s="396"/>
      <c r="AG27" s="382"/>
      <c r="AH27" s="215">
        <f>CHMTCmTm!AH26</f>
        <v>0</v>
      </c>
      <c r="AI27" s="381" t="str">
        <f>IF(CHMTCmTm!AI26=0,"",CHMTCmTm!AI26)</f>
        <v/>
      </c>
      <c r="AJ27" s="396"/>
      <c r="AK27" s="382"/>
      <c r="AL27" s="215">
        <f>CHMTCmTm!AL26</f>
        <v>0</v>
      </c>
      <c r="AM27" s="381" t="str">
        <f>IF(CHMTCmTm!AM26=0,"",CHMTCmTm!AM26)</f>
        <v/>
      </c>
      <c r="AN27" s="396"/>
      <c r="AO27" s="382"/>
      <c r="AP27" s="381" t="str">
        <f>IF(CHMTCmTm!AP26=0,"",CHMTCmTm!AP26)</f>
        <v/>
      </c>
      <c r="AQ27" s="382"/>
      <c r="AR27" s="381" t="str">
        <f>IF(CHMTCmTm!AR26=0,"",CHMTCmTm!AR26)</f>
        <v/>
      </c>
      <c r="AS27" s="382"/>
      <c r="AT27" s="381" t="str">
        <f>IF(CHMTCmTm!AT26=0,"",CHMTCmTm!AT26)</f>
        <v/>
      </c>
      <c r="AU27" s="396"/>
      <c r="AV27" s="382"/>
      <c r="AW27" s="381" t="str">
        <f>IF(CHMTCmTm!AW26=0,"",CHMTCmTm!AW26)</f>
        <v/>
      </c>
      <c r="AX27" s="396"/>
      <c r="AY27" s="382"/>
      <c r="AZ27" s="24">
        <f>CHMTCmTm!AZ26</f>
        <v>0</v>
      </c>
      <c r="BC27" s="24">
        <f>COUNTIF(CHMTCmTm!O26, "Outreach Session")</f>
        <v>0</v>
      </c>
      <c r="BD27" s="24">
        <f>COUNTIF(CHMTCmTm!O26, "Mobile Clinic")</f>
        <v>0</v>
      </c>
      <c r="BE27" s="24">
        <f>COUNTIF(CHMTCmTm!O26, "Health Facility")</f>
        <v>0</v>
      </c>
    </row>
    <row r="28" spans="2:57" s="24" customFormat="1" ht="21.95" customHeight="1" x14ac:dyDescent="0.25">
      <c r="B28" s="397" t="str">
        <f>IF(CHMTCmTm!B27=0,"",CHMTCmTm!B27)</f>
        <v/>
      </c>
      <c r="C28" s="398"/>
      <c r="D28" s="399"/>
      <c r="E28" s="216">
        <f t="shared" ref="E28:E74" si="0">IF(F28="",0,1)</f>
        <v>0</v>
      </c>
      <c r="F28" s="397" t="str">
        <f>IF(CHMTCmTm!F27=0,"",CHMTCmTm!F27)</f>
        <v/>
      </c>
      <c r="G28" s="398"/>
      <c r="H28" s="399"/>
      <c r="I28" s="381" t="str">
        <f>IF(CHMTCmTm!I27=0,"",CHMTCmTm!I27)</f>
        <v/>
      </c>
      <c r="J28" s="382"/>
      <c r="K28" s="381" t="str">
        <f>IF(CHMTCmTm!K27=0,"",CHMTCmTm!K27)</f>
        <v/>
      </c>
      <c r="L28" s="382"/>
      <c r="M28" s="381" t="str">
        <f>IF(CHMTCmTm!M27=0,"",CHMTCmTm!M27)</f>
        <v/>
      </c>
      <c r="N28" s="382"/>
      <c r="O28" s="381" t="str">
        <f>IF(CHMTCmTm!O27=0,"",CHMTCmTm!O27)</f>
        <v/>
      </c>
      <c r="P28" s="382"/>
      <c r="Q28" s="215" t="b">
        <f t="shared" ref="Q28:Q73" si="1">IF(O28="Health Facility",3,IF(O28="Outreach Session",1,IF(O28="Mobile Clinic",2)))</f>
        <v>0</v>
      </c>
      <c r="R28" s="381" t="str">
        <f>IF(CHMTCmTm!R27=0,"",CHMTCmTm!R27)</f>
        <v/>
      </c>
      <c r="S28" s="382"/>
      <c r="T28" s="381" t="str">
        <f>IF(CHMTCmTm!T27=0,"",CHMTCmTm!T27)</f>
        <v/>
      </c>
      <c r="U28" s="382"/>
      <c r="V28" s="381" t="str">
        <f>IF(CHMTCmTm!V27=0,"",CHMTCmTm!V27)</f>
        <v/>
      </c>
      <c r="W28" s="396"/>
      <c r="X28" s="396"/>
      <c r="Y28" s="382"/>
      <c r="Z28" s="215">
        <f>CHMTCmTm!Z27</f>
        <v>0</v>
      </c>
      <c r="AA28" s="381" t="str">
        <f>IF(CHMTCmTm!AA27=0,"",CHMTCmTm!AA27)</f>
        <v/>
      </c>
      <c r="AB28" s="396"/>
      <c r="AC28" s="382"/>
      <c r="AD28" s="215">
        <f>CHMTCmTm!AD27</f>
        <v>0</v>
      </c>
      <c r="AE28" s="381" t="str">
        <f>IF(CHMTCmTm!AE27=0,"",CHMTCmTm!AE27)</f>
        <v/>
      </c>
      <c r="AF28" s="396"/>
      <c r="AG28" s="382"/>
      <c r="AH28" s="215">
        <f>CHMTCmTm!AH27</f>
        <v>0</v>
      </c>
      <c r="AI28" s="381" t="str">
        <f>IF(CHMTCmTm!AI27=0,"",CHMTCmTm!AI27)</f>
        <v/>
      </c>
      <c r="AJ28" s="396"/>
      <c r="AK28" s="382"/>
      <c r="AL28" s="215">
        <f>CHMTCmTm!AL27</f>
        <v>0</v>
      </c>
      <c r="AM28" s="381" t="str">
        <f>IF(CHMTCmTm!AM27=0,"",CHMTCmTm!AM27)</f>
        <v/>
      </c>
      <c r="AN28" s="396"/>
      <c r="AO28" s="382"/>
      <c r="AP28" s="381" t="str">
        <f>IF(CHMTCmTm!AP27=0,"",CHMTCmTm!AP27)</f>
        <v/>
      </c>
      <c r="AQ28" s="382"/>
      <c r="AR28" s="381" t="str">
        <f>IF(CHMTCmTm!AR27=0,"",CHMTCmTm!AR27)</f>
        <v/>
      </c>
      <c r="AS28" s="382"/>
      <c r="AT28" s="381" t="str">
        <f>IF(CHMTCmTm!AT27=0,"",CHMTCmTm!AT27)</f>
        <v/>
      </c>
      <c r="AU28" s="396"/>
      <c r="AV28" s="382"/>
      <c r="AW28" s="381" t="str">
        <f>IF(CHMTCmTm!AW27=0,"",CHMTCmTm!AW27)</f>
        <v/>
      </c>
      <c r="AX28" s="396"/>
      <c r="AY28" s="382"/>
      <c r="AZ28" s="24">
        <f>CHMTCmTm!AZ27</f>
        <v>0</v>
      </c>
      <c r="BC28" s="24">
        <f>COUNTIF(CHMTCmTm!O27, "Outreach Session")</f>
        <v>0</v>
      </c>
      <c r="BD28" s="24">
        <f>COUNTIF(CHMTCmTm!O27, "Mobile Clinic")</f>
        <v>0</v>
      </c>
      <c r="BE28" s="24">
        <f>COUNTIF(CHMTCmTm!O27, "Health Facility")</f>
        <v>0</v>
      </c>
    </row>
    <row r="29" spans="2:57" s="24" customFormat="1" ht="21.95" customHeight="1" x14ac:dyDescent="0.25">
      <c r="B29" s="397" t="str">
        <f>IF(CHMTCmTm!B28=0,"",CHMTCmTm!B28)</f>
        <v/>
      </c>
      <c r="C29" s="398"/>
      <c r="D29" s="399"/>
      <c r="E29" s="216">
        <f t="shared" si="0"/>
        <v>0</v>
      </c>
      <c r="F29" s="397" t="str">
        <f>IF(CHMTCmTm!F28=0,"",CHMTCmTm!F28)</f>
        <v/>
      </c>
      <c r="G29" s="398"/>
      <c r="H29" s="399"/>
      <c r="I29" s="381" t="str">
        <f>IF(CHMTCmTm!I28=0,"",CHMTCmTm!I28)</f>
        <v/>
      </c>
      <c r="J29" s="382"/>
      <c r="K29" s="381" t="str">
        <f>IF(CHMTCmTm!K28=0,"",CHMTCmTm!K28)</f>
        <v/>
      </c>
      <c r="L29" s="382"/>
      <c r="M29" s="381" t="str">
        <f>IF(CHMTCmTm!M28=0,"",CHMTCmTm!M28)</f>
        <v/>
      </c>
      <c r="N29" s="382"/>
      <c r="O29" s="381" t="str">
        <f>IF(CHMTCmTm!O28=0,"",CHMTCmTm!O28)</f>
        <v/>
      </c>
      <c r="P29" s="382"/>
      <c r="Q29" s="215" t="b">
        <f t="shared" si="1"/>
        <v>0</v>
      </c>
      <c r="R29" s="381" t="str">
        <f>IF(CHMTCmTm!R28=0,"",CHMTCmTm!R28)</f>
        <v/>
      </c>
      <c r="S29" s="382"/>
      <c r="T29" s="381" t="str">
        <f>IF(CHMTCmTm!T28=0,"",CHMTCmTm!T28)</f>
        <v/>
      </c>
      <c r="U29" s="382"/>
      <c r="V29" s="381" t="str">
        <f>IF(CHMTCmTm!V28=0,"",CHMTCmTm!V28)</f>
        <v/>
      </c>
      <c r="W29" s="396"/>
      <c r="X29" s="396"/>
      <c r="Y29" s="382"/>
      <c r="Z29" s="215">
        <f>CHMTCmTm!Z28</f>
        <v>0</v>
      </c>
      <c r="AA29" s="381" t="str">
        <f>IF(CHMTCmTm!AA28=0,"",CHMTCmTm!AA28)</f>
        <v/>
      </c>
      <c r="AB29" s="396"/>
      <c r="AC29" s="382"/>
      <c r="AD29" s="215">
        <f>CHMTCmTm!AD28</f>
        <v>0</v>
      </c>
      <c r="AE29" s="381" t="str">
        <f>IF(CHMTCmTm!AE28=0,"",CHMTCmTm!AE28)</f>
        <v/>
      </c>
      <c r="AF29" s="396"/>
      <c r="AG29" s="382"/>
      <c r="AH29" s="215">
        <f>CHMTCmTm!AH28</f>
        <v>0</v>
      </c>
      <c r="AI29" s="381" t="str">
        <f>IF(CHMTCmTm!AI28=0,"",CHMTCmTm!AI28)</f>
        <v/>
      </c>
      <c r="AJ29" s="396"/>
      <c r="AK29" s="382"/>
      <c r="AL29" s="215">
        <f>CHMTCmTm!AL28</f>
        <v>0</v>
      </c>
      <c r="AM29" s="381" t="str">
        <f>IF(CHMTCmTm!AM28=0,"",CHMTCmTm!AM28)</f>
        <v/>
      </c>
      <c r="AN29" s="396"/>
      <c r="AO29" s="382"/>
      <c r="AP29" s="381" t="str">
        <f>IF(CHMTCmTm!AP28=0,"",CHMTCmTm!AP28)</f>
        <v/>
      </c>
      <c r="AQ29" s="382"/>
      <c r="AR29" s="381" t="str">
        <f>IF(CHMTCmTm!AR28=0,"",CHMTCmTm!AR28)</f>
        <v/>
      </c>
      <c r="AS29" s="382"/>
      <c r="AT29" s="381" t="str">
        <f>IF(CHMTCmTm!AT28=0,"",CHMTCmTm!AT28)</f>
        <v/>
      </c>
      <c r="AU29" s="396"/>
      <c r="AV29" s="382"/>
      <c r="AW29" s="381" t="str">
        <f>IF(CHMTCmTm!AW28=0,"",CHMTCmTm!AW28)</f>
        <v/>
      </c>
      <c r="AX29" s="396"/>
      <c r="AY29" s="382"/>
      <c r="AZ29" s="24">
        <f>CHMTCmTm!AZ28</f>
        <v>0</v>
      </c>
      <c r="BC29" s="24">
        <f>COUNTIF(CHMTCmTm!O28, "Outreach Session")</f>
        <v>0</v>
      </c>
      <c r="BD29" s="24">
        <f>COUNTIF(CHMTCmTm!O28, "Mobile Clinic")</f>
        <v>0</v>
      </c>
      <c r="BE29" s="24">
        <f>COUNTIF(CHMTCmTm!O28, "Health Facility")</f>
        <v>0</v>
      </c>
    </row>
    <row r="30" spans="2:57" s="24" customFormat="1" ht="21.95" customHeight="1" x14ac:dyDescent="0.25">
      <c r="B30" s="397" t="str">
        <f>IF(CHMTCmTm!B29=0,"",CHMTCmTm!B29)</f>
        <v/>
      </c>
      <c r="C30" s="398"/>
      <c r="D30" s="399"/>
      <c r="E30" s="216">
        <f t="shared" si="0"/>
        <v>0</v>
      </c>
      <c r="F30" s="397" t="str">
        <f>IF(CHMTCmTm!F29=0,"",CHMTCmTm!F29)</f>
        <v/>
      </c>
      <c r="G30" s="398"/>
      <c r="H30" s="399"/>
      <c r="I30" s="381" t="str">
        <f>IF(CHMTCmTm!I29=0,"",CHMTCmTm!I29)</f>
        <v/>
      </c>
      <c r="J30" s="382"/>
      <c r="K30" s="381" t="str">
        <f>IF(CHMTCmTm!K29=0,"",CHMTCmTm!K29)</f>
        <v/>
      </c>
      <c r="L30" s="382"/>
      <c r="M30" s="381" t="str">
        <f>IF(CHMTCmTm!M29=0,"",CHMTCmTm!M29)</f>
        <v/>
      </c>
      <c r="N30" s="382"/>
      <c r="O30" s="381" t="str">
        <f>IF(CHMTCmTm!O29=0,"",CHMTCmTm!O29)</f>
        <v/>
      </c>
      <c r="P30" s="382"/>
      <c r="Q30" s="215" t="b">
        <f t="shared" si="1"/>
        <v>0</v>
      </c>
      <c r="R30" s="381" t="str">
        <f>IF(CHMTCmTm!R29=0,"",CHMTCmTm!R29)</f>
        <v/>
      </c>
      <c r="S30" s="382"/>
      <c r="T30" s="381" t="str">
        <f>IF(CHMTCmTm!T29=0,"",CHMTCmTm!T29)</f>
        <v/>
      </c>
      <c r="U30" s="382"/>
      <c r="V30" s="381" t="str">
        <f>IF(CHMTCmTm!V29=0,"",CHMTCmTm!V29)</f>
        <v/>
      </c>
      <c r="W30" s="396"/>
      <c r="X30" s="396"/>
      <c r="Y30" s="382"/>
      <c r="Z30" s="215">
        <f>CHMTCmTm!Z29</f>
        <v>0</v>
      </c>
      <c r="AA30" s="381" t="str">
        <f>IF(CHMTCmTm!AA29=0,"",CHMTCmTm!AA29)</f>
        <v/>
      </c>
      <c r="AB30" s="396"/>
      <c r="AC30" s="382"/>
      <c r="AD30" s="215">
        <f>CHMTCmTm!AD29</f>
        <v>0</v>
      </c>
      <c r="AE30" s="381" t="str">
        <f>IF(CHMTCmTm!AE29=0,"",CHMTCmTm!AE29)</f>
        <v/>
      </c>
      <c r="AF30" s="396"/>
      <c r="AG30" s="382"/>
      <c r="AH30" s="215">
        <f>CHMTCmTm!AH29</f>
        <v>0</v>
      </c>
      <c r="AI30" s="381" t="str">
        <f>IF(CHMTCmTm!AI29=0,"",CHMTCmTm!AI29)</f>
        <v/>
      </c>
      <c r="AJ30" s="396"/>
      <c r="AK30" s="382"/>
      <c r="AL30" s="215">
        <f>CHMTCmTm!AL29</f>
        <v>0</v>
      </c>
      <c r="AM30" s="381" t="str">
        <f>IF(CHMTCmTm!AM29=0,"",CHMTCmTm!AM29)</f>
        <v/>
      </c>
      <c r="AN30" s="396"/>
      <c r="AO30" s="382"/>
      <c r="AP30" s="381" t="str">
        <f>IF(CHMTCmTm!AP29=0,"",CHMTCmTm!AP29)</f>
        <v/>
      </c>
      <c r="AQ30" s="382"/>
      <c r="AR30" s="381" t="str">
        <f>IF(CHMTCmTm!AR29=0,"",CHMTCmTm!AR29)</f>
        <v/>
      </c>
      <c r="AS30" s="382"/>
      <c r="AT30" s="381" t="str">
        <f>IF(CHMTCmTm!AT29=0,"",CHMTCmTm!AT29)</f>
        <v/>
      </c>
      <c r="AU30" s="396"/>
      <c r="AV30" s="382"/>
      <c r="AW30" s="381" t="str">
        <f>IF(CHMTCmTm!AW29=0,"",CHMTCmTm!AW29)</f>
        <v/>
      </c>
      <c r="AX30" s="396"/>
      <c r="AY30" s="382"/>
      <c r="AZ30" s="24">
        <f>CHMTCmTm!AZ29</f>
        <v>0</v>
      </c>
      <c r="BC30" s="24">
        <f>COUNTIF(CHMTCmTm!O29, "Outreach Session")</f>
        <v>0</v>
      </c>
      <c r="BD30" s="24">
        <f>COUNTIF(CHMTCmTm!O29, "Mobile Clinic")</f>
        <v>0</v>
      </c>
      <c r="BE30" s="24">
        <f>COUNTIF(CHMTCmTm!O29, "Health Facility")</f>
        <v>0</v>
      </c>
    </row>
    <row r="31" spans="2:57" s="24" customFormat="1" ht="21.95" customHeight="1" x14ac:dyDescent="0.25">
      <c r="B31" s="397" t="str">
        <f>IF(CHMTCmTm!B30=0,"",CHMTCmTm!B30)</f>
        <v/>
      </c>
      <c r="C31" s="398"/>
      <c r="D31" s="399"/>
      <c r="E31" s="216">
        <f t="shared" si="0"/>
        <v>0</v>
      </c>
      <c r="F31" s="397" t="str">
        <f>IF(CHMTCmTm!F30=0,"",CHMTCmTm!F30)</f>
        <v/>
      </c>
      <c r="G31" s="398"/>
      <c r="H31" s="399"/>
      <c r="I31" s="381" t="str">
        <f>IF(CHMTCmTm!I30=0,"",CHMTCmTm!I30)</f>
        <v/>
      </c>
      <c r="J31" s="382"/>
      <c r="K31" s="381" t="str">
        <f>IF(CHMTCmTm!K30=0,"",CHMTCmTm!K30)</f>
        <v/>
      </c>
      <c r="L31" s="382"/>
      <c r="M31" s="381" t="str">
        <f>IF(CHMTCmTm!M30=0,"",CHMTCmTm!M30)</f>
        <v/>
      </c>
      <c r="N31" s="382"/>
      <c r="O31" s="381" t="str">
        <f>IF(CHMTCmTm!O30=0,"",CHMTCmTm!O30)</f>
        <v/>
      </c>
      <c r="P31" s="382"/>
      <c r="Q31" s="215" t="b">
        <f t="shared" si="1"/>
        <v>0</v>
      </c>
      <c r="R31" s="381" t="str">
        <f>IF(CHMTCmTm!R30=0,"",CHMTCmTm!R30)</f>
        <v/>
      </c>
      <c r="S31" s="382"/>
      <c r="T31" s="381" t="str">
        <f>IF(CHMTCmTm!T30=0,"",CHMTCmTm!T30)</f>
        <v/>
      </c>
      <c r="U31" s="382"/>
      <c r="V31" s="381" t="str">
        <f>IF(CHMTCmTm!V30=0,"",CHMTCmTm!V30)</f>
        <v/>
      </c>
      <c r="W31" s="396"/>
      <c r="X31" s="396"/>
      <c r="Y31" s="382"/>
      <c r="Z31" s="215">
        <f>CHMTCmTm!Z30</f>
        <v>0</v>
      </c>
      <c r="AA31" s="381" t="str">
        <f>IF(CHMTCmTm!AA30=0,"",CHMTCmTm!AA30)</f>
        <v/>
      </c>
      <c r="AB31" s="396"/>
      <c r="AC31" s="382"/>
      <c r="AD31" s="215">
        <f>CHMTCmTm!AD30</f>
        <v>0</v>
      </c>
      <c r="AE31" s="381" t="str">
        <f>IF(CHMTCmTm!AE30=0,"",CHMTCmTm!AE30)</f>
        <v/>
      </c>
      <c r="AF31" s="396"/>
      <c r="AG31" s="382"/>
      <c r="AH31" s="215">
        <f>CHMTCmTm!AH30</f>
        <v>0</v>
      </c>
      <c r="AI31" s="381" t="str">
        <f>IF(CHMTCmTm!AI30=0,"",CHMTCmTm!AI30)</f>
        <v/>
      </c>
      <c r="AJ31" s="396"/>
      <c r="AK31" s="382"/>
      <c r="AL31" s="215">
        <f>CHMTCmTm!AL30</f>
        <v>0</v>
      </c>
      <c r="AM31" s="381" t="str">
        <f>IF(CHMTCmTm!AM30=0,"",CHMTCmTm!AM30)</f>
        <v/>
      </c>
      <c r="AN31" s="396"/>
      <c r="AO31" s="382"/>
      <c r="AP31" s="381" t="str">
        <f>IF(CHMTCmTm!AP30=0,"",CHMTCmTm!AP30)</f>
        <v/>
      </c>
      <c r="AQ31" s="382"/>
      <c r="AR31" s="381" t="str">
        <f>IF(CHMTCmTm!AR30=0,"",CHMTCmTm!AR30)</f>
        <v/>
      </c>
      <c r="AS31" s="382"/>
      <c r="AT31" s="381" t="str">
        <f>IF(CHMTCmTm!AT30=0,"",CHMTCmTm!AT30)</f>
        <v/>
      </c>
      <c r="AU31" s="396"/>
      <c r="AV31" s="382"/>
      <c r="AW31" s="381" t="str">
        <f>IF(CHMTCmTm!AW30=0,"",CHMTCmTm!AW30)</f>
        <v/>
      </c>
      <c r="AX31" s="396"/>
      <c r="AY31" s="382"/>
      <c r="AZ31" s="24">
        <f>CHMTCmTm!AZ30</f>
        <v>0</v>
      </c>
      <c r="BC31" s="24">
        <f>COUNTIF(CHMTCmTm!O30, "Outreach Session")</f>
        <v>0</v>
      </c>
      <c r="BD31" s="24">
        <f>COUNTIF(CHMTCmTm!O30, "Mobile Clinic")</f>
        <v>0</v>
      </c>
      <c r="BE31" s="24">
        <f>COUNTIF(CHMTCmTm!O30, "Health Facility")</f>
        <v>0</v>
      </c>
    </row>
    <row r="32" spans="2:57" s="24" customFormat="1" ht="21.95" customHeight="1" x14ac:dyDescent="0.25">
      <c r="B32" s="397" t="str">
        <f>IF(CHMTCmTm!B31=0,"",CHMTCmTm!B31)</f>
        <v/>
      </c>
      <c r="C32" s="398"/>
      <c r="D32" s="399"/>
      <c r="E32" s="216">
        <f t="shared" si="0"/>
        <v>0</v>
      </c>
      <c r="F32" s="397" t="str">
        <f>IF(CHMTCmTm!F31=0,"",CHMTCmTm!F31)</f>
        <v/>
      </c>
      <c r="G32" s="398"/>
      <c r="H32" s="399"/>
      <c r="I32" s="381" t="str">
        <f>IF(CHMTCmTm!I31=0,"",CHMTCmTm!I31)</f>
        <v/>
      </c>
      <c r="J32" s="382"/>
      <c r="K32" s="381" t="str">
        <f>IF(CHMTCmTm!K31=0,"",CHMTCmTm!K31)</f>
        <v/>
      </c>
      <c r="L32" s="382"/>
      <c r="M32" s="381" t="str">
        <f>IF(CHMTCmTm!M31=0,"",CHMTCmTm!M31)</f>
        <v/>
      </c>
      <c r="N32" s="382"/>
      <c r="O32" s="381" t="str">
        <f>IF(CHMTCmTm!O31=0,"",CHMTCmTm!O31)</f>
        <v/>
      </c>
      <c r="P32" s="382"/>
      <c r="Q32" s="215" t="b">
        <f t="shared" si="1"/>
        <v>0</v>
      </c>
      <c r="R32" s="381" t="str">
        <f>IF(CHMTCmTm!R31=0,"",CHMTCmTm!R31)</f>
        <v/>
      </c>
      <c r="S32" s="382"/>
      <c r="T32" s="381" t="str">
        <f>IF(CHMTCmTm!T31=0,"",CHMTCmTm!T31)</f>
        <v/>
      </c>
      <c r="U32" s="382"/>
      <c r="V32" s="381" t="str">
        <f>IF(CHMTCmTm!V31=0,"",CHMTCmTm!V31)</f>
        <v/>
      </c>
      <c r="W32" s="396"/>
      <c r="X32" s="396"/>
      <c r="Y32" s="382"/>
      <c r="Z32" s="215">
        <f>CHMTCmTm!Z31</f>
        <v>0</v>
      </c>
      <c r="AA32" s="381" t="str">
        <f>IF(CHMTCmTm!AA31=0,"",CHMTCmTm!AA31)</f>
        <v/>
      </c>
      <c r="AB32" s="396"/>
      <c r="AC32" s="382"/>
      <c r="AD32" s="215">
        <f>CHMTCmTm!AD31</f>
        <v>0</v>
      </c>
      <c r="AE32" s="381" t="str">
        <f>IF(CHMTCmTm!AE31=0,"",CHMTCmTm!AE31)</f>
        <v/>
      </c>
      <c r="AF32" s="396"/>
      <c r="AG32" s="382"/>
      <c r="AH32" s="215">
        <f>CHMTCmTm!AH31</f>
        <v>0</v>
      </c>
      <c r="AI32" s="381" t="str">
        <f>IF(CHMTCmTm!AI31=0,"",CHMTCmTm!AI31)</f>
        <v/>
      </c>
      <c r="AJ32" s="396"/>
      <c r="AK32" s="382"/>
      <c r="AL32" s="215">
        <f>CHMTCmTm!AL31</f>
        <v>0</v>
      </c>
      <c r="AM32" s="381" t="str">
        <f>IF(CHMTCmTm!AM31=0,"",CHMTCmTm!AM31)</f>
        <v/>
      </c>
      <c r="AN32" s="396"/>
      <c r="AO32" s="382"/>
      <c r="AP32" s="381" t="str">
        <f>IF(CHMTCmTm!AP31=0,"",CHMTCmTm!AP31)</f>
        <v/>
      </c>
      <c r="AQ32" s="382"/>
      <c r="AR32" s="381" t="str">
        <f>IF(CHMTCmTm!AR31=0,"",CHMTCmTm!AR31)</f>
        <v/>
      </c>
      <c r="AS32" s="382"/>
      <c r="AT32" s="381" t="str">
        <f>IF(CHMTCmTm!AT31=0,"",CHMTCmTm!AT31)</f>
        <v/>
      </c>
      <c r="AU32" s="396"/>
      <c r="AV32" s="382"/>
      <c r="AW32" s="381" t="str">
        <f>IF(CHMTCmTm!AW31=0,"",CHMTCmTm!AW31)</f>
        <v/>
      </c>
      <c r="AX32" s="396"/>
      <c r="AY32" s="382"/>
      <c r="AZ32" s="24">
        <f>CHMTCmTm!AZ31</f>
        <v>0</v>
      </c>
      <c r="BC32" s="24">
        <f>COUNTIF(CHMTCmTm!O31, "Outreach Session")</f>
        <v>0</v>
      </c>
      <c r="BD32" s="24">
        <f>COUNTIF(CHMTCmTm!O31, "Mobile Clinic")</f>
        <v>0</v>
      </c>
      <c r="BE32" s="24">
        <f>COUNTIF(CHMTCmTm!O31, "Health Facility")</f>
        <v>0</v>
      </c>
    </row>
    <row r="33" spans="2:57" s="24" customFormat="1" ht="21.95" customHeight="1" x14ac:dyDescent="0.25">
      <c r="B33" s="397" t="str">
        <f>IF(CHMTCmTm!B32=0,"",CHMTCmTm!B32)</f>
        <v/>
      </c>
      <c r="C33" s="398"/>
      <c r="D33" s="399"/>
      <c r="E33" s="216">
        <f t="shared" si="0"/>
        <v>0</v>
      </c>
      <c r="F33" s="397" t="str">
        <f>IF(CHMTCmTm!F32=0,"",CHMTCmTm!F32)</f>
        <v/>
      </c>
      <c r="G33" s="398"/>
      <c r="H33" s="399"/>
      <c r="I33" s="381" t="str">
        <f>IF(CHMTCmTm!I32=0,"",CHMTCmTm!I32)</f>
        <v/>
      </c>
      <c r="J33" s="382"/>
      <c r="K33" s="381" t="str">
        <f>IF(CHMTCmTm!K32=0,"",CHMTCmTm!K32)</f>
        <v/>
      </c>
      <c r="L33" s="382"/>
      <c r="M33" s="381" t="str">
        <f>IF(CHMTCmTm!M32=0,"",CHMTCmTm!M32)</f>
        <v/>
      </c>
      <c r="N33" s="382"/>
      <c r="O33" s="381" t="str">
        <f>IF(CHMTCmTm!O32=0,"",CHMTCmTm!O32)</f>
        <v/>
      </c>
      <c r="P33" s="382"/>
      <c r="Q33" s="215" t="b">
        <f t="shared" si="1"/>
        <v>0</v>
      </c>
      <c r="R33" s="381" t="str">
        <f>IF(CHMTCmTm!R32=0,"",CHMTCmTm!R32)</f>
        <v/>
      </c>
      <c r="S33" s="382"/>
      <c r="T33" s="381" t="str">
        <f>IF(CHMTCmTm!T32=0,"",CHMTCmTm!T32)</f>
        <v/>
      </c>
      <c r="U33" s="382"/>
      <c r="V33" s="381" t="str">
        <f>IF(CHMTCmTm!V32=0,"",CHMTCmTm!V32)</f>
        <v/>
      </c>
      <c r="W33" s="396"/>
      <c r="X33" s="396"/>
      <c r="Y33" s="382"/>
      <c r="Z33" s="215">
        <f>CHMTCmTm!Z32</f>
        <v>0</v>
      </c>
      <c r="AA33" s="381" t="str">
        <f>IF(CHMTCmTm!AA32=0,"",CHMTCmTm!AA32)</f>
        <v/>
      </c>
      <c r="AB33" s="396"/>
      <c r="AC33" s="382"/>
      <c r="AD33" s="215">
        <f>CHMTCmTm!AD32</f>
        <v>0</v>
      </c>
      <c r="AE33" s="381" t="str">
        <f>IF(CHMTCmTm!AE32=0,"",CHMTCmTm!AE32)</f>
        <v/>
      </c>
      <c r="AF33" s="396"/>
      <c r="AG33" s="382"/>
      <c r="AH33" s="215">
        <f>CHMTCmTm!AH32</f>
        <v>0</v>
      </c>
      <c r="AI33" s="381" t="str">
        <f>IF(CHMTCmTm!AI32=0,"",CHMTCmTm!AI32)</f>
        <v/>
      </c>
      <c r="AJ33" s="396"/>
      <c r="AK33" s="382"/>
      <c r="AL33" s="215">
        <f>CHMTCmTm!AL32</f>
        <v>0</v>
      </c>
      <c r="AM33" s="381" t="str">
        <f>IF(CHMTCmTm!AM32=0,"",CHMTCmTm!AM32)</f>
        <v/>
      </c>
      <c r="AN33" s="396"/>
      <c r="AO33" s="382"/>
      <c r="AP33" s="381" t="str">
        <f>IF(CHMTCmTm!AP32=0,"",CHMTCmTm!AP32)</f>
        <v/>
      </c>
      <c r="AQ33" s="382"/>
      <c r="AR33" s="381" t="str">
        <f>IF(CHMTCmTm!AR32=0,"",CHMTCmTm!AR32)</f>
        <v/>
      </c>
      <c r="AS33" s="382"/>
      <c r="AT33" s="381" t="str">
        <f>IF(CHMTCmTm!AT32=0,"",CHMTCmTm!AT32)</f>
        <v/>
      </c>
      <c r="AU33" s="396"/>
      <c r="AV33" s="382"/>
      <c r="AW33" s="381" t="str">
        <f>IF(CHMTCmTm!AW32=0,"",CHMTCmTm!AW32)</f>
        <v/>
      </c>
      <c r="AX33" s="396"/>
      <c r="AY33" s="382"/>
      <c r="AZ33" s="24">
        <f>CHMTCmTm!AZ32</f>
        <v>0</v>
      </c>
      <c r="BC33" s="24">
        <f>COUNTIF(CHMTCmTm!O32, "Outreach Session")</f>
        <v>0</v>
      </c>
      <c r="BD33" s="24">
        <f>COUNTIF(CHMTCmTm!O32, "Mobile Clinic")</f>
        <v>0</v>
      </c>
      <c r="BE33" s="24">
        <f>COUNTIF(CHMTCmTm!O32, "Health Facility")</f>
        <v>0</v>
      </c>
    </row>
    <row r="34" spans="2:57" s="24" customFormat="1" ht="21.95" customHeight="1" x14ac:dyDescent="0.25">
      <c r="B34" s="397" t="str">
        <f>IF(CHMTCmTm!B33=0,"",CHMTCmTm!B33)</f>
        <v/>
      </c>
      <c r="C34" s="398"/>
      <c r="D34" s="399"/>
      <c r="E34" s="216">
        <f t="shared" si="0"/>
        <v>0</v>
      </c>
      <c r="F34" s="397" t="str">
        <f>IF(CHMTCmTm!F33=0,"",CHMTCmTm!F33)</f>
        <v/>
      </c>
      <c r="G34" s="398"/>
      <c r="H34" s="399"/>
      <c r="I34" s="381" t="str">
        <f>IF(CHMTCmTm!I33=0,"",CHMTCmTm!I33)</f>
        <v/>
      </c>
      <c r="J34" s="382"/>
      <c r="K34" s="381" t="str">
        <f>IF(CHMTCmTm!K33=0,"",CHMTCmTm!K33)</f>
        <v/>
      </c>
      <c r="L34" s="382"/>
      <c r="M34" s="381" t="str">
        <f>IF(CHMTCmTm!M33=0,"",CHMTCmTm!M33)</f>
        <v/>
      </c>
      <c r="N34" s="382"/>
      <c r="O34" s="381" t="str">
        <f>IF(CHMTCmTm!O33=0,"",CHMTCmTm!O33)</f>
        <v/>
      </c>
      <c r="P34" s="382"/>
      <c r="Q34" s="215" t="b">
        <f t="shared" si="1"/>
        <v>0</v>
      </c>
      <c r="R34" s="381" t="str">
        <f>IF(CHMTCmTm!R33=0,"",CHMTCmTm!R33)</f>
        <v/>
      </c>
      <c r="S34" s="382"/>
      <c r="T34" s="381" t="str">
        <f>IF(CHMTCmTm!T33=0,"",CHMTCmTm!T33)</f>
        <v/>
      </c>
      <c r="U34" s="382"/>
      <c r="V34" s="381" t="str">
        <f>IF(CHMTCmTm!V33=0,"",CHMTCmTm!V33)</f>
        <v/>
      </c>
      <c r="W34" s="396"/>
      <c r="X34" s="396"/>
      <c r="Y34" s="382"/>
      <c r="Z34" s="215">
        <f>CHMTCmTm!Z33</f>
        <v>0</v>
      </c>
      <c r="AA34" s="381" t="str">
        <f>IF(CHMTCmTm!AA33=0,"",CHMTCmTm!AA33)</f>
        <v/>
      </c>
      <c r="AB34" s="396"/>
      <c r="AC34" s="382"/>
      <c r="AD34" s="215">
        <f>CHMTCmTm!AD33</f>
        <v>0</v>
      </c>
      <c r="AE34" s="381" t="str">
        <f>IF(CHMTCmTm!AE33=0,"",CHMTCmTm!AE33)</f>
        <v/>
      </c>
      <c r="AF34" s="396"/>
      <c r="AG34" s="382"/>
      <c r="AH34" s="215">
        <f>CHMTCmTm!AH33</f>
        <v>0</v>
      </c>
      <c r="AI34" s="381" t="str">
        <f>IF(CHMTCmTm!AI33=0,"",CHMTCmTm!AI33)</f>
        <v/>
      </c>
      <c r="AJ34" s="396"/>
      <c r="AK34" s="382"/>
      <c r="AL34" s="215">
        <f>CHMTCmTm!AL33</f>
        <v>0</v>
      </c>
      <c r="AM34" s="381" t="str">
        <f>IF(CHMTCmTm!AM33=0,"",CHMTCmTm!AM33)</f>
        <v/>
      </c>
      <c r="AN34" s="396"/>
      <c r="AO34" s="382"/>
      <c r="AP34" s="381" t="str">
        <f>IF(CHMTCmTm!AP33=0,"",CHMTCmTm!AP33)</f>
        <v/>
      </c>
      <c r="AQ34" s="382"/>
      <c r="AR34" s="381" t="str">
        <f>IF(CHMTCmTm!AR33=0,"",CHMTCmTm!AR33)</f>
        <v/>
      </c>
      <c r="AS34" s="382"/>
      <c r="AT34" s="381" t="str">
        <f>IF(CHMTCmTm!AT33=0,"",CHMTCmTm!AT33)</f>
        <v/>
      </c>
      <c r="AU34" s="396"/>
      <c r="AV34" s="382"/>
      <c r="AW34" s="381" t="str">
        <f>IF(CHMTCmTm!AW33=0,"",CHMTCmTm!AW33)</f>
        <v/>
      </c>
      <c r="AX34" s="396"/>
      <c r="AY34" s="382"/>
      <c r="AZ34" s="24">
        <f>CHMTCmTm!AZ33</f>
        <v>0</v>
      </c>
      <c r="BC34" s="24">
        <f>COUNTIF(CHMTCmTm!O33, "Outreach Session")</f>
        <v>0</v>
      </c>
      <c r="BD34" s="24">
        <f>COUNTIF(CHMTCmTm!O33, "Mobile Clinic")</f>
        <v>0</v>
      </c>
      <c r="BE34" s="24">
        <f>COUNTIF(CHMTCmTm!O33, "Health Facility")</f>
        <v>0</v>
      </c>
    </row>
    <row r="35" spans="2:57" s="24" customFormat="1" ht="21.95" customHeight="1" x14ac:dyDescent="0.25">
      <c r="B35" s="397" t="str">
        <f>IF(CHMTCmTm!B34=0,"",CHMTCmTm!B34)</f>
        <v/>
      </c>
      <c r="C35" s="398"/>
      <c r="D35" s="399"/>
      <c r="E35" s="216">
        <f t="shared" si="0"/>
        <v>0</v>
      </c>
      <c r="F35" s="397" t="str">
        <f>IF(CHMTCmTm!F34=0,"",CHMTCmTm!F34)</f>
        <v/>
      </c>
      <c r="G35" s="398"/>
      <c r="H35" s="399"/>
      <c r="I35" s="381" t="str">
        <f>IF(CHMTCmTm!I34=0,"",CHMTCmTm!I34)</f>
        <v/>
      </c>
      <c r="J35" s="382"/>
      <c r="K35" s="381" t="str">
        <f>IF(CHMTCmTm!K34=0,"",CHMTCmTm!K34)</f>
        <v/>
      </c>
      <c r="L35" s="382"/>
      <c r="M35" s="381" t="str">
        <f>IF(CHMTCmTm!M34=0,"",CHMTCmTm!M34)</f>
        <v/>
      </c>
      <c r="N35" s="382"/>
      <c r="O35" s="381" t="str">
        <f>IF(CHMTCmTm!O34=0,"",CHMTCmTm!O34)</f>
        <v/>
      </c>
      <c r="P35" s="382"/>
      <c r="Q35" s="215" t="b">
        <f t="shared" si="1"/>
        <v>0</v>
      </c>
      <c r="R35" s="381" t="str">
        <f>IF(CHMTCmTm!R34=0,"",CHMTCmTm!R34)</f>
        <v/>
      </c>
      <c r="S35" s="382"/>
      <c r="T35" s="381" t="str">
        <f>IF(CHMTCmTm!T34=0,"",CHMTCmTm!T34)</f>
        <v/>
      </c>
      <c r="U35" s="382"/>
      <c r="V35" s="381" t="str">
        <f>IF(CHMTCmTm!V34=0,"",CHMTCmTm!V34)</f>
        <v/>
      </c>
      <c r="W35" s="396"/>
      <c r="X35" s="396"/>
      <c r="Y35" s="382"/>
      <c r="Z35" s="215">
        <f>CHMTCmTm!Z34</f>
        <v>0</v>
      </c>
      <c r="AA35" s="381" t="str">
        <f>IF(CHMTCmTm!AA34=0,"",CHMTCmTm!AA34)</f>
        <v/>
      </c>
      <c r="AB35" s="396"/>
      <c r="AC35" s="382"/>
      <c r="AD35" s="215">
        <f>CHMTCmTm!AD34</f>
        <v>0</v>
      </c>
      <c r="AE35" s="381" t="str">
        <f>IF(CHMTCmTm!AE34=0,"",CHMTCmTm!AE34)</f>
        <v/>
      </c>
      <c r="AF35" s="396"/>
      <c r="AG35" s="382"/>
      <c r="AH35" s="215">
        <f>CHMTCmTm!AH34</f>
        <v>0</v>
      </c>
      <c r="AI35" s="381" t="str">
        <f>IF(CHMTCmTm!AI34=0,"",CHMTCmTm!AI34)</f>
        <v/>
      </c>
      <c r="AJ35" s="396"/>
      <c r="AK35" s="382"/>
      <c r="AL35" s="215">
        <f>CHMTCmTm!AL34</f>
        <v>0</v>
      </c>
      <c r="AM35" s="381" t="str">
        <f>IF(CHMTCmTm!AM34=0,"",CHMTCmTm!AM34)</f>
        <v/>
      </c>
      <c r="AN35" s="396"/>
      <c r="AO35" s="382"/>
      <c r="AP35" s="381" t="str">
        <f>IF(CHMTCmTm!AP34=0,"",CHMTCmTm!AP34)</f>
        <v/>
      </c>
      <c r="AQ35" s="382"/>
      <c r="AR35" s="381" t="str">
        <f>IF(CHMTCmTm!AR34=0,"",CHMTCmTm!AR34)</f>
        <v/>
      </c>
      <c r="AS35" s="382"/>
      <c r="AT35" s="381" t="str">
        <f>IF(CHMTCmTm!AT34=0,"",CHMTCmTm!AT34)</f>
        <v/>
      </c>
      <c r="AU35" s="396"/>
      <c r="AV35" s="382"/>
      <c r="AW35" s="381" t="str">
        <f>IF(CHMTCmTm!AW34=0,"",CHMTCmTm!AW34)</f>
        <v/>
      </c>
      <c r="AX35" s="396"/>
      <c r="AY35" s="382"/>
      <c r="AZ35" s="24">
        <f>CHMTCmTm!AZ34</f>
        <v>0</v>
      </c>
      <c r="BC35" s="24">
        <f>COUNTIF(CHMTCmTm!O34, "Outreach Session")</f>
        <v>0</v>
      </c>
      <c r="BD35" s="24">
        <f>COUNTIF(CHMTCmTm!O34, "Mobile Clinic")</f>
        <v>0</v>
      </c>
      <c r="BE35" s="24">
        <f>COUNTIF(CHMTCmTm!O34, "Health Facility")</f>
        <v>0</v>
      </c>
    </row>
    <row r="36" spans="2:57" s="24" customFormat="1" ht="21.95" customHeight="1" x14ac:dyDescent="0.25">
      <c r="B36" s="397" t="str">
        <f>IF(CHMTCmTm!B35=0,"",CHMTCmTm!B35)</f>
        <v/>
      </c>
      <c r="C36" s="398"/>
      <c r="D36" s="399"/>
      <c r="E36" s="216">
        <f t="shared" si="0"/>
        <v>0</v>
      </c>
      <c r="F36" s="397" t="str">
        <f>IF(CHMTCmTm!F35=0,"",CHMTCmTm!F35)</f>
        <v/>
      </c>
      <c r="G36" s="398"/>
      <c r="H36" s="399"/>
      <c r="I36" s="381" t="str">
        <f>IF(CHMTCmTm!I35=0,"",CHMTCmTm!I35)</f>
        <v/>
      </c>
      <c r="J36" s="382"/>
      <c r="K36" s="381" t="str">
        <f>IF(CHMTCmTm!K35=0,"",CHMTCmTm!K35)</f>
        <v/>
      </c>
      <c r="L36" s="382"/>
      <c r="M36" s="381" t="str">
        <f>IF(CHMTCmTm!M35=0,"",CHMTCmTm!M35)</f>
        <v/>
      </c>
      <c r="N36" s="382"/>
      <c r="O36" s="381" t="str">
        <f>IF(CHMTCmTm!O35=0,"",CHMTCmTm!O35)</f>
        <v/>
      </c>
      <c r="P36" s="382"/>
      <c r="Q36" s="215" t="b">
        <f t="shared" si="1"/>
        <v>0</v>
      </c>
      <c r="R36" s="381" t="str">
        <f>IF(CHMTCmTm!R35=0,"",CHMTCmTm!R35)</f>
        <v/>
      </c>
      <c r="S36" s="382"/>
      <c r="T36" s="381" t="str">
        <f>IF(CHMTCmTm!T35=0,"",CHMTCmTm!T35)</f>
        <v/>
      </c>
      <c r="U36" s="382"/>
      <c r="V36" s="381" t="str">
        <f>IF(CHMTCmTm!V35=0,"",CHMTCmTm!V35)</f>
        <v/>
      </c>
      <c r="W36" s="396"/>
      <c r="X36" s="396"/>
      <c r="Y36" s="382"/>
      <c r="Z36" s="215">
        <f>CHMTCmTm!Z35</f>
        <v>0</v>
      </c>
      <c r="AA36" s="381" t="str">
        <f>IF(CHMTCmTm!AA35=0,"",CHMTCmTm!AA35)</f>
        <v/>
      </c>
      <c r="AB36" s="396"/>
      <c r="AC36" s="382"/>
      <c r="AD36" s="215">
        <f>CHMTCmTm!AD35</f>
        <v>0</v>
      </c>
      <c r="AE36" s="381" t="str">
        <f>IF(CHMTCmTm!AE35=0,"",CHMTCmTm!AE35)</f>
        <v/>
      </c>
      <c r="AF36" s="396"/>
      <c r="AG36" s="382"/>
      <c r="AH36" s="215">
        <f>CHMTCmTm!AH35</f>
        <v>0</v>
      </c>
      <c r="AI36" s="381" t="str">
        <f>IF(CHMTCmTm!AI35=0,"",CHMTCmTm!AI35)</f>
        <v/>
      </c>
      <c r="AJ36" s="396"/>
      <c r="AK36" s="382"/>
      <c r="AL36" s="215">
        <f>CHMTCmTm!AL35</f>
        <v>0</v>
      </c>
      <c r="AM36" s="381" t="str">
        <f>IF(CHMTCmTm!AM35=0,"",CHMTCmTm!AM35)</f>
        <v/>
      </c>
      <c r="AN36" s="396"/>
      <c r="AO36" s="382"/>
      <c r="AP36" s="381" t="str">
        <f>IF(CHMTCmTm!AP35=0,"",CHMTCmTm!AP35)</f>
        <v/>
      </c>
      <c r="AQ36" s="382"/>
      <c r="AR36" s="381" t="str">
        <f>IF(CHMTCmTm!AR35=0,"",CHMTCmTm!AR35)</f>
        <v/>
      </c>
      <c r="AS36" s="382"/>
      <c r="AT36" s="381" t="str">
        <f>IF(CHMTCmTm!AT35=0,"",CHMTCmTm!AT35)</f>
        <v/>
      </c>
      <c r="AU36" s="396"/>
      <c r="AV36" s="382"/>
      <c r="AW36" s="381" t="str">
        <f>IF(CHMTCmTm!AW35=0,"",CHMTCmTm!AW35)</f>
        <v/>
      </c>
      <c r="AX36" s="396"/>
      <c r="AY36" s="382"/>
      <c r="AZ36" s="24">
        <f>CHMTCmTm!AZ35</f>
        <v>0</v>
      </c>
      <c r="BC36" s="24">
        <f>COUNTIF(CHMTCmTm!O35, "Outreach Session")</f>
        <v>0</v>
      </c>
      <c r="BD36" s="24">
        <f>COUNTIF(CHMTCmTm!O35, "Mobile Clinic")</f>
        <v>0</v>
      </c>
      <c r="BE36" s="24">
        <f>COUNTIF(CHMTCmTm!O35, "Health Facility")</f>
        <v>0</v>
      </c>
    </row>
    <row r="37" spans="2:57" s="24" customFormat="1" ht="21.95" customHeight="1" x14ac:dyDescent="0.25">
      <c r="B37" s="397" t="str">
        <f>IF(CHMTCmTm!B36=0,"",CHMTCmTm!B36)</f>
        <v/>
      </c>
      <c r="C37" s="398"/>
      <c r="D37" s="399"/>
      <c r="E37" s="216">
        <f t="shared" si="0"/>
        <v>0</v>
      </c>
      <c r="F37" s="397" t="str">
        <f>IF(CHMTCmTm!F36=0,"",CHMTCmTm!F36)</f>
        <v/>
      </c>
      <c r="G37" s="398"/>
      <c r="H37" s="399"/>
      <c r="I37" s="381" t="str">
        <f>IF(CHMTCmTm!I36=0,"",CHMTCmTm!I36)</f>
        <v/>
      </c>
      <c r="J37" s="382"/>
      <c r="K37" s="381" t="str">
        <f>IF(CHMTCmTm!K36=0,"",CHMTCmTm!K36)</f>
        <v/>
      </c>
      <c r="L37" s="382"/>
      <c r="M37" s="381" t="str">
        <f>IF(CHMTCmTm!M36=0,"",CHMTCmTm!M36)</f>
        <v/>
      </c>
      <c r="N37" s="382"/>
      <c r="O37" s="381" t="str">
        <f>IF(CHMTCmTm!O36=0,"",CHMTCmTm!O36)</f>
        <v/>
      </c>
      <c r="P37" s="382"/>
      <c r="Q37" s="215" t="b">
        <f t="shared" si="1"/>
        <v>0</v>
      </c>
      <c r="R37" s="381" t="str">
        <f>IF(CHMTCmTm!R36=0,"",CHMTCmTm!R36)</f>
        <v/>
      </c>
      <c r="S37" s="382"/>
      <c r="T37" s="381" t="str">
        <f>IF(CHMTCmTm!T36=0,"",CHMTCmTm!T36)</f>
        <v/>
      </c>
      <c r="U37" s="382"/>
      <c r="V37" s="381" t="str">
        <f>IF(CHMTCmTm!V36=0,"",CHMTCmTm!V36)</f>
        <v/>
      </c>
      <c r="W37" s="396"/>
      <c r="X37" s="396"/>
      <c r="Y37" s="382"/>
      <c r="Z37" s="215">
        <f>CHMTCmTm!Z36</f>
        <v>0</v>
      </c>
      <c r="AA37" s="381" t="str">
        <f>IF(CHMTCmTm!AA36=0,"",CHMTCmTm!AA36)</f>
        <v/>
      </c>
      <c r="AB37" s="396"/>
      <c r="AC37" s="382"/>
      <c r="AD37" s="215">
        <f>CHMTCmTm!AD36</f>
        <v>0</v>
      </c>
      <c r="AE37" s="381" t="str">
        <f>IF(CHMTCmTm!AE36=0,"",CHMTCmTm!AE36)</f>
        <v/>
      </c>
      <c r="AF37" s="396"/>
      <c r="AG37" s="382"/>
      <c r="AH37" s="215">
        <f>CHMTCmTm!AH36</f>
        <v>0</v>
      </c>
      <c r="AI37" s="381" t="str">
        <f>IF(CHMTCmTm!AI36=0,"",CHMTCmTm!AI36)</f>
        <v/>
      </c>
      <c r="AJ37" s="396"/>
      <c r="AK37" s="382"/>
      <c r="AL37" s="215">
        <f>CHMTCmTm!AL36</f>
        <v>0</v>
      </c>
      <c r="AM37" s="381" t="str">
        <f>IF(CHMTCmTm!AM36=0,"",CHMTCmTm!AM36)</f>
        <v/>
      </c>
      <c r="AN37" s="396"/>
      <c r="AO37" s="382"/>
      <c r="AP37" s="381" t="str">
        <f>IF(CHMTCmTm!AP36=0,"",CHMTCmTm!AP36)</f>
        <v/>
      </c>
      <c r="AQ37" s="382"/>
      <c r="AR37" s="381" t="str">
        <f>IF(CHMTCmTm!AR36=0,"",CHMTCmTm!AR36)</f>
        <v/>
      </c>
      <c r="AS37" s="382"/>
      <c r="AT37" s="381" t="str">
        <f>IF(CHMTCmTm!AT36=0,"",CHMTCmTm!AT36)</f>
        <v/>
      </c>
      <c r="AU37" s="396"/>
      <c r="AV37" s="382"/>
      <c r="AW37" s="381" t="str">
        <f>IF(CHMTCmTm!AW36=0,"",CHMTCmTm!AW36)</f>
        <v/>
      </c>
      <c r="AX37" s="396"/>
      <c r="AY37" s="382"/>
      <c r="AZ37" s="24">
        <f>CHMTCmTm!AZ36</f>
        <v>0</v>
      </c>
      <c r="BC37" s="24">
        <f>COUNTIF(CHMTCmTm!O36, "Outreach Session")</f>
        <v>0</v>
      </c>
      <c r="BD37" s="24">
        <f>COUNTIF(CHMTCmTm!O36, "Mobile Clinic")</f>
        <v>0</v>
      </c>
      <c r="BE37" s="24">
        <f>COUNTIF(CHMTCmTm!O36, "Health Facility")</f>
        <v>0</v>
      </c>
    </row>
    <row r="38" spans="2:57" s="24" customFormat="1" ht="21.95" customHeight="1" x14ac:dyDescent="0.25">
      <c r="B38" s="397" t="str">
        <f>IF(CHMTCmTm!B37=0,"",CHMTCmTm!B37)</f>
        <v/>
      </c>
      <c r="C38" s="398"/>
      <c r="D38" s="399"/>
      <c r="E38" s="216">
        <f t="shared" si="0"/>
        <v>0</v>
      </c>
      <c r="F38" s="397" t="str">
        <f>IF(CHMTCmTm!F37=0,"",CHMTCmTm!F37)</f>
        <v/>
      </c>
      <c r="G38" s="398"/>
      <c r="H38" s="399"/>
      <c r="I38" s="381" t="str">
        <f>IF(CHMTCmTm!I37=0,"",CHMTCmTm!I37)</f>
        <v/>
      </c>
      <c r="J38" s="382"/>
      <c r="K38" s="381" t="str">
        <f>IF(CHMTCmTm!K37=0,"",CHMTCmTm!K37)</f>
        <v/>
      </c>
      <c r="L38" s="382"/>
      <c r="M38" s="381" t="str">
        <f>IF(CHMTCmTm!M37=0,"",CHMTCmTm!M37)</f>
        <v/>
      </c>
      <c r="N38" s="382"/>
      <c r="O38" s="381" t="str">
        <f>IF(CHMTCmTm!O37=0,"",CHMTCmTm!O37)</f>
        <v/>
      </c>
      <c r="P38" s="382"/>
      <c r="Q38" s="215" t="b">
        <f t="shared" si="1"/>
        <v>0</v>
      </c>
      <c r="R38" s="381" t="str">
        <f>IF(CHMTCmTm!R37=0,"",CHMTCmTm!R37)</f>
        <v/>
      </c>
      <c r="S38" s="382"/>
      <c r="T38" s="381" t="str">
        <f>IF(CHMTCmTm!T37=0,"",CHMTCmTm!T37)</f>
        <v/>
      </c>
      <c r="U38" s="382"/>
      <c r="V38" s="381" t="str">
        <f>IF(CHMTCmTm!V37=0,"",CHMTCmTm!V37)</f>
        <v/>
      </c>
      <c r="W38" s="396"/>
      <c r="X38" s="396"/>
      <c r="Y38" s="382"/>
      <c r="Z38" s="215">
        <f>CHMTCmTm!Z37</f>
        <v>0</v>
      </c>
      <c r="AA38" s="381" t="str">
        <f>IF(CHMTCmTm!AA37=0,"",CHMTCmTm!AA37)</f>
        <v/>
      </c>
      <c r="AB38" s="396"/>
      <c r="AC38" s="382"/>
      <c r="AD38" s="215">
        <f>CHMTCmTm!AD37</f>
        <v>0</v>
      </c>
      <c r="AE38" s="381" t="str">
        <f>IF(CHMTCmTm!AE37=0,"",CHMTCmTm!AE37)</f>
        <v/>
      </c>
      <c r="AF38" s="396"/>
      <c r="AG38" s="382"/>
      <c r="AH38" s="215">
        <f>CHMTCmTm!AH37</f>
        <v>0</v>
      </c>
      <c r="AI38" s="381" t="str">
        <f>IF(CHMTCmTm!AI37=0,"",CHMTCmTm!AI37)</f>
        <v/>
      </c>
      <c r="AJ38" s="396"/>
      <c r="AK38" s="382"/>
      <c r="AL38" s="215">
        <f>CHMTCmTm!AL37</f>
        <v>0</v>
      </c>
      <c r="AM38" s="381" t="str">
        <f>IF(CHMTCmTm!AM37=0,"",CHMTCmTm!AM37)</f>
        <v/>
      </c>
      <c r="AN38" s="396"/>
      <c r="AO38" s="382"/>
      <c r="AP38" s="381" t="str">
        <f>IF(CHMTCmTm!AP37=0,"",CHMTCmTm!AP37)</f>
        <v/>
      </c>
      <c r="AQ38" s="382"/>
      <c r="AR38" s="381" t="str">
        <f>IF(CHMTCmTm!AR37=0,"",CHMTCmTm!AR37)</f>
        <v/>
      </c>
      <c r="AS38" s="382"/>
      <c r="AT38" s="381" t="str">
        <f>IF(CHMTCmTm!AT37=0,"",CHMTCmTm!AT37)</f>
        <v/>
      </c>
      <c r="AU38" s="396"/>
      <c r="AV38" s="382"/>
      <c r="AW38" s="381" t="str">
        <f>IF(CHMTCmTm!AW37=0,"",CHMTCmTm!AW37)</f>
        <v/>
      </c>
      <c r="AX38" s="396"/>
      <c r="AY38" s="382"/>
      <c r="AZ38" s="24">
        <f>CHMTCmTm!AZ37</f>
        <v>0</v>
      </c>
      <c r="BC38" s="24">
        <f>COUNTIF(CHMTCmTm!O37, "Outreach Session")</f>
        <v>0</v>
      </c>
      <c r="BD38" s="24">
        <f>COUNTIF(CHMTCmTm!O37, "Mobile Clinic")</f>
        <v>0</v>
      </c>
      <c r="BE38" s="24">
        <f>COUNTIF(CHMTCmTm!O37, "Health Facility")</f>
        <v>0</v>
      </c>
    </row>
    <row r="39" spans="2:57" s="24" customFormat="1" ht="21.95" customHeight="1" x14ac:dyDescent="0.25">
      <c r="B39" s="397" t="str">
        <f>IF(CHMTCmTm!B38=0,"",CHMTCmTm!B38)</f>
        <v/>
      </c>
      <c r="C39" s="398"/>
      <c r="D39" s="399"/>
      <c r="E39" s="216">
        <f t="shared" si="0"/>
        <v>0</v>
      </c>
      <c r="F39" s="397" t="str">
        <f>IF(CHMTCmTm!F38=0,"",CHMTCmTm!F38)</f>
        <v/>
      </c>
      <c r="G39" s="398"/>
      <c r="H39" s="399"/>
      <c r="I39" s="381" t="str">
        <f>IF(CHMTCmTm!I38=0,"",CHMTCmTm!I38)</f>
        <v/>
      </c>
      <c r="J39" s="382"/>
      <c r="K39" s="381" t="str">
        <f>IF(CHMTCmTm!K38=0,"",CHMTCmTm!K38)</f>
        <v/>
      </c>
      <c r="L39" s="382"/>
      <c r="M39" s="381" t="str">
        <f>IF(CHMTCmTm!M38=0,"",CHMTCmTm!M38)</f>
        <v/>
      </c>
      <c r="N39" s="382"/>
      <c r="O39" s="381" t="str">
        <f>IF(CHMTCmTm!O38=0,"",CHMTCmTm!O38)</f>
        <v/>
      </c>
      <c r="P39" s="382"/>
      <c r="Q39" s="215" t="b">
        <f t="shared" si="1"/>
        <v>0</v>
      </c>
      <c r="R39" s="381" t="str">
        <f>IF(CHMTCmTm!R38=0,"",CHMTCmTm!R38)</f>
        <v/>
      </c>
      <c r="S39" s="382"/>
      <c r="T39" s="381" t="str">
        <f>IF(CHMTCmTm!T38=0,"",CHMTCmTm!T38)</f>
        <v/>
      </c>
      <c r="U39" s="382"/>
      <c r="V39" s="381" t="str">
        <f>IF(CHMTCmTm!V38=0,"",CHMTCmTm!V38)</f>
        <v/>
      </c>
      <c r="W39" s="396"/>
      <c r="X39" s="396"/>
      <c r="Y39" s="382"/>
      <c r="Z39" s="215">
        <f>CHMTCmTm!Z38</f>
        <v>0</v>
      </c>
      <c r="AA39" s="381" t="str">
        <f>IF(CHMTCmTm!AA38=0,"",CHMTCmTm!AA38)</f>
        <v/>
      </c>
      <c r="AB39" s="396"/>
      <c r="AC39" s="382"/>
      <c r="AD39" s="215">
        <f>CHMTCmTm!AD38</f>
        <v>0</v>
      </c>
      <c r="AE39" s="381" t="str">
        <f>IF(CHMTCmTm!AE38=0,"",CHMTCmTm!AE38)</f>
        <v/>
      </c>
      <c r="AF39" s="396"/>
      <c r="AG39" s="382"/>
      <c r="AH39" s="215">
        <f>CHMTCmTm!AH38</f>
        <v>0</v>
      </c>
      <c r="AI39" s="381" t="str">
        <f>IF(CHMTCmTm!AI38=0,"",CHMTCmTm!AI38)</f>
        <v/>
      </c>
      <c r="AJ39" s="396"/>
      <c r="AK39" s="382"/>
      <c r="AL39" s="215">
        <f>CHMTCmTm!AL38</f>
        <v>0</v>
      </c>
      <c r="AM39" s="381" t="str">
        <f>IF(CHMTCmTm!AM38=0,"",CHMTCmTm!AM38)</f>
        <v/>
      </c>
      <c r="AN39" s="396"/>
      <c r="AO39" s="382"/>
      <c r="AP39" s="381" t="str">
        <f>IF(CHMTCmTm!AP38=0,"",CHMTCmTm!AP38)</f>
        <v/>
      </c>
      <c r="AQ39" s="382"/>
      <c r="AR39" s="381" t="str">
        <f>IF(CHMTCmTm!AR38=0,"",CHMTCmTm!AR38)</f>
        <v/>
      </c>
      <c r="AS39" s="382"/>
      <c r="AT39" s="381" t="str">
        <f>IF(CHMTCmTm!AT38=0,"",CHMTCmTm!AT38)</f>
        <v/>
      </c>
      <c r="AU39" s="396"/>
      <c r="AV39" s="382"/>
      <c r="AW39" s="381" t="str">
        <f>IF(CHMTCmTm!AW38=0,"",CHMTCmTm!AW38)</f>
        <v/>
      </c>
      <c r="AX39" s="396"/>
      <c r="AY39" s="382"/>
      <c r="AZ39" s="24">
        <f>CHMTCmTm!AZ38</f>
        <v>0</v>
      </c>
      <c r="BC39" s="24">
        <f>COUNTIF(CHMTCmTm!O38, "Outreach Session")</f>
        <v>0</v>
      </c>
      <c r="BD39" s="24">
        <f>COUNTIF(CHMTCmTm!O38, "Mobile Clinic")</f>
        <v>0</v>
      </c>
      <c r="BE39" s="24">
        <f>COUNTIF(CHMTCmTm!O38, "Health Facility")</f>
        <v>0</v>
      </c>
    </row>
    <row r="40" spans="2:57" s="24" customFormat="1" ht="21.95" customHeight="1" x14ac:dyDescent="0.25">
      <c r="B40" s="397" t="str">
        <f>IF(CHMTCmTm!B39=0,"",CHMTCmTm!B39)</f>
        <v/>
      </c>
      <c r="C40" s="398"/>
      <c r="D40" s="399"/>
      <c r="E40" s="216">
        <f t="shared" si="0"/>
        <v>0</v>
      </c>
      <c r="F40" s="397" t="str">
        <f>IF(CHMTCmTm!F39=0,"",CHMTCmTm!F39)</f>
        <v/>
      </c>
      <c r="G40" s="398"/>
      <c r="H40" s="399"/>
      <c r="I40" s="381" t="str">
        <f>IF(CHMTCmTm!I39=0,"",CHMTCmTm!I39)</f>
        <v/>
      </c>
      <c r="J40" s="382"/>
      <c r="K40" s="381" t="str">
        <f>IF(CHMTCmTm!K39=0,"",CHMTCmTm!K39)</f>
        <v/>
      </c>
      <c r="L40" s="382"/>
      <c r="M40" s="381" t="str">
        <f>IF(CHMTCmTm!M39=0,"",CHMTCmTm!M39)</f>
        <v/>
      </c>
      <c r="N40" s="382"/>
      <c r="O40" s="381" t="str">
        <f>IF(CHMTCmTm!O39=0,"",CHMTCmTm!O39)</f>
        <v/>
      </c>
      <c r="P40" s="382"/>
      <c r="Q40" s="215" t="b">
        <f t="shared" si="1"/>
        <v>0</v>
      </c>
      <c r="R40" s="381" t="str">
        <f>IF(CHMTCmTm!R39=0,"",CHMTCmTm!R39)</f>
        <v/>
      </c>
      <c r="S40" s="382"/>
      <c r="T40" s="381" t="str">
        <f>IF(CHMTCmTm!T39=0,"",CHMTCmTm!T39)</f>
        <v/>
      </c>
      <c r="U40" s="382"/>
      <c r="V40" s="381" t="str">
        <f>IF(CHMTCmTm!V39=0,"",CHMTCmTm!V39)</f>
        <v/>
      </c>
      <c r="W40" s="396"/>
      <c r="X40" s="396"/>
      <c r="Y40" s="382"/>
      <c r="Z40" s="215">
        <f>CHMTCmTm!Z39</f>
        <v>0</v>
      </c>
      <c r="AA40" s="381" t="str">
        <f>IF(CHMTCmTm!AA39=0,"",CHMTCmTm!AA39)</f>
        <v/>
      </c>
      <c r="AB40" s="396"/>
      <c r="AC40" s="382"/>
      <c r="AD40" s="215">
        <f>CHMTCmTm!AD39</f>
        <v>0</v>
      </c>
      <c r="AE40" s="381" t="str">
        <f>IF(CHMTCmTm!AE39=0,"",CHMTCmTm!AE39)</f>
        <v/>
      </c>
      <c r="AF40" s="396"/>
      <c r="AG40" s="382"/>
      <c r="AH40" s="215">
        <f>CHMTCmTm!AH39</f>
        <v>0</v>
      </c>
      <c r="AI40" s="381" t="str">
        <f>IF(CHMTCmTm!AI39=0,"",CHMTCmTm!AI39)</f>
        <v/>
      </c>
      <c r="AJ40" s="396"/>
      <c r="AK40" s="382"/>
      <c r="AL40" s="215">
        <f>CHMTCmTm!AL39</f>
        <v>0</v>
      </c>
      <c r="AM40" s="381" t="str">
        <f>IF(CHMTCmTm!AM39=0,"",CHMTCmTm!AM39)</f>
        <v/>
      </c>
      <c r="AN40" s="396"/>
      <c r="AO40" s="382"/>
      <c r="AP40" s="381" t="str">
        <f>IF(CHMTCmTm!AP39=0,"",CHMTCmTm!AP39)</f>
        <v/>
      </c>
      <c r="AQ40" s="382"/>
      <c r="AR40" s="381" t="str">
        <f>IF(CHMTCmTm!AR39=0,"",CHMTCmTm!AR39)</f>
        <v/>
      </c>
      <c r="AS40" s="382"/>
      <c r="AT40" s="381" t="str">
        <f>IF(CHMTCmTm!AT39=0,"",CHMTCmTm!AT39)</f>
        <v/>
      </c>
      <c r="AU40" s="396"/>
      <c r="AV40" s="382"/>
      <c r="AW40" s="381" t="str">
        <f>IF(CHMTCmTm!AW39=0,"",CHMTCmTm!AW39)</f>
        <v/>
      </c>
      <c r="AX40" s="396"/>
      <c r="AY40" s="382"/>
      <c r="AZ40" s="24">
        <f>CHMTCmTm!AZ39</f>
        <v>0</v>
      </c>
      <c r="BC40" s="24">
        <f>COUNTIF(CHMTCmTm!O39, "Outreach Session")</f>
        <v>0</v>
      </c>
      <c r="BD40" s="24">
        <f>COUNTIF(CHMTCmTm!O39, "Mobile Clinic")</f>
        <v>0</v>
      </c>
      <c r="BE40" s="24">
        <f>COUNTIF(CHMTCmTm!O39, "Health Facility")</f>
        <v>0</v>
      </c>
    </row>
    <row r="41" spans="2:57" s="24" customFormat="1" ht="21.95" customHeight="1" x14ac:dyDescent="0.25">
      <c r="B41" s="397" t="str">
        <f>IF(CHMTCmTm!B40=0,"",CHMTCmTm!B40)</f>
        <v/>
      </c>
      <c r="C41" s="398"/>
      <c r="D41" s="399"/>
      <c r="E41" s="216">
        <f t="shared" si="0"/>
        <v>0</v>
      </c>
      <c r="F41" s="397" t="str">
        <f>IF(CHMTCmTm!F40=0,"",CHMTCmTm!F40)</f>
        <v/>
      </c>
      <c r="G41" s="398"/>
      <c r="H41" s="399"/>
      <c r="I41" s="381" t="str">
        <f>IF(CHMTCmTm!I40=0,"",CHMTCmTm!I40)</f>
        <v/>
      </c>
      <c r="J41" s="382"/>
      <c r="K41" s="381" t="str">
        <f>IF(CHMTCmTm!K40=0,"",CHMTCmTm!K40)</f>
        <v/>
      </c>
      <c r="L41" s="382"/>
      <c r="M41" s="381" t="str">
        <f>IF(CHMTCmTm!M40=0,"",CHMTCmTm!M40)</f>
        <v/>
      </c>
      <c r="N41" s="382"/>
      <c r="O41" s="381" t="str">
        <f>IF(CHMTCmTm!O40=0,"",CHMTCmTm!O40)</f>
        <v/>
      </c>
      <c r="P41" s="382"/>
      <c r="Q41" s="215" t="b">
        <f t="shared" si="1"/>
        <v>0</v>
      </c>
      <c r="R41" s="381" t="str">
        <f>IF(CHMTCmTm!R40=0,"",CHMTCmTm!R40)</f>
        <v/>
      </c>
      <c r="S41" s="382"/>
      <c r="T41" s="381" t="str">
        <f>IF(CHMTCmTm!T40=0,"",CHMTCmTm!T40)</f>
        <v/>
      </c>
      <c r="U41" s="382"/>
      <c r="V41" s="381" t="str">
        <f>IF(CHMTCmTm!V40=0,"",CHMTCmTm!V40)</f>
        <v/>
      </c>
      <c r="W41" s="396"/>
      <c r="X41" s="396"/>
      <c r="Y41" s="382"/>
      <c r="Z41" s="215">
        <f>CHMTCmTm!Z40</f>
        <v>0</v>
      </c>
      <c r="AA41" s="381" t="str">
        <f>IF(CHMTCmTm!AA40=0,"",CHMTCmTm!AA40)</f>
        <v/>
      </c>
      <c r="AB41" s="396"/>
      <c r="AC41" s="382"/>
      <c r="AD41" s="215">
        <f>CHMTCmTm!AD40</f>
        <v>0</v>
      </c>
      <c r="AE41" s="381" t="str">
        <f>IF(CHMTCmTm!AE40=0,"",CHMTCmTm!AE40)</f>
        <v/>
      </c>
      <c r="AF41" s="396"/>
      <c r="AG41" s="382"/>
      <c r="AH41" s="215">
        <f>CHMTCmTm!AH40</f>
        <v>0</v>
      </c>
      <c r="AI41" s="381" t="str">
        <f>IF(CHMTCmTm!AI40=0,"",CHMTCmTm!AI40)</f>
        <v/>
      </c>
      <c r="AJ41" s="396"/>
      <c r="AK41" s="382"/>
      <c r="AL41" s="215">
        <f>CHMTCmTm!AL40</f>
        <v>0</v>
      </c>
      <c r="AM41" s="381" t="str">
        <f>IF(CHMTCmTm!AM40=0,"",CHMTCmTm!AM40)</f>
        <v/>
      </c>
      <c r="AN41" s="396"/>
      <c r="AO41" s="382"/>
      <c r="AP41" s="381" t="str">
        <f>IF(CHMTCmTm!AP40=0,"",CHMTCmTm!AP40)</f>
        <v/>
      </c>
      <c r="AQ41" s="382"/>
      <c r="AR41" s="381" t="str">
        <f>IF(CHMTCmTm!AR40=0,"",CHMTCmTm!AR40)</f>
        <v/>
      </c>
      <c r="AS41" s="382"/>
      <c r="AT41" s="381" t="str">
        <f>IF(CHMTCmTm!AT40=0,"",CHMTCmTm!AT40)</f>
        <v/>
      </c>
      <c r="AU41" s="396"/>
      <c r="AV41" s="382"/>
      <c r="AW41" s="381" t="str">
        <f>IF(CHMTCmTm!AW40=0,"",CHMTCmTm!AW40)</f>
        <v/>
      </c>
      <c r="AX41" s="396"/>
      <c r="AY41" s="382"/>
      <c r="AZ41" s="24">
        <f>CHMTCmTm!AZ40</f>
        <v>0</v>
      </c>
      <c r="BC41" s="24">
        <f>COUNTIF(CHMTCmTm!O40, "Outreach Session")</f>
        <v>0</v>
      </c>
      <c r="BD41" s="24">
        <f>COUNTIF(CHMTCmTm!O40, "Mobile Clinic")</f>
        <v>0</v>
      </c>
      <c r="BE41" s="24">
        <f>COUNTIF(CHMTCmTm!O40, "Health Facility")</f>
        <v>0</v>
      </c>
    </row>
    <row r="42" spans="2:57" s="24" customFormat="1" ht="21.95" customHeight="1" x14ac:dyDescent="0.25">
      <c r="B42" s="397" t="str">
        <f>IF(CHMTCmTm!B41=0,"",CHMTCmTm!B41)</f>
        <v/>
      </c>
      <c r="C42" s="398"/>
      <c r="D42" s="399"/>
      <c r="E42" s="216">
        <f t="shared" si="0"/>
        <v>0</v>
      </c>
      <c r="F42" s="397" t="str">
        <f>IF(CHMTCmTm!F41=0,"",CHMTCmTm!F41)</f>
        <v/>
      </c>
      <c r="G42" s="398"/>
      <c r="H42" s="399"/>
      <c r="I42" s="381" t="str">
        <f>IF(CHMTCmTm!I41=0,"",CHMTCmTm!I41)</f>
        <v/>
      </c>
      <c r="J42" s="382"/>
      <c r="K42" s="381" t="str">
        <f>IF(CHMTCmTm!K41=0,"",CHMTCmTm!K41)</f>
        <v/>
      </c>
      <c r="L42" s="382"/>
      <c r="M42" s="381" t="str">
        <f>IF(CHMTCmTm!M41=0,"",CHMTCmTm!M41)</f>
        <v/>
      </c>
      <c r="N42" s="382"/>
      <c r="O42" s="381" t="str">
        <f>IF(CHMTCmTm!O41=0,"",CHMTCmTm!O41)</f>
        <v/>
      </c>
      <c r="P42" s="382"/>
      <c r="Q42" s="215" t="b">
        <f t="shared" si="1"/>
        <v>0</v>
      </c>
      <c r="R42" s="381" t="str">
        <f>IF(CHMTCmTm!R41=0,"",CHMTCmTm!R41)</f>
        <v/>
      </c>
      <c r="S42" s="382"/>
      <c r="T42" s="381" t="str">
        <f>IF(CHMTCmTm!T41=0,"",CHMTCmTm!T41)</f>
        <v/>
      </c>
      <c r="U42" s="382"/>
      <c r="V42" s="381" t="str">
        <f>IF(CHMTCmTm!V41=0,"",CHMTCmTm!V41)</f>
        <v/>
      </c>
      <c r="W42" s="396"/>
      <c r="X42" s="396"/>
      <c r="Y42" s="382"/>
      <c r="Z42" s="215">
        <f>CHMTCmTm!Z41</f>
        <v>0</v>
      </c>
      <c r="AA42" s="381" t="str">
        <f>IF(CHMTCmTm!AA41=0,"",CHMTCmTm!AA41)</f>
        <v/>
      </c>
      <c r="AB42" s="396"/>
      <c r="AC42" s="382"/>
      <c r="AD42" s="215">
        <f>CHMTCmTm!AD41</f>
        <v>0</v>
      </c>
      <c r="AE42" s="381" t="str">
        <f>IF(CHMTCmTm!AE41=0,"",CHMTCmTm!AE41)</f>
        <v/>
      </c>
      <c r="AF42" s="396"/>
      <c r="AG42" s="382"/>
      <c r="AH42" s="215">
        <f>CHMTCmTm!AH41</f>
        <v>0</v>
      </c>
      <c r="AI42" s="381" t="str">
        <f>IF(CHMTCmTm!AI41=0,"",CHMTCmTm!AI41)</f>
        <v/>
      </c>
      <c r="AJ42" s="396"/>
      <c r="AK42" s="382"/>
      <c r="AL42" s="215">
        <f>CHMTCmTm!AL41</f>
        <v>0</v>
      </c>
      <c r="AM42" s="381" t="str">
        <f>IF(CHMTCmTm!AM41=0,"",CHMTCmTm!AM41)</f>
        <v/>
      </c>
      <c r="AN42" s="396"/>
      <c r="AO42" s="382"/>
      <c r="AP42" s="381" t="str">
        <f>IF(CHMTCmTm!AP41=0,"",CHMTCmTm!AP41)</f>
        <v/>
      </c>
      <c r="AQ42" s="382"/>
      <c r="AR42" s="381" t="str">
        <f>IF(CHMTCmTm!AR41=0,"",CHMTCmTm!AR41)</f>
        <v/>
      </c>
      <c r="AS42" s="382"/>
      <c r="AT42" s="381" t="str">
        <f>IF(CHMTCmTm!AT41=0,"",CHMTCmTm!AT41)</f>
        <v/>
      </c>
      <c r="AU42" s="396"/>
      <c r="AV42" s="382"/>
      <c r="AW42" s="381" t="str">
        <f>IF(CHMTCmTm!AW41=0,"",CHMTCmTm!AW41)</f>
        <v/>
      </c>
      <c r="AX42" s="396"/>
      <c r="AY42" s="382"/>
      <c r="AZ42" s="24">
        <f>CHMTCmTm!AZ41</f>
        <v>0</v>
      </c>
      <c r="BC42" s="24">
        <f>COUNTIF(CHMTCmTm!O41, "Outreach Session")</f>
        <v>0</v>
      </c>
      <c r="BD42" s="24">
        <f>COUNTIF(CHMTCmTm!O41, "Mobile Clinic")</f>
        <v>0</v>
      </c>
      <c r="BE42" s="24">
        <f>COUNTIF(CHMTCmTm!O41, "Health Facility")</f>
        <v>0</v>
      </c>
    </row>
    <row r="43" spans="2:57" s="24" customFormat="1" ht="21.95" customHeight="1" x14ac:dyDescent="0.25">
      <c r="B43" s="397" t="str">
        <f>IF(CHMTCmTm!B42=0,"",CHMTCmTm!B42)</f>
        <v/>
      </c>
      <c r="C43" s="398"/>
      <c r="D43" s="399"/>
      <c r="E43" s="216">
        <f t="shared" si="0"/>
        <v>0</v>
      </c>
      <c r="F43" s="397" t="str">
        <f>IF(CHMTCmTm!F42=0,"",CHMTCmTm!F42)</f>
        <v/>
      </c>
      <c r="G43" s="398"/>
      <c r="H43" s="399"/>
      <c r="I43" s="381" t="str">
        <f>IF(CHMTCmTm!I42=0,"",CHMTCmTm!I42)</f>
        <v/>
      </c>
      <c r="J43" s="382"/>
      <c r="K43" s="381" t="str">
        <f>IF(CHMTCmTm!K42=0,"",CHMTCmTm!K42)</f>
        <v/>
      </c>
      <c r="L43" s="382"/>
      <c r="M43" s="381" t="str">
        <f>IF(CHMTCmTm!M42=0,"",CHMTCmTm!M42)</f>
        <v/>
      </c>
      <c r="N43" s="382"/>
      <c r="O43" s="381" t="str">
        <f>IF(CHMTCmTm!O42=0,"",CHMTCmTm!O42)</f>
        <v/>
      </c>
      <c r="P43" s="382"/>
      <c r="Q43" s="215" t="b">
        <f t="shared" si="1"/>
        <v>0</v>
      </c>
      <c r="R43" s="381" t="str">
        <f>IF(CHMTCmTm!R42=0,"",CHMTCmTm!R42)</f>
        <v/>
      </c>
      <c r="S43" s="382"/>
      <c r="T43" s="381" t="str">
        <f>IF(CHMTCmTm!T42=0,"",CHMTCmTm!T42)</f>
        <v/>
      </c>
      <c r="U43" s="382"/>
      <c r="V43" s="381" t="str">
        <f>IF(CHMTCmTm!V42=0,"",CHMTCmTm!V42)</f>
        <v/>
      </c>
      <c r="W43" s="396"/>
      <c r="X43" s="396"/>
      <c r="Y43" s="382"/>
      <c r="Z43" s="215">
        <f>CHMTCmTm!Z42</f>
        <v>0</v>
      </c>
      <c r="AA43" s="381" t="str">
        <f>IF(CHMTCmTm!AA42=0,"",CHMTCmTm!AA42)</f>
        <v/>
      </c>
      <c r="AB43" s="396"/>
      <c r="AC43" s="382"/>
      <c r="AD43" s="215">
        <f>CHMTCmTm!AD42</f>
        <v>0</v>
      </c>
      <c r="AE43" s="381" t="str">
        <f>IF(CHMTCmTm!AE42=0,"",CHMTCmTm!AE42)</f>
        <v/>
      </c>
      <c r="AF43" s="396"/>
      <c r="AG43" s="382"/>
      <c r="AH43" s="215">
        <f>CHMTCmTm!AH42</f>
        <v>0</v>
      </c>
      <c r="AI43" s="381" t="str">
        <f>IF(CHMTCmTm!AI42=0,"",CHMTCmTm!AI42)</f>
        <v/>
      </c>
      <c r="AJ43" s="396"/>
      <c r="AK43" s="382"/>
      <c r="AL43" s="215">
        <f>CHMTCmTm!AL42</f>
        <v>0</v>
      </c>
      <c r="AM43" s="381" t="str">
        <f>IF(CHMTCmTm!AM42=0,"",CHMTCmTm!AM42)</f>
        <v/>
      </c>
      <c r="AN43" s="396"/>
      <c r="AO43" s="382"/>
      <c r="AP43" s="381" t="str">
        <f>IF(CHMTCmTm!AP42=0,"",CHMTCmTm!AP42)</f>
        <v/>
      </c>
      <c r="AQ43" s="382"/>
      <c r="AR43" s="381" t="str">
        <f>IF(CHMTCmTm!AR42=0,"",CHMTCmTm!AR42)</f>
        <v/>
      </c>
      <c r="AS43" s="382"/>
      <c r="AT43" s="381" t="str">
        <f>IF(CHMTCmTm!AT42=0,"",CHMTCmTm!AT42)</f>
        <v/>
      </c>
      <c r="AU43" s="396"/>
      <c r="AV43" s="382"/>
      <c r="AW43" s="381" t="str">
        <f>IF(CHMTCmTm!AW42=0,"",CHMTCmTm!AW42)</f>
        <v/>
      </c>
      <c r="AX43" s="396"/>
      <c r="AY43" s="382"/>
      <c r="AZ43" s="24">
        <f>CHMTCmTm!AZ42</f>
        <v>0</v>
      </c>
      <c r="BC43" s="24">
        <f>COUNTIF(CHMTCmTm!O42, "Outreach Session")</f>
        <v>0</v>
      </c>
      <c r="BD43" s="24">
        <f>COUNTIF(CHMTCmTm!O42, "Mobile Clinic")</f>
        <v>0</v>
      </c>
      <c r="BE43" s="24">
        <f>COUNTIF(CHMTCmTm!O42, "Health Facility")</f>
        <v>0</v>
      </c>
    </row>
    <row r="44" spans="2:57" s="24" customFormat="1" ht="21.95" customHeight="1" x14ac:dyDescent="0.25">
      <c r="B44" s="397" t="str">
        <f>IF(CHMTCmTm!B43=0,"",CHMTCmTm!B43)</f>
        <v/>
      </c>
      <c r="C44" s="398"/>
      <c r="D44" s="399"/>
      <c r="E44" s="216">
        <f t="shared" si="0"/>
        <v>0</v>
      </c>
      <c r="F44" s="397" t="str">
        <f>IF(CHMTCmTm!F43=0,"",CHMTCmTm!F43)</f>
        <v/>
      </c>
      <c r="G44" s="398"/>
      <c r="H44" s="399"/>
      <c r="I44" s="381" t="str">
        <f>IF(CHMTCmTm!I43=0,"",CHMTCmTm!I43)</f>
        <v/>
      </c>
      <c r="J44" s="382"/>
      <c r="K44" s="381" t="str">
        <f>IF(CHMTCmTm!K43=0,"",CHMTCmTm!K43)</f>
        <v/>
      </c>
      <c r="L44" s="382"/>
      <c r="M44" s="381" t="str">
        <f>IF(CHMTCmTm!M43=0,"",CHMTCmTm!M43)</f>
        <v/>
      </c>
      <c r="N44" s="382"/>
      <c r="O44" s="381" t="str">
        <f>IF(CHMTCmTm!O43=0,"",CHMTCmTm!O43)</f>
        <v/>
      </c>
      <c r="P44" s="382"/>
      <c r="Q44" s="215" t="b">
        <f t="shared" si="1"/>
        <v>0</v>
      </c>
      <c r="R44" s="381" t="str">
        <f>IF(CHMTCmTm!R43=0,"",CHMTCmTm!R43)</f>
        <v/>
      </c>
      <c r="S44" s="382"/>
      <c r="T44" s="381" t="str">
        <f>IF(CHMTCmTm!T43=0,"",CHMTCmTm!T43)</f>
        <v/>
      </c>
      <c r="U44" s="382"/>
      <c r="V44" s="381" t="str">
        <f>IF(CHMTCmTm!V43=0,"",CHMTCmTm!V43)</f>
        <v/>
      </c>
      <c r="W44" s="396"/>
      <c r="X44" s="396"/>
      <c r="Y44" s="382"/>
      <c r="Z44" s="215">
        <f>CHMTCmTm!Z43</f>
        <v>0</v>
      </c>
      <c r="AA44" s="381" t="str">
        <f>IF(CHMTCmTm!AA43=0,"",CHMTCmTm!AA43)</f>
        <v/>
      </c>
      <c r="AB44" s="396"/>
      <c r="AC44" s="382"/>
      <c r="AD44" s="215">
        <f>CHMTCmTm!AD43</f>
        <v>0</v>
      </c>
      <c r="AE44" s="381" t="str">
        <f>IF(CHMTCmTm!AE43=0,"",CHMTCmTm!AE43)</f>
        <v/>
      </c>
      <c r="AF44" s="396"/>
      <c r="AG44" s="382"/>
      <c r="AH44" s="215">
        <f>CHMTCmTm!AH43</f>
        <v>0</v>
      </c>
      <c r="AI44" s="381" t="str">
        <f>IF(CHMTCmTm!AI43=0,"",CHMTCmTm!AI43)</f>
        <v/>
      </c>
      <c r="AJ44" s="396"/>
      <c r="AK44" s="382"/>
      <c r="AL44" s="215">
        <f>CHMTCmTm!AL43</f>
        <v>0</v>
      </c>
      <c r="AM44" s="381" t="str">
        <f>IF(CHMTCmTm!AM43=0,"",CHMTCmTm!AM43)</f>
        <v/>
      </c>
      <c r="AN44" s="396"/>
      <c r="AO44" s="382"/>
      <c r="AP44" s="381" t="str">
        <f>IF(CHMTCmTm!AP43=0,"",CHMTCmTm!AP43)</f>
        <v/>
      </c>
      <c r="AQ44" s="382"/>
      <c r="AR44" s="381" t="str">
        <f>IF(CHMTCmTm!AR43=0,"",CHMTCmTm!AR43)</f>
        <v/>
      </c>
      <c r="AS44" s="382"/>
      <c r="AT44" s="381" t="str">
        <f>IF(CHMTCmTm!AT43=0,"",CHMTCmTm!AT43)</f>
        <v/>
      </c>
      <c r="AU44" s="396"/>
      <c r="AV44" s="382"/>
      <c r="AW44" s="381" t="str">
        <f>IF(CHMTCmTm!AW43=0,"",CHMTCmTm!AW43)</f>
        <v/>
      </c>
      <c r="AX44" s="396"/>
      <c r="AY44" s="382"/>
      <c r="AZ44" s="24">
        <f>CHMTCmTm!AZ43</f>
        <v>0</v>
      </c>
      <c r="BC44" s="24">
        <f>COUNTIF(CHMTCmTm!O43, "Outreach Session")</f>
        <v>0</v>
      </c>
      <c r="BD44" s="24">
        <f>COUNTIF(CHMTCmTm!O43, "Mobile Clinic")</f>
        <v>0</v>
      </c>
      <c r="BE44" s="24">
        <f>COUNTIF(CHMTCmTm!O43, "Health Facility")</f>
        <v>0</v>
      </c>
    </row>
    <row r="45" spans="2:57" s="24" customFormat="1" ht="21.95" customHeight="1" x14ac:dyDescent="0.25">
      <c r="B45" s="397" t="str">
        <f>IF(CHMTCmTm!B44=0,"",CHMTCmTm!B44)</f>
        <v/>
      </c>
      <c r="C45" s="398"/>
      <c r="D45" s="399"/>
      <c r="E45" s="216">
        <f t="shared" si="0"/>
        <v>0</v>
      </c>
      <c r="F45" s="397" t="str">
        <f>IF(CHMTCmTm!F44=0,"",CHMTCmTm!F44)</f>
        <v/>
      </c>
      <c r="G45" s="398"/>
      <c r="H45" s="399"/>
      <c r="I45" s="381" t="str">
        <f>IF(CHMTCmTm!I44=0,"",CHMTCmTm!I44)</f>
        <v/>
      </c>
      <c r="J45" s="382"/>
      <c r="K45" s="381" t="str">
        <f>IF(CHMTCmTm!K44=0,"",CHMTCmTm!K44)</f>
        <v/>
      </c>
      <c r="L45" s="382"/>
      <c r="M45" s="381" t="str">
        <f>IF(CHMTCmTm!M44=0,"",CHMTCmTm!M44)</f>
        <v/>
      </c>
      <c r="N45" s="382"/>
      <c r="O45" s="381" t="str">
        <f>IF(CHMTCmTm!O44=0,"",CHMTCmTm!O44)</f>
        <v/>
      </c>
      <c r="P45" s="382"/>
      <c r="Q45" s="215" t="b">
        <f t="shared" si="1"/>
        <v>0</v>
      </c>
      <c r="R45" s="381" t="str">
        <f>IF(CHMTCmTm!R44=0,"",CHMTCmTm!R44)</f>
        <v/>
      </c>
      <c r="S45" s="382"/>
      <c r="T45" s="381" t="str">
        <f>IF(CHMTCmTm!T44=0,"",CHMTCmTm!T44)</f>
        <v/>
      </c>
      <c r="U45" s="382"/>
      <c r="V45" s="381" t="str">
        <f>IF(CHMTCmTm!V44=0,"",CHMTCmTm!V44)</f>
        <v/>
      </c>
      <c r="W45" s="396"/>
      <c r="X45" s="396"/>
      <c r="Y45" s="382"/>
      <c r="Z45" s="215">
        <f>CHMTCmTm!Z44</f>
        <v>0</v>
      </c>
      <c r="AA45" s="381" t="str">
        <f>IF(CHMTCmTm!AA44=0,"",CHMTCmTm!AA44)</f>
        <v/>
      </c>
      <c r="AB45" s="396"/>
      <c r="AC45" s="382"/>
      <c r="AD45" s="215">
        <f>CHMTCmTm!AD44</f>
        <v>0</v>
      </c>
      <c r="AE45" s="381" t="str">
        <f>IF(CHMTCmTm!AE44=0,"",CHMTCmTm!AE44)</f>
        <v/>
      </c>
      <c r="AF45" s="396"/>
      <c r="AG45" s="382"/>
      <c r="AH45" s="215">
        <f>CHMTCmTm!AH44</f>
        <v>0</v>
      </c>
      <c r="AI45" s="381" t="str">
        <f>IF(CHMTCmTm!AI44=0,"",CHMTCmTm!AI44)</f>
        <v/>
      </c>
      <c r="AJ45" s="396"/>
      <c r="AK45" s="382"/>
      <c r="AL45" s="215">
        <f>CHMTCmTm!AL44</f>
        <v>0</v>
      </c>
      <c r="AM45" s="381" t="str">
        <f>IF(CHMTCmTm!AM44=0,"",CHMTCmTm!AM44)</f>
        <v/>
      </c>
      <c r="AN45" s="396"/>
      <c r="AO45" s="382"/>
      <c r="AP45" s="381" t="str">
        <f>IF(CHMTCmTm!AP44=0,"",CHMTCmTm!AP44)</f>
        <v/>
      </c>
      <c r="AQ45" s="382"/>
      <c r="AR45" s="381" t="str">
        <f>IF(CHMTCmTm!AR44=0,"",CHMTCmTm!AR44)</f>
        <v/>
      </c>
      <c r="AS45" s="382"/>
      <c r="AT45" s="381" t="str">
        <f>IF(CHMTCmTm!AT44=0,"",CHMTCmTm!AT44)</f>
        <v/>
      </c>
      <c r="AU45" s="396"/>
      <c r="AV45" s="382"/>
      <c r="AW45" s="381" t="str">
        <f>IF(CHMTCmTm!AW44=0,"",CHMTCmTm!AW44)</f>
        <v/>
      </c>
      <c r="AX45" s="396"/>
      <c r="AY45" s="382"/>
      <c r="AZ45" s="24">
        <f>CHMTCmTm!AZ44</f>
        <v>0</v>
      </c>
      <c r="BC45" s="24">
        <f>COUNTIF(CHMTCmTm!O44, "Outreach Session")</f>
        <v>0</v>
      </c>
      <c r="BD45" s="24">
        <f>COUNTIF(CHMTCmTm!O44, "Mobile Clinic")</f>
        <v>0</v>
      </c>
      <c r="BE45" s="24">
        <f>COUNTIF(CHMTCmTm!O44, "Health Facility")</f>
        <v>0</v>
      </c>
    </row>
    <row r="46" spans="2:57" s="24" customFormat="1" ht="21.95" customHeight="1" x14ac:dyDescent="0.25">
      <c r="B46" s="397" t="str">
        <f>IF(CHMTCmTm!B45=0,"",CHMTCmTm!B45)</f>
        <v/>
      </c>
      <c r="C46" s="398"/>
      <c r="D46" s="399"/>
      <c r="E46" s="216">
        <f t="shared" si="0"/>
        <v>0</v>
      </c>
      <c r="F46" s="397" t="str">
        <f>IF(CHMTCmTm!F45=0,"",CHMTCmTm!F45)</f>
        <v/>
      </c>
      <c r="G46" s="398"/>
      <c r="H46" s="399"/>
      <c r="I46" s="381" t="str">
        <f>IF(CHMTCmTm!I45=0,"",CHMTCmTm!I45)</f>
        <v/>
      </c>
      <c r="J46" s="382"/>
      <c r="K46" s="381" t="str">
        <f>IF(CHMTCmTm!K45=0,"",CHMTCmTm!K45)</f>
        <v/>
      </c>
      <c r="L46" s="382"/>
      <c r="M46" s="381" t="str">
        <f>IF(CHMTCmTm!M45=0,"",CHMTCmTm!M45)</f>
        <v/>
      </c>
      <c r="N46" s="382"/>
      <c r="O46" s="381" t="str">
        <f>IF(CHMTCmTm!O45=0,"",CHMTCmTm!O45)</f>
        <v/>
      </c>
      <c r="P46" s="382"/>
      <c r="Q46" s="215" t="b">
        <f t="shared" si="1"/>
        <v>0</v>
      </c>
      <c r="R46" s="381" t="str">
        <f>IF(CHMTCmTm!R45=0,"",CHMTCmTm!R45)</f>
        <v/>
      </c>
      <c r="S46" s="382"/>
      <c r="T46" s="381" t="str">
        <f>IF(CHMTCmTm!T45=0,"",CHMTCmTm!T45)</f>
        <v/>
      </c>
      <c r="U46" s="382"/>
      <c r="V46" s="381" t="str">
        <f>IF(CHMTCmTm!V45=0,"",CHMTCmTm!V45)</f>
        <v/>
      </c>
      <c r="W46" s="396"/>
      <c r="X46" s="396"/>
      <c r="Y46" s="382"/>
      <c r="Z46" s="215">
        <f>CHMTCmTm!Z45</f>
        <v>0</v>
      </c>
      <c r="AA46" s="381" t="str">
        <f>IF(CHMTCmTm!AA45=0,"",CHMTCmTm!AA45)</f>
        <v/>
      </c>
      <c r="AB46" s="396"/>
      <c r="AC46" s="382"/>
      <c r="AD46" s="215">
        <f>CHMTCmTm!AD45</f>
        <v>0</v>
      </c>
      <c r="AE46" s="381" t="str">
        <f>IF(CHMTCmTm!AE45=0,"",CHMTCmTm!AE45)</f>
        <v/>
      </c>
      <c r="AF46" s="396"/>
      <c r="AG46" s="382"/>
      <c r="AH46" s="215">
        <f>CHMTCmTm!AH45</f>
        <v>0</v>
      </c>
      <c r="AI46" s="381" t="str">
        <f>IF(CHMTCmTm!AI45=0,"",CHMTCmTm!AI45)</f>
        <v/>
      </c>
      <c r="AJ46" s="396"/>
      <c r="AK46" s="382"/>
      <c r="AL46" s="215">
        <f>CHMTCmTm!AL45</f>
        <v>0</v>
      </c>
      <c r="AM46" s="381" t="str">
        <f>IF(CHMTCmTm!AM45=0,"",CHMTCmTm!AM45)</f>
        <v/>
      </c>
      <c r="AN46" s="396"/>
      <c r="AO46" s="382"/>
      <c r="AP46" s="381" t="str">
        <f>IF(CHMTCmTm!AP45=0,"",CHMTCmTm!AP45)</f>
        <v/>
      </c>
      <c r="AQ46" s="382"/>
      <c r="AR46" s="381" t="str">
        <f>IF(CHMTCmTm!AR45=0,"",CHMTCmTm!AR45)</f>
        <v/>
      </c>
      <c r="AS46" s="382"/>
      <c r="AT46" s="381" t="str">
        <f>IF(CHMTCmTm!AT45=0,"",CHMTCmTm!AT45)</f>
        <v/>
      </c>
      <c r="AU46" s="396"/>
      <c r="AV46" s="382"/>
      <c r="AW46" s="381" t="str">
        <f>IF(CHMTCmTm!AW45=0,"",CHMTCmTm!AW45)</f>
        <v/>
      </c>
      <c r="AX46" s="396"/>
      <c r="AY46" s="382"/>
      <c r="AZ46" s="24">
        <f>CHMTCmTm!AZ45</f>
        <v>0</v>
      </c>
      <c r="BC46" s="24">
        <f>COUNTIF(CHMTCmTm!O45, "Outreach Session")</f>
        <v>0</v>
      </c>
      <c r="BD46" s="24">
        <f>COUNTIF(CHMTCmTm!O45, "Mobile Clinic")</f>
        <v>0</v>
      </c>
      <c r="BE46" s="24">
        <f>COUNTIF(CHMTCmTm!O45, "Health Facility")</f>
        <v>0</v>
      </c>
    </row>
    <row r="47" spans="2:57" s="24" customFormat="1" ht="21.95" customHeight="1" x14ac:dyDescent="0.25">
      <c r="B47" s="397" t="str">
        <f>IF(CHMTCmTm!B46=0,"",CHMTCmTm!B46)</f>
        <v/>
      </c>
      <c r="C47" s="398"/>
      <c r="D47" s="399"/>
      <c r="E47" s="216">
        <f t="shared" si="0"/>
        <v>0</v>
      </c>
      <c r="F47" s="397" t="str">
        <f>IF(CHMTCmTm!F46=0,"",CHMTCmTm!F46)</f>
        <v/>
      </c>
      <c r="G47" s="398"/>
      <c r="H47" s="399"/>
      <c r="I47" s="381" t="str">
        <f>IF(CHMTCmTm!I46=0,"",CHMTCmTm!I46)</f>
        <v/>
      </c>
      <c r="J47" s="382"/>
      <c r="K47" s="381" t="str">
        <f>IF(CHMTCmTm!K46=0,"",CHMTCmTm!K46)</f>
        <v/>
      </c>
      <c r="L47" s="382"/>
      <c r="M47" s="381" t="str">
        <f>IF(CHMTCmTm!M46=0,"",CHMTCmTm!M46)</f>
        <v/>
      </c>
      <c r="N47" s="382"/>
      <c r="O47" s="381" t="str">
        <f>IF(CHMTCmTm!O46=0,"",CHMTCmTm!O46)</f>
        <v/>
      </c>
      <c r="P47" s="382"/>
      <c r="Q47" s="215" t="b">
        <f t="shared" si="1"/>
        <v>0</v>
      </c>
      <c r="R47" s="381" t="str">
        <f>IF(CHMTCmTm!R46=0,"",CHMTCmTm!R46)</f>
        <v/>
      </c>
      <c r="S47" s="382"/>
      <c r="T47" s="381" t="str">
        <f>IF(CHMTCmTm!T46=0,"",CHMTCmTm!T46)</f>
        <v/>
      </c>
      <c r="U47" s="382"/>
      <c r="V47" s="381" t="str">
        <f>IF(CHMTCmTm!V46=0,"",CHMTCmTm!V46)</f>
        <v/>
      </c>
      <c r="W47" s="396"/>
      <c r="X47" s="396"/>
      <c r="Y47" s="382"/>
      <c r="Z47" s="215">
        <f>CHMTCmTm!Z46</f>
        <v>0</v>
      </c>
      <c r="AA47" s="381" t="str">
        <f>IF(CHMTCmTm!AA46=0,"",CHMTCmTm!AA46)</f>
        <v/>
      </c>
      <c r="AB47" s="396"/>
      <c r="AC47" s="382"/>
      <c r="AD47" s="215">
        <f>CHMTCmTm!AD46</f>
        <v>0</v>
      </c>
      <c r="AE47" s="381" t="str">
        <f>IF(CHMTCmTm!AE46=0,"",CHMTCmTm!AE46)</f>
        <v/>
      </c>
      <c r="AF47" s="396"/>
      <c r="AG47" s="382"/>
      <c r="AH47" s="215">
        <f>CHMTCmTm!AH46</f>
        <v>0</v>
      </c>
      <c r="AI47" s="381" t="str">
        <f>IF(CHMTCmTm!AI46=0,"",CHMTCmTm!AI46)</f>
        <v/>
      </c>
      <c r="AJ47" s="396"/>
      <c r="AK47" s="382"/>
      <c r="AL47" s="215">
        <f>CHMTCmTm!AL46</f>
        <v>0</v>
      </c>
      <c r="AM47" s="381" t="str">
        <f>IF(CHMTCmTm!AM46=0,"",CHMTCmTm!AM46)</f>
        <v/>
      </c>
      <c r="AN47" s="396"/>
      <c r="AO47" s="382"/>
      <c r="AP47" s="381" t="str">
        <f>IF(CHMTCmTm!AP46=0,"",CHMTCmTm!AP46)</f>
        <v/>
      </c>
      <c r="AQ47" s="382"/>
      <c r="AR47" s="381" t="str">
        <f>IF(CHMTCmTm!AR46=0,"",CHMTCmTm!AR46)</f>
        <v/>
      </c>
      <c r="AS47" s="382"/>
      <c r="AT47" s="381" t="str">
        <f>IF(CHMTCmTm!AT46=0,"",CHMTCmTm!AT46)</f>
        <v/>
      </c>
      <c r="AU47" s="396"/>
      <c r="AV47" s="382"/>
      <c r="AW47" s="381" t="str">
        <f>IF(CHMTCmTm!AW46=0,"",CHMTCmTm!AW46)</f>
        <v/>
      </c>
      <c r="AX47" s="396"/>
      <c r="AY47" s="382"/>
      <c r="AZ47" s="24">
        <f>CHMTCmTm!AZ46</f>
        <v>0</v>
      </c>
      <c r="BC47" s="24">
        <f>COUNTIF(CHMTCmTm!O46, "Outreach Session")</f>
        <v>0</v>
      </c>
      <c r="BD47" s="24">
        <f>COUNTIF(CHMTCmTm!O46, "Mobile Clinic")</f>
        <v>0</v>
      </c>
      <c r="BE47" s="24">
        <f>COUNTIF(CHMTCmTm!O46, "Health Facility")</f>
        <v>0</v>
      </c>
    </row>
    <row r="48" spans="2:57" s="24" customFormat="1" ht="21.95" customHeight="1" x14ac:dyDescent="0.25">
      <c r="B48" s="397" t="str">
        <f>IF(CHMTCmTm!B47=0,"",CHMTCmTm!B47)</f>
        <v/>
      </c>
      <c r="C48" s="398"/>
      <c r="D48" s="399"/>
      <c r="E48" s="216">
        <f t="shared" si="0"/>
        <v>0</v>
      </c>
      <c r="F48" s="397" t="str">
        <f>IF(CHMTCmTm!F47=0,"",CHMTCmTm!F47)</f>
        <v/>
      </c>
      <c r="G48" s="398"/>
      <c r="H48" s="399"/>
      <c r="I48" s="381" t="str">
        <f>IF(CHMTCmTm!I47=0,"",CHMTCmTm!I47)</f>
        <v/>
      </c>
      <c r="J48" s="382"/>
      <c r="K48" s="381" t="str">
        <f>IF(CHMTCmTm!K47=0,"",CHMTCmTm!K47)</f>
        <v/>
      </c>
      <c r="L48" s="382"/>
      <c r="M48" s="381" t="str">
        <f>IF(CHMTCmTm!M47=0,"",CHMTCmTm!M47)</f>
        <v/>
      </c>
      <c r="N48" s="382"/>
      <c r="O48" s="381" t="str">
        <f>IF(CHMTCmTm!O47=0,"",CHMTCmTm!O47)</f>
        <v/>
      </c>
      <c r="P48" s="382"/>
      <c r="Q48" s="215" t="b">
        <f t="shared" si="1"/>
        <v>0</v>
      </c>
      <c r="R48" s="381" t="str">
        <f>IF(CHMTCmTm!R47=0,"",CHMTCmTm!R47)</f>
        <v/>
      </c>
      <c r="S48" s="382"/>
      <c r="T48" s="381" t="str">
        <f>IF(CHMTCmTm!T47=0,"",CHMTCmTm!T47)</f>
        <v/>
      </c>
      <c r="U48" s="382"/>
      <c r="V48" s="381" t="str">
        <f>IF(CHMTCmTm!V47=0,"",CHMTCmTm!V47)</f>
        <v/>
      </c>
      <c r="W48" s="396"/>
      <c r="X48" s="396"/>
      <c r="Y48" s="382"/>
      <c r="Z48" s="215">
        <f>CHMTCmTm!Z47</f>
        <v>0</v>
      </c>
      <c r="AA48" s="381" t="str">
        <f>IF(CHMTCmTm!AA47=0,"",CHMTCmTm!AA47)</f>
        <v/>
      </c>
      <c r="AB48" s="396"/>
      <c r="AC48" s="382"/>
      <c r="AD48" s="215">
        <f>CHMTCmTm!AD47</f>
        <v>0</v>
      </c>
      <c r="AE48" s="381" t="str">
        <f>IF(CHMTCmTm!AE47=0,"",CHMTCmTm!AE47)</f>
        <v/>
      </c>
      <c r="AF48" s="396"/>
      <c r="AG48" s="382"/>
      <c r="AH48" s="215">
        <f>CHMTCmTm!AH47</f>
        <v>0</v>
      </c>
      <c r="AI48" s="381" t="str">
        <f>IF(CHMTCmTm!AI47=0,"",CHMTCmTm!AI47)</f>
        <v/>
      </c>
      <c r="AJ48" s="396"/>
      <c r="AK48" s="382"/>
      <c r="AL48" s="215">
        <f>CHMTCmTm!AL47</f>
        <v>0</v>
      </c>
      <c r="AM48" s="381" t="str">
        <f>IF(CHMTCmTm!AM47=0,"",CHMTCmTm!AM47)</f>
        <v/>
      </c>
      <c r="AN48" s="396"/>
      <c r="AO48" s="382"/>
      <c r="AP48" s="381" t="str">
        <f>IF(CHMTCmTm!AP47=0,"",CHMTCmTm!AP47)</f>
        <v/>
      </c>
      <c r="AQ48" s="382"/>
      <c r="AR48" s="381" t="str">
        <f>IF(CHMTCmTm!AR47=0,"",CHMTCmTm!AR47)</f>
        <v/>
      </c>
      <c r="AS48" s="382"/>
      <c r="AT48" s="381" t="str">
        <f>IF(CHMTCmTm!AT47=0,"",CHMTCmTm!AT47)</f>
        <v/>
      </c>
      <c r="AU48" s="396"/>
      <c r="AV48" s="382"/>
      <c r="AW48" s="381" t="str">
        <f>IF(CHMTCmTm!AW47=0,"",CHMTCmTm!AW47)</f>
        <v/>
      </c>
      <c r="AX48" s="396"/>
      <c r="AY48" s="382"/>
      <c r="AZ48" s="24">
        <f>CHMTCmTm!AZ47</f>
        <v>0</v>
      </c>
      <c r="BC48" s="24">
        <f>COUNTIF(CHMTCmTm!O47, "Outreach Session")</f>
        <v>0</v>
      </c>
      <c r="BD48" s="24">
        <f>COUNTIF(CHMTCmTm!O47, "Mobile Clinic")</f>
        <v>0</v>
      </c>
      <c r="BE48" s="24">
        <f>COUNTIF(CHMTCmTm!O47, "Health Facility")</f>
        <v>0</v>
      </c>
    </row>
    <row r="49" spans="2:57" s="24" customFormat="1" ht="21.95" customHeight="1" x14ac:dyDescent="0.25">
      <c r="B49" s="397" t="str">
        <f>IF(CHMTCmTm!B48=0,"",CHMTCmTm!B48)</f>
        <v/>
      </c>
      <c r="C49" s="398"/>
      <c r="D49" s="399"/>
      <c r="E49" s="216">
        <f t="shared" si="0"/>
        <v>0</v>
      </c>
      <c r="F49" s="397" t="str">
        <f>IF(CHMTCmTm!F48=0,"",CHMTCmTm!F48)</f>
        <v/>
      </c>
      <c r="G49" s="398"/>
      <c r="H49" s="399"/>
      <c r="I49" s="381" t="str">
        <f>IF(CHMTCmTm!I48=0,"",CHMTCmTm!I48)</f>
        <v/>
      </c>
      <c r="J49" s="382"/>
      <c r="K49" s="381" t="str">
        <f>IF(CHMTCmTm!K48=0,"",CHMTCmTm!K48)</f>
        <v/>
      </c>
      <c r="L49" s="382"/>
      <c r="M49" s="381" t="str">
        <f>IF(CHMTCmTm!M48=0,"",CHMTCmTm!M48)</f>
        <v/>
      </c>
      <c r="N49" s="382"/>
      <c r="O49" s="381" t="str">
        <f>IF(CHMTCmTm!O48=0,"",CHMTCmTm!O48)</f>
        <v/>
      </c>
      <c r="P49" s="382"/>
      <c r="Q49" s="215" t="b">
        <f t="shared" si="1"/>
        <v>0</v>
      </c>
      <c r="R49" s="381" t="str">
        <f>IF(CHMTCmTm!R48=0,"",CHMTCmTm!R48)</f>
        <v/>
      </c>
      <c r="S49" s="382"/>
      <c r="T49" s="381" t="str">
        <f>IF(CHMTCmTm!T48=0,"",CHMTCmTm!T48)</f>
        <v/>
      </c>
      <c r="U49" s="382"/>
      <c r="V49" s="381" t="str">
        <f>IF(CHMTCmTm!V48=0,"",CHMTCmTm!V48)</f>
        <v/>
      </c>
      <c r="W49" s="396"/>
      <c r="X49" s="396"/>
      <c r="Y49" s="382"/>
      <c r="Z49" s="215">
        <f>CHMTCmTm!Z48</f>
        <v>0</v>
      </c>
      <c r="AA49" s="381" t="str">
        <f>IF(CHMTCmTm!AA48=0,"",CHMTCmTm!AA48)</f>
        <v/>
      </c>
      <c r="AB49" s="396"/>
      <c r="AC49" s="382"/>
      <c r="AD49" s="215">
        <f>CHMTCmTm!AD48</f>
        <v>0</v>
      </c>
      <c r="AE49" s="381" t="str">
        <f>IF(CHMTCmTm!AE48=0,"",CHMTCmTm!AE48)</f>
        <v/>
      </c>
      <c r="AF49" s="396"/>
      <c r="AG49" s="382"/>
      <c r="AH49" s="215">
        <f>CHMTCmTm!AH48</f>
        <v>0</v>
      </c>
      <c r="AI49" s="381" t="str">
        <f>IF(CHMTCmTm!AI48=0,"",CHMTCmTm!AI48)</f>
        <v/>
      </c>
      <c r="AJ49" s="396"/>
      <c r="AK49" s="382"/>
      <c r="AL49" s="215">
        <f>CHMTCmTm!AL48</f>
        <v>0</v>
      </c>
      <c r="AM49" s="381" t="str">
        <f>IF(CHMTCmTm!AM48=0,"",CHMTCmTm!AM48)</f>
        <v/>
      </c>
      <c r="AN49" s="396"/>
      <c r="AO49" s="382"/>
      <c r="AP49" s="381" t="str">
        <f>IF(CHMTCmTm!AP48=0,"",CHMTCmTm!AP48)</f>
        <v/>
      </c>
      <c r="AQ49" s="382"/>
      <c r="AR49" s="381" t="str">
        <f>IF(CHMTCmTm!AR48=0,"",CHMTCmTm!AR48)</f>
        <v/>
      </c>
      <c r="AS49" s="382"/>
      <c r="AT49" s="381" t="str">
        <f>IF(CHMTCmTm!AT48=0,"",CHMTCmTm!AT48)</f>
        <v/>
      </c>
      <c r="AU49" s="396"/>
      <c r="AV49" s="382"/>
      <c r="AW49" s="381" t="str">
        <f>IF(CHMTCmTm!AW48=0,"",CHMTCmTm!AW48)</f>
        <v/>
      </c>
      <c r="AX49" s="396"/>
      <c r="AY49" s="382"/>
      <c r="AZ49" s="24">
        <f>CHMTCmTm!AZ48</f>
        <v>0</v>
      </c>
      <c r="BC49" s="24">
        <f>COUNTIF(CHMTCmTm!O48, "Outreach Session")</f>
        <v>0</v>
      </c>
      <c r="BD49" s="24">
        <f>COUNTIF(CHMTCmTm!O48, "Mobile Clinic")</f>
        <v>0</v>
      </c>
      <c r="BE49" s="24">
        <f>COUNTIF(CHMTCmTm!O48, "Health Facility")</f>
        <v>0</v>
      </c>
    </row>
    <row r="50" spans="2:57" s="24" customFormat="1" ht="21.95" customHeight="1" x14ac:dyDescent="0.25">
      <c r="B50" s="397" t="str">
        <f>IF(CHMTCmTm!B49=0,"",CHMTCmTm!B49)</f>
        <v/>
      </c>
      <c r="C50" s="398"/>
      <c r="D50" s="399"/>
      <c r="E50" s="216">
        <f t="shared" si="0"/>
        <v>0</v>
      </c>
      <c r="F50" s="397" t="str">
        <f>IF(CHMTCmTm!F49=0,"",CHMTCmTm!F49)</f>
        <v/>
      </c>
      <c r="G50" s="398"/>
      <c r="H50" s="399"/>
      <c r="I50" s="381" t="str">
        <f>IF(CHMTCmTm!I49=0,"",CHMTCmTm!I49)</f>
        <v/>
      </c>
      <c r="J50" s="382"/>
      <c r="K50" s="381" t="str">
        <f>IF(CHMTCmTm!K49=0,"",CHMTCmTm!K49)</f>
        <v/>
      </c>
      <c r="L50" s="382"/>
      <c r="M50" s="381" t="str">
        <f>IF(CHMTCmTm!M49=0,"",CHMTCmTm!M49)</f>
        <v/>
      </c>
      <c r="N50" s="382"/>
      <c r="O50" s="381" t="str">
        <f>IF(CHMTCmTm!O49=0,"",CHMTCmTm!O49)</f>
        <v/>
      </c>
      <c r="P50" s="382"/>
      <c r="Q50" s="215" t="b">
        <f t="shared" si="1"/>
        <v>0</v>
      </c>
      <c r="R50" s="381" t="str">
        <f>IF(CHMTCmTm!R49=0,"",CHMTCmTm!R49)</f>
        <v/>
      </c>
      <c r="S50" s="382"/>
      <c r="T50" s="381" t="str">
        <f>IF(CHMTCmTm!T49=0,"",CHMTCmTm!T49)</f>
        <v/>
      </c>
      <c r="U50" s="382"/>
      <c r="V50" s="381" t="str">
        <f>IF(CHMTCmTm!V49=0,"",CHMTCmTm!V49)</f>
        <v/>
      </c>
      <c r="W50" s="396"/>
      <c r="X50" s="396"/>
      <c r="Y50" s="382"/>
      <c r="Z50" s="215">
        <f>CHMTCmTm!Z49</f>
        <v>0</v>
      </c>
      <c r="AA50" s="381" t="str">
        <f>IF(CHMTCmTm!AA49=0,"",CHMTCmTm!AA49)</f>
        <v/>
      </c>
      <c r="AB50" s="396"/>
      <c r="AC50" s="382"/>
      <c r="AD50" s="215">
        <f>CHMTCmTm!AD49</f>
        <v>0</v>
      </c>
      <c r="AE50" s="381" t="str">
        <f>IF(CHMTCmTm!AE49=0,"",CHMTCmTm!AE49)</f>
        <v/>
      </c>
      <c r="AF50" s="396"/>
      <c r="AG50" s="382"/>
      <c r="AH50" s="215">
        <f>CHMTCmTm!AH49</f>
        <v>0</v>
      </c>
      <c r="AI50" s="381" t="str">
        <f>IF(CHMTCmTm!AI49=0,"",CHMTCmTm!AI49)</f>
        <v/>
      </c>
      <c r="AJ50" s="396"/>
      <c r="AK50" s="382"/>
      <c r="AL50" s="215">
        <f>CHMTCmTm!AL49</f>
        <v>0</v>
      </c>
      <c r="AM50" s="381" t="str">
        <f>IF(CHMTCmTm!AM49=0,"",CHMTCmTm!AM49)</f>
        <v/>
      </c>
      <c r="AN50" s="396"/>
      <c r="AO50" s="382"/>
      <c r="AP50" s="381" t="str">
        <f>IF(CHMTCmTm!AP49=0,"",CHMTCmTm!AP49)</f>
        <v/>
      </c>
      <c r="AQ50" s="382"/>
      <c r="AR50" s="381" t="str">
        <f>IF(CHMTCmTm!AR49=0,"",CHMTCmTm!AR49)</f>
        <v/>
      </c>
      <c r="AS50" s="382"/>
      <c r="AT50" s="381" t="str">
        <f>IF(CHMTCmTm!AT49=0,"",CHMTCmTm!AT49)</f>
        <v/>
      </c>
      <c r="AU50" s="396"/>
      <c r="AV50" s="382"/>
      <c r="AW50" s="381" t="str">
        <f>IF(CHMTCmTm!AW49=0,"",CHMTCmTm!AW49)</f>
        <v/>
      </c>
      <c r="AX50" s="396"/>
      <c r="AY50" s="382"/>
      <c r="AZ50" s="24">
        <f>CHMTCmTm!AZ49</f>
        <v>0</v>
      </c>
      <c r="BC50" s="24">
        <f>COUNTIF(CHMTCmTm!O49, "Outreach Session")</f>
        <v>0</v>
      </c>
      <c r="BD50" s="24">
        <f>COUNTIF(CHMTCmTm!O49, "Mobile Clinic")</f>
        <v>0</v>
      </c>
      <c r="BE50" s="24">
        <f>COUNTIF(CHMTCmTm!O49, "Health Facility")</f>
        <v>0</v>
      </c>
    </row>
    <row r="51" spans="2:57" s="24" customFormat="1" ht="21.95" customHeight="1" x14ac:dyDescent="0.25">
      <c r="B51" s="397" t="str">
        <f>IF(CHMTCmTm!B50=0,"",CHMTCmTm!B50)</f>
        <v/>
      </c>
      <c r="C51" s="398"/>
      <c r="D51" s="399"/>
      <c r="E51" s="216">
        <f t="shared" si="0"/>
        <v>0</v>
      </c>
      <c r="F51" s="397" t="str">
        <f>IF(CHMTCmTm!F50=0,"",CHMTCmTm!F50)</f>
        <v/>
      </c>
      <c r="G51" s="398"/>
      <c r="H51" s="399"/>
      <c r="I51" s="381" t="str">
        <f>IF(CHMTCmTm!I50=0,"",CHMTCmTm!I50)</f>
        <v/>
      </c>
      <c r="J51" s="382"/>
      <c r="K51" s="381" t="str">
        <f>IF(CHMTCmTm!K50=0,"",CHMTCmTm!K50)</f>
        <v/>
      </c>
      <c r="L51" s="382"/>
      <c r="M51" s="381" t="str">
        <f>IF(CHMTCmTm!M50=0,"",CHMTCmTm!M50)</f>
        <v/>
      </c>
      <c r="N51" s="382"/>
      <c r="O51" s="381" t="str">
        <f>IF(CHMTCmTm!O50=0,"",CHMTCmTm!O50)</f>
        <v/>
      </c>
      <c r="P51" s="382"/>
      <c r="Q51" s="215" t="b">
        <f t="shared" si="1"/>
        <v>0</v>
      </c>
      <c r="R51" s="381" t="str">
        <f>IF(CHMTCmTm!R50=0,"",CHMTCmTm!R50)</f>
        <v/>
      </c>
      <c r="S51" s="382"/>
      <c r="T51" s="381" t="str">
        <f>IF(CHMTCmTm!T50=0,"",CHMTCmTm!T50)</f>
        <v/>
      </c>
      <c r="U51" s="382"/>
      <c r="V51" s="381" t="str">
        <f>IF(CHMTCmTm!V50=0,"",CHMTCmTm!V50)</f>
        <v/>
      </c>
      <c r="W51" s="396"/>
      <c r="X51" s="396"/>
      <c r="Y51" s="382"/>
      <c r="Z51" s="215">
        <f>CHMTCmTm!Z50</f>
        <v>0</v>
      </c>
      <c r="AA51" s="381" t="str">
        <f>IF(CHMTCmTm!AA50=0,"",CHMTCmTm!AA50)</f>
        <v/>
      </c>
      <c r="AB51" s="396"/>
      <c r="AC51" s="382"/>
      <c r="AD51" s="215">
        <f>CHMTCmTm!AD50</f>
        <v>0</v>
      </c>
      <c r="AE51" s="381" t="str">
        <f>IF(CHMTCmTm!AE50=0,"",CHMTCmTm!AE50)</f>
        <v/>
      </c>
      <c r="AF51" s="396"/>
      <c r="AG51" s="382"/>
      <c r="AH51" s="215">
        <f>CHMTCmTm!AH50</f>
        <v>0</v>
      </c>
      <c r="AI51" s="381" t="str">
        <f>IF(CHMTCmTm!AI50=0,"",CHMTCmTm!AI50)</f>
        <v/>
      </c>
      <c r="AJ51" s="396"/>
      <c r="AK51" s="382"/>
      <c r="AL51" s="215">
        <f>CHMTCmTm!AL50</f>
        <v>0</v>
      </c>
      <c r="AM51" s="381" t="str">
        <f>IF(CHMTCmTm!AM50=0,"",CHMTCmTm!AM50)</f>
        <v/>
      </c>
      <c r="AN51" s="396"/>
      <c r="AO51" s="382"/>
      <c r="AP51" s="381" t="str">
        <f>IF(CHMTCmTm!AP50=0,"",CHMTCmTm!AP50)</f>
        <v/>
      </c>
      <c r="AQ51" s="382"/>
      <c r="AR51" s="381" t="str">
        <f>IF(CHMTCmTm!AR50=0,"",CHMTCmTm!AR50)</f>
        <v/>
      </c>
      <c r="AS51" s="382"/>
      <c r="AT51" s="381" t="str">
        <f>IF(CHMTCmTm!AT50=0,"",CHMTCmTm!AT50)</f>
        <v/>
      </c>
      <c r="AU51" s="396"/>
      <c r="AV51" s="382"/>
      <c r="AW51" s="381" t="str">
        <f>IF(CHMTCmTm!AW50=0,"",CHMTCmTm!AW50)</f>
        <v/>
      </c>
      <c r="AX51" s="396"/>
      <c r="AY51" s="382"/>
      <c r="AZ51" s="24">
        <f>CHMTCmTm!AZ50</f>
        <v>0</v>
      </c>
      <c r="BC51" s="24">
        <f>COUNTIF(CHMTCmTm!O50, "Outreach Session")</f>
        <v>0</v>
      </c>
      <c r="BD51" s="24">
        <f>COUNTIF(CHMTCmTm!O50, "Mobile Clinic")</f>
        <v>0</v>
      </c>
      <c r="BE51" s="24">
        <f>COUNTIF(CHMTCmTm!O50, "Health Facility")</f>
        <v>0</v>
      </c>
    </row>
    <row r="52" spans="2:57" s="24" customFormat="1" ht="21.95" customHeight="1" x14ac:dyDescent="0.25">
      <c r="B52" s="397" t="str">
        <f>IF(CHMTCmTm!B51=0,"",CHMTCmTm!B51)</f>
        <v/>
      </c>
      <c r="C52" s="398"/>
      <c r="D52" s="399"/>
      <c r="E52" s="216">
        <f t="shared" si="0"/>
        <v>0</v>
      </c>
      <c r="F52" s="397" t="str">
        <f>IF(CHMTCmTm!F51=0,"",CHMTCmTm!F51)</f>
        <v/>
      </c>
      <c r="G52" s="398"/>
      <c r="H52" s="399"/>
      <c r="I52" s="381" t="str">
        <f>IF(CHMTCmTm!I51=0,"",CHMTCmTm!I51)</f>
        <v/>
      </c>
      <c r="J52" s="382"/>
      <c r="K52" s="381" t="str">
        <f>IF(CHMTCmTm!K51=0,"",CHMTCmTm!K51)</f>
        <v/>
      </c>
      <c r="L52" s="382"/>
      <c r="M52" s="381" t="str">
        <f>IF(CHMTCmTm!M51=0,"",CHMTCmTm!M51)</f>
        <v/>
      </c>
      <c r="N52" s="382"/>
      <c r="O52" s="381" t="str">
        <f>IF(CHMTCmTm!O51=0,"",CHMTCmTm!O51)</f>
        <v/>
      </c>
      <c r="P52" s="382"/>
      <c r="Q52" s="215" t="b">
        <f t="shared" si="1"/>
        <v>0</v>
      </c>
      <c r="R52" s="381" t="str">
        <f>IF(CHMTCmTm!R51=0,"",CHMTCmTm!R51)</f>
        <v/>
      </c>
      <c r="S52" s="382"/>
      <c r="T52" s="381" t="str">
        <f>IF(CHMTCmTm!T51=0,"",CHMTCmTm!T51)</f>
        <v/>
      </c>
      <c r="U52" s="382"/>
      <c r="V52" s="381" t="str">
        <f>IF(CHMTCmTm!V51=0,"",CHMTCmTm!V51)</f>
        <v/>
      </c>
      <c r="W52" s="396"/>
      <c r="X52" s="396"/>
      <c r="Y52" s="382"/>
      <c r="Z52" s="215">
        <f>CHMTCmTm!Z51</f>
        <v>0</v>
      </c>
      <c r="AA52" s="381" t="str">
        <f>IF(CHMTCmTm!AA51=0,"",CHMTCmTm!AA51)</f>
        <v/>
      </c>
      <c r="AB52" s="396"/>
      <c r="AC52" s="382"/>
      <c r="AD52" s="215">
        <f>CHMTCmTm!AD51</f>
        <v>0</v>
      </c>
      <c r="AE52" s="381" t="str">
        <f>IF(CHMTCmTm!AE51=0,"",CHMTCmTm!AE51)</f>
        <v/>
      </c>
      <c r="AF52" s="396"/>
      <c r="AG52" s="382"/>
      <c r="AH52" s="215">
        <f>CHMTCmTm!AH51</f>
        <v>0</v>
      </c>
      <c r="AI52" s="381" t="str">
        <f>IF(CHMTCmTm!AI51=0,"",CHMTCmTm!AI51)</f>
        <v/>
      </c>
      <c r="AJ52" s="396"/>
      <c r="AK52" s="382"/>
      <c r="AL52" s="215">
        <f>CHMTCmTm!AL51</f>
        <v>0</v>
      </c>
      <c r="AM52" s="381" t="str">
        <f>IF(CHMTCmTm!AM51=0,"",CHMTCmTm!AM51)</f>
        <v/>
      </c>
      <c r="AN52" s="396"/>
      <c r="AO52" s="382"/>
      <c r="AP52" s="381" t="str">
        <f>IF(CHMTCmTm!AP51=0,"",CHMTCmTm!AP51)</f>
        <v/>
      </c>
      <c r="AQ52" s="382"/>
      <c r="AR52" s="381" t="str">
        <f>IF(CHMTCmTm!AR51=0,"",CHMTCmTm!AR51)</f>
        <v/>
      </c>
      <c r="AS52" s="382"/>
      <c r="AT52" s="381" t="str">
        <f>IF(CHMTCmTm!AT51=0,"",CHMTCmTm!AT51)</f>
        <v/>
      </c>
      <c r="AU52" s="396"/>
      <c r="AV52" s="382"/>
      <c r="AW52" s="381" t="str">
        <f>IF(CHMTCmTm!AW51=0,"",CHMTCmTm!AW51)</f>
        <v/>
      </c>
      <c r="AX52" s="396"/>
      <c r="AY52" s="382"/>
      <c r="AZ52" s="24">
        <f>CHMTCmTm!AZ51</f>
        <v>0</v>
      </c>
      <c r="BC52" s="24">
        <f>COUNTIF(CHMTCmTm!O51, "Outreach Session")</f>
        <v>0</v>
      </c>
      <c r="BD52" s="24">
        <f>COUNTIF(CHMTCmTm!O51, "Mobile Clinic")</f>
        <v>0</v>
      </c>
      <c r="BE52" s="24">
        <f>COUNTIF(CHMTCmTm!O51, "Health Facility")</f>
        <v>0</v>
      </c>
    </row>
    <row r="53" spans="2:57" s="24" customFormat="1" ht="21.95" customHeight="1" x14ac:dyDescent="0.25">
      <c r="B53" s="397" t="str">
        <f>IF(CHMTCmTm!B52=0,"",CHMTCmTm!B52)</f>
        <v/>
      </c>
      <c r="C53" s="398"/>
      <c r="D53" s="399"/>
      <c r="E53" s="216">
        <f t="shared" si="0"/>
        <v>0</v>
      </c>
      <c r="F53" s="397" t="str">
        <f>IF(CHMTCmTm!F52=0,"",CHMTCmTm!F52)</f>
        <v/>
      </c>
      <c r="G53" s="398"/>
      <c r="H53" s="399"/>
      <c r="I53" s="381" t="str">
        <f>IF(CHMTCmTm!I52=0,"",CHMTCmTm!I52)</f>
        <v/>
      </c>
      <c r="J53" s="382"/>
      <c r="K53" s="381" t="str">
        <f>IF(CHMTCmTm!K52=0,"",CHMTCmTm!K52)</f>
        <v/>
      </c>
      <c r="L53" s="382"/>
      <c r="M53" s="381" t="str">
        <f>IF(CHMTCmTm!M52=0,"",CHMTCmTm!M52)</f>
        <v/>
      </c>
      <c r="N53" s="382"/>
      <c r="O53" s="381" t="str">
        <f>IF(CHMTCmTm!O52=0,"",CHMTCmTm!O52)</f>
        <v/>
      </c>
      <c r="P53" s="382"/>
      <c r="Q53" s="215" t="b">
        <f t="shared" si="1"/>
        <v>0</v>
      </c>
      <c r="R53" s="381" t="str">
        <f>IF(CHMTCmTm!R52=0,"",CHMTCmTm!R52)</f>
        <v/>
      </c>
      <c r="S53" s="382"/>
      <c r="T53" s="381" t="str">
        <f>IF(CHMTCmTm!T52=0,"",CHMTCmTm!T52)</f>
        <v/>
      </c>
      <c r="U53" s="382"/>
      <c r="V53" s="381" t="str">
        <f>IF(CHMTCmTm!V52=0,"",CHMTCmTm!V52)</f>
        <v/>
      </c>
      <c r="W53" s="396"/>
      <c r="X53" s="396"/>
      <c r="Y53" s="382"/>
      <c r="Z53" s="215">
        <f>CHMTCmTm!Z52</f>
        <v>0</v>
      </c>
      <c r="AA53" s="381" t="str">
        <f>IF(CHMTCmTm!AA52=0,"",CHMTCmTm!AA52)</f>
        <v/>
      </c>
      <c r="AB53" s="396"/>
      <c r="AC53" s="382"/>
      <c r="AD53" s="215">
        <f>CHMTCmTm!AD52</f>
        <v>0</v>
      </c>
      <c r="AE53" s="381" t="str">
        <f>IF(CHMTCmTm!AE52=0,"",CHMTCmTm!AE52)</f>
        <v/>
      </c>
      <c r="AF53" s="396"/>
      <c r="AG53" s="382"/>
      <c r="AH53" s="215">
        <f>CHMTCmTm!AH52</f>
        <v>0</v>
      </c>
      <c r="AI53" s="381" t="str">
        <f>IF(CHMTCmTm!AI52=0,"",CHMTCmTm!AI52)</f>
        <v/>
      </c>
      <c r="AJ53" s="396"/>
      <c r="AK53" s="382"/>
      <c r="AL53" s="215">
        <f>CHMTCmTm!AL52</f>
        <v>0</v>
      </c>
      <c r="AM53" s="381" t="str">
        <f>IF(CHMTCmTm!AM52=0,"",CHMTCmTm!AM52)</f>
        <v/>
      </c>
      <c r="AN53" s="396"/>
      <c r="AO53" s="382"/>
      <c r="AP53" s="381" t="str">
        <f>IF(CHMTCmTm!AP52=0,"",CHMTCmTm!AP52)</f>
        <v/>
      </c>
      <c r="AQ53" s="382"/>
      <c r="AR53" s="381" t="str">
        <f>IF(CHMTCmTm!AR52=0,"",CHMTCmTm!AR52)</f>
        <v/>
      </c>
      <c r="AS53" s="382"/>
      <c r="AT53" s="381" t="str">
        <f>IF(CHMTCmTm!AT52=0,"",CHMTCmTm!AT52)</f>
        <v/>
      </c>
      <c r="AU53" s="396"/>
      <c r="AV53" s="382"/>
      <c r="AW53" s="381" t="str">
        <f>IF(CHMTCmTm!AW52=0,"",CHMTCmTm!AW52)</f>
        <v/>
      </c>
      <c r="AX53" s="396"/>
      <c r="AY53" s="382"/>
      <c r="AZ53" s="24">
        <f>CHMTCmTm!AZ52</f>
        <v>0</v>
      </c>
      <c r="BC53" s="24">
        <f>COUNTIF(CHMTCmTm!O52, "Outreach Session")</f>
        <v>0</v>
      </c>
      <c r="BD53" s="24">
        <f>COUNTIF(CHMTCmTm!O52, "Mobile Clinic")</f>
        <v>0</v>
      </c>
      <c r="BE53" s="24">
        <f>COUNTIF(CHMTCmTm!O52, "Health Facility")</f>
        <v>0</v>
      </c>
    </row>
    <row r="54" spans="2:57" s="24" customFormat="1" ht="21.95" customHeight="1" x14ac:dyDescent="0.25">
      <c r="B54" s="397" t="str">
        <f>IF(CHMTCmTm!B53=0,"",CHMTCmTm!B53)</f>
        <v/>
      </c>
      <c r="C54" s="398"/>
      <c r="D54" s="399"/>
      <c r="E54" s="216">
        <f t="shared" si="0"/>
        <v>0</v>
      </c>
      <c r="F54" s="397" t="str">
        <f>IF(CHMTCmTm!F53=0,"",CHMTCmTm!F53)</f>
        <v/>
      </c>
      <c r="G54" s="398"/>
      <c r="H54" s="399"/>
      <c r="I54" s="381" t="str">
        <f>IF(CHMTCmTm!I53=0,"",CHMTCmTm!I53)</f>
        <v/>
      </c>
      <c r="J54" s="382"/>
      <c r="K54" s="381" t="str">
        <f>IF(CHMTCmTm!K53=0,"",CHMTCmTm!K53)</f>
        <v/>
      </c>
      <c r="L54" s="382"/>
      <c r="M54" s="381" t="str">
        <f>IF(CHMTCmTm!M53=0,"",CHMTCmTm!M53)</f>
        <v/>
      </c>
      <c r="N54" s="382"/>
      <c r="O54" s="381" t="str">
        <f>IF(CHMTCmTm!O53=0,"",CHMTCmTm!O53)</f>
        <v/>
      </c>
      <c r="P54" s="382"/>
      <c r="Q54" s="215" t="b">
        <f t="shared" si="1"/>
        <v>0</v>
      </c>
      <c r="R54" s="381" t="str">
        <f>IF(CHMTCmTm!R53=0,"",CHMTCmTm!R53)</f>
        <v/>
      </c>
      <c r="S54" s="382"/>
      <c r="T54" s="381" t="str">
        <f>IF(CHMTCmTm!T53=0,"",CHMTCmTm!T53)</f>
        <v/>
      </c>
      <c r="U54" s="382"/>
      <c r="V54" s="381" t="str">
        <f>IF(CHMTCmTm!V53=0,"",CHMTCmTm!V53)</f>
        <v/>
      </c>
      <c r="W54" s="396"/>
      <c r="X54" s="396"/>
      <c r="Y54" s="382"/>
      <c r="Z54" s="215">
        <f>CHMTCmTm!Z53</f>
        <v>0</v>
      </c>
      <c r="AA54" s="381" t="str">
        <f>IF(CHMTCmTm!AA53=0,"",CHMTCmTm!AA53)</f>
        <v/>
      </c>
      <c r="AB54" s="396"/>
      <c r="AC54" s="382"/>
      <c r="AD54" s="215">
        <f>CHMTCmTm!AD53</f>
        <v>0</v>
      </c>
      <c r="AE54" s="381" t="str">
        <f>IF(CHMTCmTm!AE53=0,"",CHMTCmTm!AE53)</f>
        <v/>
      </c>
      <c r="AF54" s="396"/>
      <c r="AG54" s="382"/>
      <c r="AH54" s="215">
        <f>CHMTCmTm!AH53</f>
        <v>0</v>
      </c>
      <c r="AI54" s="381" t="str">
        <f>IF(CHMTCmTm!AI53=0,"",CHMTCmTm!AI53)</f>
        <v/>
      </c>
      <c r="AJ54" s="396"/>
      <c r="AK54" s="382"/>
      <c r="AL54" s="215">
        <f>CHMTCmTm!AL53</f>
        <v>0</v>
      </c>
      <c r="AM54" s="381" t="str">
        <f>IF(CHMTCmTm!AM53=0,"",CHMTCmTm!AM53)</f>
        <v/>
      </c>
      <c r="AN54" s="396"/>
      <c r="AO54" s="382"/>
      <c r="AP54" s="381" t="str">
        <f>IF(CHMTCmTm!AP53=0,"",CHMTCmTm!AP53)</f>
        <v/>
      </c>
      <c r="AQ54" s="382"/>
      <c r="AR54" s="381" t="str">
        <f>IF(CHMTCmTm!AR53=0,"",CHMTCmTm!AR53)</f>
        <v/>
      </c>
      <c r="AS54" s="382"/>
      <c r="AT54" s="381" t="str">
        <f>IF(CHMTCmTm!AT53=0,"",CHMTCmTm!AT53)</f>
        <v/>
      </c>
      <c r="AU54" s="396"/>
      <c r="AV54" s="382"/>
      <c r="AW54" s="381" t="str">
        <f>IF(CHMTCmTm!AW53=0,"",CHMTCmTm!AW53)</f>
        <v/>
      </c>
      <c r="AX54" s="396"/>
      <c r="AY54" s="382"/>
      <c r="AZ54" s="24">
        <f>CHMTCmTm!AZ53</f>
        <v>0</v>
      </c>
      <c r="BC54" s="24">
        <f>COUNTIF(CHMTCmTm!O53, "Outreach Session")</f>
        <v>0</v>
      </c>
      <c r="BD54" s="24">
        <f>COUNTIF(CHMTCmTm!O53, "Mobile Clinic")</f>
        <v>0</v>
      </c>
      <c r="BE54" s="24">
        <f>COUNTIF(CHMTCmTm!O53, "Health Facility")</f>
        <v>0</v>
      </c>
    </row>
    <row r="55" spans="2:57" s="24" customFormat="1" ht="21.95" customHeight="1" x14ac:dyDescent="0.25">
      <c r="B55" s="397" t="str">
        <f>IF(CHMTCmTm!B54=0,"",CHMTCmTm!B54)</f>
        <v/>
      </c>
      <c r="C55" s="398"/>
      <c r="D55" s="399"/>
      <c r="E55" s="216">
        <f t="shared" si="0"/>
        <v>0</v>
      </c>
      <c r="F55" s="397" t="str">
        <f>IF(CHMTCmTm!F54=0,"",CHMTCmTm!F54)</f>
        <v/>
      </c>
      <c r="G55" s="398"/>
      <c r="H55" s="399"/>
      <c r="I55" s="381" t="str">
        <f>IF(CHMTCmTm!I54=0,"",CHMTCmTm!I54)</f>
        <v/>
      </c>
      <c r="J55" s="382"/>
      <c r="K55" s="381" t="str">
        <f>IF(CHMTCmTm!K54=0,"",CHMTCmTm!K54)</f>
        <v/>
      </c>
      <c r="L55" s="382"/>
      <c r="M55" s="381" t="str">
        <f>IF(CHMTCmTm!M54=0,"",CHMTCmTm!M54)</f>
        <v/>
      </c>
      <c r="N55" s="382"/>
      <c r="O55" s="381" t="str">
        <f>IF(CHMTCmTm!O54=0,"",CHMTCmTm!O54)</f>
        <v/>
      </c>
      <c r="P55" s="382"/>
      <c r="Q55" s="215" t="b">
        <f t="shared" si="1"/>
        <v>0</v>
      </c>
      <c r="R55" s="381" t="str">
        <f>IF(CHMTCmTm!R54=0,"",CHMTCmTm!R54)</f>
        <v/>
      </c>
      <c r="S55" s="382"/>
      <c r="T55" s="381" t="str">
        <f>IF(CHMTCmTm!T54=0,"",CHMTCmTm!T54)</f>
        <v/>
      </c>
      <c r="U55" s="382"/>
      <c r="V55" s="381" t="str">
        <f>IF(CHMTCmTm!V54=0,"",CHMTCmTm!V54)</f>
        <v/>
      </c>
      <c r="W55" s="396"/>
      <c r="X55" s="396"/>
      <c r="Y55" s="382"/>
      <c r="Z55" s="215">
        <f>CHMTCmTm!Z54</f>
        <v>0</v>
      </c>
      <c r="AA55" s="381" t="str">
        <f>IF(CHMTCmTm!AA54=0,"",CHMTCmTm!AA54)</f>
        <v/>
      </c>
      <c r="AB55" s="396"/>
      <c r="AC55" s="382"/>
      <c r="AD55" s="215">
        <f>CHMTCmTm!AD54</f>
        <v>0</v>
      </c>
      <c r="AE55" s="381" t="str">
        <f>IF(CHMTCmTm!AE54=0,"",CHMTCmTm!AE54)</f>
        <v/>
      </c>
      <c r="AF55" s="396"/>
      <c r="AG55" s="382"/>
      <c r="AH55" s="215">
        <f>CHMTCmTm!AH54</f>
        <v>0</v>
      </c>
      <c r="AI55" s="381" t="str">
        <f>IF(CHMTCmTm!AI54=0,"",CHMTCmTm!AI54)</f>
        <v/>
      </c>
      <c r="AJ55" s="396"/>
      <c r="AK55" s="382"/>
      <c r="AL55" s="215">
        <f>CHMTCmTm!AL54</f>
        <v>0</v>
      </c>
      <c r="AM55" s="381" t="str">
        <f>IF(CHMTCmTm!AM54=0,"",CHMTCmTm!AM54)</f>
        <v/>
      </c>
      <c r="AN55" s="396"/>
      <c r="AO55" s="382"/>
      <c r="AP55" s="381" t="str">
        <f>IF(CHMTCmTm!AP54=0,"",CHMTCmTm!AP54)</f>
        <v/>
      </c>
      <c r="AQ55" s="382"/>
      <c r="AR55" s="381" t="str">
        <f>IF(CHMTCmTm!AR54=0,"",CHMTCmTm!AR54)</f>
        <v/>
      </c>
      <c r="AS55" s="382"/>
      <c r="AT55" s="381" t="str">
        <f>IF(CHMTCmTm!AT54=0,"",CHMTCmTm!AT54)</f>
        <v/>
      </c>
      <c r="AU55" s="396"/>
      <c r="AV55" s="382"/>
      <c r="AW55" s="381" t="str">
        <f>IF(CHMTCmTm!AW54=0,"",CHMTCmTm!AW54)</f>
        <v/>
      </c>
      <c r="AX55" s="396"/>
      <c r="AY55" s="382"/>
      <c r="AZ55" s="24">
        <f>CHMTCmTm!AZ54</f>
        <v>0</v>
      </c>
      <c r="BC55" s="24">
        <f>COUNTIF(CHMTCmTm!O54, "Outreach Session")</f>
        <v>0</v>
      </c>
      <c r="BD55" s="24">
        <f>COUNTIF(CHMTCmTm!O54, "Mobile Clinic")</f>
        <v>0</v>
      </c>
      <c r="BE55" s="24">
        <f>COUNTIF(CHMTCmTm!O54, "Health Facility")</f>
        <v>0</v>
      </c>
    </row>
    <row r="56" spans="2:57" s="24" customFormat="1" ht="21.95" customHeight="1" x14ac:dyDescent="0.25">
      <c r="B56" s="397" t="str">
        <f>IF(CHMTCmTm!B55=0,"",CHMTCmTm!B55)</f>
        <v/>
      </c>
      <c r="C56" s="398"/>
      <c r="D56" s="399"/>
      <c r="E56" s="216">
        <f t="shared" si="0"/>
        <v>0</v>
      </c>
      <c r="F56" s="397" t="str">
        <f>IF(CHMTCmTm!F55=0,"",CHMTCmTm!F55)</f>
        <v/>
      </c>
      <c r="G56" s="398"/>
      <c r="H56" s="399"/>
      <c r="I56" s="381" t="str">
        <f>IF(CHMTCmTm!I55=0,"",CHMTCmTm!I55)</f>
        <v/>
      </c>
      <c r="J56" s="382"/>
      <c r="K56" s="381" t="str">
        <f>IF(CHMTCmTm!K55=0,"",CHMTCmTm!K55)</f>
        <v/>
      </c>
      <c r="L56" s="382"/>
      <c r="M56" s="381" t="str">
        <f>IF(CHMTCmTm!M55=0,"",CHMTCmTm!M55)</f>
        <v/>
      </c>
      <c r="N56" s="382"/>
      <c r="O56" s="381" t="str">
        <f>IF(CHMTCmTm!O55=0,"",CHMTCmTm!O55)</f>
        <v/>
      </c>
      <c r="P56" s="382"/>
      <c r="Q56" s="215" t="b">
        <f t="shared" si="1"/>
        <v>0</v>
      </c>
      <c r="R56" s="381" t="str">
        <f>IF(CHMTCmTm!R55=0,"",CHMTCmTm!R55)</f>
        <v/>
      </c>
      <c r="S56" s="382"/>
      <c r="T56" s="381" t="str">
        <f>IF(CHMTCmTm!T55=0,"",CHMTCmTm!T55)</f>
        <v/>
      </c>
      <c r="U56" s="382"/>
      <c r="V56" s="381" t="str">
        <f>IF(CHMTCmTm!V55=0,"",CHMTCmTm!V55)</f>
        <v/>
      </c>
      <c r="W56" s="396"/>
      <c r="X56" s="396"/>
      <c r="Y56" s="382"/>
      <c r="Z56" s="215">
        <f>CHMTCmTm!Z55</f>
        <v>0</v>
      </c>
      <c r="AA56" s="381" t="str">
        <f>IF(CHMTCmTm!AA55=0,"",CHMTCmTm!AA55)</f>
        <v/>
      </c>
      <c r="AB56" s="396"/>
      <c r="AC56" s="382"/>
      <c r="AD56" s="215">
        <f>CHMTCmTm!AD55</f>
        <v>0</v>
      </c>
      <c r="AE56" s="381" t="str">
        <f>IF(CHMTCmTm!AE55=0,"",CHMTCmTm!AE55)</f>
        <v/>
      </c>
      <c r="AF56" s="396"/>
      <c r="AG56" s="382"/>
      <c r="AH56" s="215">
        <f>CHMTCmTm!AH55</f>
        <v>0</v>
      </c>
      <c r="AI56" s="381" t="str">
        <f>IF(CHMTCmTm!AI55=0,"",CHMTCmTm!AI55)</f>
        <v/>
      </c>
      <c r="AJ56" s="396"/>
      <c r="AK56" s="382"/>
      <c r="AL56" s="215">
        <f>CHMTCmTm!AL55</f>
        <v>0</v>
      </c>
      <c r="AM56" s="381" t="str">
        <f>IF(CHMTCmTm!AM55=0,"",CHMTCmTm!AM55)</f>
        <v/>
      </c>
      <c r="AN56" s="396"/>
      <c r="AO56" s="382"/>
      <c r="AP56" s="381" t="str">
        <f>IF(CHMTCmTm!AP55=0,"",CHMTCmTm!AP55)</f>
        <v/>
      </c>
      <c r="AQ56" s="382"/>
      <c r="AR56" s="381" t="str">
        <f>IF(CHMTCmTm!AR55=0,"",CHMTCmTm!AR55)</f>
        <v/>
      </c>
      <c r="AS56" s="382"/>
      <c r="AT56" s="381" t="str">
        <f>IF(CHMTCmTm!AT55=0,"",CHMTCmTm!AT55)</f>
        <v/>
      </c>
      <c r="AU56" s="396"/>
      <c r="AV56" s="382"/>
      <c r="AW56" s="381" t="str">
        <f>IF(CHMTCmTm!AW55=0,"",CHMTCmTm!AW55)</f>
        <v/>
      </c>
      <c r="AX56" s="396"/>
      <c r="AY56" s="382"/>
      <c r="AZ56" s="24">
        <f>CHMTCmTm!AZ55</f>
        <v>0</v>
      </c>
      <c r="BC56" s="24">
        <f>COUNTIF(CHMTCmTm!O55, "Outreach Session")</f>
        <v>0</v>
      </c>
      <c r="BD56" s="24">
        <f>COUNTIF(CHMTCmTm!O55, "Mobile Clinic")</f>
        <v>0</v>
      </c>
      <c r="BE56" s="24">
        <f>COUNTIF(CHMTCmTm!O55, "Health Facility")</f>
        <v>0</v>
      </c>
    </row>
    <row r="57" spans="2:57" s="24" customFormat="1" ht="21.95" customHeight="1" x14ac:dyDescent="0.25">
      <c r="B57" s="397" t="str">
        <f>IF(CHMTCmTm!B56=0,"",CHMTCmTm!B56)</f>
        <v/>
      </c>
      <c r="C57" s="398"/>
      <c r="D57" s="399"/>
      <c r="E57" s="216">
        <f t="shared" si="0"/>
        <v>0</v>
      </c>
      <c r="F57" s="397" t="str">
        <f>IF(CHMTCmTm!F56=0,"",CHMTCmTm!F56)</f>
        <v/>
      </c>
      <c r="G57" s="398"/>
      <c r="H57" s="399"/>
      <c r="I57" s="381" t="str">
        <f>IF(CHMTCmTm!I56=0,"",CHMTCmTm!I56)</f>
        <v/>
      </c>
      <c r="J57" s="382"/>
      <c r="K57" s="381" t="str">
        <f>IF(CHMTCmTm!K56=0,"",CHMTCmTm!K56)</f>
        <v/>
      </c>
      <c r="L57" s="382"/>
      <c r="M57" s="381" t="str">
        <f>IF(CHMTCmTm!M56=0,"",CHMTCmTm!M56)</f>
        <v/>
      </c>
      <c r="N57" s="382"/>
      <c r="O57" s="381" t="str">
        <f>IF(CHMTCmTm!O56=0,"",CHMTCmTm!O56)</f>
        <v/>
      </c>
      <c r="P57" s="382"/>
      <c r="Q57" s="215" t="b">
        <f t="shared" si="1"/>
        <v>0</v>
      </c>
      <c r="R57" s="381" t="str">
        <f>IF(CHMTCmTm!R56=0,"",CHMTCmTm!R56)</f>
        <v/>
      </c>
      <c r="S57" s="382"/>
      <c r="T57" s="381" t="str">
        <f>IF(CHMTCmTm!T56=0,"",CHMTCmTm!T56)</f>
        <v/>
      </c>
      <c r="U57" s="382"/>
      <c r="V57" s="381" t="str">
        <f>IF(CHMTCmTm!V56=0,"",CHMTCmTm!V56)</f>
        <v/>
      </c>
      <c r="W57" s="396"/>
      <c r="X57" s="396"/>
      <c r="Y57" s="382"/>
      <c r="Z57" s="215">
        <f>CHMTCmTm!Z56</f>
        <v>0</v>
      </c>
      <c r="AA57" s="381" t="str">
        <f>IF(CHMTCmTm!AA56=0,"",CHMTCmTm!AA56)</f>
        <v/>
      </c>
      <c r="AB57" s="396"/>
      <c r="AC57" s="382"/>
      <c r="AD57" s="215">
        <f>CHMTCmTm!AD56</f>
        <v>0</v>
      </c>
      <c r="AE57" s="381" t="str">
        <f>IF(CHMTCmTm!AE56=0,"",CHMTCmTm!AE56)</f>
        <v/>
      </c>
      <c r="AF57" s="396"/>
      <c r="AG57" s="382"/>
      <c r="AH57" s="215">
        <f>CHMTCmTm!AH56</f>
        <v>0</v>
      </c>
      <c r="AI57" s="381" t="str">
        <f>IF(CHMTCmTm!AI56=0,"",CHMTCmTm!AI56)</f>
        <v/>
      </c>
      <c r="AJ57" s="396"/>
      <c r="AK57" s="382"/>
      <c r="AL57" s="215">
        <f>CHMTCmTm!AL56</f>
        <v>0</v>
      </c>
      <c r="AM57" s="381" t="str">
        <f>IF(CHMTCmTm!AM56=0,"",CHMTCmTm!AM56)</f>
        <v/>
      </c>
      <c r="AN57" s="396"/>
      <c r="AO57" s="382"/>
      <c r="AP57" s="381" t="str">
        <f>IF(CHMTCmTm!AP56=0,"",CHMTCmTm!AP56)</f>
        <v/>
      </c>
      <c r="AQ57" s="382"/>
      <c r="AR57" s="381" t="str">
        <f>IF(CHMTCmTm!AR56=0,"",CHMTCmTm!AR56)</f>
        <v/>
      </c>
      <c r="AS57" s="382"/>
      <c r="AT57" s="381" t="str">
        <f>IF(CHMTCmTm!AT56=0,"",CHMTCmTm!AT56)</f>
        <v/>
      </c>
      <c r="AU57" s="396"/>
      <c r="AV57" s="382"/>
      <c r="AW57" s="381" t="str">
        <f>IF(CHMTCmTm!AW56=0,"",CHMTCmTm!AW56)</f>
        <v/>
      </c>
      <c r="AX57" s="396"/>
      <c r="AY57" s="382"/>
      <c r="AZ57" s="24">
        <f>CHMTCmTm!AZ56</f>
        <v>0</v>
      </c>
      <c r="BC57" s="24">
        <f>COUNTIF(CHMTCmTm!O56, "Outreach Session")</f>
        <v>0</v>
      </c>
      <c r="BD57" s="24">
        <f>COUNTIF(CHMTCmTm!O56, "Mobile Clinic")</f>
        <v>0</v>
      </c>
      <c r="BE57" s="24">
        <f>COUNTIF(CHMTCmTm!O56, "Health Facility")</f>
        <v>0</v>
      </c>
    </row>
    <row r="58" spans="2:57" s="24" customFormat="1" ht="21.95" customHeight="1" x14ac:dyDescent="0.25">
      <c r="B58" s="397" t="str">
        <f>IF(CHMTCmTm!B57=0,"",CHMTCmTm!B57)</f>
        <v/>
      </c>
      <c r="C58" s="398"/>
      <c r="D58" s="399"/>
      <c r="E58" s="216">
        <f t="shared" si="0"/>
        <v>0</v>
      </c>
      <c r="F58" s="397" t="str">
        <f>IF(CHMTCmTm!F57=0,"",CHMTCmTm!F57)</f>
        <v/>
      </c>
      <c r="G58" s="398"/>
      <c r="H58" s="399"/>
      <c r="I58" s="381" t="str">
        <f>IF(CHMTCmTm!I57=0,"",CHMTCmTm!I57)</f>
        <v/>
      </c>
      <c r="J58" s="382"/>
      <c r="K58" s="381" t="str">
        <f>IF(CHMTCmTm!K57=0,"",CHMTCmTm!K57)</f>
        <v/>
      </c>
      <c r="L58" s="382"/>
      <c r="M58" s="381" t="str">
        <f>IF(CHMTCmTm!M57=0,"",CHMTCmTm!M57)</f>
        <v/>
      </c>
      <c r="N58" s="382"/>
      <c r="O58" s="381" t="str">
        <f>IF(CHMTCmTm!O57=0,"",CHMTCmTm!O57)</f>
        <v/>
      </c>
      <c r="P58" s="382"/>
      <c r="Q58" s="215" t="b">
        <f t="shared" si="1"/>
        <v>0</v>
      </c>
      <c r="R58" s="381" t="str">
        <f>IF(CHMTCmTm!R57=0,"",CHMTCmTm!R57)</f>
        <v/>
      </c>
      <c r="S58" s="382"/>
      <c r="T58" s="381" t="str">
        <f>IF(CHMTCmTm!T57=0,"",CHMTCmTm!T57)</f>
        <v/>
      </c>
      <c r="U58" s="382"/>
      <c r="V58" s="381" t="str">
        <f>IF(CHMTCmTm!V57=0,"",CHMTCmTm!V57)</f>
        <v/>
      </c>
      <c r="W58" s="396"/>
      <c r="X58" s="396"/>
      <c r="Y58" s="382"/>
      <c r="Z58" s="215">
        <f>CHMTCmTm!Z57</f>
        <v>0</v>
      </c>
      <c r="AA58" s="381" t="str">
        <f>IF(CHMTCmTm!AA57=0,"",CHMTCmTm!AA57)</f>
        <v/>
      </c>
      <c r="AB58" s="396"/>
      <c r="AC58" s="382"/>
      <c r="AD58" s="215">
        <f>CHMTCmTm!AD57</f>
        <v>0</v>
      </c>
      <c r="AE58" s="381" t="str">
        <f>IF(CHMTCmTm!AE57=0,"",CHMTCmTm!AE57)</f>
        <v/>
      </c>
      <c r="AF58" s="396"/>
      <c r="AG58" s="382"/>
      <c r="AH58" s="215">
        <f>CHMTCmTm!AH57</f>
        <v>0</v>
      </c>
      <c r="AI58" s="381" t="str">
        <f>IF(CHMTCmTm!AI57=0,"",CHMTCmTm!AI57)</f>
        <v/>
      </c>
      <c r="AJ58" s="396"/>
      <c r="AK58" s="382"/>
      <c r="AL58" s="215">
        <f>CHMTCmTm!AL57</f>
        <v>0</v>
      </c>
      <c r="AM58" s="381" t="str">
        <f>IF(CHMTCmTm!AM57=0,"",CHMTCmTm!AM57)</f>
        <v/>
      </c>
      <c r="AN58" s="396"/>
      <c r="AO58" s="382"/>
      <c r="AP58" s="381" t="str">
        <f>IF(CHMTCmTm!AP57=0,"",CHMTCmTm!AP57)</f>
        <v/>
      </c>
      <c r="AQ58" s="382"/>
      <c r="AR58" s="381" t="str">
        <f>IF(CHMTCmTm!AR57=0,"",CHMTCmTm!AR57)</f>
        <v/>
      </c>
      <c r="AS58" s="382"/>
      <c r="AT58" s="381" t="str">
        <f>IF(CHMTCmTm!AT57=0,"",CHMTCmTm!AT57)</f>
        <v/>
      </c>
      <c r="AU58" s="396"/>
      <c r="AV58" s="382"/>
      <c r="AW58" s="381" t="str">
        <f>IF(CHMTCmTm!AW57=0,"",CHMTCmTm!AW57)</f>
        <v/>
      </c>
      <c r="AX58" s="396"/>
      <c r="AY58" s="382"/>
      <c r="AZ58" s="24">
        <f>CHMTCmTm!AZ57</f>
        <v>0</v>
      </c>
      <c r="BC58" s="24">
        <f>COUNTIF(CHMTCmTm!O57, "Outreach Session")</f>
        <v>0</v>
      </c>
      <c r="BD58" s="24">
        <f>COUNTIF(CHMTCmTm!O57, "Mobile Clinic")</f>
        <v>0</v>
      </c>
      <c r="BE58" s="24">
        <f>COUNTIF(CHMTCmTm!O57, "Health Facility")</f>
        <v>0</v>
      </c>
    </row>
    <row r="59" spans="2:57" s="24" customFormat="1" ht="21.95" customHeight="1" x14ac:dyDescent="0.25">
      <c r="B59" s="397" t="str">
        <f>IF(CHMTCmTm!B58=0,"",CHMTCmTm!B58)</f>
        <v/>
      </c>
      <c r="C59" s="398"/>
      <c r="D59" s="399"/>
      <c r="E59" s="216">
        <f t="shared" si="0"/>
        <v>0</v>
      </c>
      <c r="F59" s="397" t="str">
        <f>IF(CHMTCmTm!F58=0,"",CHMTCmTm!F58)</f>
        <v/>
      </c>
      <c r="G59" s="398"/>
      <c r="H59" s="399"/>
      <c r="I59" s="381" t="str">
        <f>IF(CHMTCmTm!I58=0,"",CHMTCmTm!I58)</f>
        <v/>
      </c>
      <c r="J59" s="382"/>
      <c r="K59" s="381" t="str">
        <f>IF(CHMTCmTm!K58=0,"",CHMTCmTm!K58)</f>
        <v/>
      </c>
      <c r="L59" s="382"/>
      <c r="M59" s="381" t="str">
        <f>IF(CHMTCmTm!M58=0,"",CHMTCmTm!M58)</f>
        <v/>
      </c>
      <c r="N59" s="382"/>
      <c r="O59" s="381" t="str">
        <f>IF(CHMTCmTm!O58=0,"",CHMTCmTm!O58)</f>
        <v/>
      </c>
      <c r="P59" s="382"/>
      <c r="Q59" s="215" t="b">
        <f t="shared" si="1"/>
        <v>0</v>
      </c>
      <c r="R59" s="381" t="str">
        <f>IF(CHMTCmTm!R58=0,"",CHMTCmTm!R58)</f>
        <v/>
      </c>
      <c r="S59" s="382"/>
      <c r="T59" s="381" t="str">
        <f>IF(CHMTCmTm!T58=0,"",CHMTCmTm!T58)</f>
        <v/>
      </c>
      <c r="U59" s="382"/>
      <c r="V59" s="381" t="str">
        <f>IF(CHMTCmTm!V58=0,"",CHMTCmTm!V58)</f>
        <v/>
      </c>
      <c r="W59" s="396"/>
      <c r="X59" s="396"/>
      <c r="Y59" s="382"/>
      <c r="Z59" s="215">
        <f>CHMTCmTm!Z58</f>
        <v>0</v>
      </c>
      <c r="AA59" s="381" t="str">
        <f>IF(CHMTCmTm!AA58=0,"",CHMTCmTm!AA58)</f>
        <v/>
      </c>
      <c r="AB59" s="396"/>
      <c r="AC59" s="382"/>
      <c r="AD59" s="215">
        <f>CHMTCmTm!AD58</f>
        <v>0</v>
      </c>
      <c r="AE59" s="381" t="str">
        <f>IF(CHMTCmTm!AE58=0,"",CHMTCmTm!AE58)</f>
        <v/>
      </c>
      <c r="AF59" s="396"/>
      <c r="AG59" s="382"/>
      <c r="AH59" s="215">
        <f>CHMTCmTm!AH58</f>
        <v>0</v>
      </c>
      <c r="AI59" s="381" t="str">
        <f>IF(CHMTCmTm!AI58=0,"",CHMTCmTm!AI58)</f>
        <v/>
      </c>
      <c r="AJ59" s="396"/>
      <c r="AK59" s="382"/>
      <c r="AL59" s="215">
        <f>CHMTCmTm!AL58</f>
        <v>0</v>
      </c>
      <c r="AM59" s="381" t="str">
        <f>IF(CHMTCmTm!AM58=0,"",CHMTCmTm!AM58)</f>
        <v/>
      </c>
      <c r="AN59" s="396"/>
      <c r="AO59" s="382"/>
      <c r="AP59" s="381" t="str">
        <f>IF(CHMTCmTm!AP58=0,"",CHMTCmTm!AP58)</f>
        <v/>
      </c>
      <c r="AQ59" s="382"/>
      <c r="AR59" s="381" t="str">
        <f>IF(CHMTCmTm!AR58=0,"",CHMTCmTm!AR58)</f>
        <v/>
      </c>
      <c r="AS59" s="382"/>
      <c r="AT59" s="381" t="str">
        <f>IF(CHMTCmTm!AT58=0,"",CHMTCmTm!AT58)</f>
        <v/>
      </c>
      <c r="AU59" s="396"/>
      <c r="AV59" s="382"/>
      <c r="AW59" s="381" t="str">
        <f>IF(CHMTCmTm!AW58=0,"",CHMTCmTm!AW58)</f>
        <v/>
      </c>
      <c r="AX59" s="396"/>
      <c r="AY59" s="382"/>
      <c r="AZ59" s="24">
        <f>CHMTCmTm!AZ58</f>
        <v>0</v>
      </c>
      <c r="BC59" s="24">
        <f>COUNTIF(CHMTCmTm!O58, "Outreach Session")</f>
        <v>0</v>
      </c>
      <c r="BD59" s="24">
        <f>COUNTIF(CHMTCmTm!O58, "Mobile Clinic")</f>
        <v>0</v>
      </c>
      <c r="BE59" s="24">
        <f>COUNTIF(CHMTCmTm!O58, "Health Facility")</f>
        <v>0</v>
      </c>
    </row>
    <row r="60" spans="2:57" s="24" customFormat="1" ht="21.95" customHeight="1" x14ac:dyDescent="0.25">
      <c r="B60" s="397" t="str">
        <f>IF(CHMTCmTm!B59=0,"",CHMTCmTm!B59)</f>
        <v/>
      </c>
      <c r="C60" s="398"/>
      <c r="D60" s="399"/>
      <c r="E60" s="216">
        <f t="shared" si="0"/>
        <v>0</v>
      </c>
      <c r="F60" s="397" t="str">
        <f>IF(CHMTCmTm!F59=0,"",CHMTCmTm!F59)</f>
        <v/>
      </c>
      <c r="G60" s="398"/>
      <c r="H60" s="399"/>
      <c r="I60" s="381" t="str">
        <f>IF(CHMTCmTm!I59=0,"",CHMTCmTm!I59)</f>
        <v/>
      </c>
      <c r="J60" s="382"/>
      <c r="K60" s="381" t="str">
        <f>IF(CHMTCmTm!K59=0,"",CHMTCmTm!K59)</f>
        <v/>
      </c>
      <c r="L60" s="382"/>
      <c r="M60" s="381" t="str">
        <f>IF(CHMTCmTm!M59=0,"",CHMTCmTm!M59)</f>
        <v/>
      </c>
      <c r="N60" s="382"/>
      <c r="O60" s="381" t="str">
        <f>IF(CHMTCmTm!O59=0,"",CHMTCmTm!O59)</f>
        <v/>
      </c>
      <c r="P60" s="382"/>
      <c r="Q60" s="215" t="b">
        <f t="shared" si="1"/>
        <v>0</v>
      </c>
      <c r="R60" s="381" t="str">
        <f>IF(CHMTCmTm!R59=0,"",CHMTCmTm!R59)</f>
        <v/>
      </c>
      <c r="S60" s="382"/>
      <c r="T60" s="381" t="str">
        <f>IF(CHMTCmTm!T59=0,"",CHMTCmTm!T59)</f>
        <v/>
      </c>
      <c r="U60" s="382"/>
      <c r="V60" s="381" t="str">
        <f>IF(CHMTCmTm!V59=0,"",CHMTCmTm!V59)</f>
        <v/>
      </c>
      <c r="W60" s="396"/>
      <c r="X60" s="396"/>
      <c r="Y60" s="382"/>
      <c r="Z60" s="215">
        <f>CHMTCmTm!Z59</f>
        <v>0</v>
      </c>
      <c r="AA60" s="381" t="str">
        <f>IF(CHMTCmTm!AA59=0,"",CHMTCmTm!AA59)</f>
        <v/>
      </c>
      <c r="AB60" s="396"/>
      <c r="AC60" s="382"/>
      <c r="AD60" s="215">
        <f>CHMTCmTm!AD59</f>
        <v>0</v>
      </c>
      <c r="AE60" s="381" t="str">
        <f>IF(CHMTCmTm!AE59=0,"",CHMTCmTm!AE59)</f>
        <v/>
      </c>
      <c r="AF60" s="396"/>
      <c r="AG60" s="382"/>
      <c r="AH60" s="215">
        <f>CHMTCmTm!AH59</f>
        <v>0</v>
      </c>
      <c r="AI60" s="381" t="str">
        <f>IF(CHMTCmTm!AI59=0,"",CHMTCmTm!AI59)</f>
        <v/>
      </c>
      <c r="AJ60" s="396"/>
      <c r="AK60" s="382"/>
      <c r="AL60" s="215">
        <f>CHMTCmTm!AL59</f>
        <v>0</v>
      </c>
      <c r="AM60" s="381" t="str">
        <f>IF(CHMTCmTm!AM59=0,"",CHMTCmTm!AM59)</f>
        <v/>
      </c>
      <c r="AN60" s="396"/>
      <c r="AO60" s="382"/>
      <c r="AP60" s="381" t="str">
        <f>IF(CHMTCmTm!AP59=0,"",CHMTCmTm!AP59)</f>
        <v/>
      </c>
      <c r="AQ60" s="382"/>
      <c r="AR60" s="381" t="str">
        <f>IF(CHMTCmTm!AR59=0,"",CHMTCmTm!AR59)</f>
        <v/>
      </c>
      <c r="AS60" s="382"/>
      <c r="AT60" s="381" t="str">
        <f>IF(CHMTCmTm!AT59=0,"",CHMTCmTm!AT59)</f>
        <v/>
      </c>
      <c r="AU60" s="396"/>
      <c r="AV60" s="382"/>
      <c r="AW60" s="381" t="str">
        <f>IF(CHMTCmTm!AW59=0,"",CHMTCmTm!AW59)</f>
        <v/>
      </c>
      <c r="AX60" s="396"/>
      <c r="AY60" s="382"/>
      <c r="AZ60" s="24">
        <f>CHMTCmTm!AZ59</f>
        <v>0</v>
      </c>
      <c r="BC60" s="24">
        <f>COUNTIF(CHMTCmTm!O59, "Outreach Session")</f>
        <v>0</v>
      </c>
      <c r="BD60" s="24">
        <f>COUNTIF(CHMTCmTm!O59, "Mobile Clinic")</f>
        <v>0</v>
      </c>
      <c r="BE60" s="24">
        <f>COUNTIF(CHMTCmTm!O59, "Health Facility")</f>
        <v>0</v>
      </c>
    </row>
    <row r="61" spans="2:57" s="24" customFormat="1" ht="21.95" customHeight="1" x14ac:dyDescent="0.25">
      <c r="B61" s="397" t="str">
        <f>IF(CHMTCmTm!B60=0,"",CHMTCmTm!B60)</f>
        <v/>
      </c>
      <c r="C61" s="398"/>
      <c r="D61" s="399"/>
      <c r="E61" s="216">
        <f t="shared" si="0"/>
        <v>0</v>
      </c>
      <c r="F61" s="397" t="str">
        <f>IF(CHMTCmTm!F60=0,"",CHMTCmTm!F60)</f>
        <v/>
      </c>
      <c r="G61" s="398"/>
      <c r="H61" s="399"/>
      <c r="I61" s="381" t="str">
        <f>IF(CHMTCmTm!I60=0,"",CHMTCmTm!I60)</f>
        <v/>
      </c>
      <c r="J61" s="382"/>
      <c r="K61" s="381" t="str">
        <f>IF(CHMTCmTm!K60=0,"",CHMTCmTm!K60)</f>
        <v/>
      </c>
      <c r="L61" s="382"/>
      <c r="M61" s="381" t="str">
        <f>IF(CHMTCmTm!M60=0,"",CHMTCmTm!M60)</f>
        <v/>
      </c>
      <c r="N61" s="382"/>
      <c r="O61" s="381" t="str">
        <f>IF(CHMTCmTm!O60=0,"",CHMTCmTm!O60)</f>
        <v/>
      </c>
      <c r="P61" s="382"/>
      <c r="Q61" s="215" t="b">
        <f t="shared" si="1"/>
        <v>0</v>
      </c>
      <c r="R61" s="381" t="str">
        <f>IF(CHMTCmTm!R60=0,"",CHMTCmTm!R60)</f>
        <v/>
      </c>
      <c r="S61" s="382"/>
      <c r="T61" s="381" t="str">
        <f>IF(CHMTCmTm!T60=0,"",CHMTCmTm!T60)</f>
        <v/>
      </c>
      <c r="U61" s="382"/>
      <c r="V61" s="381" t="str">
        <f>IF(CHMTCmTm!V60=0,"",CHMTCmTm!V60)</f>
        <v/>
      </c>
      <c r="W61" s="396"/>
      <c r="X61" s="396"/>
      <c r="Y61" s="382"/>
      <c r="Z61" s="215">
        <f>CHMTCmTm!Z60</f>
        <v>0</v>
      </c>
      <c r="AA61" s="381" t="str">
        <f>IF(CHMTCmTm!AA60=0,"",CHMTCmTm!AA60)</f>
        <v/>
      </c>
      <c r="AB61" s="396"/>
      <c r="AC61" s="382"/>
      <c r="AD61" s="215">
        <f>CHMTCmTm!AD60</f>
        <v>0</v>
      </c>
      <c r="AE61" s="381" t="str">
        <f>IF(CHMTCmTm!AE60=0,"",CHMTCmTm!AE60)</f>
        <v/>
      </c>
      <c r="AF61" s="396"/>
      <c r="AG61" s="382"/>
      <c r="AH61" s="215">
        <f>CHMTCmTm!AH60</f>
        <v>0</v>
      </c>
      <c r="AI61" s="381" t="str">
        <f>IF(CHMTCmTm!AI60=0,"",CHMTCmTm!AI60)</f>
        <v/>
      </c>
      <c r="AJ61" s="396"/>
      <c r="AK61" s="382"/>
      <c r="AL61" s="215">
        <f>CHMTCmTm!AL60</f>
        <v>0</v>
      </c>
      <c r="AM61" s="381" t="str">
        <f>IF(CHMTCmTm!AM60=0,"",CHMTCmTm!AM60)</f>
        <v/>
      </c>
      <c r="AN61" s="396"/>
      <c r="AO61" s="382"/>
      <c r="AP61" s="381" t="str">
        <f>IF(CHMTCmTm!AP60=0,"",CHMTCmTm!AP60)</f>
        <v/>
      </c>
      <c r="AQ61" s="382"/>
      <c r="AR61" s="381" t="str">
        <f>IF(CHMTCmTm!AR60=0,"",CHMTCmTm!AR60)</f>
        <v/>
      </c>
      <c r="AS61" s="382"/>
      <c r="AT61" s="381" t="str">
        <f>IF(CHMTCmTm!AT60=0,"",CHMTCmTm!AT60)</f>
        <v/>
      </c>
      <c r="AU61" s="396"/>
      <c r="AV61" s="382"/>
      <c r="AW61" s="381" t="str">
        <f>IF(CHMTCmTm!AW60=0,"",CHMTCmTm!AW60)</f>
        <v/>
      </c>
      <c r="AX61" s="396"/>
      <c r="AY61" s="382"/>
      <c r="AZ61" s="24">
        <f>CHMTCmTm!AZ60</f>
        <v>0</v>
      </c>
      <c r="BC61" s="24">
        <f>COUNTIF(CHMTCmTm!O60, "Outreach Session")</f>
        <v>0</v>
      </c>
      <c r="BD61" s="24">
        <f>COUNTIF(CHMTCmTm!O60, "Mobile Clinic")</f>
        <v>0</v>
      </c>
      <c r="BE61" s="24">
        <f>COUNTIF(CHMTCmTm!O60, "Health Facility")</f>
        <v>0</v>
      </c>
    </row>
    <row r="62" spans="2:57" s="24" customFormat="1" ht="21.95" customHeight="1" x14ac:dyDescent="0.25">
      <c r="B62" s="397" t="str">
        <f>IF(CHMTCmTm!B61=0,"",CHMTCmTm!B61)</f>
        <v/>
      </c>
      <c r="C62" s="398"/>
      <c r="D62" s="399"/>
      <c r="E62" s="216">
        <f t="shared" si="0"/>
        <v>0</v>
      </c>
      <c r="F62" s="397" t="str">
        <f>IF(CHMTCmTm!F61=0,"",CHMTCmTm!F61)</f>
        <v/>
      </c>
      <c r="G62" s="398"/>
      <c r="H62" s="399"/>
      <c r="I62" s="381" t="str">
        <f>IF(CHMTCmTm!I61=0,"",CHMTCmTm!I61)</f>
        <v/>
      </c>
      <c r="J62" s="382"/>
      <c r="K62" s="381" t="str">
        <f>IF(CHMTCmTm!K61=0,"",CHMTCmTm!K61)</f>
        <v/>
      </c>
      <c r="L62" s="382"/>
      <c r="M62" s="381" t="str">
        <f>IF(CHMTCmTm!M61=0,"",CHMTCmTm!M61)</f>
        <v/>
      </c>
      <c r="N62" s="382"/>
      <c r="O62" s="381" t="str">
        <f>IF(CHMTCmTm!O61=0,"",CHMTCmTm!O61)</f>
        <v/>
      </c>
      <c r="P62" s="382"/>
      <c r="Q62" s="215" t="b">
        <f t="shared" si="1"/>
        <v>0</v>
      </c>
      <c r="R62" s="381" t="str">
        <f>IF(CHMTCmTm!R61=0,"",CHMTCmTm!R61)</f>
        <v/>
      </c>
      <c r="S62" s="382"/>
      <c r="T62" s="381" t="str">
        <f>IF(CHMTCmTm!T61=0,"",CHMTCmTm!T61)</f>
        <v/>
      </c>
      <c r="U62" s="382"/>
      <c r="V62" s="381" t="str">
        <f>IF(CHMTCmTm!V61=0,"",CHMTCmTm!V61)</f>
        <v/>
      </c>
      <c r="W62" s="396"/>
      <c r="X62" s="396"/>
      <c r="Y62" s="382"/>
      <c r="Z62" s="215">
        <f>CHMTCmTm!Z61</f>
        <v>0</v>
      </c>
      <c r="AA62" s="381" t="str">
        <f>IF(CHMTCmTm!AA61=0,"",CHMTCmTm!AA61)</f>
        <v/>
      </c>
      <c r="AB62" s="396"/>
      <c r="AC62" s="382"/>
      <c r="AD62" s="215">
        <f>CHMTCmTm!AD61</f>
        <v>0</v>
      </c>
      <c r="AE62" s="381" t="str">
        <f>IF(CHMTCmTm!AE61=0,"",CHMTCmTm!AE61)</f>
        <v/>
      </c>
      <c r="AF62" s="396"/>
      <c r="AG62" s="382"/>
      <c r="AH62" s="215">
        <f>CHMTCmTm!AH61</f>
        <v>0</v>
      </c>
      <c r="AI62" s="381" t="str">
        <f>IF(CHMTCmTm!AI61=0,"",CHMTCmTm!AI61)</f>
        <v/>
      </c>
      <c r="AJ62" s="396"/>
      <c r="AK62" s="382"/>
      <c r="AL62" s="215">
        <f>CHMTCmTm!AL61</f>
        <v>0</v>
      </c>
      <c r="AM62" s="381" t="str">
        <f>IF(CHMTCmTm!AM61=0,"",CHMTCmTm!AM61)</f>
        <v/>
      </c>
      <c r="AN62" s="396"/>
      <c r="AO62" s="382"/>
      <c r="AP62" s="381" t="str">
        <f>IF(CHMTCmTm!AP61=0,"",CHMTCmTm!AP61)</f>
        <v/>
      </c>
      <c r="AQ62" s="382"/>
      <c r="AR62" s="381" t="str">
        <f>IF(CHMTCmTm!AR61=0,"",CHMTCmTm!AR61)</f>
        <v/>
      </c>
      <c r="AS62" s="382"/>
      <c r="AT62" s="381" t="str">
        <f>IF(CHMTCmTm!AT61=0,"",CHMTCmTm!AT61)</f>
        <v/>
      </c>
      <c r="AU62" s="396"/>
      <c r="AV62" s="382"/>
      <c r="AW62" s="381" t="str">
        <f>IF(CHMTCmTm!AW61=0,"",CHMTCmTm!AW61)</f>
        <v/>
      </c>
      <c r="AX62" s="396"/>
      <c r="AY62" s="382"/>
      <c r="AZ62" s="24">
        <f>CHMTCmTm!AZ61</f>
        <v>0</v>
      </c>
      <c r="BC62" s="24">
        <f>COUNTIF(CHMTCmTm!O61, "Outreach Session")</f>
        <v>0</v>
      </c>
      <c r="BD62" s="24">
        <f>COUNTIF(CHMTCmTm!O61, "Mobile Clinic")</f>
        <v>0</v>
      </c>
      <c r="BE62" s="24">
        <f>COUNTIF(CHMTCmTm!O61, "Health Facility")</f>
        <v>0</v>
      </c>
    </row>
    <row r="63" spans="2:57" s="24" customFormat="1" ht="21.95" customHeight="1" x14ac:dyDescent="0.25">
      <c r="B63" s="397" t="str">
        <f>IF(CHMTCmTm!B62=0,"",CHMTCmTm!B62)</f>
        <v/>
      </c>
      <c r="C63" s="398"/>
      <c r="D63" s="399"/>
      <c r="E63" s="216">
        <f t="shared" si="0"/>
        <v>0</v>
      </c>
      <c r="F63" s="397" t="str">
        <f>IF(CHMTCmTm!F62=0,"",CHMTCmTm!F62)</f>
        <v/>
      </c>
      <c r="G63" s="398"/>
      <c r="H63" s="399"/>
      <c r="I63" s="381" t="str">
        <f>IF(CHMTCmTm!I62=0,"",CHMTCmTm!I62)</f>
        <v/>
      </c>
      <c r="J63" s="382"/>
      <c r="K63" s="381" t="str">
        <f>IF(CHMTCmTm!K62=0,"",CHMTCmTm!K62)</f>
        <v/>
      </c>
      <c r="L63" s="382"/>
      <c r="M63" s="381" t="str">
        <f>IF(CHMTCmTm!M62=0,"",CHMTCmTm!M62)</f>
        <v/>
      </c>
      <c r="N63" s="382"/>
      <c r="O63" s="381" t="str">
        <f>IF(CHMTCmTm!O62=0,"",CHMTCmTm!O62)</f>
        <v/>
      </c>
      <c r="P63" s="382"/>
      <c r="Q63" s="215" t="b">
        <f t="shared" si="1"/>
        <v>0</v>
      </c>
      <c r="R63" s="381" t="str">
        <f>IF(CHMTCmTm!R62=0,"",CHMTCmTm!R62)</f>
        <v/>
      </c>
      <c r="S63" s="382"/>
      <c r="T63" s="381" t="str">
        <f>IF(CHMTCmTm!T62=0,"",CHMTCmTm!T62)</f>
        <v/>
      </c>
      <c r="U63" s="382"/>
      <c r="V63" s="381" t="str">
        <f>IF(CHMTCmTm!V62=0,"",CHMTCmTm!V62)</f>
        <v/>
      </c>
      <c r="W63" s="396"/>
      <c r="X63" s="396"/>
      <c r="Y63" s="382"/>
      <c r="Z63" s="215">
        <f>CHMTCmTm!Z62</f>
        <v>0</v>
      </c>
      <c r="AA63" s="381" t="str">
        <f>IF(CHMTCmTm!AA62=0,"",CHMTCmTm!AA62)</f>
        <v/>
      </c>
      <c r="AB63" s="396"/>
      <c r="AC63" s="382"/>
      <c r="AD63" s="215">
        <f>CHMTCmTm!AD62</f>
        <v>0</v>
      </c>
      <c r="AE63" s="381" t="str">
        <f>IF(CHMTCmTm!AE62=0,"",CHMTCmTm!AE62)</f>
        <v/>
      </c>
      <c r="AF63" s="396"/>
      <c r="AG63" s="382"/>
      <c r="AH63" s="215">
        <f>CHMTCmTm!AH62</f>
        <v>0</v>
      </c>
      <c r="AI63" s="381" t="str">
        <f>IF(CHMTCmTm!AI62=0,"",CHMTCmTm!AI62)</f>
        <v/>
      </c>
      <c r="AJ63" s="396"/>
      <c r="AK63" s="382"/>
      <c r="AL63" s="215">
        <f>CHMTCmTm!AL62</f>
        <v>0</v>
      </c>
      <c r="AM63" s="381" t="str">
        <f>IF(CHMTCmTm!AM62=0,"",CHMTCmTm!AM62)</f>
        <v/>
      </c>
      <c r="AN63" s="396"/>
      <c r="AO63" s="382"/>
      <c r="AP63" s="381" t="str">
        <f>IF(CHMTCmTm!AP62=0,"",CHMTCmTm!AP62)</f>
        <v/>
      </c>
      <c r="AQ63" s="382"/>
      <c r="AR63" s="381" t="str">
        <f>IF(CHMTCmTm!AR62=0,"",CHMTCmTm!AR62)</f>
        <v/>
      </c>
      <c r="AS63" s="382"/>
      <c r="AT63" s="381" t="str">
        <f>IF(CHMTCmTm!AT62=0,"",CHMTCmTm!AT62)</f>
        <v/>
      </c>
      <c r="AU63" s="396"/>
      <c r="AV63" s="382"/>
      <c r="AW63" s="381" t="str">
        <f>IF(CHMTCmTm!AW62=0,"",CHMTCmTm!AW62)</f>
        <v/>
      </c>
      <c r="AX63" s="396"/>
      <c r="AY63" s="382"/>
      <c r="AZ63" s="24">
        <f>CHMTCmTm!AZ62</f>
        <v>0</v>
      </c>
      <c r="BC63" s="24">
        <f>COUNTIF(CHMTCmTm!O62, "Outreach Session")</f>
        <v>0</v>
      </c>
      <c r="BD63" s="24">
        <f>COUNTIF(CHMTCmTm!O62, "Mobile Clinic")</f>
        <v>0</v>
      </c>
      <c r="BE63" s="24">
        <f>COUNTIF(CHMTCmTm!O62, "Health Facility")</f>
        <v>0</v>
      </c>
    </row>
    <row r="64" spans="2:57" s="24" customFormat="1" ht="21.95" customHeight="1" x14ac:dyDescent="0.25">
      <c r="B64" s="397" t="str">
        <f>IF(CHMTCmTm!B63=0,"",CHMTCmTm!B63)</f>
        <v/>
      </c>
      <c r="C64" s="398"/>
      <c r="D64" s="399"/>
      <c r="E64" s="216">
        <f t="shared" si="0"/>
        <v>0</v>
      </c>
      <c r="F64" s="397" t="str">
        <f>IF(CHMTCmTm!F63=0,"",CHMTCmTm!F63)</f>
        <v/>
      </c>
      <c r="G64" s="398"/>
      <c r="H64" s="399"/>
      <c r="I64" s="381" t="str">
        <f>IF(CHMTCmTm!I63=0,"",CHMTCmTm!I63)</f>
        <v/>
      </c>
      <c r="J64" s="382"/>
      <c r="K64" s="381" t="str">
        <f>IF(CHMTCmTm!K63=0,"",CHMTCmTm!K63)</f>
        <v/>
      </c>
      <c r="L64" s="382"/>
      <c r="M64" s="381" t="str">
        <f>IF(CHMTCmTm!M63=0,"",CHMTCmTm!M63)</f>
        <v/>
      </c>
      <c r="N64" s="382"/>
      <c r="O64" s="381" t="str">
        <f>IF(CHMTCmTm!O63=0,"",CHMTCmTm!O63)</f>
        <v/>
      </c>
      <c r="P64" s="382"/>
      <c r="Q64" s="215" t="b">
        <f t="shared" si="1"/>
        <v>0</v>
      </c>
      <c r="R64" s="381" t="str">
        <f>IF(CHMTCmTm!R63=0,"",CHMTCmTm!R63)</f>
        <v/>
      </c>
      <c r="S64" s="382"/>
      <c r="T64" s="381" t="str">
        <f>IF(CHMTCmTm!T63=0,"",CHMTCmTm!T63)</f>
        <v/>
      </c>
      <c r="U64" s="382"/>
      <c r="V64" s="381" t="str">
        <f>IF(CHMTCmTm!V63=0,"",CHMTCmTm!V63)</f>
        <v/>
      </c>
      <c r="W64" s="396"/>
      <c r="X64" s="396"/>
      <c r="Y64" s="382"/>
      <c r="Z64" s="215">
        <f>CHMTCmTm!Z63</f>
        <v>0</v>
      </c>
      <c r="AA64" s="381" t="str">
        <f>IF(CHMTCmTm!AA63=0,"",CHMTCmTm!AA63)</f>
        <v/>
      </c>
      <c r="AB64" s="396"/>
      <c r="AC64" s="382"/>
      <c r="AD64" s="215">
        <f>CHMTCmTm!AD63</f>
        <v>0</v>
      </c>
      <c r="AE64" s="381" t="str">
        <f>IF(CHMTCmTm!AE63=0,"",CHMTCmTm!AE63)</f>
        <v/>
      </c>
      <c r="AF64" s="396"/>
      <c r="AG64" s="382"/>
      <c r="AH64" s="215">
        <f>CHMTCmTm!AH63</f>
        <v>0</v>
      </c>
      <c r="AI64" s="381" t="str">
        <f>IF(CHMTCmTm!AI63=0,"",CHMTCmTm!AI63)</f>
        <v/>
      </c>
      <c r="AJ64" s="396"/>
      <c r="AK64" s="382"/>
      <c r="AL64" s="215">
        <f>CHMTCmTm!AL63</f>
        <v>0</v>
      </c>
      <c r="AM64" s="381" t="str">
        <f>IF(CHMTCmTm!AM63=0,"",CHMTCmTm!AM63)</f>
        <v/>
      </c>
      <c r="AN64" s="396"/>
      <c r="AO64" s="382"/>
      <c r="AP64" s="381" t="str">
        <f>IF(CHMTCmTm!AP63=0,"",CHMTCmTm!AP63)</f>
        <v/>
      </c>
      <c r="AQ64" s="382"/>
      <c r="AR64" s="381" t="str">
        <f>IF(CHMTCmTm!AR63=0,"",CHMTCmTm!AR63)</f>
        <v/>
      </c>
      <c r="AS64" s="382"/>
      <c r="AT64" s="381" t="str">
        <f>IF(CHMTCmTm!AT63=0,"",CHMTCmTm!AT63)</f>
        <v/>
      </c>
      <c r="AU64" s="396"/>
      <c r="AV64" s="382"/>
      <c r="AW64" s="381" t="str">
        <f>IF(CHMTCmTm!AW63=0,"",CHMTCmTm!AW63)</f>
        <v/>
      </c>
      <c r="AX64" s="396"/>
      <c r="AY64" s="382"/>
      <c r="AZ64" s="24">
        <f>CHMTCmTm!AZ63</f>
        <v>0</v>
      </c>
      <c r="BC64" s="24">
        <f>COUNTIF(CHMTCmTm!O63, "Outreach Session")</f>
        <v>0</v>
      </c>
      <c r="BD64" s="24">
        <f>COUNTIF(CHMTCmTm!O63, "Mobile Clinic")</f>
        <v>0</v>
      </c>
      <c r="BE64" s="24">
        <f>COUNTIF(CHMTCmTm!O63, "Health Facility")</f>
        <v>0</v>
      </c>
    </row>
    <row r="65" spans="2:57" s="24" customFormat="1" ht="21.95" customHeight="1" x14ac:dyDescent="0.25">
      <c r="B65" s="397" t="str">
        <f>IF(CHMTCmTm!B64=0,"",CHMTCmTm!B64)</f>
        <v/>
      </c>
      <c r="C65" s="398"/>
      <c r="D65" s="399"/>
      <c r="E65" s="216">
        <f t="shared" si="0"/>
        <v>0</v>
      </c>
      <c r="F65" s="397" t="str">
        <f>IF(CHMTCmTm!F64=0,"",CHMTCmTm!F64)</f>
        <v/>
      </c>
      <c r="G65" s="398"/>
      <c r="H65" s="399"/>
      <c r="I65" s="381" t="str">
        <f>IF(CHMTCmTm!I64=0,"",CHMTCmTm!I64)</f>
        <v/>
      </c>
      <c r="J65" s="382"/>
      <c r="K65" s="381" t="str">
        <f>IF(CHMTCmTm!K64=0,"",CHMTCmTm!K64)</f>
        <v/>
      </c>
      <c r="L65" s="382"/>
      <c r="M65" s="381" t="str">
        <f>IF(CHMTCmTm!M64=0,"",CHMTCmTm!M64)</f>
        <v/>
      </c>
      <c r="N65" s="382"/>
      <c r="O65" s="381" t="str">
        <f>IF(CHMTCmTm!O64=0,"",CHMTCmTm!O64)</f>
        <v/>
      </c>
      <c r="P65" s="382"/>
      <c r="Q65" s="215" t="b">
        <f t="shared" si="1"/>
        <v>0</v>
      </c>
      <c r="R65" s="381" t="str">
        <f>IF(CHMTCmTm!R64=0,"",CHMTCmTm!R64)</f>
        <v/>
      </c>
      <c r="S65" s="382"/>
      <c r="T65" s="381" t="str">
        <f>IF(CHMTCmTm!T64=0,"",CHMTCmTm!T64)</f>
        <v/>
      </c>
      <c r="U65" s="382"/>
      <c r="V65" s="381" t="str">
        <f>IF(CHMTCmTm!V64=0,"",CHMTCmTm!V64)</f>
        <v/>
      </c>
      <c r="W65" s="396"/>
      <c r="X65" s="396"/>
      <c r="Y65" s="382"/>
      <c r="Z65" s="215">
        <f>CHMTCmTm!Z64</f>
        <v>0</v>
      </c>
      <c r="AA65" s="381" t="str">
        <f>IF(CHMTCmTm!AA64=0,"",CHMTCmTm!AA64)</f>
        <v/>
      </c>
      <c r="AB65" s="396"/>
      <c r="AC65" s="382"/>
      <c r="AD65" s="215">
        <f>CHMTCmTm!AD64</f>
        <v>0</v>
      </c>
      <c r="AE65" s="381" t="str">
        <f>IF(CHMTCmTm!AE64=0,"",CHMTCmTm!AE64)</f>
        <v/>
      </c>
      <c r="AF65" s="396"/>
      <c r="AG65" s="382"/>
      <c r="AH65" s="215">
        <f>CHMTCmTm!AH64</f>
        <v>0</v>
      </c>
      <c r="AI65" s="381" t="str">
        <f>IF(CHMTCmTm!AI64=0,"",CHMTCmTm!AI64)</f>
        <v/>
      </c>
      <c r="AJ65" s="396"/>
      <c r="AK65" s="382"/>
      <c r="AL65" s="215">
        <f>CHMTCmTm!AL64</f>
        <v>0</v>
      </c>
      <c r="AM65" s="381" t="str">
        <f>IF(CHMTCmTm!AM64=0,"",CHMTCmTm!AM64)</f>
        <v/>
      </c>
      <c r="AN65" s="396"/>
      <c r="AO65" s="382"/>
      <c r="AP65" s="381" t="str">
        <f>IF(CHMTCmTm!AP64=0,"",CHMTCmTm!AP64)</f>
        <v/>
      </c>
      <c r="AQ65" s="382"/>
      <c r="AR65" s="381" t="str">
        <f>IF(CHMTCmTm!AR64=0,"",CHMTCmTm!AR64)</f>
        <v/>
      </c>
      <c r="AS65" s="382"/>
      <c r="AT65" s="381" t="str">
        <f>IF(CHMTCmTm!AT64=0,"",CHMTCmTm!AT64)</f>
        <v/>
      </c>
      <c r="AU65" s="396"/>
      <c r="AV65" s="382"/>
      <c r="AW65" s="381" t="str">
        <f>IF(CHMTCmTm!AW64=0,"",CHMTCmTm!AW64)</f>
        <v/>
      </c>
      <c r="AX65" s="396"/>
      <c r="AY65" s="382"/>
      <c r="AZ65" s="24">
        <f>CHMTCmTm!AZ64</f>
        <v>0</v>
      </c>
      <c r="BC65" s="24">
        <f>COUNTIF(CHMTCmTm!O64, "Outreach Session")</f>
        <v>0</v>
      </c>
      <c r="BD65" s="24">
        <f>COUNTIF(CHMTCmTm!O64, "Mobile Clinic")</f>
        <v>0</v>
      </c>
      <c r="BE65" s="24">
        <f>COUNTIF(CHMTCmTm!O64, "Health Facility")</f>
        <v>0</v>
      </c>
    </row>
    <row r="66" spans="2:57" s="24" customFormat="1" ht="21.95" customHeight="1" x14ac:dyDescent="0.25">
      <c r="B66" s="397" t="str">
        <f>IF(CHMTCmTm!B65=0,"",CHMTCmTm!B65)</f>
        <v/>
      </c>
      <c r="C66" s="398"/>
      <c r="D66" s="399"/>
      <c r="E66" s="216">
        <f t="shared" si="0"/>
        <v>0</v>
      </c>
      <c r="F66" s="397" t="str">
        <f>IF(CHMTCmTm!F65=0,"",CHMTCmTm!F65)</f>
        <v/>
      </c>
      <c r="G66" s="398"/>
      <c r="H66" s="399"/>
      <c r="I66" s="381" t="str">
        <f>IF(CHMTCmTm!I65=0,"",CHMTCmTm!I65)</f>
        <v/>
      </c>
      <c r="J66" s="382"/>
      <c r="K66" s="381" t="str">
        <f>IF(CHMTCmTm!K65=0,"",CHMTCmTm!K65)</f>
        <v/>
      </c>
      <c r="L66" s="382"/>
      <c r="M66" s="381" t="str">
        <f>IF(CHMTCmTm!M65=0,"",CHMTCmTm!M65)</f>
        <v/>
      </c>
      <c r="N66" s="382"/>
      <c r="O66" s="381" t="str">
        <f>IF(CHMTCmTm!O65=0,"",CHMTCmTm!O65)</f>
        <v/>
      </c>
      <c r="P66" s="382"/>
      <c r="Q66" s="215" t="b">
        <f t="shared" si="1"/>
        <v>0</v>
      </c>
      <c r="R66" s="381" t="str">
        <f>IF(CHMTCmTm!R65=0,"",CHMTCmTm!R65)</f>
        <v/>
      </c>
      <c r="S66" s="382"/>
      <c r="T66" s="381" t="str">
        <f>IF(CHMTCmTm!T65=0,"",CHMTCmTm!T65)</f>
        <v/>
      </c>
      <c r="U66" s="382"/>
      <c r="V66" s="381" t="str">
        <f>IF(CHMTCmTm!V65=0,"",CHMTCmTm!V65)</f>
        <v/>
      </c>
      <c r="W66" s="396"/>
      <c r="X66" s="396"/>
      <c r="Y66" s="382"/>
      <c r="Z66" s="215">
        <f>CHMTCmTm!Z65</f>
        <v>0</v>
      </c>
      <c r="AA66" s="381" t="str">
        <f>IF(CHMTCmTm!AA65=0,"",CHMTCmTm!AA65)</f>
        <v/>
      </c>
      <c r="AB66" s="396"/>
      <c r="AC66" s="382"/>
      <c r="AD66" s="215">
        <f>CHMTCmTm!AD65</f>
        <v>0</v>
      </c>
      <c r="AE66" s="381" t="str">
        <f>IF(CHMTCmTm!AE65=0,"",CHMTCmTm!AE65)</f>
        <v/>
      </c>
      <c r="AF66" s="396"/>
      <c r="AG66" s="382"/>
      <c r="AH66" s="215">
        <f>CHMTCmTm!AH65</f>
        <v>0</v>
      </c>
      <c r="AI66" s="381" t="str">
        <f>IF(CHMTCmTm!AI65=0,"",CHMTCmTm!AI65)</f>
        <v/>
      </c>
      <c r="AJ66" s="396"/>
      <c r="AK66" s="382"/>
      <c r="AL66" s="215">
        <f>CHMTCmTm!AL65</f>
        <v>0</v>
      </c>
      <c r="AM66" s="381" t="str">
        <f>IF(CHMTCmTm!AM65=0,"",CHMTCmTm!AM65)</f>
        <v/>
      </c>
      <c r="AN66" s="396"/>
      <c r="AO66" s="382"/>
      <c r="AP66" s="381" t="str">
        <f>IF(CHMTCmTm!AP65=0,"",CHMTCmTm!AP65)</f>
        <v/>
      </c>
      <c r="AQ66" s="382"/>
      <c r="AR66" s="381" t="str">
        <f>IF(CHMTCmTm!AR65=0,"",CHMTCmTm!AR65)</f>
        <v/>
      </c>
      <c r="AS66" s="382"/>
      <c r="AT66" s="381" t="str">
        <f>IF(CHMTCmTm!AT65=0,"",CHMTCmTm!AT65)</f>
        <v/>
      </c>
      <c r="AU66" s="396"/>
      <c r="AV66" s="382"/>
      <c r="AW66" s="381" t="str">
        <f>IF(CHMTCmTm!AW65=0,"",CHMTCmTm!AW65)</f>
        <v/>
      </c>
      <c r="AX66" s="396"/>
      <c r="AY66" s="382"/>
      <c r="AZ66" s="24">
        <f>CHMTCmTm!AZ65</f>
        <v>0</v>
      </c>
      <c r="BC66" s="24">
        <f>COUNTIF(CHMTCmTm!O65, "Outreach Session")</f>
        <v>0</v>
      </c>
      <c r="BD66" s="24">
        <f>COUNTIF(CHMTCmTm!O65, "Mobile Clinic")</f>
        <v>0</v>
      </c>
      <c r="BE66" s="24">
        <f>COUNTIF(CHMTCmTm!O65, "Health Facility")</f>
        <v>0</v>
      </c>
    </row>
    <row r="67" spans="2:57" s="24" customFormat="1" ht="21.95" customHeight="1" x14ac:dyDescent="0.25">
      <c r="B67" s="397" t="str">
        <f>IF(CHMTCmTm!B66=0,"",CHMTCmTm!B66)</f>
        <v/>
      </c>
      <c r="C67" s="398"/>
      <c r="D67" s="399"/>
      <c r="E67" s="216">
        <f t="shared" si="0"/>
        <v>0</v>
      </c>
      <c r="F67" s="397" t="str">
        <f>IF(CHMTCmTm!F66=0,"",CHMTCmTm!F66)</f>
        <v/>
      </c>
      <c r="G67" s="398"/>
      <c r="H67" s="399"/>
      <c r="I67" s="381" t="str">
        <f>IF(CHMTCmTm!I66=0,"",CHMTCmTm!I66)</f>
        <v/>
      </c>
      <c r="J67" s="382"/>
      <c r="K67" s="381" t="str">
        <f>IF(CHMTCmTm!K66=0,"",CHMTCmTm!K66)</f>
        <v/>
      </c>
      <c r="L67" s="382"/>
      <c r="M67" s="381" t="str">
        <f>IF(CHMTCmTm!M66=0,"",CHMTCmTm!M66)</f>
        <v/>
      </c>
      <c r="N67" s="382"/>
      <c r="O67" s="381" t="str">
        <f>IF(CHMTCmTm!O66=0,"",CHMTCmTm!O66)</f>
        <v/>
      </c>
      <c r="P67" s="382"/>
      <c r="Q67" s="215" t="b">
        <f t="shared" si="1"/>
        <v>0</v>
      </c>
      <c r="R67" s="381" t="str">
        <f>IF(CHMTCmTm!R66=0,"",CHMTCmTm!R66)</f>
        <v/>
      </c>
      <c r="S67" s="382"/>
      <c r="T67" s="381" t="str">
        <f>IF(CHMTCmTm!T66=0,"",CHMTCmTm!T66)</f>
        <v/>
      </c>
      <c r="U67" s="382"/>
      <c r="V67" s="381" t="str">
        <f>IF(CHMTCmTm!V66=0,"",CHMTCmTm!V66)</f>
        <v/>
      </c>
      <c r="W67" s="396"/>
      <c r="X67" s="396"/>
      <c r="Y67" s="382"/>
      <c r="Z67" s="215">
        <f>CHMTCmTm!Z66</f>
        <v>0</v>
      </c>
      <c r="AA67" s="381" t="str">
        <f>IF(CHMTCmTm!AA66=0,"",CHMTCmTm!AA66)</f>
        <v/>
      </c>
      <c r="AB67" s="396"/>
      <c r="AC67" s="382"/>
      <c r="AD67" s="215">
        <f>CHMTCmTm!AD66</f>
        <v>0</v>
      </c>
      <c r="AE67" s="381" t="str">
        <f>IF(CHMTCmTm!AE66=0,"",CHMTCmTm!AE66)</f>
        <v/>
      </c>
      <c r="AF67" s="396"/>
      <c r="AG67" s="382"/>
      <c r="AH67" s="215">
        <f>CHMTCmTm!AH66</f>
        <v>0</v>
      </c>
      <c r="AI67" s="381" t="str">
        <f>IF(CHMTCmTm!AI66=0,"",CHMTCmTm!AI66)</f>
        <v/>
      </c>
      <c r="AJ67" s="396"/>
      <c r="AK67" s="382"/>
      <c r="AL67" s="215">
        <f>CHMTCmTm!AL66</f>
        <v>0</v>
      </c>
      <c r="AM67" s="381" t="str">
        <f>IF(CHMTCmTm!AM66=0,"",CHMTCmTm!AM66)</f>
        <v/>
      </c>
      <c r="AN67" s="396"/>
      <c r="AO67" s="382"/>
      <c r="AP67" s="381" t="str">
        <f>IF(CHMTCmTm!AP66=0,"",CHMTCmTm!AP66)</f>
        <v/>
      </c>
      <c r="AQ67" s="382"/>
      <c r="AR67" s="381" t="str">
        <f>IF(CHMTCmTm!AR66=0,"",CHMTCmTm!AR66)</f>
        <v/>
      </c>
      <c r="AS67" s="382"/>
      <c r="AT67" s="381" t="str">
        <f>IF(CHMTCmTm!AT66=0,"",CHMTCmTm!AT66)</f>
        <v/>
      </c>
      <c r="AU67" s="396"/>
      <c r="AV67" s="382"/>
      <c r="AW67" s="381" t="str">
        <f>IF(CHMTCmTm!AW66=0,"",CHMTCmTm!AW66)</f>
        <v/>
      </c>
      <c r="AX67" s="396"/>
      <c r="AY67" s="382"/>
      <c r="AZ67" s="24">
        <f>CHMTCmTm!AZ66</f>
        <v>0</v>
      </c>
      <c r="BC67" s="24">
        <f>COUNTIF(CHMTCmTm!O66, "Outreach Session")</f>
        <v>0</v>
      </c>
      <c r="BD67" s="24">
        <f>COUNTIF(CHMTCmTm!O66, "Mobile Clinic")</f>
        <v>0</v>
      </c>
      <c r="BE67" s="24">
        <f>COUNTIF(CHMTCmTm!O66, "Health Facility")</f>
        <v>0</v>
      </c>
    </row>
    <row r="68" spans="2:57" s="24" customFormat="1" ht="21.95" customHeight="1" x14ac:dyDescent="0.25">
      <c r="B68" s="397" t="str">
        <f>IF(CHMTCmTm!B67=0,"",CHMTCmTm!B67)</f>
        <v/>
      </c>
      <c r="C68" s="398"/>
      <c r="D68" s="399"/>
      <c r="E68" s="216">
        <f t="shared" si="0"/>
        <v>0</v>
      </c>
      <c r="F68" s="397" t="str">
        <f>IF(CHMTCmTm!F67=0,"",CHMTCmTm!F67)</f>
        <v/>
      </c>
      <c r="G68" s="398"/>
      <c r="H68" s="399"/>
      <c r="I68" s="381" t="str">
        <f>IF(CHMTCmTm!I67=0,"",CHMTCmTm!I67)</f>
        <v/>
      </c>
      <c r="J68" s="382"/>
      <c r="K68" s="381" t="str">
        <f>IF(CHMTCmTm!K67=0,"",CHMTCmTm!K67)</f>
        <v/>
      </c>
      <c r="L68" s="382"/>
      <c r="M68" s="381" t="str">
        <f>IF(CHMTCmTm!M67=0,"",CHMTCmTm!M67)</f>
        <v/>
      </c>
      <c r="N68" s="382"/>
      <c r="O68" s="381" t="str">
        <f>IF(CHMTCmTm!O67=0,"",CHMTCmTm!O67)</f>
        <v/>
      </c>
      <c r="P68" s="382"/>
      <c r="Q68" s="215" t="b">
        <f t="shared" si="1"/>
        <v>0</v>
      </c>
      <c r="R68" s="381" t="str">
        <f>IF(CHMTCmTm!R67=0,"",CHMTCmTm!R67)</f>
        <v/>
      </c>
      <c r="S68" s="382"/>
      <c r="T68" s="381" t="str">
        <f>IF(CHMTCmTm!T67=0,"",CHMTCmTm!T67)</f>
        <v/>
      </c>
      <c r="U68" s="382"/>
      <c r="V68" s="381" t="str">
        <f>IF(CHMTCmTm!V67=0,"",CHMTCmTm!V67)</f>
        <v/>
      </c>
      <c r="W68" s="396"/>
      <c r="X68" s="396"/>
      <c r="Y68" s="382"/>
      <c r="Z68" s="215">
        <f>CHMTCmTm!Z67</f>
        <v>0</v>
      </c>
      <c r="AA68" s="381" t="str">
        <f>IF(CHMTCmTm!AA67=0,"",CHMTCmTm!AA67)</f>
        <v/>
      </c>
      <c r="AB68" s="396"/>
      <c r="AC68" s="382"/>
      <c r="AD68" s="215">
        <f>CHMTCmTm!AD67</f>
        <v>0</v>
      </c>
      <c r="AE68" s="381" t="str">
        <f>IF(CHMTCmTm!AE67=0,"",CHMTCmTm!AE67)</f>
        <v/>
      </c>
      <c r="AF68" s="396"/>
      <c r="AG68" s="382"/>
      <c r="AH68" s="215">
        <f>CHMTCmTm!AH67</f>
        <v>0</v>
      </c>
      <c r="AI68" s="381" t="str">
        <f>IF(CHMTCmTm!AI67=0,"",CHMTCmTm!AI67)</f>
        <v/>
      </c>
      <c r="AJ68" s="396"/>
      <c r="AK68" s="382"/>
      <c r="AL68" s="215">
        <f>CHMTCmTm!AL67</f>
        <v>0</v>
      </c>
      <c r="AM68" s="381" t="str">
        <f>IF(CHMTCmTm!AM67=0,"",CHMTCmTm!AM67)</f>
        <v/>
      </c>
      <c r="AN68" s="396"/>
      <c r="AO68" s="382"/>
      <c r="AP68" s="381" t="str">
        <f>IF(CHMTCmTm!AP67=0,"",CHMTCmTm!AP67)</f>
        <v/>
      </c>
      <c r="AQ68" s="382"/>
      <c r="AR68" s="381" t="str">
        <f>IF(CHMTCmTm!AR67=0,"",CHMTCmTm!AR67)</f>
        <v/>
      </c>
      <c r="AS68" s="382"/>
      <c r="AT68" s="381" t="str">
        <f>IF(CHMTCmTm!AT67=0,"",CHMTCmTm!AT67)</f>
        <v/>
      </c>
      <c r="AU68" s="396"/>
      <c r="AV68" s="382"/>
      <c r="AW68" s="381" t="str">
        <f>IF(CHMTCmTm!AW67=0,"",CHMTCmTm!AW67)</f>
        <v/>
      </c>
      <c r="AX68" s="396"/>
      <c r="AY68" s="382"/>
      <c r="AZ68" s="24">
        <f>CHMTCmTm!AZ67</f>
        <v>0</v>
      </c>
      <c r="BC68" s="24">
        <f>COUNTIF(CHMTCmTm!O67, "Outreach Session")</f>
        <v>0</v>
      </c>
      <c r="BD68" s="24">
        <f>COUNTIF(CHMTCmTm!O67, "Mobile Clinic")</f>
        <v>0</v>
      </c>
      <c r="BE68" s="24">
        <f>COUNTIF(CHMTCmTm!O67, "Health Facility")</f>
        <v>0</v>
      </c>
    </row>
    <row r="69" spans="2:57" s="24" customFormat="1" ht="21.95" customHeight="1" x14ac:dyDescent="0.25">
      <c r="B69" s="397" t="str">
        <f>IF(CHMTCmTm!B68=0,"",CHMTCmTm!B68)</f>
        <v/>
      </c>
      <c r="C69" s="398"/>
      <c r="D69" s="399"/>
      <c r="E69" s="216">
        <f t="shared" si="0"/>
        <v>0</v>
      </c>
      <c r="F69" s="397" t="str">
        <f>IF(CHMTCmTm!F68=0,"",CHMTCmTm!F68)</f>
        <v/>
      </c>
      <c r="G69" s="398"/>
      <c r="H69" s="399"/>
      <c r="I69" s="381" t="str">
        <f>IF(CHMTCmTm!I68=0,"",CHMTCmTm!I68)</f>
        <v/>
      </c>
      <c r="J69" s="382"/>
      <c r="K69" s="381" t="str">
        <f>IF(CHMTCmTm!K68=0,"",CHMTCmTm!K68)</f>
        <v/>
      </c>
      <c r="L69" s="382"/>
      <c r="M69" s="381" t="str">
        <f>IF(CHMTCmTm!M68=0,"",CHMTCmTm!M68)</f>
        <v/>
      </c>
      <c r="N69" s="382"/>
      <c r="O69" s="381" t="str">
        <f>IF(CHMTCmTm!O68=0,"",CHMTCmTm!O68)</f>
        <v/>
      </c>
      <c r="P69" s="382"/>
      <c r="Q69" s="215" t="b">
        <f t="shared" si="1"/>
        <v>0</v>
      </c>
      <c r="R69" s="381" t="str">
        <f>IF(CHMTCmTm!R68=0,"",CHMTCmTm!R68)</f>
        <v/>
      </c>
      <c r="S69" s="382"/>
      <c r="T69" s="381" t="str">
        <f>IF(CHMTCmTm!T68=0,"",CHMTCmTm!T68)</f>
        <v/>
      </c>
      <c r="U69" s="382"/>
      <c r="V69" s="381" t="str">
        <f>IF(CHMTCmTm!V68=0,"",CHMTCmTm!V68)</f>
        <v/>
      </c>
      <c r="W69" s="396"/>
      <c r="X69" s="396"/>
      <c r="Y69" s="382"/>
      <c r="Z69" s="215">
        <f>CHMTCmTm!Z68</f>
        <v>0</v>
      </c>
      <c r="AA69" s="381" t="str">
        <f>IF(CHMTCmTm!AA68=0,"",CHMTCmTm!AA68)</f>
        <v/>
      </c>
      <c r="AB69" s="396"/>
      <c r="AC69" s="382"/>
      <c r="AD69" s="215">
        <f>CHMTCmTm!AD68</f>
        <v>0</v>
      </c>
      <c r="AE69" s="381" t="str">
        <f>IF(CHMTCmTm!AE68=0,"",CHMTCmTm!AE68)</f>
        <v/>
      </c>
      <c r="AF69" s="396"/>
      <c r="AG69" s="382"/>
      <c r="AH69" s="215">
        <f>CHMTCmTm!AH68</f>
        <v>0</v>
      </c>
      <c r="AI69" s="381" t="str">
        <f>IF(CHMTCmTm!AI68=0,"",CHMTCmTm!AI68)</f>
        <v/>
      </c>
      <c r="AJ69" s="396"/>
      <c r="AK69" s="382"/>
      <c r="AL69" s="215">
        <f>CHMTCmTm!AL68</f>
        <v>0</v>
      </c>
      <c r="AM69" s="381" t="str">
        <f>IF(CHMTCmTm!AM68=0,"",CHMTCmTm!AM68)</f>
        <v/>
      </c>
      <c r="AN69" s="396"/>
      <c r="AO69" s="382"/>
      <c r="AP69" s="381" t="str">
        <f>IF(CHMTCmTm!AP68=0,"",CHMTCmTm!AP68)</f>
        <v/>
      </c>
      <c r="AQ69" s="382"/>
      <c r="AR69" s="381" t="str">
        <f>IF(CHMTCmTm!AR68=0,"",CHMTCmTm!AR68)</f>
        <v/>
      </c>
      <c r="AS69" s="382"/>
      <c r="AT69" s="381" t="str">
        <f>IF(CHMTCmTm!AT68=0,"",CHMTCmTm!AT68)</f>
        <v/>
      </c>
      <c r="AU69" s="396"/>
      <c r="AV69" s="382"/>
      <c r="AW69" s="381" t="str">
        <f>IF(CHMTCmTm!AW68=0,"",CHMTCmTm!AW68)</f>
        <v/>
      </c>
      <c r="AX69" s="396"/>
      <c r="AY69" s="382"/>
      <c r="AZ69" s="24">
        <f>CHMTCmTm!AZ68</f>
        <v>0</v>
      </c>
      <c r="BC69" s="24">
        <f>COUNTIF(CHMTCmTm!O68, "Outreach Session")</f>
        <v>0</v>
      </c>
      <c r="BD69" s="24">
        <f>COUNTIF(CHMTCmTm!O68, "Mobile Clinic")</f>
        <v>0</v>
      </c>
      <c r="BE69" s="24">
        <f>COUNTIF(CHMTCmTm!O68, "Health Facility")</f>
        <v>0</v>
      </c>
    </row>
    <row r="70" spans="2:57" s="24" customFormat="1" ht="21.95" customHeight="1" x14ac:dyDescent="0.25">
      <c r="B70" s="397" t="str">
        <f>IF(CHMTCmTm!B69=0,"",CHMTCmTm!B69)</f>
        <v/>
      </c>
      <c r="C70" s="398"/>
      <c r="D70" s="399"/>
      <c r="E70" s="216">
        <f t="shared" si="0"/>
        <v>0</v>
      </c>
      <c r="F70" s="397" t="str">
        <f>IF(CHMTCmTm!F69=0,"",CHMTCmTm!F69)</f>
        <v/>
      </c>
      <c r="G70" s="398"/>
      <c r="H70" s="399"/>
      <c r="I70" s="381" t="str">
        <f>IF(CHMTCmTm!I69=0,"",CHMTCmTm!I69)</f>
        <v/>
      </c>
      <c r="J70" s="382"/>
      <c r="K70" s="381" t="str">
        <f>IF(CHMTCmTm!K69=0,"",CHMTCmTm!K69)</f>
        <v/>
      </c>
      <c r="L70" s="382"/>
      <c r="M70" s="381" t="str">
        <f>IF(CHMTCmTm!M69=0,"",CHMTCmTm!M69)</f>
        <v/>
      </c>
      <c r="N70" s="382"/>
      <c r="O70" s="381" t="str">
        <f>IF(CHMTCmTm!O69=0,"",CHMTCmTm!O69)</f>
        <v/>
      </c>
      <c r="P70" s="382"/>
      <c r="Q70" s="215" t="b">
        <f t="shared" si="1"/>
        <v>0</v>
      </c>
      <c r="R70" s="381" t="str">
        <f>IF(CHMTCmTm!R69=0,"",CHMTCmTm!R69)</f>
        <v/>
      </c>
      <c r="S70" s="382"/>
      <c r="T70" s="381" t="str">
        <f>IF(CHMTCmTm!T69=0,"",CHMTCmTm!T69)</f>
        <v/>
      </c>
      <c r="U70" s="382"/>
      <c r="V70" s="381" t="str">
        <f>IF(CHMTCmTm!V69=0,"",CHMTCmTm!V69)</f>
        <v/>
      </c>
      <c r="W70" s="396"/>
      <c r="X70" s="396"/>
      <c r="Y70" s="382"/>
      <c r="Z70" s="215">
        <f>CHMTCmTm!Z69</f>
        <v>0</v>
      </c>
      <c r="AA70" s="381" t="str">
        <f>IF(CHMTCmTm!AA69=0,"",CHMTCmTm!AA69)</f>
        <v/>
      </c>
      <c r="AB70" s="396"/>
      <c r="AC70" s="382"/>
      <c r="AD70" s="215">
        <f>CHMTCmTm!AD69</f>
        <v>0</v>
      </c>
      <c r="AE70" s="381" t="str">
        <f>IF(CHMTCmTm!AE69=0,"",CHMTCmTm!AE69)</f>
        <v/>
      </c>
      <c r="AF70" s="396"/>
      <c r="AG70" s="382"/>
      <c r="AH70" s="215">
        <f>CHMTCmTm!AH69</f>
        <v>0</v>
      </c>
      <c r="AI70" s="381" t="str">
        <f>IF(CHMTCmTm!AI69=0,"",CHMTCmTm!AI69)</f>
        <v/>
      </c>
      <c r="AJ70" s="396"/>
      <c r="AK70" s="382"/>
      <c r="AL70" s="215">
        <f>CHMTCmTm!AL69</f>
        <v>0</v>
      </c>
      <c r="AM70" s="381" t="str">
        <f>IF(CHMTCmTm!AM69=0,"",CHMTCmTm!AM69)</f>
        <v/>
      </c>
      <c r="AN70" s="396"/>
      <c r="AO70" s="382"/>
      <c r="AP70" s="381" t="str">
        <f>IF(CHMTCmTm!AP69=0,"",CHMTCmTm!AP69)</f>
        <v/>
      </c>
      <c r="AQ70" s="382"/>
      <c r="AR70" s="381" t="str">
        <f>IF(CHMTCmTm!AR69=0,"",CHMTCmTm!AR69)</f>
        <v/>
      </c>
      <c r="AS70" s="382"/>
      <c r="AT70" s="381" t="str">
        <f>IF(CHMTCmTm!AT69=0,"",CHMTCmTm!AT69)</f>
        <v/>
      </c>
      <c r="AU70" s="396"/>
      <c r="AV70" s="382"/>
      <c r="AW70" s="381" t="str">
        <f>IF(CHMTCmTm!AW69=0,"",CHMTCmTm!AW69)</f>
        <v/>
      </c>
      <c r="AX70" s="396"/>
      <c r="AY70" s="382"/>
      <c r="AZ70" s="24">
        <f>CHMTCmTm!AZ69</f>
        <v>0</v>
      </c>
      <c r="BC70" s="24">
        <f>COUNTIF(CHMTCmTm!O69, "Outreach Session")</f>
        <v>0</v>
      </c>
      <c r="BD70" s="24">
        <f>COUNTIF(CHMTCmTm!O69, "Mobile Clinic")</f>
        <v>0</v>
      </c>
      <c r="BE70" s="24">
        <f>COUNTIF(CHMTCmTm!O69, "Health Facility")</f>
        <v>0</v>
      </c>
    </row>
    <row r="71" spans="2:57" s="24" customFormat="1" ht="21.95" customHeight="1" x14ac:dyDescent="0.25">
      <c r="B71" s="397" t="str">
        <f>IF(CHMTCmTm!B70=0,"",CHMTCmTm!B70)</f>
        <v/>
      </c>
      <c r="C71" s="398"/>
      <c r="D71" s="399"/>
      <c r="E71" s="216">
        <f t="shared" si="0"/>
        <v>0</v>
      </c>
      <c r="F71" s="397" t="str">
        <f>IF(CHMTCmTm!F70=0,"",CHMTCmTm!F70)</f>
        <v/>
      </c>
      <c r="G71" s="398"/>
      <c r="H71" s="399"/>
      <c r="I71" s="381" t="str">
        <f>IF(CHMTCmTm!I70=0,"",CHMTCmTm!I70)</f>
        <v/>
      </c>
      <c r="J71" s="382"/>
      <c r="K71" s="381" t="str">
        <f>IF(CHMTCmTm!K70=0,"",CHMTCmTm!K70)</f>
        <v/>
      </c>
      <c r="L71" s="382"/>
      <c r="M71" s="381" t="str">
        <f>IF(CHMTCmTm!M70=0,"",CHMTCmTm!M70)</f>
        <v/>
      </c>
      <c r="N71" s="382"/>
      <c r="O71" s="381" t="str">
        <f>IF(CHMTCmTm!O70=0,"",CHMTCmTm!O70)</f>
        <v/>
      </c>
      <c r="P71" s="382"/>
      <c r="Q71" s="215" t="b">
        <f t="shared" si="1"/>
        <v>0</v>
      </c>
      <c r="R71" s="381" t="str">
        <f>IF(CHMTCmTm!R70=0,"",CHMTCmTm!R70)</f>
        <v/>
      </c>
      <c r="S71" s="382"/>
      <c r="T71" s="381" t="str">
        <f>IF(CHMTCmTm!T70=0,"",CHMTCmTm!T70)</f>
        <v/>
      </c>
      <c r="U71" s="382"/>
      <c r="V71" s="381" t="str">
        <f>IF(CHMTCmTm!V70=0,"",CHMTCmTm!V70)</f>
        <v/>
      </c>
      <c r="W71" s="396"/>
      <c r="X71" s="396"/>
      <c r="Y71" s="382"/>
      <c r="Z71" s="215">
        <f>CHMTCmTm!Z70</f>
        <v>0</v>
      </c>
      <c r="AA71" s="381" t="str">
        <f>IF(CHMTCmTm!AA70=0,"",CHMTCmTm!AA70)</f>
        <v/>
      </c>
      <c r="AB71" s="396"/>
      <c r="AC71" s="382"/>
      <c r="AD71" s="215">
        <f>CHMTCmTm!AD70</f>
        <v>0</v>
      </c>
      <c r="AE71" s="381" t="str">
        <f>IF(CHMTCmTm!AE70=0,"",CHMTCmTm!AE70)</f>
        <v/>
      </c>
      <c r="AF71" s="396"/>
      <c r="AG71" s="382"/>
      <c r="AH71" s="215">
        <f>CHMTCmTm!AH70</f>
        <v>0</v>
      </c>
      <c r="AI71" s="381" t="str">
        <f>IF(CHMTCmTm!AI70=0,"",CHMTCmTm!AI70)</f>
        <v/>
      </c>
      <c r="AJ71" s="396"/>
      <c r="AK71" s="382"/>
      <c r="AL71" s="215">
        <f>CHMTCmTm!AL70</f>
        <v>0</v>
      </c>
      <c r="AM71" s="381" t="str">
        <f>IF(CHMTCmTm!AM70=0,"",CHMTCmTm!AM70)</f>
        <v/>
      </c>
      <c r="AN71" s="396"/>
      <c r="AO71" s="382"/>
      <c r="AP71" s="381" t="str">
        <f>IF(CHMTCmTm!AP70=0,"",CHMTCmTm!AP70)</f>
        <v/>
      </c>
      <c r="AQ71" s="382"/>
      <c r="AR71" s="381" t="str">
        <f>IF(CHMTCmTm!AR70=0,"",CHMTCmTm!AR70)</f>
        <v/>
      </c>
      <c r="AS71" s="382"/>
      <c r="AT71" s="381" t="str">
        <f>IF(CHMTCmTm!AT70=0,"",CHMTCmTm!AT70)</f>
        <v/>
      </c>
      <c r="AU71" s="396"/>
      <c r="AV71" s="382"/>
      <c r="AW71" s="381" t="str">
        <f>IF(CHMTCmTm!AW70=0,"",CHMTCmTm!AW70)</f>
        <v/>
      </c>
      <c r="AX71" s="396"/>
      <c r="AY71" s="382"/>
      <c r="AZ71" s="24">
        <f>CHMTCmTm!AZ70</f>
        <v>0</v>
      </c>
      <c r="BC71" s="24">
        <f>COUNTIF(CHMTCmTm!O70, "Outreach Session")</f>
        <v>0</v>
      </c>
      <c r="BD71" s="24">
        <f>COUNTIF(CHMTCmTm!O70, "Mobile Clinic")</f>
        <v>0</v>
      </c>
      <c r="BE71" s="24">
        <f>COUNTIF(CHMTCmTm!O70, "Health Facility")</f>
        <v>0</v>
      </c>
    </row>
    <row r="72" spans="2:57" s="24" customFormat="1" ht="21.95" customHeight="1" x14ac:dyDescent="0.25">
      <c r="B72" s="397" t="str">
        <f>IF(CHMTCmTm!B71=0,"",CHMTCmTm!B71)</f>
        <v/>
      </c>
      <c r="C72" s="398"/>
      <c r="D72" s="399"/>
      <c r="E72" s="216">
        <f t="shared" si="0"/>
        <v>0</v>
      </c>
      <c r="F72" s="397" t="str">
        <f>IF(CHMTCmTm!F71=0,"",CHMTCmTm!F71)</f>
        <v/>
      </c>
      <c r="G72" s="398"/>
      <c r="H72" s="399"/>
      <c r="I72" s="381" t="str">
        <f>IF(CHMTCmTm!I71=0,"",CHMTCmTm!I71)</f>
        <v/>
      </c>
      <c r="J72" s="382"/>
      <c r="K72" s="381" t="str">
        <f>IF(CHMTCmTm!K71=0,"",CHMTCmTm!K71)</f>
        <v/>
      </c>
      <c r="L72" s="382"/>
      <c r="M72" s="381" t="str">
        <f>IF(CHMTCmTm!M71=0,"",CHMTCmTm!M71)</f>
        <v/>
      </c>
      <c r="N72" s="382"/>
      <c r="O72" s="381" t="str">
        <f>IF(CHMTCmTm!O71=0,"",CHMTCmTm!O71)</f>
        <v/>
      </c>
      <c r="P72" s="382"/>
      <c r="Q72" s="215" t="b">
        <f t="shared" si="1"/>
        <v>0</v>
      </c>
      <c r="R72" s="381" t="str">
        <f>IF(CHMTCmTm!R71=0,"",CHMTCmTm!R71)</f>
        <v/>
      </c>
      <c r="S72" s="382"/>
      <c r="T72" s="381" t="str">
        <f>IF(CHMTCmTm!T71=0,"",CHMTCmTm!T71)</f>
        <v/>
      </c>
      <c r="U72" s="382"/>
      <c r="V72" s="381" t="str">
        <f>IF(CHMTCmTm!V71=0,"",CHMTCmTm!V71)</f>
        <v/>
      </c>
      <c r="W72" s="396"/>
      <c r="X72" s="396"/>
      <c r="Y72" s="382"/>
      <c r="Z72" s="215">
        <f>CHMTCmTm!Z71</f>
        <v>0</v>
      </c>
      <c r="AA72" s="381" t="str">
        <f>IF(CHMTCmTm!AA71=0,"",CHMTCmTm!AA71)</f>
        <v/>
      </c>
      <c r="AB72" s="396"/>
      <c r="AC72" s="382"/>
      <c r="AD72" s="215">
        <f>CHMTCmTm!AD71</f>
        <v>0</v>
      </c>
      <c r="AE72" s="381" t="str">
        <f>IF(CHMTCmTm!AE71=0,"",CHMTCmTm!AE71)</f>
        <v/>
      </c>
      <c r="AF72" s="396"/>
      <c r="AG72" s="382"/>
      <c r="AH72" s="215">
        <f>CHMTCmTm!AH71</f>
        <v>0</v>
      </c>
      <c r="AI72" s="381" t="str">
        <f>IF(CHMTCmTm!AI71=0,"",CHMTCmTm!AI71)</f>
        <v/>
      </c>
      <c r="AJ72" s="396"/>
      <c r="AK72" s="382"/>
      <c r="AL72" s="215">
        <f>CHMTCmTm!AL71</f>
        <v>0</v>
      </c>
      <c r="AM72" s="381" t="str">
        <f>IF(CHMTCmTm!AM71=0,"",CHMTCmTm!AM71)</f>
        <v/>
      </c>
      <c r="AN72" s="396"/>
      <c r="AO72" s="382"/>
      <c r="AP72" s="381" t="str">
        <f>IF(CHMTCmTm!AP71=0,"",CHMTCmTm!AP71)</f>
        <v/>
      </c>
      <c r="AQ72" s="382"/>
      <c r="AR72" s="381" t="str">
        <f>IF(CHMTCmTm!AR71=0,"",CHMTCmTm!AR71)</f>
        <v/>
      </c>
      <c r="AS72" s="382"/>
      <c r="AT72" s="381" t="str">
        <f>IF(CHMTCmTm!AT71=0,"",CHMTCmTm!AT71)</f>
        <v/>
      </c>
      <c r="AU72" s="396"/>
      <c r="AV72" s="382"/>
      <c r="AW72" s="381" t="str">
        <f>IF(CHMTCmTm!AW71=0,"",CHMTCmTm!AW71)</f>
        <v/>
      </c>
      <c r="AX72" s="396"/>
      <c r="AY72" s="382"/>
      <c r="AZ72" s="24">
        <f>CHMTCmTm!AZ71</f>
        <v>0</v>
      </c>
      <c r="BC72" s="24">
        <f>COUNTIF(CHMTCmTm!O71, "Outreach Session")</f>
        <v>0</v>
      </c>
      <c r="BD72" s="24">
        <f>COUNTIF(CHMTCmTm!O71, "Mobile Clinic")</f>
        <v>0</v>
      </c>
      <c r="BE72" s="24">
        <f>COUNTIF(CHMTCmTm!O71, "Health Facility")</f>
        <v>0</v>
      </c>
    </row>
    <row r="73" spans="2:57" s="24" customFormat="1" ht="21.95" customHeight="1" x14ac:dyDescent="0.25">
      <c r="B73" s="397" t="str">
        <f>IF(CHMTCmTm!B72=0,"",CHMTCmTm!B72)</f>
        <v/>
      </c>
      <c r="C73" s="398"/>
      <c r="D73" s="399"/>
      <c r="E73" s="216">
        <f t="shared" si="0"/>
        <v>0</v>
      </c>
      <c r="F73" s="397" t="str">
        <f>IF(CHMTCmTm!F72=0,"",CHMTCmTm!F72)</f>
        <v/>
      </c>
      <c r="G73" s="398"/>
      <c r="H73" s="399"/>
      <c r="I73" s="381" t="str">
        <f>IF(CHMTCmTm!I72=0,"",CHMTCmTm!I72)</f>
        <v/>
      </c>
      <c r="J73" s="382"/>
      <c r="K73" s="381" t="str">
        <f>IF(CHMTCmTm!K72=0,"",CHMTCmTm!K72)</f>
        <v/>
      </c>
      <c r="L73" s="382"/>
      <c r="M73" s="381" t="str">
        <f>IF(CHMTCmTm!M72=0,"",CHMTCmTm!M72)</f>
        <v/>
      </c>
      <c r="N73" s="382"/>
      <c r="O73" s="381" t="str">
        <f>IF(CHMTCmTm!O72=0,"",CHMTCmTm!O72)</f>
        <v/>
      </c>
      <c r="P73" s="382"/>
      <c r="Q73" s="215" t="b">
        <f t="shared" si="1"/>
        <v>0</v>
      </c>
      <c r="R73" s="381" t="str">
        <f>IF(CHMTCmTm!R72=0,"",CHMTCmTm!R72)</f>
        <v/>
      </c>
      <c r="S73" s="382"/>
      <c r="T73" s="381" t="str">
        <f>IF(CHMTCmTm!T72=0,"",CHMTCmTm!T72)</f>
        <v/>
      </c>
      <c r="U73" s="382"/>
      <c r="V73" s="381" t="str">
        <f>IF(CHMTCmTm!V72=0,"",CHMTCmTm!V72)</f>
        <v/>
      </c>
      <c r="W73" s="396"/>
      <c r="X73" s="396"/>
      <c r="Y73" s="382"/>
      <c r="Z73" s="215">
        <f>CHMTCmTm!Z72</f>
        <v>0</v>
      </c>
      <c r="AA73" s="381" t="str">
        <f>IF(CHMTCmTm!AA72=0,"",CHMTCmTm!AA72)</f>
        <v/>
      </c>
      <c r="AB73" s="396"/>
      <c r="AC73" s="382"/>
      <c r="AD73" s="215">
        <f>CHMTCmTm!AD72</f>
        <v>0</v>
      </c>
      <c r="AE73" s="381" t="str">
        <f>IF(CHMTCmTm!AE72=0,"",CHMTCmTm!AE72)</f>
        <v/>
      </c>
      <c r="AF73" s="396"/>
      <c r="AG73" s="382"/>
      <c r="AH73" s="215">
        <f>CHMTCmTm!AH72</f>
        <v>0</v>
      </c>
      <c r="AI73" s="381" t="str">
        <f>IF(CHMTCmTm!AI72=0,"",CHMTCmTm!AI72)</f>
        <v/>
      </c>
      <c r="AJ73" s="396"/>
      <c r="AK73" s="382"/>
      <c r="AL73" s="215">
        <f>CHMTCmTm!AL72</f>
        <v>0</v>
      </c>
      <c r="AM73" s="381" t="str">
        <f>IF(CHMTCmTm!AM72=0,"",CHMTCmTm!AM72)</f>
        <v/>
      </c>
      <c r="AN73" s="396"/>
      <c r="AO73" s="382"/>
      <c r="AP73" s="381" t="str">
        <f>IF(CHMTCmTm!AP72=0,"",CHMTCmTm!AP72)</f>
        <v/>
      </c>
      <c r="AQ73" s="382"/>
      <c r="AR73" s="381" t="str">
        <f>IF(CHMTCmTm!AR72=0,"",CHMTCmTm!AR72)</f>
        <v/>
      </c>
      <c r="AS73" s="382"/>
      <c r="AT73" s="381" t="str">
        <f>IF(CHMTCmTm!AT72=0,"",CHMTCmTm!AT72)</f>
        <v/>
      </c>
      <c r="AU73" s="396"/>
      <c r="AV73" s="382"/>
      <c r="AW73" s="381" t="str">
        <f>IF(CHMTCmTm!AW72=0,"",CHMTCmTm!AW72)</f>
        <v/>
      </c>
      <c r="AX73" s="396"/>
      <c r="AY73" s="382"/>
      <c r="AZ73" s="24">
        <f>CHMTCmTm!AZ72</f>
        <v>0</v>
      </c>
      <c r="BC73" s="24">
        <f>COUNTIF(CHMTCmTm!O72, "Outreach Session")</f>
        <v>0</v>
      </c>
      <c r="BD73" s="24">
        <f>COUNTIF(CHMTCmTm!O72, "Mobile Clinic")</f>
        <v>0</v>
      </c>
      <c r="BE73" s="24">
        <f>COUNTIF(CHMTCmTm!O72, "Health Facility")</f>
        <v>0</v>
      </c>
    </row>
    <row r="74" spans="2:57" s="24" customFormat="1" ht="21.95" customHeight="1" x14ac:dyDescent="0.25">
      <c r="B74" s="397" t="str">
        <f>IF(CHMTCmTm!B73=0,"",CHMTCmTm!B73)</f>
        <v/>
      </c>
      <c r="C74" s="398"/>
      <c r="D74" s="399"/>
      <c r="E74" s="216">
        <f t="shared" si="0"/>
        <v>0</v>
      </c>
      <c r="F74" s="397" t="str">
        <f>IF(CHMTCmTm!F73=0,"",CHMTCmTm!F73)</f>
        <v/>
      </c>
      <c r="G74" s="398"/>
      <c r="H74" s="399"/>
      <c r="I74" s="381" t="str">
        <f>IF(CHMTCmTm!I73=0,"",CHMTCmTm!I73)</f>
        <v/>
      </c>
      <c r="J74" s="382"/>
      <c r="K74" s="381" t="str">
        <f>IF(CHMTCmTm!K73=0,"",CHMTCmTm!K73)</f>
        <v/>
      </c>
      <c r="L74" s="382"/>
      <c r="M74" s="381" t="str">
        <f>IF(CHMTCmTm!M73=0,"",CHMTCmTm!M73)</f>
        <v/>
      </c>
      <c r="N74" s="382"/>
      <c r="O74" s="381" t="str">
        <f>IF(CHMTCmTm!O73=0,"",CHMTCmTm!O73)</f>
        <v/>
      </c>
      <c r="P74" s="382"/>
      <c r="Q74" s="215" t="b">
        <f t="shared" ref="Q74:Q137" si="2">IF(O74="Health Facility",3,IF(O74="Outreach Session",1,IF(O74="Mobile Clinic",2)))</f>
        <v>0</v>
      </c>
      <c r="R74" s="381" t="str">
        <f>IF(CHMTCmTm!R73=0,"",CHMTCmTm!R73)</f>
        <v/>
      </c>
      <c r="S74" s="382"/>
      <c r="T74" s="381" t="str">
        <f>IF(CHMTCmTm!T73=0,"",CHMTCmTm!T73)</f>
        <v/>
      </c>
      <c r="U74" s="382"/>
      <c r="V74" s="381" t="str">
        <f>IF(CHMTCmTm!V73=0,"",CHMTCmTm!V73)</f>
        <v/>
      </c>
      <c r="W74" s="396"/>
      <c r="X74" s="396"/>
      <c r="Y74" s="382"/>
      <c r="Z74" s="215">
        <f>CHMTCmTm!Z73</f>
        <v>0</v>
      </c>
      <c r="AA74" s="381" t="str">
        <f>IF(CHMTCmTm!AA73=0,"",CHMTCmTm!AA73)</f>
        <v/>
      </c>
      <c r="AB74" s="396"/>
      <c r="AC74" s="382"/>
      <c r="AD74" s="215">
        <f>CHMTCmTm!AD73</f>
        <v>0</v>
      </c>
      <c r="AE74" s="381" t="str">
        <f>IF(CHMTCmTm!AE73=0,"",CHMTCmTm!AE73)</f>
        <v/>
      </c>
      <c r="AF74" s="396"/>
      <c r="AG74" s="382"/>
      <c r="AH74" s="215">
        <f>CHMTCmTm!AH73</f>
        <v>0</v>
      </c>
      <c r="AI74" s="381" t="str">
        <f>IF(CHMTCmTm!AI73=0,"",CHMTCmTm!AI73)</f>
        <v/>
      </c>
      <c r="AJ74" s="396"/>
      <c r="AK74" s="382"/>
      <c r="AL74" s="215">
        <f>CHMTCmTm!AL73</f>
        <v>0</v>
      </c>
      <c r="AM74" s="381" t="str">
        <f>IF(CHMTCmTm!AM73=0,"",CHMTCmTm!AM73)</f>
        <v/>
      </c>
      <c r="AN74" s="396"/>
      <c r="AO74" s="382"/>
      <c r="AP74" s="381" t="str">
        <f>IF(CHMTCmTm!AP73=0,"",CHMTCmTm!AP73)</f>
        <v/>
      </c>
      <c r="AQ74" s="382"/>
      <c r="AR74" s="381" t="str">
        <f>IF(CHMTCmTm!AR73=0,"",CHMTCmTm!AR73)</f>
        <v/>
      </c>
      <c r="AS74" s="382"/>
      <c r="AT74" s="381" t="str">
        <f>IF(CHMTCmTm!AT73=0,"",CHMTCmTm!AT73)</f>
        <v/>
      </c>
      <c r="AU74" s="396"/>
      <c r="AV74" s="382"/>
      <c r="AW74" s="381" t="str">
        <f>IF(CHMTCmTm!AW73=0,"",CHMTCmTm!AW73)</f>
        <v/>
      </c>
      <c r="AX74" s="396"/>
      <c r="AY74" s="382"/>
      <c r="AZ74" s="24">
        <f>CHMTCmTm!AZ73</f>
        <v>0</v>
      </c>
      <c r="BC74" s="24">
        <f>COUNTIF(CHMTCmTm!O73, "Outreach Session")</f>
        <v>0</v>
      </c>
      <c r="BD74" s="24">
        <f>COUNTIF(CHMTCmTm!O73, "Mobile Clinic")</f>
        <v>0</v>
      </c>
      <c r="BE74" s="24">
        <f>COUNTIF(CHMTCmTm!O73, "Health Facility")</f>
        <v>0</v>
      </c>
    </row>
    <row r="75" spans="2:57" s="24" customFormat="1" ht="21.95" customHeight="1" x14ac:dyDescent="0.25">
      <c r="B75" s="397" t="str">
        <f>IF(CHMTCmTm!B74=0,"",CHMTCmTm!B74)</f>
        <v/>
      </c>
      <c r="C75" s="398"/>
      <c r="D75" s="399"/>
      <c r="E75" s="216">
        <f t="shared" ref="E75:E138" si="3">IF(F75="",0,1)</f>
        <v>0</v>
      </c>
      <c r="F75" s="397" t="str">
        <f>IF(CHMTCmTm!F74=0,"",CHMTCmTm!F74)</f>
        <v/>
      </c>
      <c r="G75" s="398"/>
      <c r="H75" s="399"/>
      <c r="I75" s="381" t="str">
        <f>IF(CHMTCmTm!I74=0,"",CHMTCmTm!I74)</f>
        <v/>
      </c>
      <c r="J75" s="382"/>
      <c r="K75" s="381" t="str">
        <f>IF(CHMTCmTm!K74=0,"",CHMTCmTm!K74)</f>
        <v/>
      </c>
      <c r="L75" s="382"/>
      <c r="M75" s="381" t="str">
        <f>IF(CHMTCmTm!M74=0,"",CHMTCmTm!M74)</f>
        <v/>
      </c>
      <c r="N75" s="382"/>
      <c r="O75" s="381" t="str">
        <f>IF(CHMTCmTm!O74=0,"",CHMTCmTm!O74)</f>
        <v/>
      </c>
      <c r="P75" s="382"/>
      <c r="Q75" s="215" t="b">
        <f t="shared" si="2"/>
        <v>0</v>
      </c>
      <c r="R75" s="381" t="str">
        <f>IF(CHMTCmTm!R74=0,"",CHMTCmTm!R74)</f>
        <v/>
      </c>
      <c r="S75" s="382"/>
      <c r="T75" s="381" t="str">
        <f>IF(CHMTCmTm!T74=0,"",CHMTCmTm!T74)</f>
        <v/>
      </c>
      <c r="U75" s="382"/>
      <c r="V75" s="381" t="str">
        <f>IF(CHMTCmTm!V74=0,"",CHMTCmTm!V74)</f>
        <v/>
      </c>
      <c r="W75" s="396"/>
      <c r="X75" s="396"/>
      <c r="Y75" s="382"/>
      <c r="Z75" s="215">
        <f>CHMTCmTm!Z74</f>
        <v>0</v>
      </c>
      <c r="AA75" s="381" t="str">
        <f>IF(CHMTCmTm!AA74=0,"",CHMTCmTm!AA74)</f>
        <v/>
      </c>
      <c r="AB75" s="396"/>
      <c r="AC75" s="382"/>
      <c r="AD75" s="215">
        <f>CHMTCmTm!AD74</f>
        <v>0</v>
      </c>
      <c r="AE75" s="381" t="str">
        <f>IF(CHMTCmTm!AE74=0,"",CHMTCmTm!AE74)</f>
        <v/>
      </c>
      <c r="AF75" s="396"/>
      <c r="AG75" s="382"/>
      <c r="AH75" s="215">
        <f>CHMTCmTm!AH74</f>
        <v>0</v>
      </c>
      <c r="AI75" s="381" t="str">
        <f>IF(CHMTCmTm!AI74=0,"",CHMTCmTm!AI74)</f>
        <v/>
      </c>
      <c r="AJ75" s="396"/>
      <c r="AK75" s="382"/>
      <c r="AL75" s="215">
        <f>CHMTCmTm!AL74</f>
        <v>0</v>
      </c>
      <c r="AM75" s="381" t="str">
        <f>IF(CHMTCmTm!AM74=0,"",CHMTCmTm!AM74)</f>
        <v/>
      </c>
      <c r="AN75" s="396"/>
      <c r="AO75" s="382"/>
      <c r="AP75" s="381" t="str">
        <f>IF(CHMTCmTm!AP74=0,"",CHMTCmTm!AP74)</f>
        <v/>
      </c>
      <c r="AQ75" s="382"/>
      <c r="AR75" s="381" t="str">
        <f>IF(CHMTCmTm!AR74=0,"",CHMTCmTm!AR74)</f>
        <v/>
      </c>
      <c r="AS75" s="382"/>
      <c r="AT75" s="381" t="str">
        <f>IF(CHMTCmTm!AT74=0,"",CHMTCmTm!AT74)</f>
        <v/>
      </c>
      <c r="AU75" s="396"/>
      <c r="AV75" s="382"/>
      <c r="AW75" s="381" t="str">
        <f>IF(CHMTCmTm!AW74=0,"",CHMTCmTm!AW74)</f>
        <v/>
      </c>
      <c r="AX75" s="396"/>
      <c r="AY75" s="382"/>
      <c r="AZ75" s="24">
        <f>CHMTCmTm!AZ74</f>
        <v>0</v>
      </c>
      <c r="BC75" s="24">
        <f>COUNTIF(CHMTCmTm!O74, "Outreach Session")</f>
        <v>0</v>
      </c>
      <c r="BD75" s="24">
        <f>COUNTIF(CHMTCmTm!O74, "Mobile Clinic")</f>
        <v>0</v>
      </c>
      <c r="BE75" s="24">
        <f>COUNTIF(CHMTCmTm!O74, "Health Facility")</f>
        <v>0</v>
      </c>
    </row>
    <row r="76" spans="2:57" s="24" customFormat="1" ht="21.95" customHeight="1" x14ac:dyDescent="0.25">
      <c r="B76" s="397" t="str">
        <f>IF(CHMTCmTm!B75=0,"",CHMTCmTm!B75)</f>
        <v/>
      </c>
      <c r="C76" s="398"/>
      <c r="D76" s="399"/>
      <c r="E76" s="216">
        <f t="shared" si="3"/>
        <v>0</v>
      </c>
      <c r="F76" s="397" t="str">
        <f>IF(CHMTCmTm!F75=0,"",CHMTCmTm!F75)</f>
        <v/>
      </c>
      <c r="G76" s="398"/>
      <c r="H76" s="399"/>
      <c r="I76" s="381" t="str">
        <f>IF(CHMTCmTm!I75=0,"",CHMTCmTm!I75)</f>
        <v/>
      </c>
      <c r="J76" s="382"/>
      <c r="K76" s="381" t="str">
        <f>IF(CHMTCmTm!K75=0,"",CHMTCmTm!K75)</f>
        <v/>
      </c>
      <c r="L76" s="382"/>
      <c r="M76" s="381" t="str">
        <f>IF(CHMTCmTm!M75=0,"",CHMTCmTm!M75)</f>
        <v/>
      </c>
      <c r="N76" s="382"/>
      <c r="O76" s="381" t="str">
        <f>IF(CHMTCmTm!O75=0,"",CHMTCmTm!O75)</f>
        <v/>
      </c>
      <c r="P76" s="382"/>
      <c r="Q76" s="215" t="b">
        <f t="shared" si="2"/>
        <v>0</v>
      </c>
      <c r="R76" s="381" t="str">
        <f>IF(CHMTCmTm!R75=0,"",CHMTCmTm!R75)</f>
        <v/>
      </c>
      <c r="S76" s="382"/>
      <c r="T76" s="381" t="str">
        <f>IF(CHMTCmTm!T75=0,"",CHMTCmTm!T75)</f>
        <v/>
      </c>
      <c r="U76" s="382"/>
      <c r="V76" s="381" t="str">
        <f>IF(CHMTCmTm!V75=0,"",CHMTCmTm!V75)</f>
        <v/>
      </c>
      <c r="W76" s="396"/>
      <c r="X76" s="396"/>
      <c r="Y76" s="382"/>
      <c r="Z76" s="215">
        <f>CHMTCmTm!Z75</f>
        <v>0</v>
      </c>
      <c r="AA76" s="381" t="str">
        <f>IF(CHMTCmTm!AA75=0,"",CHMTCmTm!AA75)</f>
        <v/>
      </c>
      <c r="AB76" s="396"/>
      <c r="AC76" s="382"/>
      <c r="AD76" s="215">
        <f>CHMTCmTm!AD75</f>
        <v>0</v>
      </c>
      <c r="AE76" s="381" t="str">
        <f>IF(CHMTCmTm!AE75=0,"",CHMTCmTm!AE75)</f>
        <v/>
      </c>
      <c r="AF76" s="396"/>
      <c r="AG76" s="382"/>
      <c r="AH76" s="215">
        <f>CHMTCmTm!AH75</f>
        <v>0</v>
      </c>
      <c r="AI76" s="381" t="str">
        <f>IF(CHMTCmTm!AI75=0,"",CHMTCmTm!AI75)</f>
        <v/>
      </c>
      <c r="AJ76" s="396"/>
      <c r="AK76" s="382"/>
      <c r="AL76" s="215">
        <f>CHMTCmTm!AL75</f>
        <v>0</v>
      </c>
      <c r="AM76" s="381" t="str">
        <f>IF(CHMTCmTm!AM75=0,"",CHMTCmTm!AM75)</f>
        <v/>
      </c>
      <c r="AN76" s="396"/>
      <c r="AO76" s="382"/>
      <c r="AP76" s="381" t="str">
        <f>IF(CHMTCmTm!AP75=0,"",CHMTCmTm!AP75)</f>
        <v/>
      </c>
      <c r="AQ76" s="382"/>
      <c r="AR76" s="381" t="str">
        <f>IF(CHMTCmTm!AR75=0,"",CHMTCmTm!AR75)</f>
        <v/>
      </c>
      <c r="AS76" s="382"/>
      <c r="AT76" s="381" t="str">
        <f>IF(CHMTCmTm!AT75=0,"",CHMTCmTm!AT75)</f>
        <v/>
      </c>
      <c r="AU76" s="396"/>
      <c r="AV76" s="382"/>
      <c r="AW76" s="381" t="str">
        <f>IF(CHMTCmTm!AW75=0,"",CHMTCmTm!AW75)</f>
        <v/>
      </c>
      <c r="AX76" s="396"/>
      <c r="AY76" s="382"/>
      <c r="AZ76" s="24">
        <f>CHMTCmTm!AZ75</f>
        <v>0</v>
      </c>
      <c r="BC76" s="24">
        <f>COUNTIF(CHMTCmTm!O75, "Outreach Session")</f>
        <v>0</v>
      </c>
      <c r="BD76" s="24">
        <f>COUNTIF(CHMTCmTm!O75, "Mobile Clinic")</f>
        <v>0</v>
      </c>
      <c r="BE76" s="24">
        <f>COUNTIF(CHMTCmTm!O75, "Health Facility")</f>
        <v>0</v>
      </c>
    </row>
    <row r="77" spans="2:57" s="24" customFormat="1" ht="21.95" customHeight="1" x14ac:dyDescent="0.25">
      <c r="B77" s="397" t="str">
        <f>IF(CHMTCmTm!B76=0,"",CHMTCmTm!B76)</f>
        <v/>
      </c>
      <c r="C77" s="398"/>
      <c r="D77" s="399"/>
      <c r="E77" s="216">
        <f t="shared" si="3"/>
        <v>0</v>
      </c>
      <c r="F77" s="397" t="str">
        <f>IF(CHMTCmTm!F76=0,"",CHMTCmTm!F76)</f>
        <v/>
      </c>
      <c r="G77" s="398"/>
      <c r="H77" s="399"/>
      <c r="I77" s="381" t="str">
        <f>IF(CHMTCmTm!I76=0,"",CHMTCmTm!I76)</f>
        <v/>
      </c>
      <c r="J77" s="382"/>
      <c r="K77" s="381" t="str">
        <f>IF(CHMTCmTm!K76=0,"",CHMTCmTm!K76)</f>
        <v/>
      </c>
      <c r="L77" s="382"/>
      <c r="M77" s="381" t="str">
        <f>IF(CHMTCmTm!M76=0,"",CHMTCmTm!M76)</f>
        <v/>
      </c>
      <c r="N77" s="382"/>
      <c r="O77" s="381" t="str">
        <f>IF(CHMTCmTm!O76=0,"",CHMTCmTm!O76)</f>
        <v/>
      </c>
      <c r="P77" s="382"/>
      <c r="Q77" s="215" t="b">
        <f t="shared" si="2"/>
        <v>0</v>
      </c>
      <c r="R77" s="381" t="str">
        <f>IF(CHMTCmTm!R76=0,"",CHMTCmTm!R76)</f>
        <v/>
      </c>
      <c r="S77" s="382"/>
      <c r="T77" s="381" t="str">
        <f>IF(CHMTCmTm!T76=0,"",CHMTCmTm!T76)</f>
        <v/>
      </c>
      <c r="U77" s="382"/>
      <c r="V77" s="381" t="str">
        <f>IF(CHMTCmTm!V76=0,"",CHMTCmTm!V76)</f>
        <v/>
      </c>
      <c r="W77" s="396"/>
      <c r="X77" s="396"/>
      <c r="Y77" s="382"/>
      <c r="Z77" s="215">
        <f>CHMTCmTm!Z76</f>
        <v>0</v>
      </c>
      <c r="AA77" s="381" t="str">
        <f>IF(CHMTCmTm!AA76=0,"",CHMTCmTm!AA76)</f>
        <v/>
      </c>
      <c r="AB77" s="396"/>
      <c r="AC77" s="382"/>
      <c r="AD77" s="215">
        <f>CHMTCmTm!AD76</f>
        <v>0</v>
      </c>
      <c r="AE77" s="381" t="str">
        <f>IF(CHMTCmTm!AE76=0,"",CHMTCmTm!AE76)</f>
        <v/>
      </c>
      <c r="AF77" s="396"/>
      <c r="AG77" s="382"/>
      <c r="AH77" s="215">
        <f>CHMTCmTm!AH76</f>
        <v>0</v>
      </c>
      <c r="AI77" s="381" t="str">
        <f>IF(CHMTCmTm!AI76=0,"",CHMTCmTm!AI76)</f>
        <v/>
      </c>
      <c r="AJ77" s="396"/>
      <c r="AK77" s="382"/>
      <c r="AL77" s="215">
        <f>CHMTCmTm!AL76</f>
        <v>0</v>
      </c>
      <c r="AM77" s="381" t="str">
        <f>IF(CHMTCmTm!AM76=0,"",CHMTCmTm!AM76)</f>
        <v/>
      </c>
      <c r="AN77" s="396"/>
      <c r="AO77" s="382"/>
      <c r="AP77" s="381" t="str">
        <f>IF(CHMTCmTm!AP76=0,"",CHMTCmTm!AP76)</f>
        <v/>
      </c>
      <c r="AQ77" s="382"/>
      <c r="AR77" s="381" t="str">
        <f>IF(CHMTCmTm!AR76=0,"",CHMTCmTm!AR76)</f>
        <v/>
      </c>
      <c r="AS77" s="382"/>
      <c r="AT77" s="381" t="str">
        <f>IF(CHMTCmTm!AT76=0,"",CHMTCmTm!AT76)</f>
        <v/>
      </c>
      <c r="AU77" s="396"/>
      <c r="AV77" s="382"/>
      <c r="AW77" s="381" t="str">
        <f>IF(CHMTCmTm!AW76=0,"",CHMTCmTm!AW76)</f>
        <v/>
      </c>
      <c r="AX77" s="396"/>
      <c r="AY77" s="382"/>
      <c r="AZ77" s="24">
        <f>CHMTCmTm!AZ76</f>
        <v>0</v>
      </c>
      <c r="BC77" s="24">
        <f>COUNTIF(CHMTCmTm!O76, "Outreach Session")</f>
        <v>0</v>
      </c>
      <c r="BD77" s="24">
        <f>COUNTIF(CHMTCmTm!O76, "Mobile Clinic")</f>
        <v>0</v>
      </c>
      <c r="BE77" s="24">
        <f>COUNTIF(CHMTCmTm!O76, "Health Facility")</f>
        <v>0</v>
      </c>
    </row>
    <row r="78" spans="2:57" s="24" customFormat="1" ht="21.95" customHeight="1" x14ac:dyDescent="0.25">
      <c r="B78" s="397" t="str">
        <f>IF(CHMTCmTm!B77=0,"",CHMTCmTm!B77)</f>
        <v/>
      </c>
      <c r="C78" s="398"/>
      <c r="D78" s="399"/>
      <c r="E78" s="216">
        <f t="shared" si="3"/>
        <v>0</v>
      </c>
      <c r="F78" s="397" t="str">
        <f>IF(CHMTCmTm!F77=0,"",CHMTCmTm!F77)</f>
        <v/>
      </c>
      <c r="G78" s="398"/>
      <c r="H78" s="399"/>
      <c r="I78" s="381" t="str">
        <f>IF(CHMTCmTm!I77=0,"",CHMTCmTm!I77)</f>
        <v/>
      </c>
      <c r="J78" s="382"/>
      <c r="K78" s="381" t="str">
        <f>IF(CHMTCmTm!K77=0,"",CHMTCmTm!K77)</f>
        <v/>
      </c>
      <c r="L78" s="382"/>
      <c r="M78" s="381" t="str">
        <f>IF(CHMTCmTm!M77=0,"",CHMTCmTm!M77)</f>
        <v/>
      </c>
      <c r="N78" s="382"/>
      <c r="O78" s="381" t="str">
        <f>IF(CHMTCmTm!O77=0,"",CHMTCmTm!O77)</f>
        <v/>
      </c>
      <c r="P78" s="382"/>
      <c r="Q78" s="215" t="b">
        <f t="shared" si="2"/>
        <v>0</v>
      </c>
      <c r="R78" s="381" t="str">
        <f>IF(CHMTCmTm!R77=0,"",CHMTCmTm!R77)</f>
        <v/>
      </c>
      <c r="S78" s="382"/>
      <c r="T78" s="381" t="str">
        <f>IF(CHMTCmTm!T77=0,"",CHMTCmTm!T77)</f>
        <v/>
      </c>
      <c r="U78" s="382"/>
      <c r="V78" s="381" t="str">
        <f>IF(CHMTCmTm!V77=0,"",CHMTCmTm!V77)</f>
        <v/>
      </c>
      <c r="W78" s="396"/>
      <c r="X78" s="396"/>
      <c r="Y78" s="382"/>
      <c r="Z78" s="215">
        <f>CHMTCmTm!Z77</f>
        <v>0</v>
      </c>
      <c r="AA78" s="381" t="str">
        <f>IF(CHMTCmTm!AA77=0,"",CHMTCmTm!AA77)</f>
        <v/>
      </c>
      <c r="AB78" s="396"/>
      <c r="AC78" s="382"/>
      <c r="AD78" s="215">
        <f>CHMTCmTm!AD77</f>
        <v>0</v>
      </c>
      <c r="AE78" s="381" t="str">
        <f>IF(CHMTCmTm!AE77=0,"",CHMTCmTm!AE77)</f>
        <v/>
      </c>
      <c r="AF78" s="396"/>
      <c r="AG78" s="382"/>
      <c r="AH78" s="215">
        <f>CHMTCmTm!AH77</f>
        <v>0</v>
      </c>
      <c r="AI78" s="381" t="str">
        <f>IF(CHMTCmTm!AI77=0,"",CHMTCmTm!AI77)</f>
        <v/>
      </c>
      <c r="AJ78" s="396"/>
      <c r="AK78" s="382"/>
      <c r="AL78" s="215">
        <f>CHMTCmTm!AL77</f>
        <v>0</v>
      </c>
      <c r="AM78" s="381" t="str">
        <f>IF(CHMTCmTm!AM77=0,"",CHMTCmTm!AM77)</f>
        <v/>
      </c>
      <c r="AN78" s="396"/>
      <c r="AO78" s="382"/>
      <c r="AP78" s="381" t="str">
        <f>IF(CHMTCmTm!AP77=0,"",CHMTCmTm!AP77)</f>
        <v/>
      </c>
      <c r="AQ78" s="382"/>
      <c r="AR78" s="381" t="str">
        <f>IF(CHMTCmTm!AR77=0,"",CHMTCmTm!AR77)</f>
        <v/>
      </c>
      <c r="AS78" s="382"/>
      <c r="AT78" s="381" t="str">
        <f>IF(CHMTCmTm!AT77=0,"",CHMTCmTm!AT77)</f>
        <v/>
      </c>
      <c r="AU78" s="396"/>
      <c r="AV78" s="382"/>
      <c r="AW78" s="381" t="str">
        <f>IF(CHMTCmTm!AW77=0,"",CHMTCmTm!AW77)</f>
        <v/>
      </c>
      <c r="AX78" s="396"/>
      <c r="AY78" s="382"/>
      <c r="AZ78" s="24">
        <f>CHMTCmTm!AZ77</f>
        <v>0</v>
      </c>
      <c r="BC78" s="24">
        <f>COUNTIF(CHMTCmTm!O77, "Outreach Session")</f>
        <v>0</v>
      </c>
      <c r="BD78" s="24">
        <f>COUNTIF(CHMTCmTm!O77, "Mobile Clinic")</f>
        <v>0</v>
      </c>
      <c r="BE78" s="24">
        <f>COUNTIF(CHMTCmTm!O77, "Health Facility")</f>
        <v>0</v>
      </c>
    </row>
    <row r="79" spans="2:57" s="24" customFormat="1" ht="21.95" customHeight="1" x14ac:dyDescent="0.25">
      <c r="B79" s="397" t="str">
        <f>IF(CHMTCmTm!B78=0,"",CHMTCmTm!B78)</f>
        <v/>
      </c>
      <c r="C79" s="398"/>
      <c r="D79" s="399"/>
      <c r="E79" s="216">
        <f t="shared" si="3"/>
        <v>0</v>
      </c>
      <c r="F79" s="397" t="str">
        <f>IF(CHMTCmTm!F78=0,"",CHMTCmTm!F78)</f>
        <v/>
      </c>
      <c r="G79" s="398"/>
      <c r="H79" s="399"/>
      <c r="I79" s="381" t="str">
        <f>IF(CHMTCmTm!I78=0,"",CHMTCmTm!I78)</f>
        <v/>
      </c>
      <c r="J79" s="382"/>
      <c r="K79" s="381" t="str">
        <f>IF(CHMTCmTm!K78=0,"",CHMTCmTm!K78)</f>
        <v/>
      </c>
      <c r="L79" s="382"/>
      <c r="M79" s="381" t="str">
        <f>IF(CHMTCmTm!M78=0,"",CHMTCmTm!M78)</f>
        <v/>
      </c>
      <c r="N79" s="382"/>
      <c r="O79" s="381" t="str">
        <f>IF(CHMTCmTm!O78=0,"",CHMTCmTm!O78)</f>
        <v/>
      </c>
      <c r="P79" s="382"/>
      <c r="Q79" s="215" t="b">
        <f t="shared" si="2"/>
        <v>0</v>
      </c>
      <c r="R79" s="381" t="str">
        <f>IF(CHMTCmTm!R78=0,"",CHMTCmTm!R78)</f>
        <v/>
      </c>
      <c r="S79" s="382"/>
      <c r="T79" s="381" t="str">
        <f>IF(CHMTCmTm!T78=0,"",CHMTCmTm!T78)</f>
        <v/>
      </c>
      <c r="U79" s="382"/>
      <c r="V79" s="381" t="str">
        <f>IF(CHMTCmTm!V78=0,"",CHMTCmTm!V78)</f>
        <v/>
      </c>
      <c r="W79" s="396"/>
      <c r="X79" s="396"/>
      <c r="Y79" s="382"/>
      <c r="Z79" s="215">
        <f>CHMTCmTm!Z78</f>
        <v>0</v>
      </c>
      <c r="AA79" s="381" t="str">
        <f>IF(CHMTCmTm!AA78=0,"",CHMTCmTm!AA78)</f>
        <v/>
      </c>
      <c r="AB79" s="396"/>
      <c r="AC79" s="382"/>
      <c r="AD79" s="215">
        <f>CHMTCmTm!AD78</f>
        <v>0</v>
      </c>
      <c r="AE79" s="381" t="str">
        <f>IF(CHMTCmTm!AE78=0,"",CHMTCmTm!AE78)</f>
        <v/>
      </c>
      <c r="AF79" s="396"/>
      <c r="AG79" s="382"/>
      <c r="AH79" s="215">
        <f>CHMTCmTm!AH78</f>
        <v>0</v>
      </c>
      <c r="AI79" s="381" t="str">
        <f>IF(CHMTCmTm!AI78=0,"",CHMTCmTm!AI78)</f>
        <v/>
      </c>
      <c r="AJ79" s="396"/>
      <c r="AK79" s="382"/>
      <c r="AL79" s="215">
        <f>CHMTCmTm!AL78</f>
        <v>0</v>
      </c>
      <c r="AM79" s="381" t="str">
        <f>IF(CHMTCmTm!AM78=0,"",CHMTCmTm!AM78)</f>
        <v/>
      </c>
      <c r="AN79" s="396"/>
      <c r="AO79" s="382"/>
      <c r="AP79" s="381" t="str">
        <f>IF(CHMTCmTm!AP78=0,"",CHMTCmTm!AP78)</f>
        <v/>
      </c>
      <c r="AQ79" s="382"/>
      <c r="AR79" s="381" t="str">
        <f>IF(CHMTCmTm!AR78=0,"",CHMTCmTm!AR78)</f>
        <v/>
      </c>
      <c r="AS79" s="382"/>
      <c r="AT79" s="381" t="str">
        <f>IF(CHMTCmTm!AT78=0,"",CHMTCmTm!AT78)</f>
        <v/>
      </c>
      <c r="AU79" s="396"/>
      <c r="AV79" s="382"/>
      <c r="AW79" s="381" t="str">
        <f>IF(CHMTCmTm!AW78=0,"",CHMTCmTm!AW78)</f>
        <v/>
      </c>
      <c r="AX79" s="396"/>
      <c r="AY79" s="382"/>
      <c r="AZ79" s="24">
        <f>CHMTCmTm!AZ78</f>
        <v>0</v>
      </c>
      <c r="BC79" s="24">
        <f>COUNTIF(CHMTCmTm!O78, "Outreach Session")</f>
        <v>0</v>
      </c>
      <c r="BD79" s="24">
        <f>COUNTIF(CHMTCmTm!O78, "Mobile Clinic")</f>
        <v>0</v>
      </c>
      <c r="BE79" s="24">
        <f>COUNTIF(CHMTCmTm!O78, "Health Facility")</f>
        <v>0</v>
      </c>
    </row>
    <row r="80" spans="2:57" s="24" customFormat="1" ht="21.95" customHeight="1" x14ac:dyDescent="0.25">
      <c r="B80" s="397" t="str">
        <f>IF(CHMTCmTm!B79=0,"",CHMTCmTm!B79)</f>
        <v/>
      </c>
      <c r="C80" s="398"/>
      <c r="D80" s="399"/>
      <c r="E80" s="216">
        <f t="shared" si="3"/>
        <v>0</v>
      </c>
      <c r="F80" s="397" t="str">
        <f>IF(CHMTCmTm!F79=0,"",CHMTCmTm!F79)</f>
        <v/>
      </c>
      <c r="G80" s="398"/>
      <c r="H80" s="399"/>
      <c r="I80" s="381" t="str">
        <f>IF(CHMTCmTm!I79=0,"",CHMTCmTm!I79)</f>
        <v/>
      </c>
      <c r="J80" s="382"/>
      <c r="K80" s="381" t="str">
        <f>IF(CHMTCmTm!K79=0,"",CHMTCmTm!K79)</f>
        <v/>
      </c>
      <c r="L80" s="382"/>
      <c r="M80" s="381" t="str">
        <f>IF(CHMTCmTm!M79=0,"",CHMTCmTm!M79)</f>
        <v/>
      </c>
      <c r="N80" s="382"/>
      <c r="O80" s="381" t="str">
        <f>IF(CHMTCmTm!O79=0,"",CHMTCmTm!O79)</f>
        <v/>
      </c>
      <c r="P80" s="382"/>
      <c r="Q80" s="215" t="b">
        <f t="shared" si="2"/>
        <v>0</v>
      </c>
      <c r="R80" s="381" t="str">
        <f>IF(CHMTCmTm!R79=0,"",CHMTCmTm!R79)</f>
        <v/>
      </c>
      <c r="S80" s="382"/>
      <c r="T80" s="381" t="str">
        <f>IF(CHMTCmTm!T79=0,"",CHMTCmTm!T79)</f>
        <v/>
      </c>
      <c r="U80" s="382"/>
      <c r="V80" s="381" t="str">
        <f>IF(CHMTCmTm!V79=0,"",CHMTCmTm!V79)</f>
        <v/>
      </c>
      <c r="W80" s="396"/>
      <c r="X80" s="396"/>
      <c r="Y80" s="382"/>
      <c r="Z80" s="215">
        <f>CHMTCmTm!Z79</f>
        <v>0</v>
      </c>
      <c r="AA80" s="381" t="str">
        <f>IF(CHMTCmTm!AA79=0,"",CHMTCmTm!AA79)</f>
        <v/>
      </c>
      <c r="AB80" s="396"/>
      <c r="AC80" s="382"/>
      <c r="AD80" s="215">
        <f>CHMTCmTm!AD79</f>
        <v>0</v>
      </c>
      <c r="AE80" s="381" t="str">
        <f>IF(CHMTCmTm!AE79=0,"",CHMTCmTm!AE79)</f>
        <v/>
      </c>
      <c r="AF80" s="396"/>
      <c r="AG80" s="382"/>
      <c r="AH80" s="215">
        <f>CHMTCmTm!AH79</f>
        <v>0</v>
      </c>
      <c r="AI80" s="381" t="str">
        <f>IF(CHMTCmTm!AI79=0,"",CHMTCmTm!AI79)</f>
        <v/>
      </c>
      <c r="AJ80" s="396"/>
      <c r="AK80" s="382"/>
      <c r="AL80" s="215">
        <f>CHMTCmTm!AL79</f>
        <v>0</v>
      </c>
      <c r="AM80" s="381" t="str">
        <f>IF(CHMTCmTm!AM79=0,"",CHMTCmTm!AM79)</f>
        <v/>
      </c>
      <c r="AN80" s="396"/>
      <c r="AO80" s="382"/>
      <c r="AP80" s="381" t="str">
        <f>IF(CHMTCmTm!AP79=0,"",CHMTCmTm!AP79)</f>
        <v/>
      </c>
      <c r="AQ80" s="382"/>
      <c r="AR80" s="381" t="str">
        <f>IF(CHMTCmTm!AR79=0,"",CHMTCmTm!AR79)</f>
        <v/>
      </c>
      <c r="AS80" s="382"/>
      <c r="AT80" s="381" t="str">
        <f>IF(CHMTCmTm!AT79=0,"",CHMTCmTm!AT79)</f>
        <v/>
      </c>
      <c r="AU80" s="396"/>
      <c r="AV80" s="382"/>
      <c r="AW80" s="381" t="str">
        <f>IF(CHMTCmTm!AW79=0,"",CHMTCmTm!AW79)</f>
        <v/>
      </c>
      <c r="AX80" s="396"/>
      <c r="AY80" s="382"/>
      <c r="AZ80" s="24">
        <f>CHMTCmTm!AZ79</f>
        <v>0</v>
      </c>
      <c r="BC80" s="24">
        <f>COUNTIF(CHMTCmTm!O79, "Outreach Session")</f>
        <v>0</v>
      </c>
      <c r="BD80" s="24">
        <f>COUNTIF(CHMTCmTm!O79, "Mobile Clinic")</f>
        <v>0</v>
      </c>
      <c r="BE80" s="24">
        <f>COUNTIF(CHMTCmTm!O79, "Health Facility")</f>
        <v>0</v>
      </c>
    </row>
    <row r="81" spans="2:57" s="24" customFormat="1" ht="21.95" customHeight="1" x14ac:dyDescent="0.25">
      <c r="B81" s="397" t="str">
        <f>IF(CHMTCmTm!B80=0,"",CHMTCmTm!B80)</f>
        <v/>
      </c>
      <c r="C81" s="398"/>
      <c r="D81" s="399"/>
      <c r="E81" s="216">
        <f t="shared" si="3"/>
        <v>0</v>
      </c>
      <c r="F81" s="397" t="str">
        <f>IF(CHMTCmTm!F80=0,"",CHMTCmTm!F80)</f>
        <v/>
      </c>
      <c r="G81" s="398"/>
      <c r="H81" s="399"/>
      <c r="I81" s="381" t="str">
        <f>IF(CHMTCmTm!I80=0,"",CHMTCmTm!I80)</f>
        <v/>
      </c>
      <c r="J81" s="382"/>
      <c r="K81" s="381" t="str">
        <f>IF(CHMTCmTm!K80=0,"",CHMTCmTm!K80)</f>
        <v/>
      </c>
      <c r="L81" s="382"/>
      <c r="M81" s="381" t="str">
        <f>IF(CHMTCmTm!M80=0,"",CHMTCmTm!M80)</f>
        <v/>
      </c>
      <c r="N81" s="382"/>
      <c r="O81" s="381" t="str">
        <f>IF(CHMTCmTm!O80=0,"",CHMTCmTm!O80)</f>
        <v/>
      </c>
      <c r="P81" s="382"/>
      <c r="Q81" s="215" t="b">
        <f t="shared" si="2"/>
        <v>0</v>
      </c>
      <c r="R81" s="381" t="str">
        <f>IF(CHMTCmTm!R80=0,"",CHMTCmTm!R80)</f>
        <v/>
      </c>
      <c r="S81" s="382"/>
      <c r="T81" s="381" t="str">
        <f>IF(CHMTCmTm!T80=0,"",CHMTCmTm!T80)</f>
        <v/>
      </c>
      <c r="U81" s="382"/>
      <c r="V81" s="381" t="str">
        <f>IF(CHMTCmTm!V80=0,"",CHMTCmTm!V80)</f>
        <v/>
      </c>
      <c r="W81" s="396"/>
      <c r="X81" s="396"/>
      <c r="Y81" s="382"/>
      <c r="Z81" s="215">
        <f>CHMTCmTm!Z80</f>
        <v>0</v>
      </c>
      <c r="AA81" s="381" t="str">
        <f>IF(CHMTCmTm!AA80=0,"",CHMTCmTm!AA80)</f>
        <v/>
      </c>
      <c r="AB81" s="396"/>
      <c r="AC81" s="382"/>
      <c r="AD81" s="215">
        <f>CHMTCmTm!AD80</f>
        <v>0</v>
      </c>
      <c r="AE81" s="381" t="str">
        <f>IF(CHMTCmTm!AE80=0,"",CHMTCmTm!AE80)</f>
        <v/>
      </c>
      <c r="AF81" s="396"/>
      <c r="AG81" s="382"/>
      <c r="AH81" s="215">
        <f>CHMTCmTm!AH80</f>
        <v>0</v>
      </c>
      <c r="AI81" s="381" t="str">
        <f>IF(CHMTCmTm!AI80=0,"",CHMTCmTm!AI80)</f>
        <v/>
      </c>
      <c r="AJ81" s="396"/>
      <c r="AK81" s="382"/>
      <c r="AL81" s="215">
        <f>CHMTCmTm!AL80</f>
        <v>0</v>
      </c>
      <c r="AM81" s="381" t="str">
        <f>IF(CHMTCmTm!AM80=0,"",CHMTCmTm!AM80)</f>
        <v/>
      </c>
      <c r="AN81" s="396"/>
      <c r="AO81" s="382"/>
      <c r="AP81" s="381" t="str">
        <f>IF(CHMTCmTm!AP80=0,"",CHMTCmTm!AP80)</f>
        <v/>
      </c>
      <c r="AQ81" s="382"/>
      <c r="AR81" s="381" t="str">
        <f>IF(CHMTCmTm!AR80=0,"",CHMTCmTm!AR80)</f>
        <v/>
      </c>
      <c r="AS81" s="382"/>
      <c r="AT81" s="381" t="str">
        <f>IF(CHMTCmTm!AT80=0,"",CHMTCmTm!AT80)</f>
        <v/>
      </c>
      <c r="AU81" s="396"/>
      <c r="AV81" s="382"/>
      <c r="AW81" s="381" t="str">
        <f>IF(CHMTCmTm!AW80=0,"",CHMTCmTm!AW80)</f>
        <v/>
      </c>
      <c r="AX81" s="396"/>
      <c r="AY81" s="382"/>
      <c r="AZ81" s="24">
        <f>CHMTCmTm!AZ80</f>
        <v>0</v>
      </c>
      <c r="BC81" s="24">
        <f>COUNTIF(CHMTCmTm!O80, "Outreach Session")</f>
        <v>0</v>
      </c>
      <c r="BD81" s="24">
        <f>COUNTIF(CHMTCmTm!O80, "Mobile Clinic")</f>
        <v>0</v>
      </c>
      <c r="BE81" s="24">
        <f>COUNTIF(CHMTCmTm!O80, "Health Facility")</f>
        <v>0</v>
      </c>
    </row>
    <row r="82" spans="2:57" s="24" customFormat="1" ht="21.95" customHeight="1" x14ac:dyDescent="0.25">
      <c r="B82" s="397" t="str">
        <f>IF(CHMTCmTm!B81=0,"",CHMTCmTm!B81)</f>
        <v/>
      </c>
      <c r="C82" s="398"/>
      <c r="D82" s="399"/>
      <c r="E82" s="216">
        <f t="shared" si="3"/>
        <v>0</v>
      </c>
      <c r="F82" s="397" t="str">
        <f>IF(CHMTCmTm!F81=0,"",CHMTCmTm!F81)</f>
        <v/>
      </c>
      <c r="G82" s="398"/>
      <c r="H82" s="399"/>
      <c r="I82" s="381" t="str">
        <f>IF(CHMTCmTm!I81=0,"",CHMTCmTm!I81)</f>
        <v/>
      </c>
      <c r="J82" s="382"/>
      <c r="K82" s="381" t="str">
        <f>IF(CHMTCmTm!K81=0,"",CHMTCmTm!K81)</f>
        <v/>
      </c>
      <c r="L82" s="382"/>
      <c r="M82" s="381" t="str">
        <f>IF(CHMTCmTm!M81=0,"",CHMTCmTm!M81)</f>
        <v/>
      </c>
      <c r="N82" s="382"/>
      <c r="O82" s="381" t="str">
        <f>IF(CHMTCmTm!O81=0,"",CHMTCmTm!O81)</f>
        <v/>
      </c>
      <c r="P82" s="382"/>
      <c r="Q82" s="215" t="b">
        <f t="shared" si="2"/>
        <v>0</v>
      </c>
      <c r="R82" s="381" t="str">
        <f>IF(CHMTCmTm!R81=0,"",CHMTCmTm!R81)</f>
        <v/>
      </c>
      <c r="S82" s="382"/>
      <c r="T82" s="381" t="str">
        <f>IF(CHMTCmTm!T81=0,"",CHMTCmTm!T81)</f>
        <v/>
      </c>
      <c r="U82" s="382"/>
      <c r="V82" s="381" t="str">
        <f>IF(CHMTCmTm!V81=0,"",CHMTCmTm!V81)</f>
        <v/>
      </c>
      <c r="W82" s="396"/>
      <c r="X82" s="396"/>
      <c r="Y82" s="382"/>
      <c r="Z82" s="215">
        <f>CHMTCmTm!Z81</f>
        <v>0</v>
      </c>
      <c r="AA82" s="381" t="str">
        <f>IF(CHMTCmTm!AA81=0,"",CHMTCmTm!AA81)</f>
        <v/>
      </c>
      <c r="AB82" s="396"/>
      <c r="AC82" s="382"/>
      <c r="AD82" s="215">
        <f>CHMTCmTm!AD81</f>
        <v>0</v>
      </c>
      <c r="AE82" s="381" t="str">
        <f>IF(CHMTCmTm!AE81=0,"",CHMTCmTm!AE81)</f>
        <v/>
      </c>
      <c r="AF82" s="396"/>
      <c r="AG82" s="382"/>
      <c r="AH82" s="215">
        <f>CHMTCmTm!AH81</f>
        <v>0</v>
      </c>
      <c r="AI82" s="381" t="str">
        <f>IF(CHMTCmTm!AI81=0,"",CHMTCmTm!AI81)</f>
        <v/>
      </c>
      <c r="AJ82" s="396"/>
      <c r="AK82" s="382"/>
      <c r="AL82" s="215">
        <f>CHMTCmTm!AL81</f>
        <v>0</v>
      </c>
      <c r="AM82" s="381" t="str">
        <f>IF(CHMTCmTm!AM81=0,"",CHMTCmTm!AM81)</f>
        <v/>
      </c>
      <c r="AN82" s="396"/>
      <c r="AO82" s="382"/>
      <c r="AP82" s="381" t="str">
        <f>IF(CHMTCmTm!AP81=0,"",CHMTCmTm!AP81)</f>
        <v/>
      </c>
      <c r="AQ82" s="382"/>
      <c r="AR82" s="381" t="str">
        <f>IF(CHMTCmTm!AR81=0,"",CHMTCmTm!AR81)</f>
        <v/>
      </c>
      <c r="AS82" s="382"/>
      <c r="AT82" s="381" t="str">
        <f>IF(CHMTCmTm!AT81=0,"",CHMTCmTm!AT81)</f>
        <v/>
      </c>
      <c r="AU82" s="396"/>
      <c r="AV82" s="382"/>
      <c r="AW82" s="381" t="str">
        <f>IF(CHMTCmTm!AW81=0,"",CHMTCmTm!AW81)</f>
        <v/>
      </c>
      <c r="AX82" s="396"/>
      <c r="AY82" s="382"/>
      <c r="AZ82" s="24">
        <f>CHMTCmTm!AZ81</f>
        <v>0</v>
      </c>
      <c r="BC82" s="24">
        <f>COUNTIF(CHMTCmTm!O81, "Outreach Session")</f>
        <v>0</v>
      </c>
      <c r="BD82" s="24">
        <f>COUNTIF(CHMTCmTm!O81, "Mobile Clinic")</f>
        <v>0</v>
      </c>
      <c r="BE82" s="24">
        <f>COUNTIF(CHMTCmTm!O81, "Health Facility")</f>
        <v>0</v>
      </c>
    </row>
    <row r="83" spans="2:57" s="24" customFormat="1" ht="21.95" customHeight="1" x14ac:dyDescent="0.25">
      <c r="B83" s="397" t="str">
        <f>IF(CHMTCmTm!B82=0,"",CHMTCmTm!B82)</f>
        <v/>
      </c>
      <c r="C83" s="398"/>
      <c r="D83" s="399"/>
      <c r="E83" s="216">
        <f t="shared" si="3"/>
        <v>0</v>
      </c>
      <c r="F83" s="397" t="str">
        <f>IF(CHMTCmTm!F82=0,"",CHMTCmTm!F82)</f>
        <v/>
      </c>
      <c r="G83" s="398"/>
      <c r="H83" s="399"/>
      <c r="I83" s="381" t="str">
        <f>IF(CHMTCmTm!I82=0,"",CHMTCmTm!I82)</f>
        <v/>
      </c>
      <c r="J83" s="382"/>
      <c r="K83" s="381" t="str">
        <f>IF(CHMTCmTm!K82=0,"",CHMTCmTm!K82)</f>
        <v/>
      </c>
      <c r="L83" s="382"/>
      <c r="M83" s="381" t="str">
        <f>IF(CHMTCmTm!M82=0,"",CHMTCmTm!M82)</f>
        <v/>
      </c>
      <c r="N83" s="382"/>
      <c r="O83" s="381" t="str">
        <f>IF(CHMTCmTm!O82=0,"",CHMTCmTm!O82)</f>
        <v/>
      </c>
      <c r="P83" s="382"/>
      <c r="Q83" s="215" t="b">
        <f t="shared" si="2"/>
        <v>0</v>
      </c>
      <c r="R83" s="381" t="str">
        <f>IF(CHMTCmTm!R82=0,"",CHMTCmTm!R82)</f>
        <v/>
      </c>
      <c r="S83" s="382"/>
      <c r="T83" s="381" t="str">
        <f>IF(CHMTCmTm!T82=0,"",CHMTCmTm!T82)</f>
        <v/>
      </c>
      <c r="U83" s="382"/>
      <c r="V83" s="381" t="str">
        <f>IF(CHMTCmTm!V82=0,"",CHMTCmTm!V82)</f>
        <v/>
      </c>
      <c r="W83" s="396"/>
      <c r="X83" s="396"/>
      <c r="Y83" s="382"/>
      <c r="Z83" s="215">
        <f>CHMTCmTm!Z82</f>
        <v>0</v>
      </c>
      <c r="AA83" s="381" t="str">
        <f>IF(CHMTCmTm!AA82=0,"",CHMTCmTm!AA82)</f>
        <v/>
      </c>
      <c r="AB83" s="396"/>
      <c r="AC83" s="382"/>
      <c r="AD83" s="215">
        <f>CHMTCmTm!AD82</f>
        <v>0</v>
      </c>
      <c r="AE83" s="381" t="str">
        <f>IF(CHMTCmTm!AE82=0,"",CHMTCmTm!AE82)</f>
        <v/>
      </c>
      <c r="AF83" s="396"/>
      <c r="AG83" s="382"/>
      <c r="AH83" s="215">
        <f>CHMTCmTm!AH82</f>
        <v>0</v>
      </c>
      <c r="AI83" s="381" t="str">
        <f>IF(CHMTCmTm!AI82=0,"",CHMTCmTm!AI82)</f>
        <v/>
      </c>
      <c r="AJ83" s="396"/>
      <c r="AK83" s="382"/>
      <c r="AL83" s="215">
        <f>CHMTCmTm!AL82</f>
        <v>0</v>
      </c>
      <c r="AM83" s="381" t="str">
        <f>IF(CHMTCmTm!AM82=0,"",CHMTCmTm!AM82)</f>
        <v/>
      </c>
      <c r="AN83" s="396"/>
      <c r="AO83" s="382"/>
      <c r="AP83" s="381" t="str">
        <f>IF(CHMTCmTm!AP82=0,"",CHMTCmTm!AP82)</f>
        <v/>
      </c>
      <c r="AQ83" s="382"/>
      <c r="AR83" s="381" t="str">
        <f>IF(CHMTCmTm!AR82=0,"",CHMTCmTm!AR82)</f>
        <v/>
      </c>
      <c r="AS83" s="382"/>
      <c r="AT83" s="381" t="str">
        <f>IF(CHMTCmTm!AT82=0,"",CHMTCmTm!AT82)</f>
        <v/>
      </c>
      <c r="AU83" s="396"/>
      <c r="AV83" s="382"/>
      <c r="AW83" s="381" t="str">
        <f>IF(CHMTCmTm!AW82=0,"",CHMTCmTm!AW82)</f>
        <v/>
      </c>
      <c r="AX83" s="396"/>
      <c r="AY83" s="382"/>
      <c r="AZ83" s="24">
        <f>CHMTCmTm!AZ82</f>
        <v>0</v>
      </c>
      <c r="BC83" s="24">
        <f>COUNTIF(CHMTCmTm!O82, "Outreach Session")</f>
        <v>0</v>
      </c>
      <c r="BD83" s="24">
        <f>COUNTIF(CHMTCmTm!O82, "Mobile Clinic")</f>
        <v>0</v>
      </c>
      <c r="BE83" s="24">
        <f>COUNTIF(CHMTCmTm!O82, "Health Facility")</f>
        <v>0</v>
      </c>
    </row>
    <row r="84" spans="2:57" s="24" customFormat="1" ht="21.95" customHeight="1" x14ac:dyDescent="0.25">
      <c r="B84" s="397" t="str">
        <f>IF(CHMTCmTm!B83=0,"",CHMTCmTm!B83)</f>
        <v/>
      </c>
      <c r="C84" s="398"/>
      <c r="D84" s="399"/>
      <c r="E84" s="216">
        <f t="shared" si="3"/>
        <v>0</v>
      </c>
      <c r="F84" s="397" t="str">
        <f>IF(CHMTCmTm!F83=0,"",CHMTCmTm!F83)</f>
        <v/>
      </c>
      <c r="G84" s="398"/>
      <c r="H84" s="399"/>
      <c r="I84" s="381" t="str">
        <f>IF(CHMTCmTm!I83=0,"",CHMTCmTm!I83)</f>
        <v/>
      </c>
      <c r="J84" s="382"/>
      <c r="K84" s="381" t="str">
        <f>IF(CHMTCmTm!K83=0,"",CHMTCmTm!K83)</f>
        <v/>
      </c>
      <c r="L84" s="382"/>
      <c r="M84" s="381" t="str">
        <f>IF(CHMTCmTm!M83=0,"",CHMTCmTm!M83)</f>
        <v/>
      </c>
      <c r="N84" s="382"/>
      <c r="O84" s="381" t="str">
        <f>IF(CHMTCmTm!O83=0,"",CHMTCmTm!O83)</f>
        <v/>
      </c>
      <c r="P84" s="382"/>
      <c r="Q84" s="215" t="b">
        <f t="shared" si="2"/>
        <v>0</v>
      </c>
      <c r="R84" s="381" t="str">
        <f>IF(CHMTCmTm!R83=0,"",CHMTCmTm!R83)</f>
        <v/>
      </c>
      <c r="S84" s="382"/>
      <c r="T84" s="381" t="str">
        <f>IF(CHMTCmTm!T83=0,"",CHMTCmTm!T83)</f>
        <v/>
      </c>
      <c r="U84" s="382"/>
      <c r="V84" s="381" t="str">
        <f>IF(CHMTCmTm!V83=0,"",CHMTCmTm!V83)</f>
        <v/>
      </c>
      <c r="W84" s="396"/>
      <c r="X84" s="396"/>
      <c r="Y84" s="382"/>
      <c r="Z84" s="215">
        <f>CHMTCmTm!Z83</f>
        <v>0</v>
      </c>
      <c r="AA84" s="381" t="str">
        <f>IF(CHMTCmTm!AA83=0,"",CHMTCmTm!AA83)</f>
        <v/>
      </c>
      <c r="AB84" s="396"/>
      <c r="AC84" s="382"/>
      <c r="AD84" s="215">
        <f>CHMTCmTm!AD83</f>
        <v>0</v>
      </c>
      <c r="AE84" s="381" t="str">
        <f>IF(CHMTCmTm!AE83=0,"",CHMTCmTm!AE83)</f>
        <v/>
      </c>
      <c r="AF84" s="396"/>
      <c r="AG84" s="382"/>
      <c r="AH84" s="215">
        <f>CHMTCmTm!AH83</f>
        <v>0</v>
      </c>
      <c r="AI84" s="381" t="str">
        <f>IF(CHMTCmTm!AI83=0,"",CHMTCmTm!AI83)</f>
        <v/>
      </c>
      <c r="AJ84" s="396"/>
      <c r="AK84" s="382"/>
      <c r="AL84" s="215">
        <f>CHMTCmTm!AL83</f>
        <v>0</v>
      </c>
      <c r="AM84" s="381" t="str">
        <f>IF(CHMTCmTm!AM83=0,"",CHMTCmTm!AM83)</f>
        <v/>
      </c>
      <c r="AN84" s="396"/>
      <c r="AO84" s="382"/>
      <c r="AP84" s="381" t="str">
        <f>IF(CHMTCmTm!AP83=0,"",CHMTCmTm!AP83)</f>
        <v/>
      </c>
      <c r="AQ84" s="382"/>
      <c r="AR84" s="381" t="str">
        <f>IF(CHMTCmTm!AR83=0,"",CHMTCmTm!AR83)</f>
        <v/>
      </c>
      <c r="AS84" s="382"/>
      <c r="AT84" s="381" t="str">
        <f>IF(CHMTCmTm!AT83=0,"",CHMTCmTm!AT83)</f>
        <v/>
      </c>
      <c r="AU84" s="396"/>
      <c r="AV84" s="382"/>
      <c r="AW84" s="381" t="str">
        <f>IF(CHMTCmTm!AW83=0,"",CHMTCmTm!AW83)</f>
        <v/>
      </c>
      <c r="AX84" s="396"/>
      <c r="AY84" s="382"/>
      <c r="AZ84" s="24">
        <f>CHMTCmTm!AZ83</f>
        <v>0</v>
      </c>
      <c r="BC84" s="24">
        <f>COUNTIF(CHMTCmTm!O83, "Outreach Session")</f>
        <v>0</v>
      </c>
      <c r="BD84" s="24">
        <f>COUNTIF(CHMTCmTm!O83, "Mobile Clinic")</f>
        <v>0</v>
      </c>
      <c r="BE84" s="24">
        <f>COUNTIF(CHMTCmTm!O83, "Health Facility")</f>
        <v>0</v>
      </c>
    </row>
    <row r="85" spans="2:57" s="24" customFormat="1" ht="21.95" customHeight="1" x14ac:dyDescent="0.25">
      <c r="B85" s="397" t="str">
        <f>IF(CHMTCmTm!B84=0,"",CHMTCmTm!B84)</f>
        <v/>
      </c>
      <c r="C85" s="398"/>
      <c r="D85" s="399"/>
      <c r="E85" s="216">
        <f t="shared" si="3"/>
        <v>0</v>
      </c>
      <c r="F85" s="397" t="str">
        <f>IF(CHMTCmTm!F84=0,"",CHMTCmTm!F84)</f>
        <v/>
      </c>
      <c r="G85" s="398"/>
      <c r="H85" s="399"/>
      <c r="I85" s="381" t="str">
        <f>IF(CHMTCmTm!I84=0,"",CHMTCmTm!I84)</f>
        <v/>
      </c>
      <c r="J85" s="382"/>
      <c r="K85" s="381" t="str">
        <f>IF(CHMTCmTm!K84=0,"",CHMTCmTm!K84)</f>
        <v/>
      </c>
      <c r="L85" s="382"/>
      <c r="M85" s="381" t="str">
        <f>IF(CHMTCmTm!M84=0,"",CHMTCmTm!M84)</f>
        <v/>
      </c>
      <c r="N85" s="382"/>
      <c r="O85" s="381" t="str">
        <f>IF(CHMTCmTm!O84=0,"",CHMTCmTm!O84)</f>
        <v/>
      </c>
      <c r="P85" s="382"/>
      <c r="Q85" s="215" t="b">
        <f t="shared" si="2"/>
        <v>0</v>
      </c>
      <c r="R85" s="381" t="str">
        <f>IF(CHMTCmTm!R84=0,"",CHMTCmTm!R84)</f>
        <v/>
      </c>
      <c r="S85" s="382"/>
      <c r="T85" s="381" t="str">
        <f>IF(CHMTCmTm!T84=0,"",CHMTCmTm!T84)</f>
        <v/>
      </c>
      <c r="U85" s="382"/>
      <c r="V85" s="381" t="str">
        <f>IF(CHMTCmTm!V84=0,"",CHMTCmTm!V84)</f>
        <v/>
      </c>
      <c r="W85" s="396"/>
      <c r="X85" s="396"/>
      <c r="Y85" s="382"/>
      <c r="Z85" s="215">
        <f>CHMTCmTm!Z84</f>
        <v>0</v>
      </c>
      <c r="AA85" s="381" t="str">
        <f>IF(CHMTCmTm!AA84=0,"",CHMTCmTm!AA84)</f>
        <v/>
      </c>
      <c r="AB85" s="396"/>
      <c r="AC85" s="382"/>
      <c r="AD85" s="215">
        <f>CHMTCmTm!AD84</f>
        <v>0</v>
      </c>
      <c r="AE85" s="381" t="str">
        <f>IF(CHMTCmTm!AE84=0,"",CHMTCmTm!AE84)</f>
        <v/>
      </c>
      <c r="AF85" s="396"/>
      <c r="AG85" s="382"/>
      <c r="AH85" s="215">
        <f>CHMTCmTm!AH84</f>
        <v>0</v>
      </c>
      <c r="AI85" s="381" t="str">
        <f>IF(CHMTCmTm!AI84=0,"",CHMTCmTm!AI84)</f>
        <v/>
      </c>
      <c r="AJ85" s="396"/>
      <c r="AK85" s="382"/>
      <c r="AL85" s="215">
        <f>CHMTCmTm!AL84</f>
        <v>0</v>
      </c>
      <c r="AM85" s="381" t="str">
        <f>IF(CHMTCmTm!AM84=0,"",CHMTCmTm!AM84)</f>
        <v/>
      </c>
      <c r="AN85" s="396"/>
      <c r="AO85" s="382"/>
      <c r="AP85" s="381" t="str">
        <f>IF(CHMTCmTm!AP84=0,"",CHMTCmTm!AP84)</f>
        <v/>
      </c>
      <c r="AQ85" s="382"/>
      <c r="AR85" s="381" t="str">
        <f>IF(CHMTCmTm!AR84=0,"",CHMTCmTm!AR84)</f>
        <v/>
      </c>
      <c r="AS85" s="382"/>
      <c r="AT85" s="381" t="str">
        <f>IF(CHMTCmTm!AT84=0,"",CHMTCmTm!AT84)</f>
        <v/>
      </c>
      <c r="AU85" s="396"/>
      <c r="AV85" s="382"/>
      <c r="AW85" s="381" t="str">
        <f>IF(CHMTCmTm!AW84=0,"",CHMTCmTm!AW84)</f>
        <v/>
      </c>
      <c r="AX85" s="396"/>
      <c r="AY85" s="382"/>
      <c r="AZ85" s="24">
        <f>CHMTCmTm!AZ84</f>
        <v>0</v>
      </c>
      <c r="BC85" s="24">
        <f>COUNTIF(CHMTCmTm!O84, "Outreach Session")</f>
        <v>0</v>
      </c>
      <c r="BD85" s="24">
        <f>COUNTIF(CHMTCmTm!O84, "Mobile Clinic")</f>
        <v>0</v>
      </c>
      <c r="BE85" s="24">
        <f>COUNTIF(CHMTCmTm!O84, "Health Facility")</f>
        <v>0</v>
      </c>
    </row>
    <row r="86" spans="2:57" s="24" customFormat="1" ht="21.95" customHeight="1" x14ac:dyDescent="0.25">
      <c r="B86" s="397" t="str">
        <f>IF(CHMTCmTm!B85=0,"",CHMTCmTm!B85)</f>
        <v/>
      </c>
      <c r="C86" s="398"/>
      <c r="D86" s="399"/>
      <c r="E86" s="216">
        <f t="shared" si="3"/>
        <v>0</v>
      </c>
      <c r="F86" s="397" t="str">
        <f>IF(CHMTCmTm!F85=0,"",CHMTCmTm!F85)</f>
        <v/>
      </c>
      <c r="G86" s="398"/>
      <c r="H86" s="399"/>
      <c r="I86" s="381" t="str">
        <f>IF(CHMTCmTm!I85=0,"",CHMTCmTm!I85)</f>
        <v/>
      </c>
      <c r="J86" s="382"/>
      <c r="K86" s="381" t="str">
        <f>IF(CHMTCmTm!K85=0,"",CHMTCmTm!K85)</f>
        <v/>
      </c>
      <c r="L86" s="382"/>
      <c r="M86" s="381" t="str">
        <f>IF(CHMTCmTm!M85=0,"",CHMTCmTm!M85)</f>
        <v/>
      </c>
      <c r="N86" s="382"/>
      <c r="O86" s="381" t="str">
        <f>IF(CHMTCmTm!O85=0,"",CHMTCmTm!O85)</f>
        <v/>
      </c>
      <c r="P86" s="382"/>
      <c r="Q86" s="215" t="b">
        <f t="shared" si="2"/>
        <v>0</v>
      </c>
      <c r="R86" s="381" t="str">
        <f>IF(CHMTCmTm!R85=0,"",CHMTCmTm!R85)</f>
        <v/>
      </c>
      <c r="S86" s="382"/>
      <c r="T86" s="381" t="str">
        <f>IF(CHMTCmTm!T85=0,"",CHMTCmTm!T85)</f>
        <v/>
      </c>
      <c r="U86" s="382"/>
      <c r="V86" s="381" t="str">
        <f>IF(CHMTCmTm!V85=0,"",CHMTCmTm!V85)</f>
        <v/>
      </c>
      <c r="W86" s="396"/>
      <c r="X86" s="396"/>
      <c r="Y86" s="382"/>
      <c r="Z86" s="215">
        <f>CHMTCmTm!Z85</f>
        <v>0</v>
      </c>
      <c r="AA86" s="381" t="str">
        <f>IF(CHMTCmTm!AA85=0,"",CHMTCmTm!AA85)</f>
        <v/>
      </c>
      <c r="AB86" s="396"/>
      <c r="AC86" s="382"/>
      <c r="AD86" s="215">
        <f>CHMTCmTm!AD85</f>
        <v>0</v>
      </c>
      <c r="AE86" s="381" t="str">
        <f>IF(CHMTCmTm!AE85=0,"",CHMTCmTm!AE85)</f>
        <v/>
      </c>
      <c r="AF86" s="396"/>
      <c r="AG86" s="382"/>
      <c r="AH86" s="215">
        <f>CHMTCmTm!AH85</f>
        <v>0</v>
      </c>
      <c r="AI86" s="381" t="str">
        <f>IF(CHMTCmTm!AI85=0,"",CHMTCmTm!AI85)</f>
        <v/>
      </c>
      <c r="AJ86" s="396"/>
      <c r="AK86" s="382"/>
      <c r="AL86" s="215">
        <f>CHMTCmTm!AL85</f>
        <v>0</v>
      </c>
      <c r="AM86" s="381" t="str">
        <f>IF(CHMTCmTm!AM85=0,"",CHMTCmTm!AM85)</f>
        <v/>
      </c>
      <c r="AN86" s="396"/>
      <c r="AO86" s="382"/>
      <c r="AP86" s="381" t="str">
        <f>IF(CHMTCmTm!AP85=0,"",CHMTCmTm!AP85)</f>
        <v/>
      </c>
      <c r="AQ86" s="382"/>
      <c r="AR86" s="381" t="str">
        <f>IF(CHMTCmTm!AR85=0,"",CHMTCmTm!AR85)</f>
        <v/>
      </c>
      <c r="AS86" s="382"/>
      <c r="AT86" s="381" t="str">
        <f>IF(CHMTCmTm!AT85=0,"",CHMTCmTm!AT85)</f>
        <v/>
      </c>
      <c r="AU86" s="396"/>
      <c r="AV86" s="382"/>
      <c r="AW86" s="381" t="str">
        <f>IF(CHMTCmTm!AW85=0,"",CHMTCmTm!AW85)</f>
        <v/>
      </c>
      <c r="AX86" s="396"/>
      <c r="AY86" s="382"/>
      <c r="AZ86" s="24">
        <f>CHMTCmTm!AZ85</f>
        <v>0</v>
      </c>
      <c r="BC86" s="24">
        <f>COUNTIF(CHMTCmTm!O85, "Outreach Session")</f>
        <v>0</v>
      </c>
      <c r="BD86" s="24">
        <f>COUNTIF(CHMTCmTm!O85, "Mobile Clinic")</f>
        <v>0</v>
      </c>
      <c r="BE86" s="24">
        <f>COUNTIF(CHMTCmTm!O85, "Health Facility")</f>
        <v>0</v>
      </c>
    </row>
    <row r="87" spans="2:57" s="24" customFormat="1" ht="21.95" customHeight="1" x14ac:dyDescent="0.25">
      <c r="B87" s="397" t="str">
        <f>IF(CHMTCmTm!B86=0,"",CHMTCmTm!B86)</f>
        <v/>
      </c>
      <c r="C87" s="398"/>
      <c r="D87" s="399"/>
      <c r="E87" s="216">
        <f t="shared" si="3"/>
        <v>0</v>
      </c>
      <c r="F87" s="397" t="str">
        <f>IF(CHMTCmTm!F86=0,"",CHMTCmTm!F86)</f>
        <v/>
      </c>
      <c r="G87" s="398"/>
      <c r="H87" s="399"/>
      <c r="I87" s="381" t="str">
        <f>IF(CHMTCmTm!I86=0,"",CHMTCmTm!I86)</f>
        <v/>
      </c>
      <c r="J87" s="382"/>
      <c r="K87" s="381" t="str">
        <f>IF(CHMTCmTm!K86=0,"",CHMTCmTm!K86)</f>
        <v/>
      </c>
      <c r="L87" s="382"/>
      <c r="M87" s="381" t="str">
        <f>IF(CHMTCmTm!M86=0,"",CHMTCmTm!M86)</f>
        <v/>
      </c>
      <c r="N87" s="382"/>
      <c r="O87" s="381" t="str">
        <f>IF(CHMTCmTm!O86=0,"",CHMTCmTm!O86)</f>
        <v/>
      </c>
      <c r="P87" s="382"/>
      <c r="Q87" s="215" t="b">
        <f t="shared" si="2"/>
        <v>0</v>
      </c>
      <c r="R87" s="381" t="str">
        <f>IF(CHMTCmTm!R86=0,"",CHMTCmTm!R86)</f>
        <v/>
      </c>
      <c r="S87" s="382"/>
      <c r="T87" s="381" t="str">
        <f>IF(CHMTCmTm!T86=0,"",CHMTCmTm!T86)</f>
        <v/>
      </c>
      <c r="U87" s="382"/>
      <c r="V87" s="381" t="str">
        <f>IF(CHMTCmTm!V86=0,"",CHMTCmTm!V86)</f>
        <v/>
      </c>
      <c r="W87" s="396"/>
      <c r="X87" s="396"/>
      <c r="Y87" s="382"/>
      <c r="Z87" s="215">
        <f>CHMTCmTm!Z86</f>
        <v>0</v>
      </c>
      <c r="AA87" s="381" t="str">
        <f>IF(CHMTCmTm!AA86=0,"",CHMTCmTm!AA86)</f>
        <v/>
      </c>
      <c r="AB87" s="396"/>
      <c r="AC87" s="382"/>
      <c r="AD87" s="215">
        <f>CHMTCmTm!AD86</f>
        <v>0</v>
      </c>
      <c r="AE87" s="381" t="str">
        <f>IF(CHMTCmTm!AE86=0,"",CHMTCmTm!AE86)</f>
        <v/>
      </c>
      <c r="AF87" s="396"/>
      <c r="AG87" s="382"/>
      <c r="AH87" s="215">
        <f>CHMTCmTm!AH86</f>
        <v>0</v>
      </c>
      <c r="AI87" s="381" t="str">
        <f>IF(CHMTCmTm!AI86=0,"",CHMTCmTm!AI86)</f>
        <v/>
      </c>
      <c r="AJ87" s="396"/>
      <c r="AK87" s="382"/>
      <c r="AL87" s="215">
        <f>CHMTCmTm!AL86</f>
        <v>0</v>
      </c>
      <c r="AM87" s="381" t="str">
        <f>IF(CHMTCmTm!AM86=0,"",CHMTCmTm!AM86)</f>
        <v/>
      </c>
      <c r="AN87" s="396"/>
      <c r="AO87" s="382"/>
      <c r="AP87" s="381" t="str">
        <f>IF(CHMTCmTm!AP86=0,"",CHMTCmTm!AP86)</f>
        <v/>
      </c>
      <c r="AQ87" s="382"/>
      <c r="AR87" s="381" t="str">
        <f>IF(CHMTCmTm!AR86=0,"",CHMTCmTm!AR86)</f>
        <v/>
      </c>
      <c r="AS87" s="382"/>
      <c r="AT87" s="381" t="str">
        <f>IF(CHMTCmTm!AT86=0,"",CHMTCmTm!AT86)</f>
        <v/>
      </c>
      <c r="AU87" s="396"/>
      <c r="AV87" s="382"/>
      <c r="AW87" s="381" t="str">
        <f>IF(CHMTCmTm!AW86=0,"",CHMTCmTm!AW86)</f>
        <v/>
      </c>
      <c r="AX87" s="396"/>
      <c r="AY87" s="382"/>
      <c r="AZ87" s="24">
        <f>CHMTCmTm!AZ86</f>
        <v>0</v>
      </c>
      <c r="BC87" s="24">
        <f>COUNTIF(CHMTCmTm!O86, "Outreach Session")</f>
        <v>0</v>
      </c>
      <c r="BD87" s="24">
        <f>COUNTIF(CHMTCmTm!O86, "Mobile Clinic")</f>
        <v>0</v>
      </c>
      <c r="BE87" s="24">
        <f>COUNTIF(CHMTCmTm!O86, "Health Facility")</f>
        <v>0</v>
      </c>
    </row>
    <row r="88" spans="2:57" s="24" customFormat="1" ht="21.95" customHeight="1" x14ac:dyDescent="0.25">
      <c r="B88" s="397" t="str">
        <f>IF(CHMTCmTm!B87=0,"",CHMTCmTm!B87)</f>
        <v/>
      </c>
      <c r="C88" s="398"/>
      <c r="D88" s="399"/>
      <c r="E88" s="216">
        <f t="shared" si="3"/>
        <v>0</v>
      </c>
      <c r="F88" s="397" t="str">
        <f>IF(CHMTCmTm!F87=0,"",CHMTCmTm!F87)</f>
        <v/>
      </c>
      <c r="G88" s="398"/>
      <c r="H88" s="399"/>
      <c r="I88" s="381" t="str">
        <f>IF(CHMTCmTm!I87=0,"",CHMTCmTm!I87)</f>
        <v/>
      </c>
      <c r="J88" s="382"/>
      <c r="K88" s="381" t="str">
        <f>IF(CHMTCmTm!K87=0,"",CHMTCmTm!K87)</f>
        <v/>
      </c>
      <c r="L88" s="382"/>
      <c r="M88" s="381" t="str">
        <f>IF(CHMTCmTm!M87=0,"",CHMTCmTm!M87)</f>
        <v/>
      </c>
      <c r="N88" s="382"/>
      <c r="O88" s="381" t="str">
        <f>IF(CHMTCmTm!O87=0,"",CHMTCmTm!O87)</f>
        <v/>
      </c>
      <c r="P88" s="382"/>
      <c r="Q88" s="215" t="b">
        <f t="shared" si="2"/>
        <v>0</v>
      </c>
      <c r="R88" s="381" t="str">
        <f>IF(CHMTCmTm!R87=0,"",CHMTCmTm!R87)</f>
        <v/>
      </c>
      <c r="S88" s="382"/>
      <c r="T88" s="381" t="str">
        <f>IF(CHMTCmTm!T87=0,"",CHMTCmTm!T87)</f>
        <v/>
      </c>
      <c r="U88" s="382"/>
      <c r="V88" s="381" t="str">
        <f>IF(CHMTCmTm!V87=0,"",CHMTCmTm!V87)</f>
        <v/>
      </c>
      <c r="W88" s="396"/>
      <c r="X88" s="396"/>
      <c r="Y88" s="382"/>
      <c r="Z88" s="215">
        <f>CHMTCmTm!Z87</f>
        <v>0</v>
      </c>
      <c r="AA88" s="381" t="str">
        <f>IF(CHMTCmTm!AA87=0,"",CHMTCmTm!AA87)</f>
        <v/>
      </c>
      <c r="AB88" s="396"/>
      <c r="AC88" s="382"/>
      <c r="AD88" s="215">
        <f>CHMTCmTm!AD87</f>
        <v>0</v>
      </c>
      <c r="AE88" s="381" t="str">
        <f>IF(CHMTCmTm!AE87=0,"",CHMTCmTm!AE87)</f>
        <v/>
      </c>
      <c r="AF88" s="396"/>
      <c r="AG88" s="382"/>
      <c r="AH88" s="215">
        <f>CHMTCmTm!AH87</f>
        <v>0</v>
      </c>
      <c r="AI88" s="381" t="str">
        <f>IF(CHMTCmTm!AI87=0,"",CHMTCmTm!AI87)</f>
        <v/>
      </c>
      <c r="AJ88" s="396"/>
      <c r="AK88" s="382"/>
      <c r="AL88" s="215">
        <f>CHMTCmTm!AL87</f>
        <v>0</v>
      </c>
      <c r="AM88" s="381" t="str">
        <f>IF(CHMTCmTm!AM87=0,"",CHMTCmTm!AM87)</f>
        <v/>
      </c>
      <c r="AN88" s="396"/>
      <c r="AO88" s="382"/>
      <c r="AP88" s="381" t="str">
        <f>IF(CHMTCmTm!AP87=0,"",CHMTCmTm!AP87)</f>
        <v/>
      </c>
      <c r="AQ88" s="382"/>
      <c r="AR88" s="381" t="str">
        <f>IF(CHMTCmTm!AR87=0,"",CHMTCmTm!AR87)</f>
        <v/>
      </c>
      <c r="AS88" s="382"/>
      <c r="AT88" s="381" t="str">
        <f>IF(CHMTCmTm!AT87=0,"",CHMTCmTm!AT87)</f>
        <v/>
      </c>
      <c r="AU88" s="396"/>
      <c r="AV88" s="382"/>
      <c r="AW88" s="381" t="str">
        <f>IF(CHMTCmTm!AW87=0,"",CHMTCmTm!AW87)</f>
        <v/>
      </c>
      <c r="AX88" s="396"/>
      <c r="AY88" s="382"/>
      <c r="AZ88" s="24">
        <f>CHMTCmTm!AZ87</f>
        <v>0</v>
      </c>
      <c r="BC88" s="24">
        <f>COUNTIF(CHMTCmTm!O87, "Outreach Session")</f>
        <v>0</v>
      </c>
      <c r="BD88" s="24">
        <f>COUNTIF(CHMTCmTm!O87, "Mobile Clinic")</f>
        <v>0</v>
      </c>
      <c r="BE88" s="24">
        <f>COUNTIF(CHMTCmTm!O87, "Health Facility")</f>
        <v>0</v>
      </c>
    </row>
    <row r="89" spans="2:57" s="24" customFormat="1" ht="21.95" customHeight="1" x14ac:dyDescent="0.25">
      <c r="B89" s="397" t="str">
        <f>IF(CHMTCmTm!B88=0,"",CHMTCmTm!B88)</f>
        <v/>
      </c>
      <c r="C89" s="398"/>
      <c r="D89" s="399"/>
      <c r="E89" s="216">
        <f t="shared" si="3"/>
        <v>0</v>
      </c>
      <c r="F89" s="397" t="str">
        <f>IF(CHMTCmTm!F88=0,"",CHMTCmTm!F88)</f>
        <v/>
      </c>
      <c r="G89" s="398"/>
      <c r="H89" s="399"/>
      <c r="I89" s="381" t="str">
        <f>IF(CHMTCmTm!I88=0,"",CHMTCmTm!I88)</f>
        <v/>
      </c>
      <c r="J89" s="382"/>
      <c r="K89" s="381" t="str">
        <f>IF(CHMTCmTm!K88=0,"",CHMTCmTm!K88)</f>
        <v/>
      </c>
      <c r="L89" s="382"/>
      <c r="M89" s="381" t="str">
        <f>IF(CHMTCmTm!M88=0,"",CHMTCmTm!M88)</f>
        <v/>
      </c>
      <c r="N89" s="382"/>
      <c r="O89" s="381" t="str">
        <f>IF(CHMTCmTm!O88=0,"",CHMTCmTm!O88)</f>
        <v/>
      </c>
      <c r="P89" s="382"/>
      <c r="Q89" s="215" t="b">
        <f t="shared" si="2"/>
        <v>0</v>
      </c>
      <c r="R89" s="381" t="str">
        <f>IF(CHMTCmTm!R88=0,"",CHMTCmTm!R88)</f>
        <v/>
      </c>
      <c r="S89" s="382"/>
      <c r="T89" s="381" t="str">
        <f>IF(CHMTCmTm!T88=0,"",CHMTCmTm!T88)</f>
        <v/>
      </c>
      <c r="U89" s="382"/>
      <c r="V89" s="381" t="str">
        <f>IF(CHMTCmTm!V88=0,"",CHMTCmTm!V88)</f>
        <v/>
      </c>
      <c r="W89" s="396"/>
      <c r="X89" s="396"/>
      <c r="Y89" s="382"/>
      <c r="Z89" s="215">
        <f>CHMTCmTm!Z88</f>
        <v>0</v>
      </c>
      <c r="AA89" s="381" t="str">
        <f>IF(CHMTCmTm!AA88=0,"",CHMTCmTm!AA88)</f>
        <v/>
      </c>
      <c r="AB89" s="396"/>
      <c r="AC89" s="382"/>
      <c r="AD89" s="215">
        <f>CHMTCmTm!AD88</f>
        <v>0</v>
      </c>
      <c r="AE89" s="381" t="str">
        <f>IF(CHMTCmTm!AE88=0,"",CHMTCmTm!AE88)</f>
        <v/>
      </c>
      <c r="AF89" s="396"/>
      <c r="AG89" s="382"/>
      <c r="AH89" s="215">
        <f>CHMTCmTm!AH88</f>
        <v>0</v>
      </c>
      <c r="AI89" s="381" t="str">
        <f>IF(CHMTCmTm!AI88=0,"",CHMTCmTm!AI88)</f>
        <v/>
      </c>
      <c r="AJ89" s="396"/>
      <c r="AK89" s="382"/>
      <c r="AL89" s="215">
        <f>CHMTCmTm!AL88</f>
        <v>0</v>
      </c>
      <c r="AM89" s="381" t="str">
        <f>IF(CHMTCmTm!AM88=0,"",CHMTCmTm!AM88)</f>
        <v/>
      </c>
      <c r="AN89" s="396"/>
      <c r="AO89" s="382"/>
      <c r="AP89" s="381" t="str">
        <f>IF(CHMTCmTm!AP88=0,"",CHMTCmTm!AP88)</f>
        <v/>
      </c>
      <c r="AQ89" s="382"/>
      <c r="AR89" s="381" t="str">
        <f>IF(CHMTCmTm!AR88=0,"",CHMTCmTm!AR88)</f>
        <v/>
      </c>
      <c r="AS89" s="382"/>
      <c r="AT89" s="381" t="str">
        <f>IF(CHMTCmTm!AT88=0,"",CHMTCmTm!AT88)</f>
        <v/>
      </c>
      <c r="AU89" s="396"/>
      <c r="AV89" s="382"/>
      <c r="AW89" s="381" t="str">
        <f>IF(CHMTCmTm!AW88=0,"",CHMTCmTm!AW88)</f>
        <v/>
      </c>
      <c r="AX89" s="396"/>
      <c r="AY89" s="382"/>
      <c r="AZ89" s="24">
        <f>CHMTCmTm!AZ88</f>
        <v>0</v>
      </c>
      <c r="BC89" s="24">
        <f>COUNTIF(CHMTCmTm!O88, "Outreach Session")</f>
        <v>0</v>
      </c>
      <c r="BD89" s="24">
        <f>COUNTIF(CHMTCmTm!O88, "Mobile Clinic")</f>
        <v>0</v>
      </c>
      <c r="BE89" s="24">
        <f>COUNTIF(CHMTCmTm!O88, "Health Facility")</f>
        <v>0</v>
      </c>
    </row>
    <row r="90" spans="2:57" s="24" customFormat="1" ht="21.95" customHeight="1" x14ac:dyDescent="0.25">
      <c r="B90" s="397" t="str">
        <f>IF(CHMTCmTm!B89=0,"",CHMTCmTm!B89)</f>
        <v/>
      </c>
      <c r="C90" s="398"/>
      <c r="D90" s="399"/>
      <c r="E90" s="216">
        <f t="shared" si="3"/>
        <v>0</v>
      </c>
      <c r="F90" s="397" t="str">
        <f>IF(CHMTCmTm!F89=0,"",CHMTCmTm!F89)</f>
        <v/>
      </c>
      <c r="G90" s="398"/>
      <c r="H90" s="399"/>
      <c r="I90" s="381" t="str">
        <f>IF(CHMTCmTm!I89=0,"",CHMTCmTm!I89)</f>
        <v/>
      </c>
      <c r="J90" s="382"/>
      <c r="K90" s="381" t="str">
        <f>IF(CHMTCmTm!K89=0,"",CHMTCmTm!K89)</f>
        <v/>
      </c>
      <c r="L90" s="382"/>
      <c r="M90" s="381" t="str">
        <f>IF(CHMTCmTm!M89=0,"",CHMTCmTm!M89)</f>
        <v/>
      </c>
      <c r="N90" s="382"/>
      <c r="O90" s="381" t="str">
        <f>IF(CHMTCmTm!O89=0,"",CHMTCmTm!O89)</f>
        <v/>
      </c>
      <c r="P90" s="382"/>
      <c r="Q90" s="215" t="b">
        <f t="shared" si="2"/>
        <v>0</v>
      </c>
      <c r="R90" s="381" t="str">
        <f>IF(CHMTCmTm!R89=0,"",CHMTCmTm!R89)</f>
        <v/>
      </c>
      <c r="S90" s="382"/>
      <c r="T90" s="381" t="str">
        <f>IF(CHMTCmTm!T89=0,"",CHMTCmTm!T89)</f>
        <v/>
      </c>
      <c r="U90" s="382"/>
      <c r="V90" s="381" t="str">
        <f>IF(CHMTCmTm!V89=0,"",CHMTCmTm!V89)</f>
        <v/>
      </c>
      <c r="W90" s="396"/>
      <c r="X90" s="396"/>
      <c r="Y90" s="382"/>
      <c r="Z90" s="215">
        <f>CHMTCmTm!Z89</f>
        <v>0</v>
      </c>
      <c r="AA90" s="381" t="str">
        <f>IF(CHMTCmTm!AA89=0,"",CHMTCmTm!AA89)</f>
        <v/>
      </c>
      <c r="AB90" s="396"/>
      <c r="AC90" s="382"/>
      <c r="AD90" s="215">
        <f>CHMTCmTm!AD89</f>
        <v>0</v>
      </c>
      <c r="AE90" s="381" t="str">
        <f>IF(CHMTCmTm!AE89=0,"",CHMTCmTm!AE89)</f>
        <v/>
      </c>
      <c r="AF90" s="396"/>
      <c r="AG90" s="382"/>
      <c r="AH90" s="215">
        <f>CHMTCmTm!AH89</f>
        <v>0</v>
      </c>
      <c r="AI90" s="381" t="str">
        <f>IF(CHMTCmTm!AI89=0,"",CHMTCmTm!AI89)</f>
        <v/>
      </c>
      <c r="AJ90" s="396"/>
      <c r="AK90" s="382"/>
      <c r="AL90" s="215">
        <f>CHMTCmTm!AL89</f>
        <v>0</v>
      </c>
      <c r="AM90" s="381" t="str">
        <f>IF(CHMTCmTm!AM89=0,"",CHMTCmTm!AM89)</f>
        <v/>
      </c>
      <c r="AN90" s="396"/>
      <c r="AO90" s="382"/>
      <c r="AP90" s="381" t="str">
        <f>IF(CHMTCmTm!AP89=0,"",CHMTCmTm!AP89)</f>
        <v/>
      </c>
      <c r="AQ90" s="382"/>
      <c r="AR90" s="381" t="str">
        <f>IF(CHMTCmTm!AR89=0,"",CHMTCmTm!AR89)</f>
        <v/>
      </c>
      <c r="AS90" s="382"/>
      <c r="AT90" s="381" t="str">
        <f>IF(CHMTCmTm!AT89=0,"",CHMTCmTm!AT89)</f>
        <v/>
      </c>
      <c r="AU90" s="396"/>
      <c r="AV90" s="382"/>
      <c r="AW90" s="381" t="str">
        <f>IF(CHMTCmTm!AW89=0,"",CHMTCmTm!AW89)</f>
        <v/>
      </c>
      <c r="AX90" s="396"/>
      <c r="AY90" s="382"/>
      <c r="AZ90" s="24">
        <f>CHMTCmTm!AZ89</f>
        <v>0</v>
      </c>
      <c r="BC90" s="24">
        <f>COUNTIF(CHMTCmTm!O89, "Outreach Session")</f>
        <v>0</v>
      </c>
      <c r="BD90" s="24">
        <f>COUNTIF(CHMTCmTm!O89, "Mobile Clinic")</f>
        <v>0</v>
      </c>
      <c r="BE90" s="24">
        <f>COUNTIF(CHMTCmTm!O89, "Health Facility")</f>
        <v>0</v>
      </c>
    </row>
    <row r="91" spans="2:57" s="24" customFormat="1" ht="21.95" customHeight="1" x14ac:dyDescent="0.25">
      <c r="B91" s="397" t="str">
        <f>IF(CHMTCmTm!B90=0,"",CHMTCmTm!B90)</f>
        <v/>
      </c>
      <c r="C91" s="398"/>
      <c r="D91" s="399"/>
      <c r="E91" s="216">
        <f t="shared" si="3"/>
        <v>0</v>
      </c>
      <c r="F91" s="397" t="str">
        <f>IF(CHMTCmTm!F90=0,"",CHMTCmTm!F90)</f>
        <v/>
      </c>
      <c r="G91" s="398"/>
      <c r="H91" s="399"/>
      <c r="I91" s="381" t="str">
        <f>IF(CHMTCmTm!I90=0,"",CHMTCmTm!I90)</f>
        <v/>
      </c>
      <c r="J91" s="382"/>
      <c r="K91" s="381" t="str">
        <f>IF(CHMTCmTm!K90=0,"",CHMTCmTm!K90)</f>
        <v/>
      </c>
      <c r="L91" s="382"/>
      <c r="M91" s="381" t="str">
        <f>IF(CHMTCmTm!M90=0,"",CHMTCmTm!M90)</f>
        <v/>
      </c>
      <c r="N91" s="382"/>
      <c r="O91" s="381" t="str">
        <f>IF(CHMTCmTm!O90=0,"",CHMTCmTm!O90)</f>
        <v/>
      </c>
      <c r="P91" s="382"/>
      <c r="Q91" s="215" t="b">
        <f t="shared" si="2"/>
        <v>0</v>
      </c>
      <c r="R91" s="381" t="str">
        <f>IF(CHMTCmTm!R90=0,"",CHMTCmTm!R90)</f>
        <v/>
      </c>
      <c r="S91" s="382"/>
      <c r="T91" s="381" t="str">
        <f>IF(CHMTCmTm!T90=0,"",CHMTCmTm!T90)</f>
        <v/>
      </c>
      <c r="U91" s="382"/>
      <c r="V91" s="381" t="str">
        <f>IF(CHMTCmTm!V90=0,"",CHMTCmTm!V90)</f>
        <v/>
      </c>
      <c r="W91" s="396"/>
      <c r="X91" s="396"/>
      <c r="Y91" s="382"/>
      <c r="Z91" s="215">
        <f>CHMTCmTm!Z90</f>
        <v>0</v>
      </c>
      <c r="AA91" s="381" t="str">
        <f>IF(CHMTCmTm!AA90=0,"",CHMTCmTm!AA90)</f>
        <v/>
      </c>
      <c r="AB91" s="396"/>
      <c r="AC91" s="382"/>
      <c r="AD91" s="215">
        <f>CHMTCmTm!AD90</f>
        <v>0</v>
      </c>
      <c r="AE91" s="381" t="str">
        <f>IF(CHMTCmTm!AE90=0,"",CHMTCmTm!AE90)</f>
        <v/>
      </c>
      <c r="AF91" s="396"/>
      <c r="AG91" s="382"/>
      <c r="AH91" s="215">
        <f>CHMTCmTm!AH90</f>
        <v>0</v>
      </c>
      <c r="AI91" s="381" t="str">
        <f>IF(CHMTCmTm!AI90=0,"",CHMTCmTm!AI90)</f>
        <v/>
      </c>
      <c r="AJ91" s="396"/>
      <c r="AK91" s="382"/>
      <c r="AL91" s="215">
        <f>CHMTCmTm!AL90</f>
        <v>0</v>
      </c>
      <c r="AM91" s="381" t="str">
        <f>IF(CHMTCmTm!AM90=0,"",CHMTCmTm!AM90)</f>
        <v/>
      </c>
      <c r="AN91" s="396"/>
      <c r="AO91" s="382"/>
      <c r="AP91" s="381" t="str">
        <f>IF(CHMTCmTm!AP90=0,"",CHMTCmTm!AP90)</f>
        <v/>
      </c>
      <c r="AQ91" s="382"/>
      <c r="AR91" s="381" t="str">
        <f>IF(CHMTCmTm!AR90=0,"",CHMTCmTm!AR90)</f>
        <v/>
      </c>
      <c r="AS91" s="382"/>
      <c r="AT91" s="381" t="str">
        <f>IF(CHMTCmTm!AT90=0,"",CHMTCmTm!AT90)</f>
        <v/>
      </c>
      <c r="AU91" s="396"/>
      <c r="AV91" s="382"/>
      <c r="AW91" s="381" t="str">
        <f>IF(CHMTCmTm!AW90=0,"",CHMTCmTm!AW90)</f>
        <v/>
      </c>
      <c r="AX91" s="396"/>
      <c r="AY91" s="382"/>
      <c r="AZ91" s="24">
        <f>CHMTCmTm!AZ90</f>
        <v>0</v>
      </c>
      <c r="BC91" s="24">
        <f>COUNTIF(CHMTCmTm!O90, "Outreach Session")</f>
        <v>0</v>
      </c>
      <c r="BD91" s="24">
        <f>COUNTIF(CHMTCmTm!O90, "Mobile Clinic")</f>
        <v>0</v>
      </c>
      <c r="BE91" s="24">
        <f>COUNTIF(CHMTCmTm!O90, "Health Facility")</f>
        <v>0</v>
      </c>
    </row>
    <row r="92" spans="2:57" s="24" customFormat="1" ht="21.95" customHeight="1" x14ac:dyDescent="0.25">
      <c r="B92" s="397" t="str">
        <f>IF(CHMTCmTm!B91=0,"",CHMTCmTm!B91)</f>
        <v/>
      </c>
      <c r="C92" s="398"/>
      <c r="D92" s="399"/>
      <c r="E92" s="216">
        <f t="shared" si="3"/>
        <v>0</v>
      </c>
      <c r="F92" s="397" t="str">
        <f>IF(CHMTCmTm!F91=0,"",CHMTCmTm!F91)</f>
        <v/>
      </c>
      <c r="G92" s="398"/>
      <c r="H92" s="399"/>
      <c r="I92" s="381" t="str">
        <f>IF(CHMTCmTm!I91=0,"",CHMTCmTm!I91)</f>
        <v/>
      </c>
      <c r="J92" s="382"/>
      <c r="K92" s="381" t="str">
        <f>IF(CHMTCmTm!K91=0,"",CHMTCmTm!K91)</f>
        <v/>
      </c>
      <c r="L92" s="382"/>
      <c r="M92" s="381" t="str">
        <f>IF(CHMTCmTm!M91=0,"",CHMTCmTm!M91)</f>
        <v/>
      </c>
      <c r="N92" s="382"/>
      <c r="O92" s="381" t="str">
        <f>IF(CHMTCmTm!O91=0,"",CHMTCmTm!O91)</f>
        <v/>
      </c>
      <c r="P92" s="382"/>
      <c r="Q92" s="215" t="b">
        <f t="shared" si="2"/>
        <v>0</v>
      </c>
      <c r="R92" s="381" t="str">
        <f>IF(CHMTCmTm!R91=0,"",CHMTCmTm!R91)</f>
        <v/>
      </c>
      <c r="S92" s="382"/>
      <c r="T92" s="381" t="str">
        <f>IF(CHMTCmTm!T91=0,"",CHMTCmTm!T91)</f>
        <v/>
      </c>
      <c r="U92" s="382"/>
      <c r="V92" s="381" t="str">
        <f>IF(CHMTCmTm!V91=0,"",CHMTCmTm!V91)</f>
        <v/>
      </c>
      <c r="W92" s="396"/>
      <c r="X92" s="396"/>
      <c r="Y92" s="382"/>
      <c r="Z92" s="215">
        <f>CHMTCmTm!Z91</f>
        <v>0</v>
      </c>
      <c r="AA92" s="381" t="str">
        <f>IF(CHMTCmTm!AA91=0,"",CHMTCmTm!AA91)</f>
        <v/>
      </c>
      <c r="AB92" s="396"/>
      <c r="AC92" s="382"/>
      <c r="AD92" s="215">
        <f>CHMTCmTm!AD91</f>
        <v>0</v>
      </c>
      <c r="AE92" s="381" t="str">
        <f>IF(CHMTCmTm!AE91=0,"",CHMTCmTm!AE91)</f>
        <v/>
      </c>
      <c r="AF92" s="396"/>
      <c r="AG92" s="382"/>
      <c r="AH92" s="215">
        <f>CHMTCmTm!AH91</f>
        <v>0</v>
      </c>
      <c r="AI92" s="381" t="str">
        <f>IF(CHMTCmTm!AI91=0,"",CHMTCmTm!AI91)</f>
        <v/>
      </c>
      <c r="AJ92" s="396"/>
      <c r="AK92" s="382"/>
      <c r="AL92" s="215">
        <f>CHMTCmTm!AL91</f>
        <v>0</v>
      </c>
      <c r="AM92" s="381" t="str">
        <f>IF(CHMTCmTm!AM91=0,"",CHMTCmTm!AM91)</f>
        <v/>
      </c>
      <c r="AN92" s="396"/>
      <c r="AO92" s="382"/>
      <c r="AP92" s="381" t="str">
        <f>IF(CHMTCmTm!AP91=0,"",CHMTCmTm!AP91)</f>
        <v/>
      </c>
      <c r="AQ92" s="382"/>
      <c r="AR92" s="381" t="str">
        <f>IF(CHMTCmTm!AR91=0,"",CHMTCmTm!AR91)</f>
        <v/>
      </c>
      <c r="AS92" s="382"/>
      <c r="AT92" s="381" t="str">
        <f>IF(CHMTCmTm!AT91=0,"",CHMTCmTm!AT91)</f>
        <v/>
      </c>
      <c r="AU92" s="396"/>
      <c r="AV92" s="382"/>
      <c r="AW92" s="381" t="str">
        <f>IF(CHMTCmTm!AW91=0,"",CHMTCmTm!AW91)</f>
        <v/>
      </c>
      <c r="AX92" s="396"/>
      <c r="AY92" s="382"/>
      <c r="AZ92" s="24">
        <f>CHMTCmTm!AZ91</f>
        <v>0</v>
      </c>
      <c r="BC92" s="24">
        <f>COUNTIF(CHMTCmTm!O91, "Outreach Session")</f>
        <v>0</v>
      </c>
      <c r="BD92" s="24">
        <f>COUNTIF(CHMTCmTm!O91, "Mobile Clinic")</f>
        <v>0</v>
      </c>
      <c r="BE92" s="24">
        <f>COUNTIF(CHMTCmTm!O91, "Health Facility")</f>
        <v>0</v>
      </c>
    </row>
    <row r="93" spans="2:57" s="24" customFormat="1" ht="21.95" customHeight="1" x14ac:dyDescent="0.25">
      <c r="B93" s="397" t="str">
        <f>IF(CHMTCmTm!B92=0,"",CHMTCmTm!B92)</f>
        <v/>
      </c>
      <c r="C93" s="398"/>
      <c r="D93" s="399"/>
      <c r="E93" s="216">
        <f t="shared" si="3"/>
        <v>0</v>
      </c>
      <c r="F93" s="397" t="str">
        <f>IF(CHMTCmTm!F92=0,"",CHMTCmTm!F92)</f>
        <v/>
      </c>
      <c r="G93" s="398"/>
      <c r="H93" s="399"/>
      <c r="I93" s="381" t="str">
        <f>IF(CHMTCmTm!I92=0,"",CHMTCmTm!I92)</f>
        <v/>
      </c>
      <c r="J93" s="382"/>
      <c r="K93" s="381" t="str">
        <f>IF(CHMTCmTm!K92=0,"",CHMTCmTm!K92)</f>
        <v/>
      </c>
      <c r="L93" s="382"/>
      <c r="M93" s="381" t="str">
        <f>IF(CHMTCmTm!M92=0,"",CHMTCmTm!M92)</f>
        <v/>
      </c>
      <c r="N93" s="382"/>
      <c r="O93" s="381" t="str">
        <f>IF(CHMTCmTm!O92=0,"",CHMTCmTm!O92)</f>
        <v/>
      </c>
      <c r="P93" s="382"/>
      <c r="Q93" s="215" t="b">
        <f t="shared" si="2"/>
        <v>0</v>
      </c>
      <c r="R93" s="381" t="str">
        <f>IF(CHMTCmTm!R92=0,"",CHMTCmTm!R92)</f>
        <v/>
      </c>
      <c r="S93" s="382"/>
      <c r="T93" s="381" t="str">
        <f>IF(CHMTCmTm!T92=0,"",CHMTCmTm!T92)</f>
        <v/>
      </c>
      <c r="U93" s="382"/>
      <c r="V93" s="381" t="str">
        <f>IF(CHMTCmTm!V92=0,"",CHMTCmTm!V92)</f>
        <v/>
      </c>
      <c r="W93" s="396"/>
      <c r="X93" s="396"/>
      <c r="Y93" s="382"/>
      <c r="Z93" s="215">
        <f>CHMTCmTm!Z92</f>
        <v>0</v>
      </c>
      <c r="AA93" s="381" t="str">
        <f>IF(CHMTCmTm!AA92=0,"",CHMTCmTm!AA92)</f>
        <v/>
      </c>
      <c r="AB93" s="396"/>
      <c r="AC93" s="382"/>
      <c r="AD93" s="215">
        <f>CHMTCmTm!AD92</f>
        <v>0</v>
      </c>
      <c r="AE93" s="381" t="str">
        <f>IF(CHMTCmTm!AE92=0,"",CHMTCmTm!AE92)</f>
        <v/>
      </c>
      <c r="AF93" s="396"/>
      <c r="AG93" s="382"/>
      <c r="AH93" s="215">
        <f>CHMTCmTm!AH92</f>
        <v>0</v>
      </c>
      <c r="AI93" s="381" t="str">
        <f>IF(CHMTCmTm!AI92=0,"",CHMTCmTm!AI92)</f>
        <v/>
      </c>
      <c r="AJ93" s="396"/>
      <c r="AK93" s="382"/>
      <c r="AL93" s="215">
        <f>CHMTCmTm!AL92</f>
        <v>0</v>
      </c>
      <c r="AM93" s="381" t="str">
        <f>IF(CHMTCmTm!AM92=0,"",CHMTCmTm!AM92)</f>
        <v/>
      </c>
      <c r="AN93" s="396"/>
      <c r="AO93" s="382"/>
      <c r="AP93" s="381" t="str">
        <f>IF(CHMTCmTm!AP92=0,"",CHMTCmTm!AP92)</f>
        <v/>
      </c>
      <c r="AQ93" s="382"/>
      <c r="AR93" s="381" t="str">
        <f>IF(CHMTCmTm!AR92=0,"",CHMTCmTm!AR92)</f>
        <v/>
      </c>
      <c r="AS93" s="382"/>
      <c r="AT93" s="381" t="str">
        <f>IF(CHMTCmTm!AT92=0,"",CHMTCmTm!AT92)</f>
        <v/>
      </c>
      <c r="AU93" s="396"/>
      <c r="AV93" s="382"/>
      <c r="AW93" s="381" t="str">
        <f>IF(CHMTCmTm!AW92=0,"",CHMTCmTm!AW92)</f>
        <v/>
      </c>
      <c r="AX93" s="396"/>
      <c r="AY93" s="382"/>
      <c r="AZ93" s="24">
        <f>CHMTCmTm!AZ92</f>
        <v>0</v>
      </c>
      <c r="BC93" s="24">
        <f>COUNTIF(CHMTCmTm!O92, "Outreach Session")</f>
        <v>0</v>
      </c>
      <c r="BD93" s="24">
        <f>COUNTIF(CHMTCmTm!O92, "Mobile Clinic")</f>
        <v>0</v>
      </c>
      <c r="BE93" s="24">
        <f>COUNTIF(CHMTCmTm!O92, "Health Facility")</f>
        <v>0</v>
      </c>
    </row>
    <row r="94" spans="2:57" s="24" customFormat="1" ht="21.95" customHeight="1" x14ac:dyDescent="0.25">
      <c r="B94" s="397" t="str">
        <f>IF(CHMTCmTm!B93=0,"",CHMTCmTm!B93)</f>
        <v/>
      </c>
      <c r="C94" s="398"/>
      <c r="D94" s="399"/>
      <c r="E94" s="216">
        <f t="shared" si="3"/>
        <v>0</v>
      </c>
      <c r="F94" s="397" t="str">
        <f>IF(CHMTCmTm!F93=0,"",CHMTCmTm!F93)</f>
        <v/>
      </c>
      <c r="G94" s="398"/>
      <c r="H94" s="399"/>
      <c r="I94" s="381" t="str">
        <f>IF(CHMTCmTm!I93=0,"",CHMTCmTm!I93)</f>
        <v/>
      </c>
      <c r="J94" s="382"/>
      <c r="K94" s="381" t="str">
        <f>IF(CHMTCmTm!K93=0,"",CHMTCmTm!K93)</f>
        <v/>
      </c>
      <c r="L94" s="382"/>
      <c r="M94" s="381" t="str">
        <f>IF(CHMTCmTm!M93=0,"",CHMTCmTm!M93)</f>
        <v/>
      </c>
      <c r="N94" s="382"/>
      <c r="O94" s="381" t="str">
        <f>IF(CHMTCmTm!O93=0,"",CHMTCmTm!O93)</f>
        <v/>
      </c>
      <c r="P94" s="382"/>
      <c r="Q94" s="215" t="b">
        <f t="shared" si="2"/>
        <v>0</v>
      </c>
      <c r="R94" s="381" t="str">
        <f>IF(CHMTCmTm!R93=0,"",CHMTCmTm!R93)</f>
        <v/>
      </c>
      <c r="S94" s="382"/>
      <c r="T94" s="381" t="str">
        <f>IF(CHMTCmTm!T93=0,"",CHMTCmTm!T93)</f>
        <v/>
      </c>
      <c r="U94" s="382"/>
      <c r="V94" s="381" t="str">
        <f>IF(CHMTCmTm!V93=0,"",CHMTCmTm!V93)</f>
        <v/>
      </c>
      <c r="W94" s="396"/>
      <c r="X94" s="396"/>
      <c r="Y94" s="382"/>
      <c r="Z94" s="215">
        <f>CHMTCmTm!Z93</f>
        <v>0</v>
      </c>
      <c r="AA94" s="381" t="str">
        <f>IF(CHMTCmTm!AA93=0,"",CHMTCmTm!AA93)</f>
        <v/>
      </c>
      <c r="AB94" s="396"/>
      <c r="AC94" s="382"/>
      <c r="AD94" s="215">
        <f>CHMTCmTm!AD93</f>
        <v>0</v>
      </c>
      <c r="AE94" s="381" t="str">
        <f>IF(CHMTCmTm!AE93=0,"",CHMTCmTm!AE93)</f>
        <v/>
      </c>
      <c r="AF94" s="396"/>
      <c r="AG94" s="382"/>
      <c r="AH94" s="215">
        <f>CHMTCmTm!AH93</f>
        <v>0</v>
      </c>
      <c r="AI94" s="381" t="str">
        <f>IF(CHMTCmTm!AI93=0,"",CHMTCmTm!AI93)</f>
        <v/>
      </c>
      <c r="AJ94" s="396"/>
      <c r="AK94" s="382"/>
      <c r="AL94" s="215">
        <f>CHMTCmTm!AL93</f>
        <v>0</v>
      </c>
      <c r="AM94" s="381" t="str">
        <f>IF(CHMTCmTm!AM93=0,"",CHMTCmTm!AM93)</f>
        <v/>
      </c>
      <c r="AN94" s="396"/>
      <c r="AO94" s="382"/>
      <c r="AP94" s="381" t="str">
        <f>IF(CHMTCmTm!AP93=0,"",CHMTCmTm!AP93)</f>
        <v/>
      </c>
      <c r="AQ94" s="382"/>
      <c r="AR94" s="381" t="str">
        <f>IF(CHMTCmTm!AR93=0,"",CHMTCmTm!AR93)</f>
        <v/>
      </c>
      <c r="AS94" s="382"/>
      <c r="AT94" s="381" t="str">
        <f>IF(CHMTCmTm!AT93=0,"",CHMTCmTm!AT93)</f>
        <v/>
      </c>
      <c r="AU94" s="396"/>
      <c r="AV94" s="382"/>
      <c r="AW94" s="381" t="str">
        <f>IF(CHMTCmTm!AW93=0,"",CHMTCmTm!AW93)</f>
        <v/>
      </c>
      <c r="AX94" s="396"/>
      <c r="AY94" s="382"/>
      <c r="AZ94" s="24">
        <f>CHMTCmTm!AZ93</f>
        <v>0</v>
      </c>
      <c r="BC94" s="24">
        <f>COUNTIF(CHMTCmTm!O93, "Outreach Session")</f>
        <v>0</v>
      </c>
      <c r="BD94" s="24">
        <f>COUNTIF(CHMTCmTm!O93, "Mobile Clinic")</f>
        <v>0</v>
      </c>
      <c r="BE94" s="24">
        <f>COUNTIF(CHMTCmTm!O93, "Health Facility")</f>
        <v>0</v>
      </c>
    </row>
    <row r="95" spans="2:57" s="24" customFormat="1" ht="21.95" customHeight="1" x14ac:dyDescent="0.25">
      <c r="B95" s="397" t="str">
        <f>IF(CHMTCmTm!B94=0,"",CHMTCmTm!B94)</f>
        <v/>
      </c>
      <c r="C95" s="398"/>
      <c r="D95" s="399"/>
      <c r="E95" s="216">
        <f t="shared" si="3"/>
        <v>0</v>
      </c>
      <c r="F95" s="397" t="str">
        <f>IF(CHMTCmTm!F94=0,"",CHMTCmTm!F94)</f>
        <v/>
      </c>
      <c r="G95" s="398"/>
      <c r="H95" s="399"/>
      <c r="I95" s="381" t="str">
        <f>IF(CHMTCmTm!I94=0,"",CHMTCmTm!I94)</f>
        <v/>
      </c>
      <c r="J95" s="382"/>
      <c r="K95" s="381" t="str">
        <f>IF(CHMTCmTm!K94=0,"",CHMTCmTm!K94)</f>
        <v/>
      </c>
      <c r="L95" s="382"/>
      <c r="M95" s="381" t="str">
        <f>IF(CHMTCmTm!M94=0,"",CHMTCmTm!M94)</f>
        <v/>
      </c>
      <c r="N95" s="382"/>
      <c r="O95" s="381" t="str">
        <f>IF(CHMTCmTm!O94=0,"",CHMTCmTm!O94)</f>
        <v/>
      </c>
      <c r="P95" s="382"/>
      <c r="Q95" s="215" t="b">
        <f t="shared" si="2"/>
        <v>0</v>
      </c>
      <c r="R95" s="381" t="str">
        <f>IF(CHMTCmTm!R94=0,"",CHMTCmTm!R94)</f>
        <v/>
      </c>
      <c r="S95" s="382"/>
      <c r="T95" s="381" t="str">
        <f>IF(CHMTCmTm!T94=0,"",CHMTCmTm!T94)</f>
        <v/>
      </c>
      <c r="U95" s="382"/>
      <c r="V95" s="381" t="str">
        <f>IF(CHMTCmTm!V94=0,"",CHMTCmTm!V94)</f>
        <v/>
      </c>
      <c r="W95" s="396"/>
      <c r="X95" s="396"/>
      <c r="Y95" s="382"/>
      <c r="Z95" s="215">
        <f>CHMTCmTm!Z94</f>
        <v>0</v>
      </c>
      <c r="AA95" s="381" t="str">
        <f>IF(CHMTCmTm!AA94=0,"",CHMTCmTm!AA94)</f>
        <v/>
      </c>
      <c r="AB95" s="396"/>
      <c r="AC95" s="382"/>
      <c r="AD95" s="215">
        <f>CHMTCmTm!AD94</f>
        <v>0</v>
      </c>
      <c r="AE95" s="381" t="str">
        <f>IF(CHMTCmTm!AE94=0,"",CHMTCmTm!AE94)</f>
        <v/>
      </c>
      <c r="AF95" s="396"/>
      <c r="AG95" s="382"/>
      <c r="AH95" s="215">
        <f>CHMTCmTm!AH94</f>
        <v>0</v>
      </c>
      <c r="AI95" s="381" t="str">
        <f>IF(CHMTCmTm!AI94=0,"",CHMTCmTm!AI94)</f>
        <v/>
      </c>
      <c r="AJ95" s="396"/>
      <c r="AK95" s="382"/>
      <c r="AL95" s="215">
        <f>CHMTCmTm!AL94</f>
        <v>0</v>
      </c>
      <c r="AM95" s="381" t="str">
        <f>IF(CHMTCmTm!AM94=0,"",CHMTCmTm!AM94)</f>
        <v/>
      </c>
      <c r="AN95" s="396"/>
      <c r="AO95" s="382"/>
      <c r="AP95" s="381" t="str">
        <f>IF(CHMTCmTm!AP94=0,"",CHMTCmTm!AP94)</f>
        <v/>
      </c>
      <c r="AQ95" s="382"/>
      <c r="AR95" s="381" t="str">
        <f>IF(CHMTCmTm!AR94=0,"",CHMTCmTm!AR94)</f>
        <v/>
      </c>
      <c r="AS95" s="382"/>
      <c r="AT95" s="381" t="str">
        <f>IF(CHMTCmTm!AT94=0,"",CHMTCmTm!AT94)</f>
        <v/>
      </c>
      <c r="AU95" s="396"/>
      <c r="AV95" s="382"/>
      <c r="AW95" s="381" t="str">
        <f>IF(CHMTCmTm!AW94=0,"",CHMTCmTm!AW94)</f>
        <v/>
      </c>
      <c r="AX95" s="396"/>
      <c r="AY95" s="382"/>
      <c r="AZ95" s="24">
        <f>CHMTCmTm!AZ94</f>
        <v>0</v>
      </c>
      <c r="BC95" s="24">
        <f>COUNTIF(CHMTCmTm!O94, "Outreach Session")</f>
        <v>0</v>
      </c>
      <c r="BD95" s="24">
        <f>COUNTIF(CHMTCmTm!O94, "Mobile Clinic")</f>
        <v>0</v>
      </c>
      <c r="BE95" s="24">
        <f>COUNTIF(CHMTCmTm!O94, "Health Facility")</f>
        <v>0</v>
      </c>
    </row>
    <row r="96" spans="2:57" s="24" customFormat="1" ht="21.95" customHeight="1" x14ac:dyDescent="0.25">
      <c r="B96" s="397" t="str">
        <f>IF(CHMTCmTm!B95=0,"",CHMTCmTm!B95)</f>
        <v/>
      </c>
      <c r="C96" s="398"/>
      <c r="D96" s="399"/>
      <c r="E96" s="216">
        <f t="shared" si="3"/>
        <v>0</v>
      </c>
      <c r="F96" s="397" t="str">
        <f>IF(CHMTCmTm!F95=0,"",CHMTCmTm!F95)</f>
        <v/>
      </c>
      <c r="G96" s="398"/>
      <c r="H96" s="399"/>
      <c r="I96" s="381" t="str">
        <f>IF(CHMTCmTm!I95=0,"",CHMTCmTm!I95)</f>
        <v/>
      </c>
      <c r="J96" s="382"/>
      <c r="K96" s="381" t="str">
        <f>IF(CHMTCmTm!K95=0,"",CHMTCmTm!K95)</f>
        <v/>
      </c>
      <c r="L96" s="382"/>
      <c r="M96" s="381" t="str">
        <f>IF(CHMTCmTm!M95=0,"",CHMTCmTm!M95)</f>
        <v/>
      </c>
      <c r="N96" s="382"/>
      <c r="O96" s="381" t="str">
        <f>IF(CHMTCmTm!O95=0,"",CHMTCmTm!O95)</f>
        <v/>
      </c>
      <c r="P96" s="382"/>
      <c r="Q96" s="215" t="b">
        <f t="shared" si="2"/>
        <v>0</v>
      </c>
      <c r="R96" s="381" t="str">
        <f>IF(CHMTCmTm!R95=0,"",CHMTCmTm!R95)</f>
        <v/>
      </c>
      <c r="S96" s="382"/>
      <c r="T96" s="381" t="str">
        <f>IF(CHMTCmTm!T95=0,"",CHMTCmTm!T95)</f>
        <v/>
      </c>
      <c r="U96" s="382"/>
      <c r="V96" s="381" t="str">
        <f>IF(CHMTCmTm!V95=0,"",CHMTCmTm!V95)</f>
        <v/>
      </c>
      <c r="W96" s="396"/>
      <c r="X96" s="396"/>
      <c r="Y96" s="382"/>
      <c r="Z96" s="215">
        <f>CHMTCmTm!Z95</f>
        <v>0</v>
      </c>
      <c r="AA96" s="381" t="str">
        <f>IF(CHMTCmTm!AA95=0,"",CHMTCmTm!AA95)</f>
        <v/>
      </c>
      <c r="AB96" s="396"/>
      <c r="AC96" s="382"/>
      <c r="AD96" s="215">
        <f>CHMTCmTm!AD95</f>
        <v>0</v>
      </c>
      <c r="AE96" s="381" t="str">
        <f>IF(CHMTCmTm!AE95=0,"",CHMTCmTm!AE95)</f>
        <v/>
      </c>
      <c r="AF96" s="396"/>
      <c r="AG96" s="382"/>
      <c r="AH96" s="215">
        <f>CHMTCmTm!AH95</f>
        <v>0</v>
      </c>
      <c r="AI96" s="381" t="str">
        <f>IF(CHMTCmTm!AI95=0,"",CHMTCmTm!AI95)</f>
        <v/>
      </c>
      <c r="AJ96" s="396"/>
      <c r="AK96" s="382"/>
      <c r="AL96" s="215">
        <f>CHMTCmTm!AL95</f>
        <v>0</v>
      </c>
      <c r="AM96" s="381" t="str">
        <f>IF(CHMTCmTm!AM95=0,"",CHMTCmTm!AM95)</f>
        <v/>
      </c>
      <c r="AN96" s="396"/>
      <c r="AO96" s="382"/>
      <c r="AP96" s="381" t="str">
        <f>IF(CHMTCmTm!AP95=0,"",CHMTCmTm!AP95)</f>
        <v/>
      </c>
      <c r="AQ96" s="382"/>
      <c r="AR96" s="381" t="str">
        <f>IF(CHMTCmTm!AR95=0,"",CHMTCmTm!AR95)</f>
        <v/>
      </c>
      <c r="AS96" s="382"/>
      <c r="AT96" s="381" t="str">
        <f>IF(CHMTCmTm!AT95=0,"",CHMTCmTm!AT95)</f>
        <v/>
      </c>
      <c r="AU96" s="396"/>
      <c r="AV96" s="382"/>
      <c r="AW96" s="381" t="str">
        <f>IF(CHMTCmTm!AW95=0,"",CHMTCmTm!AW95)</f>
        <v/>
      </c>
      <c r="AX96" s="396"/>
      <c r="AY96" s="382"/>
      <c r="AZ96" s="24">
        <f>CHMTCmTm!AZ95</f>
        <v>0</v>
      </c>
      <c r="BC96" s="24">
        <f>COUNTIF(CHMTCmTm!O95, "Outreach Session")</f>
        <v>0</v>
      </c>
      <c r="BD96" s="24">
        <f>COUNTIF(CHMTCmTm!O95, "Mobile Clinic")</f>
        <v>0</v>
      </c>
      <c r="BE96" s="24">
        <f>COUNTIF(CHMTCmTm!O95, "Health Facility")</f>
        <v>0</v>
      </c>
    </row>
    <row r="97" spans="2:57" s="24" customFormat="1" ht="21.95" customHeight="1" x14ac:dyDescent="0.25">
      <c r="B97" s="397" t="str">
        <f>IF(CHMTCmTm!B96=0,"",CHMTCmTm!B96)</f>
        <v/>
      </c>
      <c r="C97" s="398"/>
      <c r="D97" s="399"/>
      <c r="E97" s="216">
        <f t="shared" si="3"/>
        <v>0</v>
      </c>
      <c r="F97" s="397" t="str">
        <f>IF(CHMTCmTm!F96=0,"",CHMTCmTm!F96)</f>
        <v/>
      </c>
      <c r="G97" s="398"/>
      <c r="H97" s="399"/>
      <c r="I97" s="381" t="str">
        <f>IF(CHMTCmTm!I96=0,"",CHMTCmTm!I96)</f>
        <v/>
      </c>
      <c r="J97" s="382"/>
      <c r="K97" s="381" t="str">
        <f>IF(CHMTCmTm!K96=0,"",CHMTCmTm!K96)</f>
        <v/>
      </c>
      <c r="L97" s="382"/>
      <c r="M97" s="381" t="str">
        <f>IF(CHMTCmTm!M96=0,"",CHMTCmTm!M96)</f>
        <v/>
      </c>
      <c r="N97" s="382"/>
      <c r="O97" s="381" t="str">
        <f>IF(CHMTCmTm!O96=0,"",CHMTCmTm!O96)</f>
        <v/>
      </c>
      <c r="P97" s="382"/>
      <c r="Q97" s="215" t="b">
        <f t="shared" si="2"/>
        <v>0</v>
      </c>
      <c r="R97" s="381" t="str">
        <f>IF(CHMTCmTm!R96=0,"",CHMTCmTm!R96)</f>
        <v/>
      </c>
      <c r="S97" s="382"/>
      <c r="T97" s="381" t="str">
        <f>IF(CHMTCmTm!T96=0,"",CHMTCmTm!T96)</f>
        <v/>
      </c>
      <c r="U97" s="382"/>
      <c r="V97" s="381" t="str">
        <f>IF(CHMTCmTm!V96=0,"",CHMTCmTm!V96)</f>
        <v/>
      </c>
      <c r="W97" s="396"/>
      <c r="X97" s="396"/>
      <c r="Y97" s="382"/>
      <c r="Z97" s="215">
        <f>CHMTCmTm!Z96</f>
        <v>0</v>
      </c>
      <c r="AA97" s="381" t="str">
        <f>IF(CHMTCmTm!AA96=0,"",CHMTCmTm!AA96)</f>
        <v/>
      </c>
      <c r="AB97" s="396"/>
      <c r="AC97" s="382"/>
      <c r="AD97" s="215">
        <f>CHMTCmTm!AD96</f>
        <v>0</v>
      </c>
      <c r="AE97" s="381" t="str">
        <f>IF(CHMTCmTm!AE96=0,"",CHMTCmTm!AE96)</f>
        <v/>
      </c>
      <c r="AF97" s="396"/>
      <c r="AG97" s="382"/>
      <c r="AH97" s="215">
        <f>CHMTCmTm!AH96</f>
        <v>0</v>
      </c>
      <c r="AI97" s="381" t="str">
        <f>IF(CHMTCmTm!AI96=0,"",CHMTCmTm!AI96)</f>
        <v/>
      </c>
      <c r="AJ97" s="396"/>
      <c r="AK97" s="382"/>
      <c r="AL97" s="215">
        <f>CHMTCmTm!AL96</f>
        <v>0</v>
      </c>
      <c r="AM97" s="381" t="str">
        <f>IF(CHMTCmTm!AM96=0,"",CHMTCmTm!AM96)</f>
        <v/>
      </c>
      <c r="AN97" s="396"/>
      <c r="AO97" s="382"/>
      <c r="AP97" s="381" t="str">
        <f>IF(CHMTCmTm!AP96=0,"",CHMTCmTm!AP96)</f>
        <v/>
      </c>
      <c r="AQ97" s="382"/>
      <c r="AR97" s="381" t="str">
        <f>IF(CHMTCmTm!AR96=0,"",CHMTCmTm!AR96)</f>
        <v/>
      </c>
      <c r="AS97" s="382"/>
      <c r="AT97" s="381" t="str">
        <f>IF(CHMTCmTm!AT96=0,"",CHMTCmTm!AT96)</f>
        <v/>
      </c>
      <c r="AU97" s="396"/>
      <c r="AV97" s="382"/>
      <c r="AW97" s="381" t="str">
        <f>IF(CHMTCmTm!AW96=0,"",CHMTCmTm!AW96)</f>
        <v/>
      </c>
      <c r="AX97" s="396"/>
      <c r="AY97" s="382"/>
      <c r="AZ97" s="24">
        <f>CHMTCmTm!AZ96</f>
        <v>0</v>
      </c>
      <c r="BC97" s="24">
        <f>COUNTIF(CHMTCmTm!O96, "Outreach Session")</f>
        <v>0</v>
      </c>
      <c r="BD97" s="24">
        <f>COUNTIF(CHMTCmTm!O96, "Mobile Clinic")</f>
        <v>0</v>
      </c>
      <c r="BE97" s="24">
        <f>COUNTIF(CHMTCmTm!O96, "Health Facility")</f>
        <v>0</v>
      </c>
    </row>
    <row r="98" spans="2:57" s="24" customFormat="1" ht="21.95" customHeight="1" x14ac:dyDescent="0.25">
      <c r="B98" s="397" t="str">
        <f>IF(CHMTCmTm!B97=0,"",CHMTCmTm!B97)</f>
        <v/>
      </c>
      <c r="C98" s="398"/>
      <c r="D98" s="399"/>
      <c r="E98" s="216">
        <f t="shared" si="3"/>
        <v>0</v>
      </c>
      <c r="F98" s="397" t="str">
        <f>IF(CHMTCmTm!F97=0,"",CHMTCmTm!F97)</f>
        <v/>
      </c>
      <c r="G98" s="398"/>
      <c r="H98" s="399"/>
      <c r="I98" s="381" t="str">
        <f>IF(CHMTCmTm!I97=0,"",CHMTCmTm!I97)</f>
        <v/>
      </c>
      <c r="J98" s="382"/>
      <c r="K98" s="381" t="str">
        <f>IF(CHMTCmTm!K97=0,"",CHMTCmTm!K97)</f>
        <v/>
      </c>
      <c r="L98" s="382"/>
      <c r="M98" s="381" t="str">
        <f>IF(CHMTCmTm!M97=0,"",CHMTCmTm!M97)</f>
        <v/>
      </c>
      <c r="N98" s="382"/>
      <c r="O98" s="381" t="str">
        <f>IF(CHMTCmTm!O97=0,"",CHMTCmTm!O97)</f>
        <v/>
      </c>
      <c r="P98" s="382"/>
      <c r="Q98" s="215" t="b">
        <f t="shared" si="2"/>
        <v>0</v>
      </c>
      <c r="R98" s="381" t="str">
        <f>IF(CHMTCmTm!R97=0,"",CHMTCmTm!R97)</f>
        <v/>
      </c>
      <c r="S98" s="382"/>
      <c r="T98" s="381" t="str">
        <f>IF(CHMTCmTm!T97=0,"",CHMTCmTm!T97)</f>
        <v/>
      </c>
      <c r="U98" s="382"/>
      <c r="V98" s="381" t="str">
        <f>IF(CHMTCmTm!V97=0,"",CHMTCmTm!V97)</f>
        <v/>
      </c>
      <c r="W98" s="396"/>
      <c r="X98" s="396"/>
      <c r="Y98" s="382"/>
      <c r="Z98" s="215">
        <f>CHMTCmTm!Z97</f>
        <v>0</v>
      </c>
      <c r="AA98" s="381" t="str">
        <f>IF(CHMTCmTm!AA97=0,"",CHMTCmTm!AA97)</f>
        <v/>
      </c>
      <c r="AB98" s="396"/>
      <c r="AC98" s="382"/>
      <c r="AD98" s="215">
        <f>CHMTCmTm!AD97</f>
        <v>0</v>
      </c>
      <c r="AE98" s="381" t="str">
        <f>IF(CHMTCmTm!AE97=0,"",CHMTCmTm!AE97)</f>
        <v/>
      </c>
      <c r="AF98" s="396"/>
      <c r="AG98" s="382"/>
      <c r="AH98" s="215">
        <f>CHMTCmTm!AH97</f>
        <v>0</v>
      </c>
      <c r="AI98" s="381" t="str">
        <f>IF(CHMTCmTm!AI97=0,"",CHMTCmTm!AI97)</f>
        <v/>
      </c>
      <c r="AJ98" s="396"/>
      <c r="AK98" s="382"/>
      <c r="AL98" s="215">
        <f>CHMTCmTm!AL97</f>
        <v>0</v>
      </c>
      <c r="AM98" s="381" t="str">
        <f>IF(CHMTCmTm!AM97=0,"",CHMTCmTm!AM97)</f>
        <v/>
      </c>
      <c r="AN98" s="396"/>
      <c r="AO98" s="382"/>
      <c r="AP98" s="381" t="str">
        <f>IF(CHMTCmTm!AP97=0,"",CHMTCmTm!AP97)</f>
        <v/>
      </c>
      <c r="AQ98" s="382"/>
      <c r="AR98" s="381" t="str">
        <f>IF(CHMTCmTm!AR97=0,"",CHMTCmTm!AR97)</f>
        <v/>
      </c>
      <c r="AS98" s="382"/>
      <c r="AT98" s="381" t="str">
        <f>IF(CHMTCmTm!AT97=0,"",CHMTCmTm!AT97)</f>
        <v/>
      </c>
      <c r="AU98" s="396"/>
      <c r="AV98" s="382"/>
      <c r="AW98" s="381" t="str">
        <f>IF(CHMTCmTm!AW97=0,"",CHMTCmTm!AW97)</f>
        <v/>
      </c>
      <c r="AX98" s="396"/>
      <c r="AY98" s="382"/>
      <c r="AZ98" s="24">
        <f>CHMTCmTm!AZ97</f>
        <v>0</v>
      </c>
      <c r="BC98" s="24">
        <f>COUNTIF(CHMTCmTm!O97, "Outreach Session")</f>
        <v>0</v>
      </c>
      <c r="BD98" s="24">
        <f>COUNTIF(CHMTCmTm!O97, "Mobile Clinic")</f>
        <v>0</v>
      </c>
      <c r="BE98" s="24">
        <f>COUNTIF(CHMTCmTm!O97, "Health Facility")</f>
        <v>0</v>
      </c>
    </row>
    <row r="99" spans="2:57" s="24" customFormat="1" ht="21.95" customHeight="1" x14ac:dyDescent="0.25">
      <c r="B99" s="397" t="str">
        <f>IF(CHMTCmTm!B98=0,"",CHMTCmTm!B98)</f>
        <v/>
      </c>
      <c r="C99" s="398"/>
      <c r="D99" s="399"/>
      <c r="E99" s="216">
        <f t="shared" si="3"/>
        <v>0</v>
      </c>
      <c r="F99" s="397" t="str">
        <f>IF(CHMTCmTm!F98=0,"",CHMTCmTm!F98)</f>
        <v/>
      </c>
      <c r="G99" s="398"/>
      <c r="H99" s="399"/>
      <c r="I99" s="381" t="str">
        <f>IF(CHMTCmTm!I98=0,"",CHMTCmTm!I98)</f>
        <v/>
      </c>
      <c r="J99" s="382"/>
      <c r="K99" s="381" t="str">
        <f>IF(CHMTCmTm!K98=0,"",CHMTCmTm!K98)</f>
        <v/>
      </c>
      <c r="L99" s="382"/>
      <c r="M99" s="381" t="str">
        <f>IF(CHMTCmTm!M98=0,"",CHMTCmTm!M98)</f>
        <v/>
      </c>
      <c r="N99" s="382"/>
      <c r="O99" s="381" t="str">
        <f>IF(CHMTCmTm!O98=0,"",CHMTCmTm!O98)</f>
        <v/>
      </c>
      <c r="P99" s="382"/>
      <c r="Q99" s="215" t="b">
        <f t="shared" si="2"/>
        <v>0</v>
      </c>
      <c r="R99" s="381" t="str">
        <f>IF(CHMTCmTm!R98=0,"",CHMTCmTm!R98)</f>
        <v/>
      </c>
      <c r="S99" s="382"/>
      <c r="T99" s="381" t="str">
        <f>IF(CHMTCmTm!T98=0,"",CHMTCmTm!T98)</f>
        <v/>
      </c>
      <c r="U99" s="382"/>
      <c r="V99" s="381" t="str">
        <f>IF(CHMTCmTm!V98=0,"",CHMTCmTm!V98)</f>
        <v/>
      </c>
      <c r="W99" s="396"/>
      <c r="X99" s="396"/>
      <c r="Y99" s="382"/>
      <c r="Z99" s="215">
        <f>CHMTCmTm!Z98</f>
        <v>0</v>
      </c>
      <c r="AA99" s="381" t="str">
        <f>IF(CHMTCmTm!AA98=0,"",CHMTCmTm!AA98)</f>
        <v/>
      </c>
      <c r="AB99" s="396"/>
      <c r="AC99" s="382"/>
      <c r="AD99" s="215">
        <f>CHMTCmTm!AD98</f>
        <v>0</v>
      </c>
      <c r="AE99" s="381" t="str">
        <f>IF(CHMTCmTm!AE98=0,"",CHMTCmTm!AE98)</f>
        <v/>
      </c>
      <c r="AF99" s="396"/>
      <c r="AG99" s="382"/>
      <c r="AH99" s="215">
        <f>CHMTCmTm!AH98</f>
        <v>0</v>
      </c>
      <c r="AI99" s="381" t="str">
        <f>IF(CHMTCmTm!AI98=0,"",CHMTCmTm!AI98)</f>
        <v/>
      </c>
      <c r="AJ99" s="396"/>
      <c r="AK99" s="382"/>
      <c r="AL99" s="215">
        <f>CHMTCmTm!AL98</f>
        <v>0</v>
      </c>
      <c r="AM99" s="381" t="str">
        <f>IF(CHMTCmTm!AM98=0,"",CHMTCmTm!AM98)</f>
        <v/>
      </c>
      <c r="AN99" s="396"/>
      <c r="AO99" s="382"/>
      <c r="AP99" s="381" t="str">
        <f>IF(CHMTCmTm!AP98=0,"",CHMTCmTm!AP98)</f>
        <v/>
      </c>
      <c r="AQ99" s="382"/>
      <c r="AR99" s="381" t="str">
        <f>IF(CHMTCmTm!AR98=0,"",CHMTCmTm!AR98)</f>
        <v/>
      </c>
      <c r="AS99" s="382"/>
      <c r="AT99" s="381" t="str">
        <f>IF(CHMTCmTm!AT98=0,"",CHMTCmTm!AT98)</f>
        <v/>
      </c>
      <c r="AU99" s="396"/>
      <c r="AV99" s="382"/>
      <c r="AW99" s="381" t="str">
        <f>IF(CHMTCmTm!AW98=0,"",CHMTCmTm!AW98)</f>
        <v/>
      </c>
      <c r="AX99" s="396"/>
      <c r="AY99" s="382"/>
      <c r="AZ99" s="24">
        <f>CHMTCmTm!AZ98</f>
        <v>0</v>
      </c>
      <c r="BC99" s="24">
        <f>COUNTIF(CHMTCmTm!O98, "Outreach Session")</f>
        <v>0</v>
      </c>
      <c r="BD99" s="24">
        <f>COUNTIF(CHMTCmTm!O98, "Mobile Clinic")</f>
        <v>0</v>
      </c>
      <c r="BE99" s="24">
        <f>COUNTIF(CHMTCmTm!O98, "Health Facility")</f>
        <v>0</v>
      </c>
    </row>
    <row r="100" spans="2:57" s="24" customFormat="1" ht="21.95" customHeight="1" x14ac:dyDescent="0.25">
      <c r="B100" s="397" t="str">
        <f>IF(CHMTCmTm!B99=0,"",CHMTCmTm!B99)</f>
        <v/>
      </c>
      <c r="C100" s="398"/>
      <c r="D100" s="399"/>
      <c r="E100" s="216">
        <f t="shared" si="3"/>
        <v>0</v>
      </c>
      <c r="F100" s="397" t="str">
        <f>IF(CHMTCmTm!F99=0,"",CHMTCmTm!F99)</f>
        <v/>
      </c>
      <c r="G100" s="398"/>
      <c r="H100" s="399"/>
      <c r="I100" s="381" t="str">
        <f>IF(CHMTCmTm!I99=0,"",CHMTCmTm!I99)</f>
        <v/>
      </c>
      <c r="J100" s="382"/>
      <c r="K100" s="381" t="str">
        <f>IF(CHMTCmTm!K99=0,"",CHMTCmTm!K99)</f>
        <v/>
      </c>
      <c r="L100" s="382"/>
      <c r="M100" s="381" t="str">
        <f>IF(CHMTCmTm!M99=0,"",CHMTCmTm!M99)</f>
        <v/>
      </c>
      <c r="N100" s="382"/>
      <c r="O100" s="381" t="str">
        <f>IF(CHMTCmTm!O99=0,"",CHMTCmTm!O99)</f>
        <v/>
      </c>
      <c r="P100" s="382"/>
      <c r="Q100" s="215" t="b">
        <f t="shared" si="2"/>
        <v>0</v>
      </c>
      <c r="R100" s="381" t="str">
        <f>IF(CHMTCmTm!R99=0,"",CHMTCmTm!R99)</f>
        <v/>
      </c>
      <c r="S100" s="382"/>
      <c r="T100" s="381" t="str">
        <f>IF(CHMTCmTm!T99=0,"",CHMTCmTm!T99)</f>
        <v/>
      </c>
      <c r="U100" s="382"/>
      <c r="V100" s="381" t="str">
        <f>IF(CHMTCmTm!V99=0,"",CHMTCmTm!V99)</f>
        <v/>
      </c>
      <c r="W100" s="396"/>
      <c r="X100" s="396"/>
      <c r="Y100" s="382"/>
      <c r="Z100" s="215">
        <f>CHMTCmTm!Z99</f>
        <v>0</v>
      </c>
      <c r="AA100" s="381" t="str">
        <f>IF(CHMTCmTm!AA99=0,"",CHMTCmTm!AA99)</f>
        <v/>
      </c>
      <c r="AB100" s="396"/>
      <c r="AC100" s="382"/>
      <c r="AD100" s="215">
        <f>CHMTCmTm!AD99</f>
        <v>0</v>
      </c>
      <c r="AE100" s="381" t="str">
        <f>IF(CHMTCmTm!AE99=0,"",CHMTCmTm!AE99)</f>
        <v/>
      </c>
      <c r="AF100" s="396"/>
      <c r="AG100" s="382"/>
      <c r="AH100" s="215">
        <f>CHMTCmTm!AH99</f>
        <v>0</v>
      </c>
      <c r="AI100" s="381" t="str">
        <f>IF(CHMTCmTm!AI99=0,"",CHMTCmTm!AI99)</f>
        <v/>
      </c>
      <c r="AJ100" s="396"/>
      <c r="AK100" s="382"/>
      <c r="AL100" s="215">
        <f>CHMTCmTm!AL99</f>
        <v>0</v>
      </c>
      <c r="AM100" s="381" t="str">
        <f>IF(CHMTCmTm!AM99=0,"",CHMTCmTm!AM99)</f>
        <v/>
      </c>
      <c r="AN100" s="396"/>
      <c r="AO100" s="382"/>
      <c r="AP100" s="381" t="str">
        <f>IF(CHMTCmTm!AP99=0,"",CHMTCmTm!AP99)</f>
        <v/>
      </c>
      <c r="AQ100" s="382"/>
      <c r="AR100" s="381" t="str">
        <f>IF(CHMTCmTm!AR99=0,"",CHMTCmTm!AR99)</f>
        <v/>
      </c>
      <c r="AS100" s="382"/>
      <c r="AT100" s="381" t="str">
        <f>IF(CHMTCmTm!AT99=0,"",CHMTCmTm!AT99)</f>
        <v/>
      </c>
      <c r="AU100" s="396"/>
      <c r="AV100" s="382"/>
      <c r="AW100" s="381" t="str">
        <f>IF(CHMTCmTm!AW99=0,"",CHMTCmTm!AW99)</f>
        <v/>
      </c>
      <c r="AX100" s="396"/>
      <c r="AY100" s="382"/>
      <c r="AZ100" s="24">
        <f>CHMTCmTm!AZ99</f>
        <v>0</v>
      </c>
      <c r="BC100" s="24">
        <f>COUNTIF(CHMTCmTm!O99, "Outreach Session")</f>
        <v>0</v>
      </c>
      <c r="BD100" s="24">
        <f>COUNTIF(CHMTCmTm!O99, "Mobile Clinic")</f>
        <v>0</v>
      </c>
      <c r="BE100" s="24">
        <f>COUNTIF(CHMTCmTm!O99, "Health Facility")</f>
        <v>0</v>
      </c>
    </row>
    <row r="101" spans="2:57" s="24" customFormat="1" ht="21.95" customHeight="1" x14ac:dyDescent="0.25">
      <c r="B101" s="397" t="str">
        <f>IF(CHMTCmTm!B100=0,"",CHMTCmTm!B100)</f>
        <v/>
      </c>
      <c r="C101" s="398"/>
      <c r="D101" s="399"/>
      <c r="E101" s="216">
        <f t="shared" si="3"/>
        <v>0</v>
      </c>
      <c r="F101" s="397" t="str">
        <f>IF(CHMTCmTm!F100=0,"",CHMTCmTm!F100)</f>
        <v/>
      </c>
      <c r="G101" s="398"/>
      <c r="H101" s="399"/>
      <c r="I101" s="381" t="str">
        <f>IF(CHMTCmTm!I100=0,"",CHMTCmTm!I100)</f>
        <v/>
      </c>
      <c r="J101" s="382"/>
      <c r="K101" s="381" t="str">
        <f>IF(CHMTCmTm!K100=0,"",CHMTCmTm!K100)</f>
        <v/>
      </c>
      <c r="L101" s="382"/>
      <c r="M101" s="381" t="str">
        <f>IF(CHMTCmTm!M100=0,"",CHMTCmTm!M100)</f>
        <v/>
      </c>
      <c r="N101" s="382"/>
      <c r="O101" s="381" t="str">
        <f>IF(CHMTCmTm!O100=0,"",CHMTCmTm!O100)</f>
        <v/>
      </c>
      <c r="P101" s="382"/>
      <c r="Q101" s="215" t="b">
        <f t="shared" si="2"/>
        <v>0</v>
      </c>
      <c r="R101" s="381" t="str">
        <f>IF(CHMTCmTm!R100=0,"",CHMTCmTm!R100)</f>
        <v/>
      </c>
      <c r="S101" s="382"/>
      <c r="T101" s="381" t="str">
        <f>IF(CHMTCmTm!T100=0,"",CHMTCmTm!T100)</f>
        <v/>
      </c>
      <c r="U101" s="382"/>
      <c r="V101" s="381" t="str">
        <f>IF(CHMTCmTm!V100=0,"",CHMTCmTm!V100)</f>
        <v/>
      </c>
      <c r="W101" s="396"/>
      <c r="X101" s="396"/>
      <c r="Y101" s="382"/>
      <c r="Z101" s="215">
        <f>CHMTCmTm!Z100</f>
        <v>0</v>
      </c>
      <c r="AA101" s="381" t="str">
        <f>IF(CHMTCmTm!AA100=0,"",CHMTCmTm!AA100)</f>
        <v/>
      </c>
      <c r="AB101" s="396"/>
      <c r="AC101" s="382"/>
      <c r="AD101" s="215">
        <f>CHMTCmTm!AD100</f>
        <v>0</v>
      </c>
      <c r="AE101" s="381" t="str">
        <f>IF(CHMTCmTm!AE100=0,"",CHMTCmTm!AE100)</f>
        <v/>
      </c>
      <c r="AF101" s="396"/>
      <c r="AG101" s="382"/>
      <c r="AH101" s="215">
        <f>CHMTCmTm!AH100</f>
        <v>0</v>
      </c>
      <c r="AI101" s="381" t="str">
        <f>IF(CHMTCmTm!AI100=0,"",CHMTCmTm!AI100)</f>
        <v/>
      </c>
      <c r="AJ101" s="396"/>
      <c r="AK101" s="382"/>
      <c r="AL101" s="215">
        <f>CHMTCmTm!AL100</f>
        <v>0</v>
      </c>
      <c r="AM101" s="381" t="str">
        <f>IF(CHMTCmTm!AM100=0,"",CHMTCmTm!AM100)</f>
        <v/>
      </c>
      <c r="AN101" s="396"/>
      <c r="AO101" s="382"/>
      <c r="AP101" s="381" t="str">
        <f>IF(CHMTCmTm!AP100=0,"",CHMTCmTm!AP100)</f>
        <v/>
      </c>
      <c r="AQ101" s="382"/>
      <c r="AR101" s="381" t="str">
        <f>IF(CHMTCmTm!AR100=0,"",CHMTCmTm!AR100)</f>
        <v/>
      </c>
      <c r="AS101" s="382"/>
      <c r="AT101" s="381" t="str">
        <f>IF(CHMTCmTm!AT100=0,"",CHMTCmTm!AT100)</f>
        <v/>
      </c>
      <c r="AU101" s="396"/>
      <c r="AV101" s="382"/>
      <c r="AW101" s="381" t="str">
        <f>IF(CHMTCmTm!AW100=0,"",CHMTCmTm!AW100)</f>
        <v/>
      </c>
      <c r="AX101" s="396"/>
      <c r="AY101" s="382"/>
      <c r="AZ101" s="24">
        <f>CHMTCmTm!AZ100</f>
        <v>0</v>
      </c>
      <c r="BC101" s="24">
        <f>COUNTIF(CHMTCmTm!O100, "Outreach Session")</f>
        <v>0</v>
      </c>
      <c r="BD101" s="24">
        <f>COUNTIF(CHMTCmTm!O100, "Mobile Clinic")</f>
        <v>0</v>
      </c>
      <c r="BE101" s="24">
        <f>COUNTIF(CHMTCmTm!O100, "Health Facility")</f>
        <v>0</v>
      </c>
    </row>
    <row r="102" spans="2:57" s="24" customFormat="1" ht="21.95" customHeight="1" x14ac:dyDescent="0.25">
      <c r="B102" s="397" t="str">
        <f>IF(CHMTCmTm!B101=0,"",CHMTCmTm!B101)</f>
        <v/>
      </c>
      <c r="C102" s="398"/>
      <c r="D102" s="399"/>
      <c r="E102" s="216">
        <f t="shared" si="3"/>
        <v>0</v>
      </c>
      <c r="F102" s="397" t="str">
        <f>IF(CHMTCmTm!F101=0,"",CHMTCmTm!F101)</f>
        <v/>
      </c>
      <c r="G102" s="398"/>
      <c r="H102" s="399"/>
      <c r="I102" s="381" t="str">
        <f>IF(CHMTCmTm!I101=0,"",CHMTCmTm!I101)</f>
        <v/>
      </c>
      <c r="J102" s="382"/>
      <c r="K102" s="381" t="str">
        <f>IF(CHMTCmTm!K101=0,"",CHMTCmTm!K101)</f>
        <v/>
      </c>
      <c r="L102" s="382"/>
      <c r="M102" s="381" t="str">
        <f>IF(CHMTCmTm!M101=0,"",CHMTCmTm!M101)</f>
        <v/>
      </c>
      <c r="N102" s="382"/>
      <c r="O102" s="381" t="str">
        <f>IF(CHMTCmTm!O101=0,"",CHMTCmTm!O101)</f>
        <v/>
      </c>
      <c r="P102" s="382"/>
      <c r="Q102" s="215" t="b">
        <f t="shared" si="2"/>
        <v>0</v>
      </c>
      <c r="R102" s="381" t="str">
        <f>IF(CHMTCmTm!R101=0,"",CHMTCmTm!R101)</f>
        <v/>
      </c>
      <c r="S102" s="382"/>
      <c r="T102" s="381" t="str">
        <f>IF(CHMTCmTm!T101=0,"",CHMTCmTm!T101)</f>
        <v/>
      </c>
      <c r="U102" s="382"/>
      <c r="V102" s="381" t="str">
        <f>IF(CHMTCmTm!V101=0,"",CHMTCmTm!V101)</f>
        <v/>
      </c>
      <c r="W102" s="396"/>
      <c r="X102" s="396"/>
      <c r="Y102" s="382"/>
      <c r="Z102" s="215">
        <f>CHMTCmTm!Z101</f>
        <v>0</v>
      </c>
      <c r="AA102" s="381" t="str">
        <f>IF(CHMTCmTm!AA101=0,"",CHMTCmTm!AA101)</f>
        <v/>
      </c>
      <c r="AB102" s="396"/>
      <c r="AC102" s="382"/>
      <c r="AD102" s="215">
        <f>CHMTCmTm!AD101</f>
        <v>0</v>
      </c>
      <c r="AE102" s="381" t="str">
        <f>IF(CHMTCmTm!AE101=0,"",CHMTCmTm!AE101)</f>
        <v/>
      </c>
      <c r="AF102" s="396"/>
      <c r="AG102" s="382"/>
      <c r="AH102" s="215">
        <f>CHMTCmTm!AH101</f>
        <v>0</v>
      </c>
      <c r="AI102" s="381" t="str">
        <f>IF(CHMTCmTm!AI101=0,"",CHMTCmTm!AI101)</f>
        <v/>
      </c>
      <c r="AJ102" s="396"/>
      <c r="AK102" s="382"/>
      <c r="AL102" s="215">
        <f>CHMTCmTm!AL101</f>
        <v>0</v>
      </c>
      <c r="AM102" s="381" t="str">
        <f>IF(CHMTCmTm!AM101=0,"",CHMTCmTm!AM101)</f>
        <v/>
      </c>
      <c r="AN102" s="396"/>
      <c r="AO102" s="382"/>
      <c r="AP102" s="381" t="str">
        <f>IF(CHMTCmTm!AP101=0,"",CHMTCmTm!AP101)</f>
        <v/>
      </c>
      <c r="AQ102" s="382"/>
      <c r="AR102" s="381" t="str">
        <f>IF(CHMTCmTm!AR101=0,"",CHMTCmTm!AR101)</f>
        <v/>
      </c>
      <c r="AS102" s="382"/>
      <c r="AT102" s="381" t="str">
        <f>IF(CHMTCmTm!AT101=0,"",CHMTCmTm!AT101)</f>
        <v/>
      </c>
      <c r="AU102" s="396"/>
      <c r="AV102" s="382"/>
      <c r="AW102" s="381" t="str">
        <f>IF(CHMTCmTm!AW101=0,"",CHMTCmTm!AW101)</f>
        <v/>
      </c>
      <c r="AX102" s="396"/>
      <c r="AY102" s="382"/>
      <c r="AZ102" s="24">
        <f>CHMTCmTm!AZ101</f>
        <v>0</v>
      </c>
      <c r="BC102" s="24">
        <f>COUNTIF(CHMTCmTm!O101, "Outreach Session")</f>
        <v>0</v>
      </c>
      <c r="BD102" s="24">
        <f>COUNTIF(CHMTCmTm!O101, "Mobile Clinic")</f>
        <v>0</v>
      </c>
      <c r="BE102" s="24">
        <f>COUNTIF(CHMTCmTm!O101, "Health Facility")</f>
        <v>0</v>
      </c>
    </row>
    <row r="103" spans="2:57" s="24" customFormat="1" ht="21.95" customHeight="1" x14ac:dyDescent="0.25">
      <c r="B103" s="397" t="str">
        <f>IF(CHMTCmTm!B102=0,"",CHMTCmTm!B102)</f>
        <v/>
      </c>
      <c r="C103" s="398"/>
      <c r="D103" s="399"/>
      <c r="E103" s="216">
        <f t="shared" si="3"/>
        <v>0</v>
      </c>
      <c r="F103" s="397" t="str">
        <f>IF(CHMTCmTm!F102=0,"",CHMTCmTm!F102)</f>
        <v/>
      </c>
      <c r="G103" s="398"/>
      <c r="H103" s="399"/>
      <c r="I103" s="381" t="str">
        <f>IF(CHMTCmTm!I102=0,"",CHMTCmTm!I102)</f>
        <v/>
      </c>
      <c r="J103" s="382"/>
      <c r="K103" s="381" t="str">
        <f>IF(CHMTCmTm!K102=0,"",CHMTCmTm!K102)</f>
        <v/>
      </c>
      <c r="L103" s="382"/>
      <c r="M103" s="381" t="str">
        <f>IF(CHMTCmTm!M102=0,"",CHMTCmTm!M102)</f>
        <v/>
      </c>
      <c r="N103" s="382"/>
      <c r="O103" s="381" t="str">
        <f>IF(CHMTCmTm!O102=0,"",CHMTCmTm!O102)</f>
        <v/>
      </c>
      <c r="P103" s="382"/>
      <c r="Q103" s="215" t="b">
        <f t="shared" si="2"/>
        <v>0</v>
      </c>
      <c r="R103" s="381" t="str">
        <f>IF(CHMTCmTm!R102=0,"",CHMTCmTm!R102)</f>
        <v/>
      </c>
      <c r="S103" s="382"/>
      <c r="T103" s="381" t="str">
        <f>IF(CHMTCmTm!T102=0,"",CHMTCmTm!T102)</f>
        <v/>
      </c>
      <c r="U103" s="382"/>
      <c r="V103" s="381" t="str">
        <f>IF(CHMTCmTm!V102=0,"",CHMTCmTm!V102)</f>
        <v/>
      </c>
      <c r="W103" s="396"/>
      <c r="X103" s="396"/>
      <c r="Y103" s="382"/>
      <c r="Z103" s="215">
        <f>CHMTCmTm!Z102</f>
        <v>0</v>
      </c>
      <c r="AA103" s="381" t="str">
        <f>IF(CHMTCmTm!AA102=0,"",CHMTCmTm!AA102)</f>
        <v/>
      </c>
      <c r="AB103" s="396"/>
      <c r="AC103" s="382"/>
      <c r="AD103" s="215">
        <f>CHMTCmTm!AD102</f>
        <v>0</v>
      </c>
      <c r="AE103" s="381" t="str">
        <f>IF(CHMTCmTm!AE102=0,"",CHMTCmTm!AE102)</f>
        <v/>
      </c>
      <c r="AF103" s="396"/>
      <c r="AG103" s="382"/>
      <c r="AH103" s="215">
        <f>CHMTCmTm!AH102</f>
        <v>0</v>
      </c>
      <c r="AI103" s="381" t="str">
        <f>IF(CHMTCmTm!AI102=0,"",CHMTCmTm!AI102)</f>
        <v/>
      </c>
      <c r="AJ103" s="396"/>
      <c r="AK103" s="382"/>
      <c r="AL103" s="215">
        <f>CHMTCmTm!AL102</f>
        <v>0</v>
      </c>
      <c r="AM103" s="381" t="str">
        <f>IF(CHMTCmTm!AM102=0,"",CHMTCmTm!AM102)</f>
        <v/>
      </c>
      <c r="AN103" s="396"/>
      <c r="AO103" s="382"/>
      <c r="AP103" s="381" t="str">
        <f>IF(CHMTCmTm!AP102=0,"",CHMTCmTm!AP102)</f>
        <v/>
      </c>
      <c r="AQ103" s="382"/>
      <c r="AR103" s="381" t="str">
        <f>IF(CHMTCmTm!AR102=0,"",CHMTCmTm!AR102)</f>
        <v/>
      </c>
      <c r="AS103" s="382"/>
      <c r="AT103" s="381" t="str">
        <f>IF(CHMTCmTm!AT102=0,"",CHMTCmTm!AT102)</f>
        <v/>
      </c>
      <c r="AU103" s="396"/>
      <c r="AV103" s="382"/>
      <c r="AW103" s="381" t="str">
        <f>IF(CHMTCmTm!AW102=0,"",CHMTCmTm!AW102)</f>
        <v/>
      </c>
      <c r="AX103" s="396"/>
      <c r="AY103" s="382"/>
      <c r="AZ103" s="24">
        <f>CHMTCmTm!AZ102</f>
        <v>0</v>
      </c>
      <c r="BC103" s="24">
        <f>COUNTIF(CHMTCmTm!O102, "Outreach Session")</f>
        <v>0</v>
      </c>
      <c r="BD103" s="24">
        <f>COUNTIF(CHMTCmTm!O102, "Mobile Clinic")</f>
        <v>0</v>
      </c>
      <c r="BE103" s="24">
        <f>COUNTIF(CHMTCmTm!O102, "Health Facility")</f>
        <v>0</v>
      </c>
    </row>
    <row r="104" spans="2:57" s="24" customFormat="1" ht="21.95" customHeight="1" x14ac:dyDescent="0.25">
      <c r="B104" s="397" t="str">
        <f>IF(CHMTCmTm!B103=0,"",CHMTCmTm!B103)</f>
        <v/>
      </c>
      <c r="C104" s="398"/>
      <c r="D104" s="399"/>
      <c r="E104" s="216">
        <f t="shared" si="3"/>
        <v>0</v>
      </c>
      <c r="F104" s="397" t="str">
        <f>IF(CHMTCmTm!F103=0,"",CHMTCmTm!F103)</f>
        <v/>
      </c>
      <c r="G104" s="398"/>
      <c r="H104" s="399"/>
      <c r="I104" s="381" t="str">
        <f>IF(CHMTCmTm!I103=0,"",CHMTCmTm!I103)</f>
        <v/>
      </c>
      <c r="J104" s="382"/>
      <c r="K104" s="381" t="str">
        <f>IF(CHMTCmTm!K103=0,"",CHMTCmTm!K103)</f>
        <v/>
      </c>
      <c r="L104" s="382"/>
      <c r="M104" s="381" t="str">
        <f>IF(CHMTCmTm!M103=0,"",CHMTCmTm!M103)</f>
        <v/>
      </c>
      <c r="N104" s="382"/>
      <c r="O104" s="381" t="str">
        <f>IF(CHMTCmTm!O103=0,"",CHMTCmTm!O103)</f>
        <v/>
      </c>
      <c r="P104" s="382"/>
      <c r="Q104" s="215" t="b">
        <f t="shared" si="2"/>
        <v>0</v>
      </c>
      <c r="R104" s="381" t="str">
        <f>IF(CHMTCmTm!R103=0,"",CHMTCmTm!R103)</f>
        <v/>
      </c>
      <c r="S104" s="382"/>
      <c r="T104" s="381" t="str">
        <f>IF(CHMTCmTm!T103=0,"",CHMTCmTm!T103)</f>
        <v/>
      </c>
      <c r="U104" s="382"/>
      <c r="V104" s="381" t="str">
        <f>IF(CHMTCmTm!V103=0,"",CHMTCmTm!V103)</f>
        <v/>
      </c>
      <c r="W104" s="396"/>
      <c r="X104" s="396"/>
      <c r="Y104" s="382"/>
      <c r="Z104" s="215">
        <f>CHMTCmTm!Z103</f>
        <v>0</v>
      </c>
      <c r="AA104" s="381" t="str">
        <f>IF(CHMTCmTm!AA103=0,"",CHMTCmTm!AA103)</f>
        <v/>
      </c>
      <c r="AB104" s="396"/>
      <c r="AC104" s="382"/>
      <c r="AD104" s="215">
        <f>CHMTCmTm!AD103</f>
        <v>0</v>
      </c>
      <c r="AE104" s="381" t="str">
        <f>IF(CHMTCmTm!AE103=0,"",CHMTCmTm!AE103)</f>
        <v/>
      </c>
      <c r="AF104" s="396"/>
      <c r="AG104" s="382"/>
      <c r="AH104" s="215">
        <f>CHMTCmTm!AH103</f>
        <v>0</v>
      </c>
      <c r="AI104" s="381" t="str">
        <f>IF(CHMTCmTm!AI103=0,"",CHMTCmTm!AI103)</f>
        <v/>
      </c>
      <c r="AJ104" s="396"/>
      <c r="AK104" s="382"/>
      <c r="AL104" s="215">
        <f>CHMTCmTm!AL103</f>
        <v>0</v>
      </c>
      <c r="AM104" s="381" t="str">
        <f>IF(CHMTCmTm!AM103=0,"",CHMTCmTm!AM103)</f>
        <v/>
      </c>
      <c r="AN104" s="396"/>
      <c r="AO104" s="382"/>
      <c r="AP104" s="381" t="str">
        <f>IF(CHMTCmTm!AP103=0,"",CHMTCmTm!AP103)</f>
        <v/>
      </c>
      <c r="AQ104" s="382"/>
      <c r="AR104" s="381" t="str">
        <f>IF(CHMTCmTm!AR103=0,"",CHMTCmTm!AR103)</f>
        <v/>
      </c>
      <c r="AS104" s="382"/>
      <c r="AT104" s="381" t="str">
        <f>IF(CHMTCmTm!AT103=0,"",CHMTCmTm!AT103)</f>
        <v/>
      </c>
      <c r="AU104" s="396"/>
      <c r="AV104" s="382"/>
      <c r="AW104" s="381" t="str">
        <f>IF(CHMTCmTm!AW103=0,"",CHMTCmTm!AW103)</f>
        <v/>
      </c>
      <c r="AX104" s="396"/>
      <c r="AY104" s="382"/>
      <c r="AZ104" s="24">
        <f>CHMTCmTm!AZ103</f>
        <v>0</v>
      </c>
      <c r="BC104" s="24">
        <f>COUNTIF(CHMTCmTm!O103, "Outreach Session")</f>
        <v>0</v>
      </c>
      <c r="BD104" s="24">
        <f>COUNTIF(CHMTCmTm!O103, "Mobile Clinic")</f>
        <v>0</v>
      </c>
      <c r="BE104" s="24">
        <f>COUNTIF(CHMTCmTm!O103, "Health Facility")</f>
        <v>0</v>
      </c>
    </row>
    <row r="105" spans="2:57" s="24" customFormat="1" ht="21.95" customHeight="1" x14ac:dyDescent="0.25">
      <c r="B105" s="397" t="str">
        <f>IF(CHMTCmTm!B104=0,"",CHMTCmTm!B104)</f>
        <v/>
      </c>
      <c r="C105" s="398"/>
      <c r="D105" s="399"/>
      <c r="E105" s="216">
        <f t="shared" si="3"/>
        <v>0</v>
      </c>
      <c r="F105" s="397" t="str">
        <f>IF(CHMTCmTm!F104=0,"",CHMTCmTm!F104)</f>
        <v/>
      </c>
      <c r="G105" s="398"/>
      <c r="H105" s="399"/>
      <c r="I105" s="381" t="str">
        <f>IF(CHMTCmTm!I104=0,"",CHMTCmTm!I104)</f>
        <v/>
      </c>
      <c r="J105" s="382"/>
      <c r="K105" s="381" t="str">
        <f>IF(CHMTCmTm!K104=0,"",CHMTCmTm!K104)</f>
        <v/>
      </c>
      <c r="L105" s="382"/>
      <c r="M105" s="381" t="str">
        <f>IF(CHMTCmTm!M104=0,"",CHMTCmTm!M104)</f>
        <v/>
      </c>
      <c r="N105" s="382"/>
      <c r="O105" s="381" t="str">
        <f>IF(CHMTCmTm!O104=0,"",CHMTCmTm!O104)</f>
        <v/>
      </c>
      <c r="P105" s="382"/>
      <c r="Q105" s="215" t="b">
        <f t="shared" si="2"/>
        <v>0</v>
      </c>
      <c r="R105" s="381" t="str">
        <f>IF(CHMTCmTm!R104=0,"",CHMTCmTm!R104)</f>
        <v/>
      </c>
      <c r="S105" s="382"/>
      <c r="T105" s="381" t="str">
        <f>IF(CHMTCmTm!T104=0,"",CHMTCmTm!T104)</f>
        <v/>
      </c>
      <c r="U105" s="382"/>
      <c r="V105" s="381" t="str">
        <f>IF(CHMTCmTm!V104=0,"",CHMTCmTm!V104)</f>
        <v/>
      </c>
      <c r="W105" s="396"/>
      <c r="X105" s="396"/>
      <c r="Y105" s="382"/>
      <c r="Z105" s="215">
        <f>CHMTCmTm!Z104</f>
        <v>0</v>
      </c>
      <c r="AA105" s="381" t="str">
        <f>IF(CHMTCmTm!AA104=0,"",CHMTCmTm!AA104)</f>
        <v/>
      </c>
      <c r="AB105" s="396"/>
      <c r="AC105" s="382"/>
      <c r="AD105" s="215">
        <f>CHMTCmTm!AD104</f>
        <v>0</v>
      </c>
      <c r="AE105" s="381" t="str">
        <f>IF(CHMTCmTm!AE104=0,"",CHMTCmTm!AE104)</f>
        <v/>
      </c>
      <c r="AF105" s="396"/>
      <c r="AG105" s="382"/>
      <c r="AH105" s="215">
        <f>CHMTCmTm!AH104</f>
        <v>0</v>
      </c>
      <c r="AI105" s="381" t="str">
        <f>IF(CHMTCmTm!AI104=0,"",CHMTCmTm!AI104)</f>
        <v/>
      </c>
      <c r="AJ105" s="396"/>
      <c r="AK105" s="382"/>
      <c r="AL105" s="215">
        <f>CHMTCmTm!AL104</f>
        <v>0</v>
      </c>
      <c r="AM105" s="381" t="str">
        <f>IF(CHMTCmTm!AM104=0,"",CHMTCmTm!AM104)</f>
        <v/>
      </c>
      <c r="AN105" s="396"/>
      <c r="AO105" s="382"/>
      <c r="AP105" s="381" t="str">
        <f>IF(CHMTCmTm!AP104=0,"",CHMTCmTm!AP104)</f>
        <v/>
      </c>
      <c r="AQ105" s="382"/>
      <c r="AR105" s="381" t="str">
        <f>IF(CHMTCmTm!AR104=0,"",CHMTCmTm!AR104)</f>
        <v/>
      </c>
      <c r="AS105" s="382"/>
      <c r="AT105" s="381" t="str">
        <f>IF(CHMTCmTm!AT104=0,"",CHMTCmTm!AT104)</f>
        <v/>
      </c>
      <c r="AU105" s="396"/>
      <c r="AV105" s="382"/>
      <c r="AW105" s="381" t="str">
        <f>IF(CHMTCmTm!AW104=0,"",CHMTCmTm!AW104)</f>
        <v/>
      </c>
      <c r="AX105" s="396"/>
      <c r="AY105" s="382"/>
      <c r="AZ105" s="24">
        <f>CHMTCmTm!AZ104</f>
        <v>0</v>
      </c>
      <c r="BC105" s="24">
        <f>COUNTIF(CHMTCmTm!O104, "Outreach Session")</f>
        <v>0</v>
      </c>
      <c r="BD105" s="24">
        <f>COUNTIF(CHMTCmTm!O104, "Mobile Clinic")</f>
        <v>0</v>
      </c>
      <c r="BE105" s="24">
        <f>COUNTIF(CHMTCmTm!O104, "Health Facility")</f>
        <v>0</v>
      </c>
    </row>
    <row r="106" spans="2:57" s="24" customFormat="1" ht="21.95" customHeight="1" x14ac:dyDescent="0.25">
      <c r="B106" s="397" t="str">
        <f>IF(CHMTCmTm!B105=0,"",CHMTCmTm!B105)</f>
        <v/>
      </c>
      <c r="C106" s="398"/>
      <c r="D106" s="399"/>
      <c r="E106" s="216">
        <f t="shared" si="3"/>
        <v>0</v>
      </c>
      <c r="F106" s="397" t="str">
        <f>IF(CHMTCmTm!F105=0,"",CHMTCmTm!F105)</f>
        <v/>
      </c>
      <c r="G106" s="398"/>
      <c r="H106" s="399"/>
      <c r="I106" s="381" t="str">
        <f>IF(CHMTCmTm!I105=0,"",CHMTCmTm!I105)</f>
        <v/>
      </c>
      <c r="J106" s="382"/>
      <c r="K106" s="381" t="str">
        <f>IF(CHMTCmTm!K105=0,"",CHMTCmTm!K105)</f>
        <v/>
      </c>
      <c r="L106" s="382"/>
      <c r="M106" s="381" t="str">
        <f>IF(CHMTCmTm!M105=0,"",CHMTCmTm!M105)</f>
        <v/>
      </c>
      <c r="N106" s="382"/>
      <c r="O106" s="381" t="str">
        <f>IF(CHMTCmTm!O105=0,"",CHMTCmTm!O105)</f>
        <v/>
      </c>
      <c r="P106" s="382"/>
      <c r="Q106" s="215" t="b">
        <f t="shared" si="2"/>
        <v>0</v>
      </c>
      <c r="R106" s="381" t="str">
        <f>IF(CHMTCmTm!R105=0,"",CHMTCmTm!R105)</f>
        <v/>
      </c>
      <c r="S106" s="382"/>
      <c r="T106" s="381" t="str">
        <f>IF(CHMTCmTm!T105=0,"",CHMTCmTm!T105)</f>
        <v/>
      </c>
      <c r="U106" s="382"/>
      <c r="V106" s="381" t="str">
        <f>IF(CHMTCmTm!V105=0,"",CHMTCmTm!V105)</f>
        <v/>
      </c>
      <c r="W106" s="396"/>
      <c r="X106" s="396"/>
      <c r="Y106" s="382"/>
      <c r="Z106" s="215">
        <f>CHMTCmTm!Z105</f>
        <v>0</v>
      </c>
      <c r="AA106" s="381" t="str">
        <f>IF(CHMTCmTm!AA105=0,"",CHMTCmTm!AA105)</f>
        <v/>
      </c>
      <c r="AB106" s="396"/>
      <c r="AC106" s="382"/>
      <c r="AD106" s="215">
        <f>CHMTCmTm!AD105</f>
        <v>0</v>
      </c>
      <c r="AE106" s="381" t="str">
        <f>IF(CHMTCmTm!AE105=0,"",CHMTCmTm!AE105)</f>
        <v/>
      </c>
      <c r="AF106" s="396"/>
      <c r="AG106" s="382"/>
      <c r="AH106" s="215">
        <f>CHMTCmTm!AH105</f>
        <v>0</v>
      </c>
      <c r="AI106" s="381" t="str">
        <f>IF(CHMTCmTm!AI105=0,"",CHMTCmTm!AI105)</f>
        <v/>
      </c>
      <c r="AJ106" s="396"/>
      <c r="AK106" s="382"/>
      <c r="AL106" s="215">
        <f>CHMTCmTm!AL105</f>
        <v>0</v>
      </c>
      <c r="AM106" s="381" t="str">
        <f>IF(CHMTCmTm!AM105=0,"",CHMTCmTm!AM105)</f>
        <v/>
      </c>
      <c r="AN106" s="396"/>
      <c r="AO106" s="382"/>
      <c r="AP106" s="381" t="str">
        <f>IF(CHMTCmTm!AP105=0,"",CHMTCmTm!AP105)</f>
        <v/>
      </c>
      <c r="AQ106" s="382"/>
      <c r="AR106" s="381" t="str">
        <f>IF(CHMTCmTm!AR105=0,"",CHMTCmTm!AR105)</f>
        <v/>
      </c>
      <c r="AS106" s="382"/>
      <c r="AT106" s="381" t="str">
        <f>IF(CHMTCmTm!AT105=0,"",CHMTCmTm!AT105)</f>
        <v/>
      </c>
      <c r="AU106" s="396"/>
      <c r="AV106" s="382"/>
      <c r="AW106" s="381" t="str">
        <f>IF(CHMTCmTm!AW105=0,"",CHMTCmTm!AW105)</f>
        <v/>
      </c>
      <c r="AX106" s="396"/>
      <c r="AY106" s="382"/>
      <c r="AZ106" s="24">
        <f>CHMTCmTm!AZ105</f>
        <v>0</v>
      </c>
      <c r="BC106" s="24">
        <f>COUNTIF(CHMTCmTm!O105, "Outreach Session")</f>
        <v>0</v>
      </c>
      <c r="BD106" s="24">
        <f>COUNTIF(CHMTCmTm!O105, "Mobile Clinic")</f>
        <v>0</v>
      </c>
      <c r="BE106" s="24">
        <f>COUNTIF(CHMTCmTm!O105, "Health Facility")</f>
        <v>0</v>
      </c>
    </row>
    <row r="107" spans="2:57" s="24" customFormat="1" ht="21.95" customHeight="1" x14ac:dyDescent="0.25">
      <c r="B107" s="397" t="str">
        <f>IF(CHMTCmTm!B106=0,"",CHMTCmTm!B106)</f>
        <v/>
      </c>
      <c r="C107" s="398"/>
      <c r="D107" s="399"/>
      <c r="E107" s="216">
        <f t="shared" si="3"/>
        <v>0</v>
      </c>
      <c r="F107" s="397" t="str">
        <f>IF(CHMTCmTm!F106=0,"",CHMTCmTm!F106)</f>
        <v/>
      </c>
      <c r="G107" s="398"/>
      <c r="H107" s="399"/>
      <c r="I107" s="381" t="str">
        <f>IF(CHMTCmTm!I106=0,"",CHMTCmTm!I106)</f>
        <v/>
      </c>
      <c r="J107" s="382"/>
      <c r="K107" s="381" t="str">
        <f>IF(CHMTCmTm!K106=0,"",CHMTCmTm!K106)</f>
        <v/>
      </c>
      <c r="L107" s="382"/>
      <c r="M107" s="381" t="str">
        <f>IF(CHMTCmTm!M106=0,"",CHMTCmTm!M106)</f>
        <v/>
      </c>
      <c r="N107" s="382"/>
      <c r="O107" s="381" t="str">
        <f>IF(CHMTCmTm!O106=0,"",CHMTCmTm!O106)</f>
        <v/>
      </c>
      <c r="P107" s="382"/>
      <c r="Q107" s="215" t="b">
        <f t="shared" si="2"/>
        <v>0</v>
      </c>
      <c r="R107" s="381" t="str">
        <f>IF(CHMTCmTm!R106=0,"",CHMTCmTm!R106)</f>
        <v/>
      </c>
      <c r="S107" s="382"/>
      <c r="T107" s="381" t="str">
        <f>IF(CHMTCmTm!T106=0,"",CHMTCmTm!T106)</f>
        <v/>
      </c>
      <c r="U107" s="382"/>
      <c r="V107" s="381" t="str">
        <f>IF(CHMTCmTm!V106=0,"",CHMTCmTm!V106)</f>
        <v/>
      </c>
      <c r="W107" s="396"/>
      <c r="X107" s="396"/>
      <c r="Y107" s="382"/>
      <c r="Z107" s="215">
        <f>CHMTCmTm!Z106</f>
        <v>0</v>
      </c>
      <c r="AA107" s="381" t="str">
        <f>IF(CHMTCmTm!AA106=0,"",CHMTCmTm!AA106)</f>
        <v/>
      </c>
      <c r="AB107" s="396"/>
      <c r="AC107" s="382"/>
      <c r="AD107" s="215">
        <f>CHMTCmTm!AD106</f>
        <v>0</v>
      </c>
      <c r="AE107" s="381" t="str">
        <f>IF(CHMTCmTm!AE106=0,"",CHMTCmTm!AE106)</f>
        <v/>
      </c>
      <c r="AF107" s="396"/>
      <c r="AG107" s="382"/>
      <c r="AH107" s="215">
        <f>CHMTCmTm!AH106</f>
        <v>0</v>
      </c>
      <c r="AI107" s="381" t="str">
        <f>IF(CHMTCmTm!AI106=0,"",CHMTCmTm!AI106)</f>
        <v/>
      </c>
      <c r="AJ107" s="396"/>
      <c r="AK107" s="382"/>
      <c r="AL107" s="215">
        <f>CHMTCmTm!AL106</f>
        <v>0</v>
      </c>
      <c r="AM107" s="381" t="str">
        <f>IF(CHMTCmTm!AM106=0,"",CHMTCmTm!AM106)</f>
        <v/>
      </c>
      <c r="AN107" s="396"/>
      <c r="AO107" s="382"/>
      <c r="AP107" s="381" t="str">
        <f>IF(CHMTCmTm!AP106=0,"",CHMTCmTm!AP106)</f>
        <v/>
      </c>
      <c r="AQ107" s="382"/>
      <c r="AR107" s="381" t="str">
        <f>IF(CHMTCmTm!AR106=0,"",CHMTCmTm!AR106)</f>
        <v/>
      </c>
      <c r="AS107" s="382"/>
      <c r="AT107" s="381" t="str">
        <f>IF(CHMTCmTm!AT106=0,"",CHMTCmTm!AT106)</f>
        <v/>
      </c>
      <c r="AU107" s="396"/>
      <c r="AV107" s="382"/>
      <c r="AW107" s="381" t="str">
        <f>IF(CHMTCmTm!AW106=0,"",CHMTCmTm!AW106)</f>
        <v/>
      </c>
      <c r="AX107" s="396"/>
      <c r="AY107" s="382"/>
      <c r="AZ107" s="24">
        <f>CHMTCmTm!AZ106</f>
        <v>0</v>
      </c>
      <c r="BC107" s="24">
        <f>COUNTIF(CHMTCmTm!O106, "Outreach Session")</f>
        <v>0</v>
      </c>
      <c r="BD107" s="24">
        <f>COUNTIF(CHMTCmTm!O106, "Mobile Clinic")</f>
        <v>0</v>
      </c>
      <c r="BE107" s="24">
        <f>COUNTIF(CHMTCmTm!O106, "Health Facility")</f>
        <v>0</v>
      </c>
    </row>
    <row r="108" spans="2:57" s="24" customFormat="1" ht="21.95" customHeight="1" x14ac:dyDescent="0.25">
      <c r="B108" s="397" t="str">
        <f>IF(CHMTCmTm!B107=0,"",CHMTCmTm!B107)</f>
        <v/>
      </c>
      <c r="C108" s="398"/>
      <c r="D108" s="399"/>
      <c r="E108" s="216">
        <f t="shared" si="3"/>
        <v>0</v>
      </c>
      <c r="F108" s="397" t="str">
        <f>IF(CHMTCmTm!F107=0,"",CHMTCmTm!F107)</f>
        <v/>
      </c>
      <c r="G108" s="398"/>
      <c r="H108" s="399"/>
      <c r="I108" s="381" t="str">
        <f>IF(CHMTCmTm!I107=0,"",CHMTCmTm!I107)</f>
        <v/>
      </c>
      <c r="J108" s="382"/>
      <c r="K108" s="381" t="str">
        <f>IF(CHMTCmTm!K107=0,"",CHMTCmTm!K107)</f>
        <v/>
      </c>
      <c r="L108" s="382"/>
      <c r="M108" s="381" t="str">
        <f>IF(CHMTCmTm!M107=0,"",CHMTCmTm!M107)</f>
        <v/>
      </c>
      <c r="N108" s="382"/>
      <c r="O108" s="381" t="str">
        <f>IF(CHMTCmTm!O107=0,"",CHMTCmTm!O107)</f>
        <v/>
      </c>
      <c r="P108" s="382"/>
      <c r="Q108" s="215" t="b">
        <f t="shared" si="2"/>
        <v>0</v>
      </c>
      <c r="R108" s="381" t="str">
        <f>IF(CHMTCmTm!R107=0,"",CHMTCmTm!R107)</f>
        <v/>
      </c>
      <c r="S108" s="382"/>
      <c r="T108" s="381" t="str">
        <f>IF(CHMTCmTm!T107=0,"",CHMTCmTm!T107)</f>
        <v/>
      </c>
      <c r="U108" s="382"/>
      <c r="V108" s="381" t="str">
        <f>IF(CHMTCmTm!V107=0,"",CHMTCmTm!V107)</f>
        <v/>
      </c>
      <c r="W108" s="396"/>
      <c r="X108" s="396"/>
      <c r="Y108" s="382"/>
      <c r="Z108" s="215">
        <f>CHMTCmTm!Z107</f>
        <v>0</v>
      </c>
      <c r="AA108" s="381" t="str">
        <f>IF(CHMTCmTm!AA107=0,"",CHMTCmTm!AA107)</f>
        <v/>
      </c>
      <c r="AB108" s="396"/>
      <c r="AC108" s="382"/>
      <c r="AD108" s="215">
        <f>CHMTCmTm!AD107</f>
        <v>0</v>
      </c>
      <c r="AE108" s="381" t="str">
        <f>IF(CHMTCmTm!AE107=0,"",CHMTCmTm!AE107)</f>
        <v/>
      </c>
      <c r="AF108" s="396"/>
      <c r="AG108" s="382"/>
      <c r="AH108" s="215">
        <f>CHMTCmTm!AH107</f>
        <v>0</v>
      </c>
      <c r="AI108" s="381" t="str">
        <f>IF(CHMTCmTm!AI107=0,"",CHMTCmTm!AI107)</f>
        <v/>
      </c>
      <c r="AJ108" s="396"/>
      <c r="AK108" s="382"/>
      <c r="AL108" s="215">
        <f>CHMTCmTm!AL107</f>
        <v>0</v>
      </c>
      <c r="AM108" s="381" t="str">
        <f>IF(CHMTCmTm!AM107=0,"",CHMTCmTm!AM107)</f>
        <v/>
      </c>
      <c r="AN108" s="396"/>
      <c r="AO108" s="382"/>
      <c r="AP108" s="381" t="str">
        <f>IF(CHMTCmTm!AP107=0,"",CHMTCmTm!AP107)</f>
        <v/>
      </c>
      <c r="AQ108" s="382"/>
      <c r="AR108" s="381" t="str">
        <f>IF(CHMTCmTm!AR107=0,"",CHMTCmTm!AR107)</f>
        <v/>
      </c>
      <c r="AS108" s="382"/>
      <c r="AT108" s="381" t="str">
        <f>IF(CHMTCmTm!AT107=0,"",CHMTCmTm!AT107)</f>
        <v/>
      </c>
      <c r="AU108" s="396"/>
      <c r="AV108" s="382"/>
      <c r="AW108" s="381" t="str">
        <f>IF(CHMTCmTm!AW107=0,"",CHMTCmTm!AW107)</f>
        <v/>
      </c>
      <c r="AX108" s="396"/>
      <c r="AY108" s="382"/>
      <c r="AZ108" s="24">
        <f>CHMTCmTm!AZ107</f>
        <v>0</v>
      </c>
      <c r="BC108" s="24">
        <f>COUNTIF(CHMTCmTm!O107, "Outreach Session")</f>
        <v>0</v>
      </c>
      <c r="BD108" s="24">
        <f>COUNTIF(CHMTCmTm!O107, "Mobile Clinic")</f>
        <v>0</v>
      </c>
      <c r="BE108" s="24">
        <f>COUNTIF(CHMTCmTm!O107, "Health Facility")</f>
        <v>0</v>
      </c>
    </row>
    <row r="109" spans="2:57" s="24" customFormat="1" ht="21.95" customHeight="1" x14ac:dyDescent="0.25">
      <c r="B109" s="397" t="str">
        <f>IF(CHMTCmTm!B108=0,"",CHMTCmTm!B108)</f>
        <v/>
      </c>
      <c r="C109" s="398"/>
      <c r="D109" s="399"/>
      <c r="E109" s="216">
        <f t="shared" si="3"/>
        <v>0</v>
      </c>
      <c r="F109" s="397" t="str">
        <f>IF(CHMTCmTm!F108=0,"",CHMTCmTm!F108)</f>
        <v/>
      </c>
      <c r="G109" s="398"/>
      <c r="H109" s="399"/>
      <c r="I109" s="381" t="str">
        <f>IF(CHMTCmTm!I108=0,"",CHMTCmTm!I108)</f>
        <v/>
      </c>
      <c r="J109" s="382"/>
      <c r="K109" s="381" t="str">
        <f>IF(CHMTCmTm!K108=0,"",CHMTCmTm!K108)</f>
        <v/>
      </c>
      <c r="L109" s="382"/>
      <c r="M109" s="381" t="str">
        <f>IF(CHMTCmTm!M108=0,"",CHMTCmTm!M108)</f>
        <v/>
      </c>
      <c r="N109" s="382"/>
      <c r="O109" s="381" t="str">
        <f>IF(CHMTCmTm!O108=0,"",CHMTCmTm!O108)</f>
        <v/>
      </c>
      <c r="P109" s="382"/>
      <c r="Q109" s="215" t="b">
        <f t="shared" si="2"/>
        <v>0</v>
      </c>
      <c r="R109" s="381" t="str">
        <f>IF(CHMTCmTm!R108=0,"",CHMTCmTm!R108)</f>
        <v/>
      </c>
      <c r="S109" s="382"/>
      <c r="T109" s="381" t="str">
        <f>IF(CHMTCmTm!T108=0,"",CHMTCmTm!T108)</f>
        <v/>
      </c>
      <c r="U109" s="382"/>
      <c r="V109" s="381" t="str">
        <f>IF(CHMTCmTm!V108=0,"",CHMTCmTm!V108)</f>
        <v/>
      </c>
      <c r="W109" s="396"/>
      <c r="X109" s="396"/>
      <c r="Y109" s="382"/>
      <c r="Z109" s="215">
        <f>CHMTCmTm!Z108</f>
        <v>0</v>
      </c>
      <c r="AA109" s="381" t="str">
        <f>IF(CHMTCmTm!AA108=0,"",CHMTCmTm!AA108)</f>
        <v/>
      </c>
      <c r="AB109" s="396"/>
      <c r="AC109" s="382"/>
      <c r="AD109" s="215">
        <f>CHMTCmTm!AD108</f>
        <v>0</v>
      </c>
      <c r="AE109" s="381" t="str">
        <f>IF(CHMTCmTm!AE108=0,"",CHMTCmTm!AE108)</f>
        <v/>
      </c>
      <c r="AF109" s="396"/>
      <c r="AG109" s="382"/>
      <c r="AH109" s="215">
        <f>CHMTCmTm!AH108</f>
        <v>0</v>
      </c>
      <c r="AI109" s="381" t="str">
        <f>IF(CHMTCmTm!AI108=0,"",CHMTCmTm!AI108)</f>
        <v/>
      </c>
      <c r="AJ109" s="396"/>
      <c r="AK109" s="382"/>
      <c r="AL109" s="215">
        <f>CHMTCmTm!AL108</f>
        <v>0</v>
      </c>
      <c r="AM109" s="381" t="str">
        <f>IF(CHMTCmTm!AM108=0,"",CHMTCmTm!AM108)</f>
        <v/>
      </c>
      <c r="AN109" s="396"/>
      <c r="AO109" s="382"/>
      <c r="AP109" s="381" t="str">
        <f>IF(CHMTCmTm!AP108=0,"",CHMTCmTm!AP108)</f>
        <v/>
      </c>
      <c r="AQ109" s="382"/>
      <c r="AR109" s="381" t="str">
        <f>IF(CHMTCmTm!AR108=0,"",CHMTCmTm!AR108)</f>
        <v/>
      </c>
      <c r="AS109" s="382"/>
      <c r="AT109" s="381" t="str">
        <f>IF(CHMTCmTm!AT108=0,"",CHMTCmTm!AT108)</f>
        <v/>
      </c>
      <c r="AU109" s="396"/>
      <c r="AV109" s="382"/>
      <c r="AW109" s="381" t="str">
        <f>IF(CHMTCmTm!AW108=0,"",CHMTCmTm!AW108)</f>
        <v/>
      </c>
      <c r="AX109" s="396"/>
      <c r="AY109" s="382"/>
      <c r="AZ109" s="24">
        <f>CHMTCmTm!AZ108</f>
        <v>0</v>
      </c>
      <c r="BC109" s="24">
        <f>COUNTIF(CHMTCmTm!O108, "Outreach Session")</f>
        <v>0</v>
      </c>
      <c r="BD109" s="24">
        <f>COUNTIF(CHMTCmTm!O108, "Mobile Clinic")</f>
        <v>0</v>
      </c>
      <c r="BE109" s="24">
        <f>COUNTIF(CHMTCmTm!O108, "Health Facility")</f>
        <v>0</v>
      </c>
    </row>
    <row r="110" spans="2:57" s="24" customFormat="1" ht="21.95" customHeight="1" x14ac:dyDescent="0.25">
      <c r="B110" s="397" t="str">
        <f>IF(CHMTCmTm!B109=0,"",CHMTCmTm!B109)</f>
        <v/>
      </c>
      <c r="C110" s="398"/>
      <c r="D110" s="399"/>
      <c r="E110" s="216">
        <f t="shared" si="3"/>
        <v>0</v>
      </c>
      <c r="F110" s="397" t="str">
        <f>IF(CHMTCmTm!F109=0,"",CHMTCmTm!F109)</f>
        <v/>
      </c>
      <c r="G110" s="398"/>
      <c r="H110" s="399"/>
      <c r="I110" s="381" t="str">
        <f>IF(CHMTCmTm!I109=0,"",CHMTCmTm!I109)</f>
        <v/>
      </c>
      <c r="J110" s="382"/>
      <c r="K110" s="381" t="str">
        <f>IF(CHMTCmTm!K109=0,"",CHMTCmTm!K109)</f>
        <v/>
      </c>
      <c r="L110" s="382"/>
      <c r="M110" s="381" t="str">
        <f>IF(CHMTCmTm!M109=0,"",CHMTCmTm!M109)</f>
        <v/>
      </c>
      <c r="N110" s="382"/>
      <c r="O110" s="381" t="str">
        <f>IF(CHMTCmTm!O109=0,"",CHMTCmTm!O109)</f>
        <v/>
      </c>
      <c r="P110" s="382"/>
      <c r="Q110" s="215" t="b">
        <f t="shared" si="2"/>
        <v>0</v>
      </c>
      <c r="R110" s="381" t="str">
        <f>IF(CHMTCmTm!R109=0,"",CHMTCmTm!R109)</f>
        <v/>
      </c>
      <c r="S110" s="382"/>
      <c r="T110" s="381" t="str">
        <f>IF(CHMTCmTm!T109=0,"",CHMTCmTm!T109)</f>
        <v/>
      </c>
      <c r="U110" s="382"/>
      <c r="V110" s="381" t="str">
        <f>IF(CHMTCmTm!V109=0,"",CHMTCmTm!V109)</f>
        <v/>
      </c>
      <c r="W110" s="396"/>
      <c r="X110" s="396"/>
      <c r="Y110" s="382"/>
      <c r="Z110" s="215">
        <f>CHMTCmTm!Z109</f>
        <v>0</v>
      </c>
      <c r="AA110" s="381" t="str">
        <f>IF(CHMTCmTm!AA109=0,"",CHMTCmTm!AA109)</f>
        <v/>
      </c>
      <c r="AB110" s="396"/>
      <c r="AC110" s="382"/>
      <c r="AD110" s="215">
        <f>CHMTCmTm!AD109</f>
        <v>0</v>
      </c>
      <c r="AE110" s="381" t="str">
        <f>IF(CHMTCmTm!AE109=0,"",CHMTCmTm!AE109)</f>
        <v/>
      </c>
      <c r="AF110" s="396"/>
      <c r="AG110" s="382"/>
      <c r="AH110" s="215">
        <f>CHMTCmTm!AH109</f>
        <v>0</v>
      </c>
      <c r="AI110" s="381" t="str">
        <f>IF(CHMTCmTm!AI109=0,"",CHMTCmTm!AI109)</f>
        <v/>
      </c>
      <c r="AJ110" s="396"/>
      <c r="AK110" s="382"/>
      <c r="AL110" s="215">
        <f>CHMTCmTm!AL109</f>
        <v>0</v>
      </c>
      <c r="AM110" s="381" t="str">
        <f>IF(CHMTCmTm!AM109=0,"",CHMTCmTm!AM109)</f>
        <v/>
      </c>
      <c r="AN110" s="396"/>
      <c r="AO110" s="382"/>
      <c r="AP110" s="381" t="str">
        <f>IF(CHMTCmTm!AP109=0,"",CHMTCmTm!AP109)</f>
        <v/>
      </c>
      <c r="AQ110" s="382"/>
      <c r="AR110" s="381" t="str">
        <f>IF(CHMTCmTm!AR109=0,"",CHMTCmTm!AR109)</f>
        <v/>
      </c>
      <c r="AS110" s="382"/>
      <c r="AT110" s="381" t="str">
        <f>IF(CHMTCmTm!AT109=0,"",CHMTCmTm!AT109)</f>
        <v/>
      </c>
      <c r="AU110" s="396"/>
      <c r="AV110" s="382"/>
      <c r="AW110" s="381" t="str">
        <f>IF(CHMTCmTm!AW109=0,"",CHMTCmTm!AW109)</f>
        <v/>
      </c>
      <c r="AX110" s="396"/>
      <c r="AY110" s="382"/>
      <c r="AZ110" s="24">
        <f>CHMTCmTm!AZ109</f>
        <v>0</v>
      </c>
      <c r="BC110" s="24">
        <f>COUNTIF(CHMTCmTm!O109, "Outreach Session")</f>
        <v>0</v>
      </c>
      <c r="BD110" s="24">
        <f>COUNTIF(CHMTCmTm!O109, "Mobile Clinic")</f>
        <v>0</v>
      </c>
      <c r="BE110" s="24">
        <f>COUNTIF(CHMTCmTm!O109, "Health Facility")</f>
        <v>0</v>
      </c>
    </row>
    <row r="111" spans="2:57" s="24" customFormat="1" ht="21.95" customHeight="1" x14ac:dyDescent="0.25">
      <c r="B111" s="397" t="str">
        <f>IF(CHMTCmTm!B110=0,"",CHMTCmTm!B110)</f>
        <v/>
      </c>
      <c r="C111" s="398"/>
      <c r="D111" s="399"/>
      <c r="E111" s="216">
        <f t="shared" si="3"/>
        <v>0</v>
      </c>
      <c r="F111" s="397" t="str">
        <f>IF(CHMTCmTm!F110=0,"",CHMTCmTm!F110)</f>
        <v/>
      </c>
      <c r="G111" s="398"/>
      <c r="H111" s="399"/>
      <c r="I111" s="381" t="str">
        <f>IF(CHMTCmTm!I110=0,"",CHMTCmTm!I110)</f>
        <v/>
      </c>
      <c r="J111" s="382"/>
      <c r="K111" s="381" t="str">
        <f>IF(CHMTCmTm!K110=0,"",CHMTCmTm!K110)</f>
        <v/>
      </c>
      <c r="L111" s="382"/>
      <c r="M111" s="381" t="str">
        <f>IF(CHMTCmTm!M110=0,"",CHMTCmTm!M110)</f>
        <v/>
      </c>
      <c r="N111" s="382"/>
      <c r="O111" s="381" t="str">
        <f>IF(CHMTCmTm!O110=0,"",CHMTCmTm!O110)</f>
        <v/>
      </c>
      <c r="P111" s="382"/>
      <c r="Q111" s="215" t="b">
        <f t="shared" si="2"/>
        <v>0</v>
      </c>
      <c r="R111" s="381" t="str">
        <f>IF(CHMTCmTm!R110=0,"",CHMTCmTm!R110)</f>
        <v/>
      </c>
      <c r="S111" s="382"/>
      <c r="T111" s="381" t="str">
        <f>IF(CHMTCmTm!T110=0,"",CHMTCmTm!T110)</f>
        <v/>
      </c>
      <c r="U111" s="382"/>
      <c r="V111" s="381" t="str">
        <f>IF(CHMTCmTm!V110=0,"",CHMTCmTm!V110)</f>
        <v/>
      </c>
      <c r="W111" s="396"/>
      <c r="X111" s="396"/>
      <c r="Y111" s="382"/>
      <c r="Z111" s="215">
        <f>CHMTCmTm!Z110</f>
        <v>0</v>
      </c>
      <c r="AA111" s="381" t="str">
        <f>IF(CHMTCmTm!AA110=0,"",CHMTCmTm!AA110)</f>
        <v/>
      </c>
      <c r="AB111" s="396"/>
      <c r="AC111" s="382"/>
      <c r="AD111" s="215">
        <f>CHMTCmTm!AD110</f>
        <v>0</v>
      </c>
      <c r="AE111" s="381" t="str">
        <f>IF(CHMTCmTm!AE110=0,"",CHMTCmTm!AE110)</f>
        <v/>
      </c>
      <c r="AF111" s="396"/>
      <c r="AG111" s="382"/>
      <c r="AH111" s="215">
        <f>CHMTCmTm!AH110</f>
        <v>0</v>
      </c>
      <c r="AI111" s="381" t="str">
        <f>IF(CHMTCmTm!AI110=0,"",CHMTCmTm!AI110)</f>
        <v/>
      </c>
      <c r="AJ111" s="396"/>
      <c r="AK111" s="382"/>
      <c r="AL111" s="215">
        <f>CHMTCmTm!AL110</f>
        <v>0</v>
      </c>
      <c r="AM111" s="381" t="str">
        <f>IF(CHMTCmTm!AM110=0,"",CHMTCmTm!AM110)</f>
        <v/>
      </c>
      <c r="AN111" s="396"/>
      <c r="AO111" s="382"/>
      <c r="AP111" s="381" t="str">
        <f>IF(CHMTCmTm!AP110=0,"",CHMTCmTm!AP110)</f>
        <v/>
      </c>
      <c r="AQ111" s="382"/>
      <c r="AR111" s="381" t="str">
        <f>IF(CHMTCmTm!AR110=0,"",CHMTCmTm!AR110)</f>
        <v/>
      </c>
      <c r="AS111" s="382"/>
      <c r="AT111" s="381" t="str">
        <f>IF(CHMTCmTm!AT110=0,"",CHMTCmTm!AT110)</f>
        <v/>
      </c>
      <c r="AU111" s="396"/>
      <c r="AV111" s="382"/>
      <c r="AW111" s="381" t="str">
        <f>IF(CHMTCmTm!AW110=0,"",CHMTCmTm!AW110)</f>
        <v/>
      </c>
      <c r="AX111" s="396"/>
      <c r="AY111" s="382"/>
      <c r="AZ111" s="24">
        <f>CHMTCmTm!AZ110</f>
        <v>0</v>
      </c>
      <c r="BC111" s="24">
        <f>COUNTIF(CHMTCmTm!O110, "Outreach Session")</f>
        <v>0</v>
      </c>
      <c r="BD111" s="24">
        <f>COUNTIF(CHMTCmTm!O110, "Mobile Clinic")</f>
        <v>0</v>
      </c>
      <c r="BE111" s="24">
        <f>COUNTIF(CHMTCmTm!O110, "Health Facility")</f>
        <v>0</v>
      </c>
    </row>
    <row r="112" spans="2:57" s="24" customFormat="1" ht="21.95" customHeight="1" x14ac:dyDescent="0.25">
      <c r="B112" s="397" t="str">
        <f>IF(CHMTCmTm!B111=0,"",CHMTCmTm!B111)</f>
        <v/>
      </c>
      <c r="C112" s="398"/>
      <c r="D112" s="399"/>
      <c r="E112" s="216">
        <f t="shared" si="3"/>
        <v>0</v>
      </c>
      <c r="F112" s="397" t="str">
        <f>IF(CHMTCmTm!F111=0,"",CHMTCmTm!F111)</f>
        <v/>
      </c>
      <c r="G112" s="398"/>
      <c r="H112" s="399"/>
      <c r="I112" s="381" t="str">
        <f>IF(CHMTCmTm!I111=0,"",CHMTCmTm!I111)</f>
        <v/>
      </c>
      <c r="J112" s="382"/>
      <c r="K112" s="381" t="str">
        <f>IF(CHMTCmTm!K111=0,"",CHMTCmTm!K111)</f>
        <v/>
      </c>
      <c r="L112" s="382"/>
      <c r="M112" s="381" t="str">
        <f>IF(CHMTCmTm!M111=0,"",CHMTCmTm!M111)</f>
        <v/>
      </c>
      <c r="N112" s="382"/>
      <c r="O112" s="381" t="str">
        <f>IF(CHMTCmTm!O111=0,"",CHMTCmTm!O111)</f>
        <v/>
      </c>
      <c r="P112" s="382"/>
      <c r="Q112" s="215" t="b">
        <f t="shared" si="2"/>
        <v>0</v>
      </c>
      <c r="R112" s="381" t="str">
        <f>IF(CHMTCmTm!R111=0,"",CHMTCmTm!R111)</f>
        <v/>
      </c>
      <c r="S112" s="382"/>
      <c r="T112" s="381" t="str">
        <f>IF(CHMTCmTm!T111=0,"",CHMTCmTm!T111)</f>
        <v/>
      </c>
      <c r="U112" s="382"/>
      <c r="V112" s="381" t="str">
        <f>IF(CHMTCmTm!V111=0,"",CHMTCmTm!V111)</f>
        <v/>
      </c>
      <c r="W112" s="396"/>
      <c r="X112" s="396"/>
      <c r="Y112" s="382"/>
      <c r="Z112" s="215">
        <f>CHMTCmTm!Z111</f>
        <v>0</v>
      </c>
      <c r="AA112" s="381" t="str">
        <f>IF(CHMTCmTm!AA111=0,"",CHMTCmTm!AA111)</f>
        <v/>
      </c>
      <c r="AB112" s="396"/>
      <c r="AC112" s="382"/>
      <c r="AD112" s="215">
        <f>CHMTCmTm!AD111</f>
        <v>0</v>
      </c>
      <c r="AE112" s="381" t="str">
        <f>IF(CHMTCmTm!AE111=0,"",CHMTCmTm!AE111)</f>
        <v/>
      </c>
      <c r="AF112" s="396"/>
      <c r="AG112" s="382"/>
      <c r="AH112" s="215">
        <f>CHMTCmTm!AH111</f>
        <v>0</v>
      </c>
      <c r="AI112" s="381" t="str">
        <f>IF(CHMTCmTm!AI111=0,"",CHMTCmTm!AI111)</f>
        <v/>
      </c>
      <c r="AJ112" s="396"/>
      <c r="AK112" s="382"/>
      <c r="AL112" s="215">
        <f>CHMTCmTm!AL111</f>
        <v>0</v>
      </c>
      <c r="AM112" s="381" t="str">
        <f>IF(CHMTCmTm!AM111=0,"",CHMTCmTm!AM111)</f>
        <v/>
      </c>
      <c r="AN112" s="396"/>
      <c r="AO112" s="382"/>
      <c r="AP112" s="381" t="str">
        <f>IF(CHMTCmTm!AP111=0,"",CHMTCmTm!AP111)</f>
        <v/>
      </c>
      <c r="AQ112" s="382"/>
      <c r="AR112" s="381" t="str">
        <f>IF(CHMTCmTm!AR111=0,"",CHMTCmTm!AR111)</f>
        <v/>
      </c>
      <c r="AS112" s="382"/>
      <c r="AT112" s="381" t="str">
        <f>IF(CHMTCmTm!AT111=0,"",CHMTCmTm!AT111)</f>
        <v/>
      </c>
      <c r="AU112" s="396"/>
      <c r="AV112" s="382"/>
      <c r="AW112" s="381" t="str">
        <f>IF(CHMTCmTm!AW111=0,"",CHMTCmTm!AW111)</f>
        <v/>
      </c>
      <c r="AX112" s="396"/>
      <c r="AY112" s="382"/>
      <c r="AZ112" s="24">
        <f>CHMTCmTm!AZ111</f>
        <v>0</v>
      </c>
      <c r="BC112" s="24">
        <f>COUNTIF(CHMTCmTm!O111, "Outreach Session")</f>
        <v>0</v>
      </c>
      <c r="BD112" s="24">
        <f>COUNTIF(CHMTCmTm!O111, "Mobile Clinic")</f>
        <v>0</v>
      </c>
      <c r="BE112" s="24">
        <f>COUNTIF(CHMTCmTm!O111, "Health Facility")</f>
        <v>0</v>
      </c>
    </row>
    <row r="113" spans="2:57" s="24" customFormat="1" ht="21.95" customHeight="1" x14ac:dyDescent="0.25">
      <c r="B113" s="397" t="str">
        <f>IF(CHMTCmTm!B112=0,"",CHMTCmTm!B112)</f>
        <v/>
      </c>
      <c r="C113" s="398"/>
      <c r="D113" s="399"/>
      <c r="E113" s="216">
        <f t="shared" si="3"/>
        <v>0</v>
      </c>
      <c r="F113" s="397" t="str">
        <f>IF(CHMTCmTm!F112=0,"",CHMTCmTm!F112)</f>
        <v/>
      </c>
      <c r="G113" s="398"/>
      <c r="H113" s="399"/>
      <c r="I113" s="381" t="str">
        <f>IF(CHMTCmTm!I112=0,"",CHMTCmTm!I112)</f>
        <v/>
      </c>
      <c r="J113" s="382"/>
      <c r="K113" s="381" t="str">
        <f>IF(CHMTCmTm!K112=0,"",CHMTCmTm!K112)</f>
        <v/>
      </c>
      <c r="L113" s="382"/>
      <c r="M113" s="381" t="str">
        <f>IF(CHMTCmTm!M112=0,"",CHMTCmTm!M112)</f>
        <v/>
      </c>
      <c r="N113" s="382"/>
      <c r="O113" s="381" t="str">
        <f>IF(CHMTCmTm!O112=0,"",CHMTCmTm!O112)</f>
        <v/>
      </c>
      <c r="P113" s="382"/>
      <c r="Q113" s="215" t="b">
        <f t="shared" si="2"/>
        <v>0</v>
      </c>
      <c r="R113" s="381" t="str">
        <f>IF(CHMTCmTm!R112=0,"",CHMTCmTm!R112)</f>
        <v/>
      </c>
      <c r="S113" s="382"/>
      <c r="T113" s="381" t="str">
        <f>IF(CHMTCmTm!T112=0,"",CHMTCmTm!T112)</f>
        <v/>
      </c>
      <c r="U113" s="382"/>
      <c r="V113" s="381" t="str">
        <f>IF(CHMTCmTm!V112=0,"",CHMTCmTm!V112)</f>
        <v/>
      </c>
      <c r="W113" s="396"/>
      <c r="X113" s="396"/>
      <c r="Y113" s="382"/>
      <c r="Z113" s="215">
        <f>CHMTCmTm!Z112</f>
        <v>0</v>
      </c>
      <c r="AA113" s="381" t="str">
        <f>IF(CHMTCmTm!AA112=0,"",CHMTCmTm!AA112)</f>
        <v/>
      </c>
      <c r="AB113" s="396"/>
      <c r="AC113" s="382"/>
      <c r="AD113" s="215">
        <f>CHMTCmTm!AD112</f>
        <v>0</v>
      </c>
      <c r="AE113" s="381" t="str">
        <f>IF(CHMTCmTm!AE112=0,"",CHMTCmTm!AE112)</f>
        <v/>
      </c>
      <c r="AF113" s="396"/>
      <c r="AG113" s="382"/>
      <c r="AH113" s="215">
        <f>CHMTCmTm!AH112</f>
        <v>0</v>
      </c>
      <c r="AI113" s="381" t="str">
        <f>IF(CHMTCmTm!AI112=0,"",CHMTCmTm!AI112)</f>
        <v/>
      </c>
      <c r="AJ113" s="396"/>
      <c r="AK113" s="382"/>
      <c r="AL113" s="215">
        <f>CHMTCmTm!AL112</f>
        <v>0</v>
      </c>
      <c r="AM113" s="381" t="str">
        <f>IF(CHMTCmTm!AM112=0,"",CHMTCmTm!AM112)</f>
        <v/>
      </c>
      <c r="AN113" s="396"/>
      <c r="AO113" s="382"/>
      <c r="AP113" s="381" t="str">
        <f>IF(CHMTCmTm!AP112=0,"",CHMTCmTm!AP112)</f>
        <v/>
      </c>
      <c r="AQ113" s="382"/>
      <c r="AR113" s="381" t="str">
        <f>IF(CHMTCmTm!AR112=0,"",CHMTCmTm!AR112)</f>
        <v/>
      </c>
      <c r="AS113" s="382"/>
      <c r="AT113" s="381" t="str">
        <f>IF(CHMTCmTm!AT112=0,"",CHMTCmTm!AT112)</f>
        <v/>
      </c>
      <c r="AU113" s="396"/>
      <c r="AV113" s="382"/>
      <c r="AW113" s="381" t="str">
        <f>IF(CHMTCmTm!AW112=0,"",CHMTCmTm!AW112)</f>
        <v/>
      </c>
      <c r="AX113" s="396"/>
      <c r="AY113" s="382"/>
      <c r="AZ113" s="24">
        <f>CHMTCmTm!AZ112</f>
        <v>0</v>
      </c>
      <c r="BC113" s="24">
        <f>COUNTIF(CHMTCmTm!O112, "Outreach Session")</f>
        <v>0</v>
      </c>
      <c r="BD113" s="24">
        <f>COUNTIF(CHMTCmTm!O112, "Mobile Clinic")</f>
        <v>0</v>
      </c>
      <c r="BE113" s="24">
        <f>COUNTIF(CHMTCmTm!O112, "Health Facility")</f>
        <v>0</v>
      </c>
    </row>
    <row r="114" spans="2:57" s="24" customFormat="1" ht="21.95" customHeight="1" x14ac:dyDescent="0.25">
      <c r="B114" s="397" t="str">
        <f>IF(CHMTCmTm!B113=0,"",CHMTCmTm!B113)</f>
        <v/>
      </c>
      <c r="C114" s="398"/>
      <c r="D114" s="399"/>
      <c r="E114" s="216">
        <f t="shared" si="3"/>
        <v>0</v>
      </c>
      <c r="F114" s="397" t="str">
        <f>IF(CHMTCmTm!F113=0,"",CHMTCmTm!F113)</f>
        <v/>
      </c>
      <c r="G114" s="398"/>
      <c r="H114" s="399"/>
      <c r="I114" s="381" t="str">
        <f>IF(CHMTCmTm!I113=0,"",CHMTCmTm!I113)</f>
        <v/>
      </c>
      <c r="J114" s="382"/>
      <c r="K114" s="381" t="str">
        <f>IF(CHMTCmTm!K113=0,"",CHMTCmTm!K113)</f>
        <v/>
      </c>
      <c r="L114" s="382"/>
      <c r="M114" s="381" t="str">
        <f>IF(CHMTCmTm!M113=0,"",CHMTCmTm!M113)</f>
        <v/>
      </c>
      <c r="N114" s="382"/>
      <c r="O114" s="381" t="str">
        <f>IF(CHMTCmTm!O113=0,"",CHMTCmTm!O113)</f>
        <v/>
      </c>
      <c r="P114" s="382"/>
      <c r="Q114" s="215" t="b">
        <f t="shared" si="2"/>
        <v>0</v>
      </c>
      <c r="R114" s="381" t="str">
        <f>IF(CHMTCmTm!R113=0,"",CHMTCmTm!R113)</f>
        <v/>
      </c>
      <c r="S114" s="382"/>
      <c r="T114" s="381" t="str">
        <f>IF(CHMTCmTm!T113=0,"",CHMTCmTm!T113)</f>
        <v/>
      </c>
      <c r="U114" s="382"/>
      <c r="V114" s="381" t="str">
        <f>IF(CHMTCmTm!V113=0,"",CHMTCmTm!V113)</f>
        <v/>
      </c>
      <c r="W114" s="396"/>
      <c r="X114" s="396"/>
      <c r="Y114" s="382"/>
      <c r="Z114" s="215">
        <f>CHMTCmTm!Z113</f>
        <v>0</v>
      </c>
      <c r="AA114" s="381" t="str">
        <f>IF(CHMTCmTm!AA113=0,"",CHMTCmTm!AA113)</f>
        <v/>
      </c>
      <c r="AB114" s="396"/>
      <c r="AC114" s="382"/>
      <c r="AD114" s="215">
        <f>CHMTCmTm!AD113</f>
        <v>0</v>
      </c>
      <c r="AE114" s="381" t="str">
        <f>IF(CHMTCmTm!AE113=0,"",CHMTCmTm!AE113)</f>
        <v/>
      </c>
      <c r="AF114" s="396"/>
      <c r="AG114" s="382"/>
      <c r="AH114" s="215">
        <f>CHMTCmTm!AH113</f>
        <v>0</v>
      </c>
      <c r="AI114" s="381" t="str">
        <f>IF(CHMTCmTm!AI113=0,"",CHMTCmTm!AI113)</f>
        <v/>
      </c>
      <c r="AJ114" s="396"/>
      <c r="AK114" s="382"/>
      <c r="AL114" s="215">
        <f>CHMTCmTm!AL113</f>
        <v>0</v>
      </c>
      <c r="AM114" s="381" t="str">
        <f>IF(CHMTCmTm!AM113=0,"",CHMTCmTm!AM113)</f>
        <v/>
      </c>
      <c r="AN114" s="396"/>
      <c r="AO114" s="382"/>
      <c r="AP114" s="381" t="str">
        <f>IF(CHMTCmTm!AP113=0,"",CHMTCmTm!AP113)</f>
        <v/>
      </c>
      <c r="AQ114" s="382"/>
      <c r="AR114" s="381" t="str">
        <f>IF(CHMTCmTm!AR113=0,"",CHMTCmTm!AR113)</f>
        <v/>
      </c>
      <c r="AS114" s="382"/>
      <c r="AT114" s="381" t="str">
        <f>IF(CHMTCmTm!AT113=0,"",CHMTCmTm!AT113)</f>
        <v/>
      </c>
      <c r="AU114" s="396"/>
      <c r="AV114" s="382"/>
      <c r="AW114" s="381" t="str">
        <f>IF(CHMTCmTm!AW113=0,"",CHMTCmTm!AW113)</f>
        <v/>
      </c>
      <c r="AX114" s="396"/>
      <c r="AY114" s="382"/>
      <c r="AZ114" s="24">
        <f>CHMTCmTm!AZ113</f>
        <v>0</v>
      </c>
      <c r="BC114" s="24">
        <f>COUNTIF(CHMTCmTm!O113, "Outreach Session")</f>
        <v>0</v>
      </c>
      <c r="BD114" s="24">
        <f>COUNTIF(CHMTCmTm!O113, "Mobile Clinic")</f>
        <v>0</v>
      </c>
      <c r="BE114" s="24">
        <f>COUNTIF(CHMTCmTm!O113, "Health Facility")</f>
        <v>0</v>
      </c>
    </row>
    <row r="115" spans="2:57" s="24" customFormat="1" ht="21.95" customHeight="1" x14ac:dyDescent="0.25">
      <c r="B115" s="397" t="str">
        <f>IF(CHMTCmTm!B114=0,"",CHMTCmTm!B114)</f>
        <v/>
      </c>
      <c r="C115" s="398"/>
      <c r="D115" s="399"/>
      <c r="E115" s="216">
        <f t="shared" si="3"/>
        <v>0</v>
      </c>
      <c r="F115" s="397" t="str">
        <f>IF(CHMTCmTm!F114=0,"",CHMTCmTm!F114)</f>
        <v/>
      </c>
      <c r="G115" s="398"/>
      <c r="H115" s="399"/>
      <c r="I115" s="381" t="str">
        <f>IF(CHMTCmTm!I114=0,"",CHMTCmTm!I114)</f>
        <v/>
      </c>
      <c r="J115" s="382"/>
      <c r="K115" s="381" t="str">
        <f>IF(CHMTCmTm!K114=0,"",CHMTCmTm!K114)</f>
        <v/>
      </c>
      <c r="L115" s="382"/>
      <c r="M115" s="381" t="str">
        <f>IF(CHMTCmTm!M114=0,"",CHMTCmTm!M114)</f>
        <v/>
      </c>
      <c r="N115" s="382"/>
      <c r="O115" s="381" t="str">
        <f>IF(CHMTCmTm!O114=0,"",CHMTCmTm!O114)</f>
        <v/>
      </c>
      <c r="P115" s="382"/>
      <c r="Q115" s="215" t="b">
        <f t="shared" si="2"/>
        <v>0</v>
      </c>
      <c r="R115" s="381" t="str">
        <f>IF(CHMTCmTm!R114=0,"",CHMTCmTm!R114)</f>
        <v/>
      </c>
      <c r="S115" s="382"/>
      <c r="T115" s="381" t="str">
        <f>IF(CHMTCmTm!T114=0,"",CHMTCmTm!T114)</f>
        <v/>
      </c>
      <c r="U115" s="382"/>
      <c r="V115" s="381" t="str">
        <f>IF(CHMTCmTm!V114=0,"",CHMTCmTm!V114)</f>
        <v/>
      </c>
      <c r="W115" s="396"/>
      <c r="X115" s="396"/>
      <c r="Y115" s="382"/>
      <c r="Z115" s="215">
        <f>CHMTCmTm!Z114</f>
        <v>0</v>
      </c>
      <c r="AA115" s="381" t="str">
        <f>IF(CHMTCmTm!AA114=0,"",CHMTCmTm!AA114)</f>
        <v/>
      </c>
      <c r="AB115" s="396"/>
      <c r="AC115" s="382"/>
      <c r="AD115" s="215">
        <f>CHMTCmTm!AD114</f>
        <v>0</v>
      </c>
      <c r="AE115" s="381" t="str">
        <f>IF(CHMTCmTm!AE114=0,"",CHMTCmTm!AE114)</f>
        <v/>
      </c>
      <c r="AF115" s="396"/>
      <c r="AG115" s="382"/>
      <c r="AH115" s="215">
        <f>CHMTCmTm!AH114</f>
        <v>0</v>
      </c>
      <c r="AI115" s="381" t="str">
        <f>IF(CHMTCmTm!AI114=0,"",CHMTCmTm!AI114)</f>
        <v/>
      </c>
      <c r="AJ115" s="396"/>
      <c r="AK115" s="382"/>
      <c r="AL115" s="215">
        <f>CHMTCmTm!AL114</f>
        <v>0</v>
      </c>
      <c r="AM115" s="381" t="str">
        <f>IF(CHMTCmTm!AM114=0,"",CHMTCmTm!AM114)</f>
        <v/>
      </c>
      <c r="AN115" s="396"/>
      <c r="AO115" s="382"/>
      <c r="AP115" s="381" t="str">
        <f>IF(CHMTCmTm!AP114=0,"",CHMTCmTm!AP114)</f>
        <v/>
      </c>
      <c r="AQ115" s="382"/>
      <c r="AR115" s="381" t="str">
        <f>IF(CHMTCmTm!AR114=0,"",CHMTCmTm!AR114)</f>
        <v/>
      </c>
      <c r="AS115" s="382"/>
      <c r="AT115" s="381" t="str">
        <f>IF(CHMTCmTm!AT114=0,"",CHMTCmTm!AT114)</f>
        <v/>
      </c>
      <c r="AU115" s="396"/>
      <c r="AV115" s="382"/>
      <c r="AW115" s="381" t="str">
        <f>IF(CHMTCmTm!AW114=0,"",CHMTCmTm!AW114)</f>
        <v/>
      </c>
      <c r="AX115" s="396"/>
      <c r="AY115" s="382"/>
      <c r="AZ115" s="24">
        <f>CHMTCmTm!AZ114</f>
        <v>0</v>
      </c>
      <c r="BC115" s="24">
        <f>COUNTIF(CHMTCmTm!O114, "Outreach Session")</f>
        <v>0</v>
      </c>
      <c r="BD115" s="24">
        <f>COUNTIF(CHMTCmTm!O114, "Mobile Clinic")</f>
        <v>0</v>
      </c>
      <c r="BE115" s="24">
        <f>COUNTIF(CHMTCmTm!O114, "Health Facility")</f>
        <v>0</v>
      </c>
    </row>
    <row r="116" spans="2:57" s="24" customFormat="1" ht="21.95" customHeight="1" x14ac:dyDescent="0.25">
      <c r="B116" s="397" t="str">
        <f>IF(CHMTCmTm!B115=0,"",CHMTCmTm!B115)</f>
        <v/>
      </c>
      <c r="C116" s="398"/>
      <c r="D116" s="399"/>
      <c r="E116" s="216">
        <f t="shared" si="3"/>
        <v>0</v>
      </c>
      <c r="F116" s="397" t="str">
        <f>IF(CHMTCmTm!F115=0,"",CHMTCmTm!F115)</f>
        <v/>
      </c>
      <c r="G116" s="398"/>
      <c r="H116" s="399"/>
      <c r="I116" s="381" t="str">
        <f>IF(CHMTCmTm!I115=0,"",CHMTCmTm!I115)</f>
        <v/>
      </c>
      <c r="J116" s="382"/>
      <c r="K116" s="381" t="str">
        <f>IF(CHMTCmTm!K115=0,"",CHMTCmTm!K115)</f>
        <v/>
      </c>
      <c r="L116" s="382"/>
      <c r="M116" s="381" t="str">
        <f>IF(CHMTCmTm!M115=0,"",CHMTCmTm!M115)</f>
        <v/>
      </c>
      <c r="N116" s="382"/>
      <c r="O116" s="381" t="str">
        <f>IF(CHMTCmTm!O115=0,"",CHMTCmTm!O115)</f>
        <v/>
      </c>
      <c r="P116" s="382"/>
      <c r="Q116" s="215" t="b">
        <f t="shared" si="2"/>
        <v>0</v>
      </c>
      <c r="R116" s="381" t="str">
        <f>IF(CHMTCmTm!R115=0,"",CHMTCmTm!R115)</f>
        <v/>
      </c>
      <c r="S116" s="382"/>
      <c r="T116" s="381" t="str">
        <f>IF(CHMTCmTm!T115=0,"",CHMTCmTm!T115)</f>
        <v/>
      </c>
      <c r="U116" s="382"/>
      <c r="V116" s="381" t="str">
        <f>IF(CHMTCmTm!V115=0,"",CHMTCmTm!V115)</f>
        <v/>
      </c>
      <c r="W116" s="396"/>
      <c r="X116" s="396"/>
      <c r="Y116" s="382"/>
      <c r="Z116" s="215">
        <f>CHMTCmTm!Z115</f>
        <v>0</v>
      </c>
      <c r="AA116" s="381" t="str">
        <f>IF(CHMTCmTm!AA115=0,"",CHMTCmTm!AA115)</f>
        <v/>
      </c>
      <c r="AB116" s="396"/>
      <c r="AC116" s="382"/>
      <c r="AD116" s="215">
        <f>CHMTCmTm!AD115</f>
        <v>0</v>
      </c>
      <c r="AE116" s="381" t="str">
        <f>IF(CHMTCmTm!AE115=0,"",CHMTCmTm!AE115)</f>
        <v/>
      </c>
      <c r="AF116" s="396"/>
      <c r="AG116" s="382"/>
      <c r="AH116" s="215">
        <f>CHMTCmTm!AH115</f>
        <v>0</v>
      </c>
      <c r="AI116" s="381" t="str">
        <f>IF(CHMTCmTm!AI115=0,"",CHMTCmTm!AI115)</f>
        <v/>
      </c>
      <c r="AJ116" s="396"/>
      <c r="AK116" s="382"/>
      <c r="AL116" s="215">
        <f>CHMTCmTm!AL115</f>
        <v>0</v>
      </c>
      <c r="AM116" s="381" t="str">
        <f>IF(CHMTCmTm!AM115=0,"",CHMTCmTm!AM115)</f>
        <v/>
      </c>
      <c r="AN116" s="396"/>
      <c r="AO116" s="382"/>
      <c r="AP116" s="381" t="str">
        <f>IF(CHMTCmTm!AP115=0,"",CHMTCmTm!AP115)</f>
        <v/>
      </c>
      <c r="AQ116" s="382"/>
      <c r="AR116" s="381" t="str">
        <f>IF(CHMTCmTm!AR115=0,"",CHMTCmTm!AR115)</f>
        <v/>
      </c>
      <c r="AS116" s="382"/>
      <c r="AT116" s="381" t="str">
        <f>IF(CHMTCmTm!AT115=0,"",CHMTCmTm!AT115)</f>
        <v/>
      </c>
      <c r="AU116" s="396"/>
      <c r="AV116" s="382"/>
      <c r="AW116" s="381" t="str">
        <f>IF(CHMTCmTm!AW115=0,"",CHMTCmTm!AW115)</f>
        <v/>
      </c>
      <c r="AX116" s="396"/>
      <c r="AY116" s="382"/>
      <c r="AZ116" s="24">
        <f>CHMTCmTm!AZ115</f>
        <v>0</v>
      </c>
      <c r="BC116" s="24">
        <f>COUNTIF(CHMTCmTm!O115, "Outreach Session")</f>
        <v>0</v>
      </c>
      <c r="BD116" s="24">
        <f>COUNTIF(CHMTCmTm!O115, "Mobile Clinic")</f>
        <v>0</v>
      </c>
      <c r="BE116" s="24">
        <f>COUNTIF(CHMTCmTm!O115, "Health Facility")</f>
        <v>0</v>
      </c>
    </row>
    <row r="117" spans="2:57" s="24" customFormat="1" ht="21.95" customHeight="1" x14ac:dyDescent="0.25">
      <c r="B117" s="397" t="str">
        <f>IF(CHMTCmTm!B116=0,"",CHMTCmTm!B116)</f>
        <v/>
      </c>
      <c r="C117" s="398"/>
      <c r="D117" s="399"/>
      <c r="E117" s="216">
        <f t="shared" si="3"/>
        <v>0</v>
      </c>
      <c r="F117" s="397" t="str">
        <f>IF(CHMTCmTm!F116=0,"",CHMTCmTm!F116)</f>
        <v/>
      </c>
      <c r="G117" s="398"/>
      <c r="H117" s="399"/>
      <c r="I117" s="381" t="str">
        <f>IF(CHMTCmTm!I116=0,"",CHMTCmTm!I116)</f>
        <v/>
      </c>
      <c r="J117" s="382"/>
      <c r="K117" s="381" t="str">
        <f>IF(CHMTCmTm!K116=0,"",CHMTCmTm!K116)</f>
        <v/>
      </c>
      <c r="L117" s="382"/>
      <c r="M117" s="381" t="str">
        <f>IF(CHMTCmTm!M116=0,"",CHMTCmTm!M116)</f>
        <v/>
      </c>
      <c r="N117" s="382"/>
      <c r="O117" s="381" t="str">
        <f>IF(CHMTCmTm!O116=0,"",CHMTCmTm!O116)</f>
        <v/>
      </c>
      <c r="P117" s="382"/>
      <c r="Q117" s="215" t="b">
        <f t="shared" si="2"/>
        <v>0</v>
      </c>
      <c r="R117" s="381" t="str">
        <f>IF(CHMTCmTm!R116=0,"",CHMTCmTm!R116)</f>
        <v/>
      </c>
      <c r="S117" s="382"/>
      <c r="T117" s="381" t="str">
        <f>IF(CHMTCmTm!T116=0,"",CHMTCmTm!T116)</f>
        <v/>
      </c>
      <c r="U117" s="382"/>
      <c r="V117" s="381" t="str">
        <f>IF(CHMTCmTm!V116=0,"",CHMTCmTm!V116)</f>
        <v/>
      </c>
      <c r="W117" s="396"/>
      <c r="X117" s="396"/>
      <c r="Y117" s="382"/>
      <c r="Z117" s="215">
        <f>CHMTCmTm!Z116</f>
        <v>0</v>
      </c>
      <c r="AA117" s="381" t="str">
        <f>IF(CHMTCmTm!AA116=0,"",CHMTCmTm!AA116)</f>
        <v/>
      </c>
      <c r="AB117" s="396"/>
      <c r="AC117" s="382"/>
      <c r="AD117" s="215">
        <f>CHMTCmTm!AD116</f>
        <v>0</v>
      </c>
      <c r="AE117" s="381" t="str">
        <f>IF(CHMTCmTm!AE116=0,"",CHMTCmTm!AE116)</f>
        <v/>
      </c>
      <c r="AF117" s="396"/>
      <c r="AG117" s="382"/>
      <c r="AH117" s="215">
        <f>CHMTCmTm!AH116</f>
        <v>0</v>
      </c>
      <c r="AI117" s="381" t="str">
        <f>IF(CHMTCmTm!AI116=0,"",CHMTCmTm!AI116)</f>
        <v/>
      </c>
      <c r="AJ117" s="396"/>
      <c r="AK117" s="382"/>
      <c r="AL117" s="215">
        <f>CHMTCmTm!AL116</f>
        <v>0</v>
      </c>
      <c r="AM117" s="381" t="str">
        <f>IF(CHMTCmTm!AM116=0,"",CHMTCmTm!AM116)</f>
        <v/>
      </c>
      <c r="AN117" s="396"/>
      <c r="AO117" s="382"/>
      <c r="AP117" s="381" t="str">
        <f>IF(CHMTCmTm!AP116=0,"",CHMTCmTm!AP116)</f>
        <v/>
      </c>
      <c r="AQ117" s="382"/>
      <c r="AR117" s="381" t="str">
        <f>IF(CHMTCmTm!AR116=0,"",CHMTCmTm!AR116)</f>
        <v/>
      </c>
      <c r="AS117" s="382"/>
      <c r="AT117" s="381" t="str">
        <f>IF(CHMTCmTm!AT116=0,"",CHMTCmTm!AT116)</f>
        <v/>
      </c>
      <c r="AU117" s="396"/>
      <c r="AV117" s="382"/>
      <c r="AW117" s="381" t="str">
        <f>IF(CHMTCmTm!AW116=0,"",CHMTCmTm!AW116)</f>
        <v/>
      </c>
      <c r="AX117" s="396"/>
      <c r="AY117" s="382"/>
      <c r="AZ117" s="24">
        <f>CHMTCmTm!AZ116</f>
        <v>0</v>
      </c>
      <c r="BC117" s="24">
        <f>COUNTIF(CHMTCmTm!O116, "Outreach Session")</f>
        <v>0</v>
      </c>
      <c r="BD117" s="24">
        <f>COUNTIF(CHMTCmTm!O116, "Mobile Clinic")</f>
        <v>0</v>
      </c>
      <c r="BE117" s="24">
        <f>COUNTIF(CHMTCmTm!O116, "Health Facility")</f>
        <v>0</v>
      </c>
    </row>
    <row r="118" spans="2:57" s="24" customFormat="1" ht="21.95" customHeight="1" x14ac:dyDescent="0.25">
      <c r="B118" s="397" t="str">
        <f>IF(CHMTCmTm!B117=0,"",CHMTCmTm!B117)</f>
        <v/>
      </c>
      <c r="C118" s="398"/>
      <c r="D118" s="399"/>
      <c r="E118" s="216">
        <f t="shared" si="3"/>
        <v>0</v>
      </c>
      <c r="F118" s="397" t="str">
        <f>IF(CHMTCmTm!F117=0,"",CHMTCmTm!F117)</f>
        <v/>
      </c>
      <c r="G118" s="398"/>
      <c r="H118" s="399"/>
      <c r="I118" s="381" t="str">
        <f>IF(CHMTCmTm!I117=0,"",CHMTCmTm!I117)</f>
        <v/>
      </c>
      <c r="J118" s="382"/>
      <c r="K118" s="381" t="str">
        <f>IF(CHMTCmTm!K117=0,"",CHMTCmTm!K117)</f>
        <v/>
      </c>
      <c r="L118" s="382"/>
      <c r="M118" s="381" t="str">
        <f>IF(CHMTCmTm!M117=0,"",CHMTCmTm!M117)</f>
        <v/>
      </c>
      <c r="N118" s="382"/>
      <c r="O118" s="381" t="str">
        <f>IF(CHMTCmTm!O117=0,"",CHMTCmTm!O117)</f>
        <v/>
      </c>
      <c r="P118" s="382"/>
      <c r="Q118" s="215" t="b">
        <f t="shared" si="2"/>
        <v>0</v>
      </c>
      <c r="R118" s="381" t="str">
        <f>IF(CHMTCmTm!R117=0,"",CHMTCmTm!R117)</f>
        <v/>
      </c>
      <c r="S118" s="382"/>
      <c r="T118" s="381" t="str">
        <f>IF(CHMTCmTm!T117=0,"",CHMTCmTm!T117)</f>
        <v/>
      </c>
      <c r="U118" s="382"/>
      <c r="V118" s="381" t="str">
        <f>IF(CHMTCmTm!V117=0,"",CHMTCmTm!V117)</f>
        <v/>
      </c>
      <c r="W118" s="396"/>
      <c r="X118" s="396"/>
      <c r="Y118" s="382"/>
      <c r="Z118" s="215">
        <f>CHMTCmTm!Z117</f>
        <v>0</v>
      </c>
      <c r="AA118" s="381" t="str">
        <f>IF(CHMTCmTm!AA117=0,"",CHMTCmTm!AA117)</f>
        <v/>
      </c>
      <c r="AB118" s="396"/>
      <c r="AC118" s="382"/>
      <c r="AD118" s="215">
        <f>CHMTCmTm!AD117</f>
        <v>0</v>
      </c>
      <c r="AE118" s="381" t="str">
        <f>IF(CHMTCmTm!AE117=0,"",CHMTCmTm!AE117)</f>
        <v/>
      </c>
      <c r="AF118" s="396"/>
      <c r="AG118" s="382"/>
      <c r="AH118" s="215">
        <f>CHMTCmTm!AH117</f>
        <v>0</v>
      </c>
      <c r="AI118" s="381" t="str">
        <f>IF(CHMTCmTm!AI117=0,"",CHMTCmTm!AI117)</f>
        <v/>
      </c>
      <c r="AJ118" s="396"/>
      <c r="AK118" s="382"/>
      <c r="AL118" s="215">
        <f>CHMTCmTm!AL117</f>
        <v>0</v>
      </c>
      <c r="AM118" s="381" t="str">
        <f>IF(CHMTCmTm!AM117=0,"",CHMTCmTm!AM117)</f>
        <v/>
      </c>
      <c r="AN118" s="396"/>
      <c r="AO118" s="382"/>
      <c r="AP118" s="381" t="str">
        <f>IF(CHMTCmTm!AP117=0,"",CHMTCmTm!AP117)</f>
        <v/>
      </c>
      <c r="AQ118" s="382"/>
      <c r="AR118" s="381" t="str">
        <f>IF(CHMTCmTm!AR117=0,"",CHMTCmTm!AR117)</f>
        <v/>
      </c>
      <c r="AS118" s="382"/>
      <c r="AT118" s="381" t="str">
        <f>IF(CHMTCmTm!AT117=0,"",CHMTCmTm!AT117)</f>
        <v/>
      </c>
      <c r="AU118" s="396"/>
      <c r="AV118" s="382"/>
      <c r="AW118" s="381" t="str">
        <f>IF(CHMTCmTm!AW117=0,"",CHMTCmTm!AW117)</f>
        <v/>
      </c>
      <c r="AX118" s="396"/>
      <c r="AY118" s="382"/>
      <c r="AZ118" s="24">
        <f>CHMTCmTm!AZ117</f>
        <v>0</v>
      </c>
      <c r="BC118" s="24">
        <f>COUNTIF(CHMTCmTm!O117, "Outreach Session")</f>
        <v>0</v>
      </c>
      <c r="BD118" s="24">
        <f>COUNTIF(CHMTCmTm!O117, "Mobile Clinic")</f>
        <v>0</v>
      </c>
      <c r="BE118" s="24">
        <f>COUNTIF(CHMTCmTm!O117, "Health Facility")</f>
        <v>0</v>
      </c>
    </row>
    <row r="119" spans="2:57" s="24" customFormat="1" ht="21.95" customHeight="1" x14ac:dyDescent="0.25">
      <c r="B119" s="397" t="str">
        <f>IF(CHMTCmTm!B118=0,"",CHMTCmTm!B118)</f>
        <v/>
      </c>
      <c r="C119" s="398"/>
      <c r="D119" s="399"/>
      <c r="E119" s="216">
        <f t="shared" si="3"/>
        <v>0</v>
      </c>
      <c r="F119" s="397" t="str">
        <f>IF(CHMTCmTm!F118=0,"",CHMTCmTm!F118)</f>
        <v/>
      </c>
      <c r="G119" s="398"/>
      <c r="H119" s="399"/>
      <c r="I119" s="381" t="str">
        <f>IF(CHMTCmTm!I118=0,"",CHMTCmTm!I118)</f>
        <v/>
      </c>
      <c r="J119" s="382"/>
      <c r="K119" s="381" t="str">
        <f>IF(CHMTCmTm!K118=0,"",CHMTCmTm!K118)</f>
        <v/>
      </c>
      <c r="L119" s="382"/>
      <c r="M119" s="381" t="str">
        <f>IF(CHMTCmTm!M118=0,"",CHMTCmTm!M118)</f>
        <v/>
      </c>
      <c r="N119" s="382"/>
      <c r="O119" s="381" t="str">
        <f>IF(CHMTCmTm!O118=0,"",CHMTCmTm!O118)</f>
        <v/>
      </c>
      <c r="P119" s="382"/>
      <c r="Q119" s="215" t="b">
        <f t="shared" si="2"/>
        <v>0</v>
      </c>
      <c r="R119" s="381" t="str">
        <f>IF(CHMTCmTm!R118=0,"",CHMTCmTm!R118)</f>
        <v/>
      </c>
      <c r="S119" s="382"/>
      <c r="T119" s="381" t="str">
        <f>IF(CHMTCmTm!T118=0,"",CHMTCmTm!T118)</f>
        <v/>
      </c>
      <c r="U119" s="382"/>
      <c r="V119" s="381" t="str">
        <f>IF(CHMTCmTm!V118=0,"",CHMTCmTm!V118)</f>
        <v/>
      </c>
      <c r="W119" s="396"/>
      <c r="X119" s="396"/>
      <c r="Y119" s="382"/>
      <c r="Z119" s="215">
        <f>CHMTCmTm!Z118</f>
        <v>0</v>
      </c>
      <c r="AA119" s="381" t="str">
        <f>IF(CHMTCmTm!AA118=0,"",CHMTCmTm!AA118)</f>
        <v/>
      </c>
      <c r="AB119" s="396"/>
      <c r="AC119" s="382"/>
      <c r="AD119" s="215">
        <f>CHMTCmTm!AD118</f>
        <v>0</v>
      </c>
      <c r="AE119" s="381" t="str">
        <f>IF(CHMTCmTm!AE118=0,"",CHMTCmTm!AE118)</f>
        <v/>
      </c>
      <c r="AF119" s="396"/>
      <c r="AG119" s="382"/>
      <c r="AH119" s="215">
        <f>CHMTCmTm!AH118</f>
        <v>0</v>
      </c>
      <c r="AI119" s="381" t="str">
        <f>IF(CHMTCmTm!AI118=0,"",CHMTCmTm!AI118)</f>
        <v/>
      </c>
      <c r="AJ119" s="396"/>
      <c r="AK119" s="382"/>
      <c r="AL119" s="215">
        <f>CHMTCmTm!AL118</f>
        <v>0</v>
      </c>
      <c r="AM119" s="381" t="str">
        <f>IF(CHMTCmTm!AM118=0,"",CHMTCmTm!AM118)</f>
        <v/>
      </c>
      <c r="AN119" s="396"/>
      <c r="AO119" s="382"/>
      <c r="AP119" s="381" t="str">
        <f>IF(CHMTCmTm!AP118=0,"",CHMTCmTm!AP118)</f>
        <v/>
      </c>
      <c r="AQ119" s="382"/>
      <c r="AR119" s="381" t="str">
        <f>IF(CHMTCmTm!AR118=0,"",CHMTCmTm!AR118)</f>
        <v/>
      </c>
      <c r="AS119" s="382"/>
      <c r="AT119" s="381" t="str">
        <f>IF(CHMTCmTm!AT118=0,"",CHMTCmTm!AT118)</f>
        <v/>
      </c>
      <c r="AU119" s="396"/>
      <c r="AV119" s="382"/>
      <c r="AW119" s="381" t="str">
        <f>IF(CHMTCmTm!AW118=0,"",CHMTCmTm!AW118)</f>
        <v/>
      </c>
      <c r="AX119" s="396"/>
      <c r="AY119" s="382"/>
      <c r="AZ119" s="24">
        <f>CHMTCmTm!AZ118</f>
        <v>0</v>
      </c>
      <c r="BC119" s="24">
        <f>COUNTIF(CHMTCmTm!O118, "Outreach Session")</f>
        <v>0</v>
      </c>
      <c r="BD119" s="24">
        <f>COUNTIF(CHMTCmTm!O118, "Mobile Clinic")</f>
        <v>0</v>
      </c>
      <c r="BE119" s="24">
        <f>COUNTIF(CHMTCmTm!O118, "Health Facility")</f>
        <v>0</v>
      </c>
    </row>
    <row r="120" spans="2:57" s="24" customFormat="1" ht="21.95" customHeight="1" x14ac:dyDescent="0.25">
      <c r="B120" s="397" t="str">
        <f>IF(CHMTCmTm!B119=0,"",CHMTCmTm!B119)</f>
        <v/>
      </c>
      <c r="C120" s="398"/>
      <c r="D120" s="399"/>
      <c r="E120" s="216">
        <f t="shared" si="3"/>
        <v>0</v>
      </c>
      <c r="F120" s="397" t="str">
        <f>IF(CHMTCmTm!F119=0,"",CHMTCmTm!F119)</f>
        <v/>
      </c>
      <c r="G120" s="398"/>
      <c r="H120" s="399"/>
      <c r="I120" s="381" t="str">
        <f>IF(CHMTCmTm!I119=0,"",CHMTCmTm!I119)</f>
        <v/>
      </c>
      <c r="J120" s="382"/>
      <c r="K120" s="381" t="str">
        <f>IF(CHMTCmTm!K119=0,"",CHMTCmTm!K119)</f>
        <v/>
      </c>
      <c r="L120" s="382"/>
      <c r="M120" s="381" t="str">
        <f>IF(CHMTCmTm!M119=0,"",CHMTCmTm!M119)</f>
        <v/>
      </c>
      <c r="N120" s="382"/>
      <c r="O120" s="381" t="str">
        <f>IF(CHMTCmTm!O119=0,"",CHMTCmTm!O119)</f>
        <v/>
      </c>
      <c r="P120" s="382"/>
      <c r="Q120" s="215" t="b">
        <f t="shared" si="2"/>
        <v>0</v>
      </c>
      <c r="R120" s="381" t="str">
        <f>IF(CHMTCmTm!R119=0,"",CHMTCmTm!R119)</f>
        <v/>
      </c>
      <c r="S120" s="382"/>
      <c r="T120" s="381" t="str">
        <f>IF(CHMTCmTm!T119=0,"",CHMTCmTm!T119)</f>
        <v/>
      </c>
      <c r="U120" s="382"/>
      <c r="V120" s="381" t="str">
        <f>IF(CHMTCmTm!V119=0,"",CHMTCmTm!V119)</f>
        <v/>
      </c>
      <c r="W120" s="396"/>
      <c r="X120" s="396"/>
      <c r="Y120" s="382"/>
      <c r="Z120" s="215">
        <f>CHMTCmTm!Z119</f>
        <v>0</v>
      </c>
      <c r="AA120" s="381" t="str">
        <f>IF(CHMTCmTm!AA119=0,"",CHMTCmTm!AA119)</f>
        <v/>
      </c>
      <c r="AB120" s="396"/>
      <c r="AC120" s="382"/>
      <c r="AD120" s="215">
        <f>CHMTCmTm!AD119</f>
        <v>0</v>
      </c>
      <c r="AE120" s="381" t="str">
        <f>IF(CHMTCmTm!AE119=0,"",CHMTCmTm!AE119)</f>
        <v/>
      </c>
      <c r="AF120" s="396"/>
      <c r="AG120" s="382"/>
      <c r="AH120" s="215">
        <f>CHMTCmTm!AH119</f>
        <v>0</v>
      </c>
      <c r="AI120" s="381" t="str">
        <f>IF(CHMTCmTm!AI119=0,"",CHMTCmTm!AI119)</f>
        <v/>
      </c>
      <c r="AJ120" s="396"/>
      <c r="AK120" s="382"/>
      <c r="AL120" s="215">
        <f>CHMTCmTm!AL119</f>
        <v>0</v>
      </c>
      <c r="AM120" s="381" t="str">
        <f>IF(CHMTCmTm!AM119=0,"",CHMTCmTm!AM119)</f>
        <v/>
      </c>
      <c r="AN120" s="396"/>
      <c r="AO120" s="382"/>
      <c r="AP120" s="381" t="str">
        <f>IF(CHMTCmTm!AP119=0,"",CHMTCmTm!AP119)</f>
        <v/>
      </c>
      <c r="AQ120" s="382"/>
      <c r="AR120" s="381" t="str">
        <f>IF(CHMTCmTm!AR119=0,"",CHMTCmTm!AR119)</f>
        <v/>
      </c>
      <c r="AS120" s="382"/>
      <c r="AT120" s="381" t="str">
        <f>IF(CHMTCmTm!AT119=0,"",CHMTCmTm!AT119)</f>
        <v/>
      </c>
      <c r="AU120" s="396"/>
      <c r="AV120" s="382"/>
      <c r="AW120" s="381" t="str">
        <f>IF(CHMTCmTm!AW119=0,"",CHMTCmTm!AW119)</f>
        <v/>
      </c>
      <c r="AX120" s="396"/>
      <c r="AY120" s="382"/>
      <c r="AZ120" s="24">
        <f>CHMTCmTm!AZ119</f>
        <v>0</v>
      </c>
      <c r="BC120" s="24">
        <f>COUNTIF(CHMTCmTm!O119, "Outreach Session")</f>
        <v>0</v>
      </c>
      <c r="BD120" s="24">
        <f>COUNTIF(CHMTCmTm!O119, "Mobile Clinic")</f>
        <v>0</v>
      </c>
      <c r="BE120" s="24">
        <f>COUNTIF(CHMTCmTm!O119, "Health Facility")</f>
        <v>0</v>
      </c>
    </row>
    <row r="121" spans="2:57" s="24" customFormat="1" ht="21.95" customHeight="1" x14ac:dyDescent="0.25">
      <c r="B121" s="397" t="str">
        <f>IF(CHMTCmTm!B120=0,"",CHMTCmTm!B120)</f>
        <v/>
      </c>
      <c r="C121" s="398"/>
      <c r="D121" s="399"/>
      <c r="E121" s="216">
        <f t="shared" si="3"/>
        <v>0</v>
      </c>
      <c r="F121" s="397" t="str">
        <f>IF(CHMTCmTm!F120=0,"",CHMTCmTm!F120)</f>
        <v/>
      </c>
      <c r="G121" s="398"/>
      <c r="H121" s="399"/>
      <c r="I121" s="381" t="str">
        <f>IF(CHMTCmTm!I120=0,"",CHMTCmTm!I120)</f>
        <v/>
      </c>
      <c r="J121" s="382"/>
      <c r="K121" s="381" t="str">
        <f>IF(CHMTCmTm!K120=0,"",CHMTCmTm!K120)</f>
        <v/>
      </c>
      <c r="L121" s="382"/>
      <c r="M121" s="381" t="str">
        <f>IF(CHMTCmTm!M120=0,"",CHMTCmTm!M120)</f>
        <v/>
      </c>
      <c r="N121" s="382"/>
      <c r="O121" s="381" t="str">
        <f>IF(CHMTCmTm!O120=0,"",CHMTCmTm!O120)</f>
        <v/>
      </c>
      <c r="P121" s="382"/>
      <c r="Q121" s="215" t="b">
        <f t="shared" si="2"/>
        <v>0</v>
      </c>
      <c r="R121" s="381" t="str">
        <f>IF(CHMTCmTm!R120=0,"",CHMTCmTm!R120)</f>
        <v/>
      </c>
      <c r="S121" s="382"/>
      <c r="T121" s="381" t="str">
        <f>IF(CHMTCmTm!T120=0,"",CHMTCmTm!T120)</f>
        <v/>
      </c>
      <c r="U121" s="382"/>
      <c r="V121" s="381" t="str">
        <f>IF(CHMTCmTm!V120=0,"",CHMTCmTm!V120)</f>
        <v/>
      </c>
      <c r="W121" s="396"/>
      <c r="X121" s="396"/>
      <c r="Y121" s="382"/>
      <c r="Z121" s="215">
        <f>CHMTCmTm!Z120</f>
        <v>0</v>
      </c>
      <c r="AA121" s="381" t="str">
        <f>IF(CHMTCmTm!AA120=0,"",CHMTCmTm!AA120)</f>
        <v/>
      </c>
      <c r="AB121" s="396"/>
      <c r="AC121" s="382"/>
      <c r="AD121" s="215">
        <f>CHMTCmTm!AD120</f>
        <v>0</v>
      </c>
      <c r="AE121" s="381" t="str">
        <f>IF(CHMTCmTm!AE120=0,"",CHMTCmTm!AE120)</f>
        <v/>
      </c>
      <c r="AF121" s="396"/>
      <c r="AG121" s="382"/>
      <c r="AH121" s="215">
        <f>CHMTCmTm!AH120</f>
        <v>0</v>
      </c>
      <c r="AI121" s="381" t="str">
        <f>IF(CHMTCmTm!AI120=0,"",CHMTCmTm!AI120)</f>
        <v/>
      </c>
      <c r="AJ121" s="396"/>
      <c r="AK121" s="382"/>
      <c r="AL121" s="215">
        <f>CHMTCmTm!AL120</f>
        <v>0</v>
      </c>
      <c r="AM121" s="381" t="str">
        <f>IF(CHMTCmTm!AM120=0,"",CHMTCmTm!AM120)</f>
        <v/>
      </c>
      <c r="AN121" s="396"/>
      <c r="AO121" s="382"/>
      <c r="AP121" s="381" t="str">
        <f>IF(CHMTCmTm!AP120=0,"",CHMTCmTm!AP120)</f>
        <v/>
      </c>
      <c r="AQ121" s="382"/>
      <c r="AR121" s="381" t="str">
        <f>IF(CHMTCmTm!AR120=0,"",CHMTCmTm!AR120)</f>
        <v/>
      </c>
      <c r="AS121" s="382"/>
      <c r="AT121" s="381" t="str">
        <f>IF(CHMTCmTm!AT120=0,"",CHMTCmTm!AT120)</f>
        <v/>
      </c>
      <c r="AU121" s="396"/>
      <c r="AV121" s="382"/>
      <c r="AW121" s="381" t="str">
        <f>IF(CHMTCmTm!AW120=0,"",CHMTCmTm!AW120)</f>
        <v/>
      </c>
      <c r="AX121" s="396"/>
      <c r="AY121" s="382"/>
      <c r="AZ121" s="24">
        <f>CHMTCmTm!AZ120</f>
        <v>0</v>
      </c>
      <c r="BC121" s="24">
        <f>COUNTIF(CHMTCmTm!O120, "Outreach Session")</f>
        <v>0</v>
      </c>
      <c r="BD121" s="24">
        <f>COUNTIF(CHMTCmTm!O120, "Mobile Clinic")</f>
        <v>0</v>
      </c>
      <c r="BE121" s="24">
        <f>COUNTIF(CHMTCmTm!O120, "Health Facility")</f>
        <v>0</v>
      </c>
    </row>
    <row r="122" spans="2:57" s="24" customFormat="1" ht="21.95" customHeight="1" x14ac:dyDescent="0.25">
      <c r="B122" s="397" t="str">
        <f>IF(CHMTCmTm!B121=0,"",CHMTCmTm!B121)</f>
        <v/>
      </c>
      <c r="C122" s="398"/>
      <c r="D122" s="399"/>
      <c r="E122" s="216">
        <f t="shared" si="3"/>
        <v>0</v>
      </c>
      <c r="F122" s="397" t="str">
        <f>IF(CHMTCmTm!F121=0,"",CHMTCmTm!F121)</f>
        <v/>
      </c>
      <c r="G122" s="398"/>
      <c r="H122" s="399"/>
      <c r="I122" s="381" t="str">
        <f>IF(CHMTCmTm!I121=0,"",CHMTCmTm!I121)</f>
        <v/>
      </c>
      <c r="J122" s="382"/>
      <c r="K122" s="381" t="str">
        <f>IF(CHMTCmTm!K121=0,"",CHMTCmTm!K121)</f>
        <v/>
      </c>
      <c r="L122" s="382"/>
      <c r="M122" s="381" t="str">
        <f>IF(CHMTCmTm!M121=0,"",CHMTCmTm!M121)</f>
        <v/>
      </c>
      <c r="N122" s="382"/>
      <c r="O122" s="381" t="str">
        <f>IF(CHMTCmTm!O121=0,"",CHMTCmTm!O121)</f>
        <v/>
      </c>
      <c r="P122" s="382"/>
      <c r="Q122" s="215" t="b">
        <f t="shared" si="2"/>
        <v>0</v>
      </c>
      <c r="R122" s="381" t="str">
        <f>IF(CHMTCmTm!R121=0,"",CHMTCmTm!R121)</f>
        <v/>
      </c>
      <c r="S122" s="382"/>
      <c r="T122" s="381" t="str">
        <f>IF(CHMTCmTm!T121=0,"",CHMTCmTm!T121)</f>
        <v/>
      </c>
      <c r="U122" s="382"/>
      <c r="V122" s="381" t="str">
        <f>IF(CHMTCmTm!V121=0,"",CHMTCmTm!V121)</f>
        <v/>
      </c>
      <c r="W122" s="396"/>
      <c r="X122" s="396"/>
      <c r="Y122" s="382"/>
      <c r="Z122" s="215">
        <f>CHMTCmTm!Z121</f>
        <v>0</v>
      </c>
      <c r="AA122" s="381" t="str">
        <f>IF(CHMTCmTm!AA121=0,"",CHMTCmTm!AA121)</f>
        <v/>
      </c>
      <c r="AB122" s="396"/>
      <c r="AC122" s="382"/>
      <c r="AD122" s="215">
        <f>CHMTCmTm!AD121</f>
        <v>0</v>
      </c>
      <c r="AE122" s="381" t="str">
        <f>IF(CHMTCmTm!AE121=0,"",CHMTCmTm!AE121)</f>
        <v/>
      </c>
      <c r="AF122" s="396"/>
      <c r="AG122" s="382"/>
      <c r="AH122" s="215">
        <f>CHMTCmTm!AH121</f>
        <v>0</v>
      </c>
      <c r="AI122" s="381" t="str">
        <f>IF(CHMTCmTm!AI121=0,"",CHMTCmTm!AI121)</f>
        <v/>
      </c>
      <c r="AJ122" s="396"/>
      <c r="AK122" s="382"/>
      <c r="AL122" s="215">
        <f>CHMTCmTm!AL121</f>
        <v>0</v>
      </c>
      <c r="AM122" s="381" t="str">
        <f>IF(CHMTCmTm!AM121=0,"",CHMTCmTm!AM121)</f>
        <v/>
      </c>
      <c r="AN122" s="396"/>
      <c r="AO122" s="382"/>
      <c r="AP122" s="381" t="str">
        <f>IF(CHMTCmTm!AP121=0,"",CHMTCmTm!AP121)</f>
        <v/>
      </c>
      <c r="AQ122" s="382"/>
      <c r="AR122" s="381" t="str">
        <f>IF(CHMTCmTm!AR121=0,"",CHMTCmTm!AR121)</f>
        <v/>
      </c>
      <c r="AS122" s="382"/>
      <c r="AT122" s="381" t="str">
        <f>IF(CHMTCmTm!AT121=0,"",CHMTCmTm!AT121)</f>
        <v/>
      </c>
      <c r="AU122" s="396"/>
      <c r="AV122" s="382"/>
      <c r="AW122" s="381" t="str">
        <f>IF(CHMTCmTm!AW121=0,"",CHMTCmTm!AW121)</f>
        <v/>
      </c>
      <c r="AX122" s="396"/>
      <c r="AY122" s="382"/>
      <c r="AZ122" s="24">
        <f>CHMTCmTm!AZ121</f>
        <v>0</v>
      </c>
      <c r="BC122" s="24">
        <f>COUNTIF(CHMTCmTm!O121, "Outreach Session")</f>
        <v>0</v>
      </c>
      <c r="BD122" s="24">
        <f>COUNTIF(CHMTCmTm!O121, "Mobile Clinic")</f>
        <v>0</v>
      </c>
      <c r="BE122" s="24">
        <f>COUNTIF(CHMTCmTm!O121, "Health Facility")</f>
        <v>0</v>
      </c>
    </row>
    <row r="123" spans="2:57" s="24" customFormat="1" ht="21.95" customHeight="1" x14ac:dyDescent="0.25">
      <c r="B123" s="397" t="str">
        <f>IF(CHMTCmTm!B122=0,"",CHMTCmTm!B122)</f>
        <v/>
      </c>
      <c r="C123" s="398"/>
      <c r="D123" s="399"/>
      <c r="E123" s="216">
        <f t="shared" si="3"/>
        <v>0</v>
      </c>
      <c r="F123" s="397" t="str">
        <f>IF(CHMTCmTm!F122=0,"",CHMTCmTm!F122)</f>
        <v/>
      </c>
      <c r="G123" s="398"/>
      <c r="H123" s="399"/>
      <c r="I123" s="381" t="str">
        <f>IF(CHMTCmTm!I122=0,"",CHMTCmTm!I122)</f>
        <v/>
      </c>
      <c r="J123" s="382"/>
      <c r="K123" s="381" t="str">
        <f>IF(CHMTCmTm!K122=0,"",CHMTCmTm!K122)</f>
        <v/>
      </c>
      <c r="L123" s="382"/>
      <c r="M123" s="381" t="str">
        <f>IF(CHMTCmTm!M122=0,"",CHMTCmTm!M122)</f>
        <v/>
      </c>
      <c r="N123" s="382"/>
      <c r="O123" s="381" t="str">
        <f>IF(CHMTCmTm!O122=0,"",CHMTCmTm!O122)</f>
        <v/>
      </c>
      <c r="P123" s="382"/>
      <c r="Q123" s="215" t="b">
        <f t="shared" si="2"/>
        <v>0</v>
      </c>
      <c r="R123" s="381" t="str">
        <f>IF(CHMTCmTm!R122=0,"",CHMTCmTm!R122)</f>
        <v/>
      </c>
      <c r="S123" s="382"/>
      <c r="T123" s="381" t="str">
        <f>IF(CHMTCmTm!T122=0,"",CHMTCmTm!T122)</f>
        <v/>
      </c>
      <c r="U123" s="382"/>
      <c r="V123" s="381" t="str">
        <f>IF(CHMTCmTm!V122=0,"",CHMTCmTm!V122)</f>
        <v/>
      </c>
      <c r="W123" s="396"/>
      <c r="X123" s="396"/>
      <c r="Y123" s="382"/>
      <c r="Z123" s="215">
        <f>CHMTCmTm!Z122</f>
        <v>0</v>
      </c>
      <c r="AA123" s="381" t="str">
        <f>IF(CHMTCmTm!AA122=0,"",CHMTCmTm!AA122)</f>
        <v/>
      </c>
      <c r="AB123" s="396"/>
      <c r="AC123" s="382"/>
      <c r="AD123" s="215">
        <f>CHMTCmTm!AD122</f>
        <v>0</v>
      </c>
      <c r="AE123" s="381" t="str">
        <f>IF(CHMTCmTm!AE122=0,"",CHMTCmTm!AE122)</f>
        <v/>
      </c>
      <c r="AF123" s="396"/>
      <c r="AG123" s="382"/>
      <c r="AH123" s="215">
        <f>CHMTCmTm!AH122</f>
        <v>0</v>
      </c>
      <c r="AI123" s="381" t="str">
        <f>IF(CHMTCmTm!AI122=0,"",CHMTCmTm!AI122)</f>
        <v/>
      </c>
      <c r="AJ123" s="396"/>
      <c r="AK123" s="382"/>
      <c r="AL123" s="215">
        <f>CHMTCmTm!AL122</f>
        <v>0</v>
      </c>
      <c r="AM123" s="381" t="str">
        <f>IF(CHMTCmTm!AM122=0,"",CHMTCmTm!AM122)</f>
        <v/>
      </c>
      <c r="AN123" s="396"/>
      <c r="AO123" s="382"/>
      <c r="AP123" s="381" t="str">
        <f>IF(CHMTCmTm!AP122=0,"",CHMTCmTm!AP122)</f>
        <v/>
      </c>
      <c r="AQ123" s="382"/>
      <c r="AR123" s="381" t="str">
        <f>IF(CHMTCmTm!AR122=0,"",CHMTCmTm!AR122)</f>
        <v/>
      </c>
      <c r="AS123" s="382"/>
      <c r="AT123" s="381" t="str">
        <f>IF(CHMTCmTm!AT122=0,"",CHMTCmTm!AT122)</f>
        <v/>
      </c>
      <c r="AU123" s="396"/>
      <c r="AV123" s="382"/>
      <c r="AW123" s="381" t="str">
        <f>IF(CHMTCmTm!AW122=0,"",CHMTCmTm!AW122)</f>
        <v/>
      </c>
      <c r="AX123" s="396"/>
      <c r="AY123" s="382"/>
      <c r="AZ123" s="24">
        <f>CHMTCmTm!AZ122</f>
        <v>0</v>
      </c>
      <c r="BC123" s="24">
        <f>COUNTIF(CHMTCmTm!O122, "Outreach Session")</f>
        <v>0</v>
      </c>
      <c r="BD123" s="24">
        <f>COUNTIF(CHMTCmTm!O122, "Mobile Clinic")</f>
        <v>0</v>
      </c>
      <c r="BE123" s="24">
        <f>COUNTIF(CHMTCmTm!O122, "Health Facility")</f>
        <v>0</v>
      </c>
    </row>
    <row r="124" spans="2:57" s="24" customFormat="1" ht="21.95" customHeight="1" x14ac:dyDescent="0.25">
      <c r="B124" s="397" t="str">
        <f>IF(CHMTCmTm!B123=0,"",CHMTCmTm!B123)</f>
        <v/>
      </c>
      <c r="C124" s="398"/>
      <c r="D124" s="399"/>
      <c r="E124" s="216">
        <f t="shared" si="3"/>
        <v>0</v>
      </c>
      <c r="F124" s="397" t="str">
        <f>IF(CHMTCmTm!F123=0,"",CHMTCmTm!F123)</f>
        <v/>
      </c>
      <c r="G124" s="398"/>
      <c r="H124" s="399"/>
      <c r="I124" s="381" t="str">
        <f>IF(CHMTCmTm!I123=0,"",CHMTCmTm!I123)</f>
        <v/>
      </c>
      <c r="J124" s="382"/>
      <c r="K124" s="381" t="str">
        <f>IF(CHMTCmTm!K123=0,"",CHMTCmTm!K123)</f>
        <v/>
      </c>
      <c r="L124" s="382"/>
      <c r="M124" s="381" t="str">
        <f>IF(CHMTCmTm!M123=0,"",CHMTCmTm!M123)</f>
        <v/>
      </c>
      <c r="N124" s="382"/>
      <c r="O124" s="381" t="str">
        <f>IF(CHMTCmTm!O123=0,"",CHMTCmTm!O123)</f>
        <v/>
      </c>
      <c r="P124" s="382"/>
      <c r="Q124" s="215" t="b">
        <f t="shared" si="2"/>
        <v>0</v>
      </c>
      <c r="R124" s="381" t="str">
        <f>IF(CHMTCmTm!R123=0,"",CHMTCmTm!R123)</f>
        <v/>
      </c>
      <c r="S124" s="382"/>
      <c r="T124" s="381" t="str">
        <f>IF(CHMTCmTm!T123=0,"",CHMTCmTm!T123)</f>
        <v/>
      </c>
      <c r="U124" s="382"/>
      <c r="V124" s="381" t="str">
        <f>IF(CHMTCmTm!V123=0,"",CHMTCmTm!V123)</f>
        <v/>
      </c>
      <c r="W124" s="396"/>
      <c r="X124" s="396"/>
      <c r="Y124" s="382"/>
      <c r="Z124" s="215">
        <f>CHMTCmTm!Z123</f>
        <v>0</v>
      </c>
      <c r="AA124" s="381" t="str">
        <f>IF(CHMTCmTm!AA123=0,"",CHMTCmTm!AA123)</f>
        <v/>
      </c>
      <c r="AB124" s="396"/>
      <c r="AC124" s="382"/>
      <c r="AD124" s="215">
        <f>CHMTCmTm!AD123</f>
        <v>0</v>
      </c>
      <c r="AE124" s="381" t="str">
        <f>IF(CHMTCmTm!AE123=0,"",CHMTCmTm!AE123)</f>
        <v/>
      </c>
      <c r="AF124" s="396"/>
      <c r="AG124" s="382"/>
      <c r="AH124" s="215">
        <f>CHMTCmTm!AH123</f>
        <v>0</v>
      </c>
      <c r="AI124" s="381" t="str">
        <f>IF(CHMTCmTm!AI123=0,"",CHMTCmTm!AI123)</f>
        <v/>
      </c>
      <c r="AJ124" s="396"/>
      <c r="AK124" s="382"/>
      <c r="AL124" s="215">
        <f>CHMTCmTm!AL123</f>
        <v>0</v>
      </c>
      <c r="AM124" s="381" t="str">
        <f>IF(CHMTCmTm!AM123=0,"",CHMTCmTm!AM123)</f>
        <v/>
      </c>
      <c r="AN124" s="396"/>
      <c r="AO124" s="382"/>
      <c r="AP124" s="381" t="str">
        <f>IF(CHMTCmTm!AP123=0,"",CHMTCmTm!AP123)</f>
        <v/>
      </c>
      <c r="AQ124" s="382"/>
      <c r="AR124" s="381" t="str">
        <f>IF(CHMTCmTm!AR123=0,"",CHMTCmTm!AR123)</f>
        <v/>
      </c>
      <c r="AS124" s="382"/>
      <c r="AT124" s="381" t="str">
        <f>IF(CHMTCmTm!AT123=0,"",CHMTCmTm!AT123)</f>
        <v/>
      </c>
      <c r="AU124" s="396"/>
      <c r="AV124" s="382"/>
      <c r="AW124" s="381" t="str">
        <f>IF(CHMTCmTm!AW123=0,"",CHMTCmTm!AW123)</f>
        <v/>
      </c>
      <c r="AX124" s="396"/>
      <c r="AY124" s="382"/>
      <c r="AZ124" s="24">
        <f>CHMTCmTm!AZ123</f>
        <v>0</v>
      </c>
      <c r="BC124" s="24">
        <f>COUNTIF(CHMTCmTm!O123, "Outreach Session")</f>
        <v>0</v>
      </c>
      <c r="BD124" s="24">
        <f>COUNTIF(CHMTCmTm!O123, "Mobile Clinic")</f>
        <v>0</v>
      </c>
      <c r="BE124" s="24">
        <f>COUNTIF(CHMTCmTm!O123, "Health Facility")</f>
        <v>0</v>
      </c>
    </row>
    <row r="125" spans="2:57" s="24" customFormat="1" ht="21.95" customHeight="1" x14ac:dyDescent="0.25">
      <c r="B125" s="397" t="str">
        <f>IF(CHMTCmTm!B124=0,"",CHMTCmTm!B124)</f>
        <v/>
      </c>
      <c r="C125" s="398"/>
      <c r="D125" s="399"/>
      <c r="E125" s="216">
        <f t="shared" si="3"/>
        <v>0</v>
      </c>
      <c r="F125" s="397" t="str">
        <f>IF(CHMTCmTm!F124=0,"",CHMTCmTm!F124)</f>
        <v/>
      </c>
      <c r="G125" s="398"/>
      <c r="H125" s="399"/>
      <c r="I125" s="381" t="str">
        <f>IF(CHMTCmTm!I124=0,"",CHMTCmTm!I124)</f>
        <v/>
      </c>
      <c r="J125" s="382"/>
      <c r="K125" s="381" t="str">
        <f>IF(CHMTCmTm!K124=0,"",CHMTCmTm!K124)</f>
        <v/>
      </c>
      <c r="L125" s="382"/>
      <c r="M125" s="381" t="str">
        <f>IF(CHMTCmTm!M124=0,"",CHMTCmTm!M124)</f>
        <v/>
      </c>
      <c r="N125" s="382"/>
      <c r="O125" s="381" t="str">
        <f>IF(CHMTCmTm!O124=0,"",CHMTCmTm!O124)</f>
        <v/>
      </c>
      <c r="P125" s="382"/>
      <c r="Q125" s="215" t="b">
        <f t="shared" si="2"/>
        <v>0</v>
      </c>
      <c r="R125" s="381" t="str">
        <f>IF(CHMTCmTm!R124=0,"",CHMTCmTm!R124)</f>
        <v/>
      </c>
      <c r="S125" s="382"/>
      <c r="T125" s="381" t="str">
        <f>IF(CHMTCmTm!T124=0,"",CHMTCmTm!T124)</f>
        <v/>
      </c>
      <c r="U125" s="382"/>
      <c r="V125" s="381" t="str">
        <f>IF(CHMTCmTm!V124=0,"",CHMTCmTm!V124)</f>
        <v/>
      </c>
      <c r="W125" s="396"/>
      <c r="X125" s="396"/>
      <c r="Y125" s="382"/>
      <c r="Z125" s="215">
        <f>CHMTCmTm!Z124</f>
        <v>0</v>
      </c>
      <c r="AA125" s="381" t="str">
        <f>IF(CHMTCmTm!AA124=0,"",CHMTCmTm!AA124)</f>
        <v/>
      </c>
      <c r="AB125" s="396"/>
      <c r="AC125" s="382"/>
      <c r="AD125" s="215">
        <f>CHMTCmTm!AD124</f>
        <v>0</v>
      </c>
      <c r="AE125" s="381" t="str">
        <f>IF(CHMTCmTm!AE124=0,"",CHMTCmTm!AE124)</f>
        <v/>
      </c>
      <c r="AF125" s="396"/>
      <c r="AG125" s="382"/>
      <c r="AH125" s="215">
        <f>CHMTCmTm!AH124</f>
        <v>0</v>
      </c>
      <c r="AI125" s="381" t="str">
        <f>IF(CHMTCmTm!AI124=0,"",CHMTCmTm!AI124)</f>
        <v/>
      </c>
      <c r="AJ125" s="396"/>
      <c r="AK125" s="382"/>
      <c r="AL125" s="215">
        <f>CHMTCmTm!AL124</f>
        <v>0</v>
      </c>
      <c r="AM125" s="381" t="str">
        <f>IF(CHMTCmTm!AM124=0,"",CHMTCmTm!AM124)</f>
        <v/>
      </c>
      <c r="AN125" s="396"/>
      <c r="AO125" s="382"/>
      <c r="AP125" s="381" t="str">
        <f>IF(CHMTCmTm!AP124=0,"",CHMTCmTm!AP124)</f>
        <v/>
      </c>
      <c r="AQ125" s="382"/>
      <c r="AR125" s="381" t="str">
        <f>IF(CHMTCmTm!AR124=0,"",CHMTCmTm!AR124)</f>
        <v/>
      </c>
      <c r="AS125" s="382"/>
      <c r="AT125" s="381" t="str">
        <f>IF(CHMTCmTm!AT124=0,"",CHMTCmTm!AT124)</f>
        <v/>
      </c>
      <c r="AU125" s="396"/>
      <c r="AV125" s="382"/>
      <c r="AW125" s="381" t="str">
        <f>IF(CHMTCmTm!AW124=0,"",CHMTCmTm!AW124)</f>
        <v/>
      </c>
      <c r="AX125" s="396"/>
      <c r="AY125" s="382"/>
      <c r="AZ125" s="24">
        <f>CHMTCmTm!AZ124</f>
        <v>0</v>
      </c>
      <c r="BC125" s="24">
        <f>COUNTIF(CHMTCmTm!O124, "Outreach Session")</f>
        <v>0</v>
      </c>
      <c r="BD125" s="24">
        <f>COUNTIF(CHMTCmTm!O124, "Mobile Clinic")</f>
        <v>0</v>
      </c>
      <c r="BE125" s="24">
        <f>COUNTIF(CHMTCmTm!O124, "Health Facility")</f>
        <v>0</v>
      </c>
    </row>
    <row r="126" spans="2:57" s="24" customFormat="1" ht="21.95" customHeight="1" x14ac:dyDescent="0.25">
      <c r="B126" s="397" t="str">
        <f>IF(CHMTCmTm!B125=0,"",CHMTCmTm!B125)</f>
        <v/>
      </c>
      <c r="C126" s="398"/>
      <c r="D126" s="399"/>
      <c r="E126" s="216">
        <f t="shared" si="3"/>
        <v>0</v>
      </c>
      <c r="F126" s="397" t="str">
        <f>IF(CHMTCmTm!F125=0,"",CHMTCmTm!F125)</f>
        <v/>
      </c>
      <c r="G126" s="398"/>
      <c r="H126" s="399"/>
      <c r="I126" s="381" t="str">
        <f>IF(CHMTCmTm!I125=0,"",CHMTCmTm!I125)</f>
        <v/>
      </c>
      <c r="J126" s="382"/>
      <c r="K126" s="381" t="str">
        <f>IF(CHMTCmTm!K125=0,"",CHMTCmTm!K125)</f>
        <v/>
      </c>
      <c r="L126" s="382"/>
      <c r="M126" s="381" t="str">
        <f>IF(CHMTCmTm!M125=0,"",CHMTCmTm!M125)</f>
        <v/>
      </c>
      <c r="N126" s="382"/>
      <c r="O126" s="381" t="str">
        <f>IF(CHMTCmTm!O125=0,"",CHMTCmTm!O125)</f>
        <v/>
      </c>
      <c r="P126" s="382"/>
      <c r="Q126" s="215" t="b">
        <f t="shared" si="2"/>
        <v>0</v>
      </c>
      <c r="R126" s="381" t="str">
        <f>IF(CHMTCmTm!R125=0,"",CHMTCmTm!R125)</f>
        <v/>
      </c>
      <c r="S126" s="382"/>
      <c r="T126" s="381" t="str">
        <f>IF(CHMTCmTm!T125=0,"",CHMTCmTm!T125)</f>
        <v/>
      </c>
      <c r="U126" s="382"/>
      <c r="V126" s="381" t="str">
        <f>IF(CHMTCmTm!V125=0,"",CHMTCmTm!V125)</f>
        <v/>
      </c>
      <c r="W126" s="396"/>
      <c r="X126" s="396"/>
      <c r="Y126" s="382"/>
      <c r="Z126" s="215">
        <f>CHMTCmTm!Z125</f>
        <v>0</v>
      </c>
      <c r="AA126" s="381" t="str">
        <f>IF(CHMTCmTm!AA125=0,"",CHMTCmTm!AA125)</f>
        <v/>
      </c>
      <c r="AB126" s="396"/>
      <c r="AC126" s="382"/>
      <c r="AD126" s="215">
        <f>CHMTCmTm!AD125</f>
        <v>0</v>
      </c>
      <c r="AE126" s="381" t="str">
        <f>IF(CHMTCmTm!AE125=0,"",CHMTCmTm!AE125)</f>
        <v/>
      </c>
      <c r="AF126" s="396"/>
      <c r="AG126" s="382"/>
      <c r="AH126" s="215">
        <f>CHMTCmTm!AH125</f>
        <v>0</v>
      </c>
      <c r="AI126" s="381" t="str">
        <f>IF(CHMTCmTm!AI125=0,"",CHMTCmTm!AI125)</f>
        <v/>
      </c>
      <c r="AJ126" s="396"/>
      <c r="AK126" s="382"/>
      <c r="AL126" s="215">
        <f>CHMTCmTm!AL125</f>
        <v>0</v>
      </c>
      <c r="AM126" s="381" t="str">
        <f>IF(CHMTCmTm!AM125=0,"",CHMTCmTm!AM125)</f>
        <v/>
      </c>
      <c r="AN126" s="396"/>
      <c r="AO126" s="382"/>
      <c r="AP126" s="381" t="str">
        <f>IF(CHMTCmTm!AP125=0,"",CHMTCmTm!AP125)</f>
        <v/>
      </c>
      <c r="AQ126" s="382"/>
      <c r="AR126" s="381" t="str">
        <f>IF(CHMTCmTm!AR125=0,"",CHMTCmTm!AR125)</f>
        <v/>
      </c>
      <c r="AS126" s="382"/>
      <c r="AT126" s="381" t="str">
        <f>IF(CHMTCmTm!AT125=0,"",CHMTCmTm!AT125)</f>
        <v/>
      </c>
      <c r="AU126" s="396"/>
      <c r="AV126" s="382"/>
      <c r="AW126" s="381" t="str">
        <f>IF(CHMTCmTm!AW125=0,"",CHMTCmTm!AW125)</f>
        <v/>
      </c>
      <c r="AX126" s="396"/>
      <c r="AY126" s="382"/>
      <c r="AZ126" s="24">
        <f>CHMTCmTm!AZ125</f>
        <v>0</v>
      </c>
      <c r="BC126" s="24">
        <f>COUNTIF(CHMTCmTm!O125, "Outreach Session")</f>
        <v>0</v>
      </c>
      <c r="BD126" s="24">
        <f>COUNTIF(CHMTCmTm!O125, "Mobile Clinic")</f>
        <v>0</v>
      </c>
      <c r="BE126" s="24">
        <f>COUNTIF(CHMTCmTm!O125, "Health Facility")</f>
        <v>0</v>
      </c>
    </row>
    <row r="127" spans="2:57" s="24" customFormat="1" ht="21.95" customHeight="1" x14ac:dyDescent="0.25">
      <c r="B127" s="397" t="str">
        <f>IF(CHMTCmTm!B126=0,"",CHMTCmTm!B126)</f>
        <v/>
      </c>
      <c r="C127" s="398"/>
      <c r="D127" s="399"/>
      <c r="E127" s="216">
        <f t="shared" si="3"/>
        <v>0</v>
      </c>
      <c r="F127" s="397" t="str">
        <f>IF(CHMTCmTm!F126=0,"",CHMTCmTm!F126)</f>
        <v/>
      </c>
      <c r="G127" s="398"/>
      <c r="H127" s="399"/>
      <c r="I127" s="381" t="str">
        <f>IF(CHMTCmTm!I126=0,"",CHMTCmTm!I126)</f>
        <v/>
      </c>
      <c r="J127" s="382"/>
      <c r="K127" s="381" t="str">
        <f>IF(CHMTCmTm!K126=0,"",CHMTCmTm!K126)</f>
        <v/>
      </c>
      <c r="L127" s="382"/>
      <c r="M127" s="381" t="str">
        <f>IF(CHMTCmTm!M126=0,"",CHMTCmTm!M126)</f>
        <v/>
      </c>
      <c r="N127" s="382"/>
      <c r="O127" s="381" t="str">
        <f>IF(CHMTCmTm!O126=0,"",CHMTCmTm!O126)</f>
        <v/>
      </c>
      <c r="P127" s="382"/>
      <c r="Q127" s="215" t="b">
        <f t="shared" si="2"/>
        <v>0</v>
      </c>
      <c r="R127" s="381" t="str">
        <f>IF(CHMTCmTm!R126=0,"",CHMTCmTm!R126)</f>
        <v/>
      </c>
      <c r="S127" s="382"/>
      <c r="T127" s="381" t="str">
        <f>IF(CHMTCmTm!T126=0,"",CHMTCmTm!T126)</f>
        <v/>
      </c>
      <c r="U127" s="382"/>
      <c r="V127" s="381" t="str">
        <f>IF(CHMTCmTm!V126=0,"",CHMTCmTm!V126)</f>
        <v/>
      </c>
      <c r="W127" s="396"/>
      <c r="X127" s="396"/>
      <c r="Y127" s="382"/>
      <c r="Z127" s="215">
        <f>CHMTCmTm!Z126</f>
        <v>0</v>
      </c>
      <c r="AA127" s="381" t="str">
        <f>IF(CHMTCmTm!AA126=0,"",CHMTCmTm!AA126)</f>
        <v/>
      </c>
      <c r="AB127" s="396"/>
      <c r="AC127" s="382"/>
      <c r="AD127" s="215">
        <f>CHMTCmTm!AD126</f>
        <v>0</v>
      </c>
      <c r="AE127" s="381" t="str">
        <f>IF(CHMTCmTm!AE126=0,"",CHMTCmTm!AE126)</f>
        <v/>
      </c>
      <c r="AF127" s="396"/>
      <c r="AG127" s="382"/>
      <c r="AH127" s="215">
        <f>CHMTCmTm!AH126</f>
        <v>0</v>
      </c>
      <c r="AI127" s="381" t="str">
        <f>IF(CHMTCmTm!AI126=0,"",CHMTCmTm!AI126)</f>
        <v/>
      </c>
      <c r="AJ127" s="396"/>
      <c r="AK127" s="382"/>
      <c r="AL127" s="215">
        <f>CHMTCmTm!AL126</f>
        <v>0</v>
      </c>
      <c r="AM127" s="381" t="str">
        <f>IF(CHMTCmTm!AM126=0,"",CHMTCmTm!AM126)</f>
        <v/>
      </c>
      <c r="AN127" s="396"/>
      <c r="AO127" s="382"/>
      <c r="AP127" s="381" t="str">
        <f>IF(CHMTCmTm!AP126=0,"",CHMTCmTm!AP126)</f>
        <v/>
      </c>
      <c r="AQ127" s="382"/>
      <c r="AR127" s="381" t="str">
        <f>IF(CHMTCmTm!AR126=0,"",CHMTCmTm!AR126)</f>
        <v/>
      </c>
      <c r="AS127" s="382"/>
      <c r="AT127" s="381" t="str">
        <f>IF(CHMTCmTm!AT126=0,"",CHMTCmTm!AT126)</f>
        <v/>
      </c>
      <c r="AU127" s="396"/>
      <c r="AV127" s="382"/>
      <c r="AW127" s="381" t="str">
        <f>IF(CHMTCmTm!AW126=0,"",CHMTCmTm!AW126)</f>
        <v/>
      </c>
      <c r="AX127" s="396"/>
      <c r="AY127" s="382"/>
      <c r="AZ127" s="24">
        <f>CHMTCmTm!AZ126</f>
        <v>0</v>
      </c>
      <c r="BC127" s="24">
        <f>COUNTIF(CHMTCmTm!O126, "Outreach Session")</f>
        <v>0</v>
      </c>
      <c r="BD127" s="24">
        <f>COUNTIF(CHMTCmTm!O126, "Mobile Clinic")</f>
        <v>0</v>
      </c>
      <c r="BE127" s="24">
        <f>COUNTIF(CHMTCmTm!O126, "Health Facility")</f>
        <v>0</v>
      </c>
    </row>
    <row r="128" spans="2:57" s="24" customFormat="1" ht="21.95" customHeight="1" x14ac:dyDescent="0.25">
      <c r="B128" s="397" t="str">
        <f>IF(CHMTCmTm!B127=0,"",CHMTCmTm!B127)</f>
        <v/>
      </c>
      <c r="C128" s="398"/>
      <c r="D128" s="399"/>
      <c r="E128" s="216">
        <f t="shared" si="3"/>
        <v>0</v>
      </c>
      <c r="F128" s="397" t="str">
        <f>IF(CHMTCmTm!F127=0,"",CHMTCmTm!F127)</f>
        <v/>
      </c>
      <c r="G128" s="398"/>
      <c r="H128" s="399"/>
      <c r="I128" s="381" t="str">
        <f>IF(CHMTCmTm!I127=0,"",CHMTCmTm!I127)</f>
        <v/>
      </c>
      <c r="J128" s="382"/>
      <c r="K128" s="381" t="str">
        <f>IF(CHMTCmTm!K127=0,"",CHMTCmTm!K127)</f>
        <v/>
      </c>
      <c r="L128" s="382"/>
      <c r="M128" s="381" t="str">
        <f>IF(CHMTCmTm!M127=0,"",CHMTCmTm!M127)</f>
        <v/>
      </c>
      <c r="N128" s="382"/>
      <c r="O128" s="381" t="str">
        <f>IF(CHMTCmTm!O127=0,"",CHMTCmTm!O127)</f>
        <v/>
      </c>
      <c r="P128" s="382"/>
      <c r="Q128" s="215" t="b">
        <f t="shared" si="2"/>
        <v>0</v>
      </c>
      <c r="R128" s="381" t="str">
        <f>IF(CHMTCmTm!R127=0,"",CHMTCmTm!R127)</f>
        <v/>
      </c>
      <c r="S128" s="382"/>
      <c r="T128" s="381" t="str">
        <f>IF(CHMTCmTm!T127=0,"",CHMTCmTm!T127)</f>
        <v/>
      </c>
      <c r="U128" s="382"/>
      <c r="V128" s="381" t="str">
        <f>IF(CHMTCmTm!V127=0,"",CHMTCmTm!V127)</f>
        <v/>
      </c>
      <c r="W128" s="396"/>
      <c r="X128" s="396"/>
      <c r="Y128" s="382"/>
      <c r="Z128" s="215">
        <f>CHMTCmTm!Z127</f>
        <v>0</v>
      </c>
      <c r="AA128" s="381" t="str">
        <f>IF(CHMTCmTm!AA127=0,"",CHMTCmTm!AA127)</f>
        <v/>
      </c>
      <c r="AB128" s="396"/>
      <c r="AC128" s="382"/>
      <c r="AD128" s="215">
        <f>CHMTCmTm!AD127</f>
        <v>0</v>
      </c>
      <c r="AE128" s="381" t="str">
        <f>IF(CHMTCmTm!AE127=0,"",CHMTCmTm!AE127)</f>
        <v/>
      </c>
      <c r="AF128" s="396"/>
      <c r="AG128" s="382"/>
      <c r="AH128" s="215">
        <f>CHMTCmTm!AH127</f>
        <v>0</v>
      </c>
      <c r="AI128" s="381" t="str">
        <f>IF(CHMTCmTm!AI127=0,"",CHMTCmTm!AI127)</f>
        <v/>
      </c>
      <c r="AJ128" s="396"/>
      <c r="AK128" s="382"/>
      <c r="AL128" s="215">
        <f>CHMTCmTm!AL127</f>
        <v>0</v>
      </c>
      <c r="AM128" s="381" t="str">
        <f>IF(CHMTCmTm!AM127=0,"",CHMTCmTm!AM127)</f>
        <v/>
      </c>
      <c r="AN128" s="396"/>
      <c r="AO128" s="382"/>
      <c r="AP128" s="381" t="str">
        <f>IF(CHMTCmTm!AP127=0,"",CHMTCmTm!AP127)</f>
        <v/>
      </c>
      <c r="AQ128" s="382"/>
      <c r="AR128" s="381" t="str">
        <f>IF(CHMTCmTm!AR127=0,"",CHMTCmTm!AR127)</f>
        <v/>
      </c>
      <c r="AS128" s="382"/>
      <c r="AT128" s="381" t="str">
        <f>IF(CHMTCmTm!AT127=0,"",CHMTCmTm!AT127)</f>
        <v/>
      </c>
      <c r="AU128" s="396"/>
      <c r="AV128" s="382"/>
      <c r="AW128" s="381" t="str">
        <f>IF(CHMTCmTm!AW127=0,"",CHMTCmTm!AW127)</f>
        <v/>
      </c>
      <c r="AX128" s="396"/>
      <c r="AY128" s="382"/>
      <c r="AZ128" s="24">
        <f>CHMTCmTm!AZ127</f>
        <v>0</v>
      </c>
      <c r="BC128" s="24">
        <f>COUNTIF(CHMTCmTm!O127, "Outreach Session")</f>
        <v>0</v>
      </c>
      <c r="BD128" s="24">
        <f>COUNTIF(CHMTCmTm!O127, "Mobile Clinic")</f>
        <v>0</v>
      </c>
      <c r="BE128" s="24">
        <f>COUNTIF(CHMTCmTm!O127, "Health Facility")</f>
        <v>0</v>
      </c>
    </row>
    <row r="129" spans="2:57" s="24" customFormat="1" ht="21.95" customHeight="1" x14ac:dyDescent="0.25">
      <c r="B129" s="397" t="str">
        <f>IF(CHMTCmTm!B128=0,"",CHMTCmTm!B128)</f>
        <v/>
      </c>
      <c r="C129" s="398"/>
      <c r="D129" s="399"/>
      <c r="E129" s="216">
        <f t="shared" si="3"/>
        <v>0</v>
      </c>
      <c r="F129" s="397" t="str">
        <f>IF(CHMTCmTm!F128=0,"",CHMTCmTm!F128)</f>
        <v/>
      </c>
      <c r="G129" s="398"/>
      <c r="H129" s="399"/>
      <c r="I129" s="381" t="str">
        <f>IF(CHMTCmTm!I128=0,"",CHMTCmTm!I128)</f>
        <v/>
      </c>
      <c r="J129" s="382"/>
      <c r="K129" s="381" t="str">
        <f>IF(CHMTCmTm!K128=0,"",CHMTCmTm!K128)</f>
        <v/>
      </c>
      <c r="L129" s="382"/>
      <c r="M129" s="381" t="str">
        <f>IF(CHMTCmTm!M128=0,"",CHMTCmTm!M128)</f>
        <v/>
      </c>
      <c r="N129" s="382"/>
      <c r="O129" s="381" t="str">
        <f>IF(CHMTCmTm!O128=0,"",CHMTCmTm!O128)</f>
        <v/>
      </c>
      <c r="P129" s="382"/>
      <c r="Q129" s="215" t="b">
        <f t="shared" si="2"/>
        <v>0</v>
      </c>
      <c r="R129" s="381" t="str">
        <f>IF(CHMTCmTm!R128=0,"",CHMTCmTm!R128)</f>
        <v/>
      </c>
      <c r="S129" s="382"/>
      <c r="T129" s="381" t="str">
        <f>IF(CHMTCmTm!T128=0,"",CHMTCmTm!T128)</f>
        <v/>
      </c>
      <c r="U129" s="382"/>
      <c r="V129" s="381" t="str">
        <f>IF(CHMTCmTm!V128=0,"",CHMTCmTm!V128)</f>
        <v/>
      </c>
      <c r="W129" s="396"/>
      <c r="X129" s="396"/>
      <c r="Y129" s="382"/>
      <c r="Z129" s="215">
        <f>CHMTCmTm!Z128</f>
        <v>0</v>
      </c>
      <c r="AA129" s="381" t="str">
        <f>IF(CHMTCmTm!AA128=0,"",CHMTCmTm!AA128)</f>
        <v/>
      </c>
      <c r="AB129" s="396"/>
      <c r="AC129" s="382"/>
      <c r="AD129" s="215">
        <f>CHMTCmTm!AD128</f>
        <v>0</v>
      </c>
      <c r="AE129" s="381" t="str">
        <f>IF(CHMTCmTm!AE128=0,"",CHMTCmTm!AE128)</f>
        <v/>
      </c>
      <c r="AF129" s="396"/>
      <c r="AG129" s="382"/>
      <c r="AH129" s="215">
        <f>CHMTCmTm!AH128</f>
        <v>0</v>
      </c>
      <c r="AI129" s="381" t="str">
        <f>IF(CHMTCmTm!AI128=0,"",CHMTCmTm!AI128)</f>
        <v/>
      </c>
      <c r="AJ129" s="396"/>
      <c r="AK129" s="382"/>
      <c r="AL129" s="215">
        <f>CHMTCmTm!AL128</f>
        <v>0</v>
      </c>
      <c r="AM129" s="381" t="str">
        <f>IF(CHMTCmTm!AM128=0,"",CHMTCmTm!AM128)</f>
        <v/>
      </c>
      <c r="AN129" s="396"/>
      <c r="AO129" s="382"/>
      <c r="AP129" s="381" t="str">
        <f>IF(CHMTCmTm!AP128=0,"",CHMTCmTm!AP128)</f>
        <v/>
      </c>
      <c r="AQ129" s="382"/>
      <c r="AR129" s="381" t="str">
        <f>IF(CHMTCmTm!AR128=0,"",CHMTCmTm!AR128)</f>
        <v/>
      </c>
      <c r="AS129" s="382"/>
      <c r="AT129" s="381" t="str">
        <f>IF(CHMTCmTm!AT128=0,"",CHMTCmTm!AT128)</f>
        <v/>
      </c>
      <c r="AU129" s="396"/>
      <c r="AV129" s="382"/>
      <c r="AW129" s="381" t="str">
        <f>IF(CHMTCmTm!AW128=0,"",CHMTCmTm!AW128)</f>
        <v/>
      </c>
      <c r="AX129" s="396"/>
      <c r="AY129" s="382"/>
      <c r="AZ129" s="24">
        <f>CHMTCmTm!AZ128</f>
        <v>0</v>
      </c>
      <c r="BC129" s="24">
        <f>COUNTIF(CHMTCmTm!O128, "Outreach Session")</f>
        <v>0</v>
      </c>
      <c r="BD129" s="24">
        <f>COUNTIF(CHMTCmTm!O128, "Mobile Clinic")</f>
        <v>0</v>
      </c>
      <c r="BE129" s="24">
        <f>COUNTIF(CHMTCmTm!O128, "Health Facility")</f>
        <v>0</v>
      </c>
    </row>
    <row r="130" spans="2:57" s="24" customFormat="1" ht="21.95" customHeight="1" x14ac:dyDescent="0.25">
      <c r="B130" s="397" t="str">
        <f>IF(CHMTCmTm!B129=0,"",CHMTCmTm!B129)</f>
        <v/>
      </c>
      <c r="C130" s="398"/>
      <c r="D130" s="399"/>
      <c r="E130" s="216">
        <f t="shared" si="3"/>
        <v>0</v>
      </c>
      <c r="F130" s="397" t="str">
        <f>IF(CHMTCmTm!F129=0,"",CHMTCmTm!F129)</f>
        <v/>
      </c>
      <c r="G130" s="398"/>
      <c r="H130" s="399"/>
      <c r="I130" s="381" t="str">
        <f>IF(CHMTCmTm!I129=0,"",CHMTCmTm!I129)</f>
        <v/>
      </c>
      <c r="J130" s="382"/>
      <c r="K130" s="381" t="str">
        <f>IF(CHMTCmTm!K129=0,"",CHMTCmTm!K129)</f>
        <v/>
      </c>
      <c r="L130" s="382"/>
      <c r="M130" s="381" t="str">
        <f>IF(CHMTCmTm!M129=0,"",CHMTCmTm!M129)</f>
        <v/>
      </c>
      <c r="N130" s="382"/>
      <c r="O130" s="381" t="str">
        <f>IF(CHMTCmTm!O129=0,"",CHMTCmTm!O129)</f>
        <v/>
      </c>
      <c r="P130" s="382"/>
      <c r="Q130" s="215" t="b">
        <f t="shared" si="2"/>
        <v>0</v>
      </c>
      <c r="R130" s="381" t="str">
        <f>IF(CHMTCmTm!R129=0,"",CHMTCmTm!R129)</f>
        <v/>
      </c>
      <c r="S130" s="382"/>
      <c r="T130" s="381" t="str">
        <f>IF(CHMTCmTm!T129=0,"",CHMTCmTm!T129)</f>
        <v/>
      </c>
      <c r="U130" s="382"/>
      <c r="V130" s="381" t="str">
        <f>IF(CHMTCmTm!V129=0,"",CHMTCmTm!V129)</f>
        <v/>
      </c>
      <c r="W130" s="396"/>
      <c r="X130" s="396"/>
      <c r="Y130" s="382"/>
      <c r="Z130" s="215">
        <f>CHMTCmTm!Z129</f>
        <v>0</v>
      </c>
      <c r="AA130" s="381" t="str">
        <f>IF(CHMTCmTm!AA129=0,"",CHMTCmTm!AA129)</f>
        <v/>
      </c>
      <c r="AB130" s="396"/>
      <c r="AC130" s="382"/>
      <c r="AD130" s="215">
        <f>CHMTCmTm!AD129</f>
        <v>0</v>
      </c>
      <c r="AE130" s="381" t="str">
        <f>IF(CHMTCmTm!AE129=0,"",CHMTCmTm!AE129)</f>
        <v/>
      </c>
      <c r="AF130" s="396"/>
      <c r="AG130" s="382"/>
      <c r="AH130" s="215">
        <f>CHMTCmTm!AH129</f>
        <v>0</v>
      </c>
      <c r="AI130" s="381" t="str">
        <f>IF(CHMTCmTm!AI129=0,"",CHMTCmTm!AI129)</f>
        <v/>
      </c>
      <c r="AJ130" s="396"/>
      <c r="AK130" s="382"/>
      <c r="AL130" s="215">
        <f>CHMTCmTm!AL129</f>
        <v>0</v>
      </c>
      <c r="AM130" s="381" t="str">
        <f>IF(CHMTCmTm!AM129=0,"",CHMTCmTm!AM129)</f>
        <v/>
      </c>
      <c r="AN130" s="396"/>
      <c r="AO130" s="382"/>
      <c r="AP130" s="381" t="str">
        <f>IF(CHMTCmTm!AP129=0,"",CHMTCmTm!AP129)</f>
        <v/>
      </c>
      <c r="AQ130" s="382"/>
      <c r="AR130" s="381" t="str">
        <f>IF(CHMTCmTm!AR129=0,"",CHMTCmTm!AR129)</f>
        <v/>
      </c>
      <c r="AS130" s="382"/>
      <c r="AT130" s="381" t="str">
        <f>IF(CHMTCmTm!AT129=0,"",CHMTCmTm!AT129)</f>
        <v/>
      </c>
      <c r="AU130" s="396"/>
      <c r="AV130" s="382"/>
      <c r="AW130" s="381" t="str">
        <f>IF(CHMTCmTm!AW129=0,"",CHMTCmTm!AW129)</f>
        <v/>
      </c>
      <c r="AX130" s="396"/>
      <c r="AY130" s="382"/>
      <c r="AZ130" s="24">
        <f>CHMTCmTm!AZ129</f>
        <v>0</v>
      </c>
      <c r="BC130" s="24">
        <f>COUNTIF(CHMTCmTm!O129, "Outreach Session")</f>
        <v>0</v>
      </c>
      <c r="BD130" s="24">
        <f>COUNTIF(CHMTCmTm!O129, "Mobile Clinic")</f>
        <v>0</v>
      </c>
      <c r="BE130" s="24">
        <f>COUNTIF(CHMTCmTm!O129, "Health Facility")</f>
        <v>0</v>
      </c>
    </row>
    <row r="131" spans="2:57" s="24" customFormat="1" ht="21.95" customHeight="1" x14ac:dyDescent="0.25">
      <c r="B131" s="397" t="str">
        <f>IF(CHMTCmTm!B130=0,"",CHMTCmTm!B130)</f>
        <v/>
      </c>
      <c r="C131" s="398"/>
      <c r="D131" s="399"/>
      <c r="E131" s="216">
        <f t="shared" si="3"/>
        <v>0</v>
      </c>
      <c r="F131" s="397" t="str">
        <f>IF(CHMTCmTm!F130=0,"",CHMTCmTm!F130)</f>
        <v/>
      </c>
      <c r="G131" s="398"/>
      <c r="H131" s="399"/>
      <c r="I131" s="381" t="str">
        <f>IF(CHMTCmTm!I130=0,"",CHMTCmTm!I130)</f>
        <v/>
      </c>
      <c r="J131" s="382"/>
      <c r="K131" s="381" t="str">
        <f>IF(CHMTCmTm!K130=0,"",CHMTCmTm!K130)</f>
        <v/>
      </c>
      <c r="L131" s="382"/>
      <c r="M131" s="381" t="str">
        <f>IF(CHMTCmTm!M130=0,"",CHMTCmTm!M130)</f>
        <v/>
      </c>
      <c r="N131" s="382"/>
      <c r="O131" s="381" t="str">
        <f>IF(CHMTCmTm!O130=0,"",CHMTCmTm!O130)</f>
        <v/>
      </c>
      <c r="P131" s="382"/>
      <c r="Q131" s="215" t="b">
        <f t="shared" si="2"/>
        <v>0</v>
      </c>
      <c r="R131" s="381" t="str">
        <f>IF(CHMTCmTm!R130=0,"",CHMTCmTm!R130)</f>
        <v/>
      </c>
      <c r="S131" s="382"/>
      <c r="T131" s="381" t="str">
        <f>IF(CHMTCmTm!T130=0,"",CHMTCmTm!T130)</f>
        <v/>
      </c>
      <c r="U131" s="382"/>
      <c r="V131" s="381" t="str">
        <f>IF(CHMTCmTm!V130=0,"",CHMTCmTm!V130)</f>
        <v/>
      </c>
      <c r="W131" s="396"/>
      <c r="X131" s="396"/>
      <c r="Y131" s="382"/>
      <c r="Z131" s="215">
        <f>CHMTCmTm!Z130</f>
        <v>0</v>
      </c>
      <c r="AA131" s="381" t="str">
        <f>IF(CHMTCmTm!AA130=0,"",CHMTCmTm!AA130)</f>
        <v/>
      </c>
      <c r="AB131" s="396"/>
      <c r="AC131" s="382"/>
      <c r="AD131" s="215">
        <f>CHMTCmTm!AD130</f>
        <v>0</v>
      </c>
      <c r="AE131" s="381" t="str">
        <f>IF(CHMTCmTm!AE130=0,"",CHMTCmTm!AE130)</f>
        <v/>
      </c>
      <c r="AF131" s="396"/>
      <c r="AG131" s="382"/>
      <c r="AH131" s="215">
        <f>CHMTCmTm!AH130</f>
        <v>0</v>
      </c>
      <c r="AI131" s="381" t="str">
        <f>IF(CHMTCmTm!AI130=0,"",CHMTCmTm!AI130)</f>
        <v/>
      </c>
      <c r="AJ131" s="396"/>
      <c r="AK131" s="382"/>
      <c r="AL131" s="215">
        <f>CHMTCmTm!AL130</f>
        <v>0</v>
      </c>
      <c r="AM131" s="381" t="str">
        <f>IF(CHMTCmTm!AM130=0,"",CHMTCmTm!AM130)</f>
        <v/>
      </c>
      <c r="AN131" s="396"/>
      <c r="AO131" s="382"/>
      <c r="AP131" s="381" t="str">
        <f>IF(CHMTCmTm!AP130=0,"",CHMTCmTm!AP130)</f>
        <v/>
      </c>
      <c r="AQ131" s="382"/>
      <c r="AR131" s="381" t="str">
        <f>IF(CHMTCmTm!AR130=0,"",CHMTCmTm!AR130)</f>
        <v/>
      </c>
      <c r="AS131" s="382"/>
      <c r="AT131" s="381" t="str">
        <f>IF(CHMTCmTm!AT130=0,"",CHMTCmTm!AT130)</f>
        <v/>
      </c>
      <c r="AU131" s="396"/>
      <c r="AV131" s="382"/>
      <c r="AW131" s="381" t="str">
        <f>IF(CHMTCmTm!AW130=0,"",CHMTCmTm!AW130)</f>
        <v/>
      </c>
      <c r="AX131" s="396"/>
      <c r="AY131" s="382"/>
      <c r="AZ131" s="24">
        <f>CHMTCmTm!AZ130</f>
        <v>0</v>
      </c>
      <c r="BC131" s="24">
        <f>COUNTIF(CHMTCmTm!O130, "Outreach Session")</f>
        <v>0</v>
      </c>
      <c r="BD131" s="24">
        <f>COUNTIF(CHMTCmTm!O130, "Mobile Clinic")</f>
        <v>0</v>
      </c>
      <c r="BE131" s="24">
        <f>COUNTIF(CHMTCmTm!O130, "Health Facility")</f>
        <v>0</v>
      </c>
    </row>
    <row r="132" spans="2:57" s="24" customFormat="1" ht="21.95" customHeight="1" x14ac:dyDescent="0.25">
      <c r="B132" s="397" t="str">
        <f>IF(CHMTCmTm!B131=0,"",CHMTCmTm!B131)</f>
        <v/>
      </c>
      <c r="C132" s="398"/>
      <c r="D132" s="399"/>
      <c r="E132" s="216">
        <f t="shared" si="3"/>
        <v>0</v>
      </c>
      <c r="F132" s="397" t="str">
        <f>IF(CHMTCmTm!F131=0,"",CHMTCmTm!F131)</f>
        <v/>
      </c>
      <c r="G132" s="398"/>
      <c r="H132" s="399"/>
      <c r="I132" s="381" t="str">
        <f>IF(CHMTCmTm!I131=0,"",CHMTCmTm!I131)</f>
        <v/>
      </c>
      <c r="J132" s="382"/>
      <c r="K132" s="381" t="str">
        <f>IF(CHMTCmTm!K131=0,"",CHMTCmTm!K131)</f>
        <v/>
      </c>
      <c r="L132" s="382"/>
      <c r="M132" s="381" t="str">
        <f>IF(CHMTCmTm!M131=0,"",CHMTCmTm!M131)</f>
        <v/>
      </c>
      <c r="N132" s="382"/>
      <c r="O132" s="381" t="str">
        <f>IF(CHMTCmTm!O131=0,"",CHMTCmTm!O131)</f>
        <v/>
      </c>
      <c r="P132" s="382"/>
      <c r="Q132" s="215" t="b">
        <f t="shared" si="2"/>
        <v>0</v>
      </c>
      <c r="R132" s="381" t="str">
        <f>IF(CHMTCmTm!R131=0,"",CHMTCmTm!R131)</f>
        <v/>
      </c>
      <c r="S132" s="382"/>
      <c r="T132" s="381" t="str">
        <f>IF(CHMTCmTm!T131=0,"",CHMTCmTm!T131)</f>
        <v/>
      </c>
      <c r="U132" s="382"/>
      <c r="V132" s="381" t="str">
        <f>IF(CHMTCmTm!V131=0,"",CHMTCmTm!V131)</f>
        <v/>
      </c>
      <c r="W132" s="396"/>
      <c r="X132" s="396"/>
      <c r="Y132" s="382"/>
      <c r="Z132" s="215">
        <f>CHMTCmTm!Z131</f>
        <v>0</v>
      </c>
      <c r="AA132" s="381" t="str">
        <f>IF(CHMTCmTm!AA131=0,"",CHMTCmTm!AA131)</f>
        <v/>
      </c>
      <c r="AB132" s="396"/>
      <c r="AC132" s="382"/>
      <c r="AD132" s="215">
        <f>CHMTCmTm!AD131</f>
        <v>0</v>
      </c>
      <c r="AE132" s="381" t="str">
        <f>IF(CHMTCmTm!AE131=0,"",CHMTCmTm!AE131)</f>
        <v/>
      </c>
      <c r="AF132" s="396"/>
      <c r="AG132" s="382"/>
      <c r="AH132" s="215">
        <f>CHMTCmTm!AH131</f>
        <v>0</v>
      </c>
      <c r="AI132" s="381" t="str">
        <f>IF(CHMTCmTm!AI131=0,"",CHMTCmTm!AI131)</f>
        <v/>
      </c>
      <c r="AJ132" s="396"/>
      <c r="AK132" s="382"/>
      <c r="AL132" s="215">
        <f>CHMTCmTm!AL131</f>
        <v>0</v>
      </c>
      <c r="AM132" s="381" t="str">
        <f>IF(CHMTCmTm!AM131=0,"",CHMTCmTm!AM131)</f>
        <v/>
      </c>
      <c r="AN132" s="396"/>
      <c r="AO132" s="382"/>
      <c r="AP132" s="381" t="str">
        <f>IF(CHMTCmTm!AP131=0,"",CHMTCmTm!AP131)</f>
        <v/>
      </c>
      <c r="AQ132" s="382"/>
      <c r="AR132" s="381" t="str">
        <f>IF(CHMTCmTm!AR131=0,"",CHMTCmTm!AR131)</f>
        <v/>
      </c>
      <c r="AS132" s="382"/>
      <c r="AT132" s="381" t="str">
        <f>IF(CHMTCmTm!AT131=0,"",CHMTCmTm!AT131)</f>
        <v/>
      </c>
      <c r="AU132" s="396"/>
      <c r="AV132" s="382"/>
      <c r="AW132" s="381" t="str">
        <f>IF(CHMTCmTm!AW131=0,"",CHMTCmTm!AW131)</f>
        <v/>
      </c>
      <c r="AX132" s="396"/>
      <c r="AY132" s="382"/>
      <c r="AZ132" s="24">
        <f>CHMTCmTm!AZ131</f>
        <v>0</v>
      </c>
      <c r="BC132" s="24">
        <f>COUNTIF(CHMTCmTm!O131, "Outreach Session")</f>
        <v>0</v>
      </c>
      <c r="BD132" s="24">
        <f>COUNTIF(CHMTCmTm!O131, "Mobile Clinic")</f>
        <v>0</v>
      </c>
      <c r="BE132" s="24">
        <f>COUNTIF(CHMTCmTm!O131, "Health Facility")</f>
        <v>0</v>
      </c>
    </row>
    <row r="133" spans="2:57" s="24" customFormat="1" ht="21.95" customHeight="1" x14ac:dyDescent="0.25">
      <c r="B133" s="397" t="str">
        <f>IF(CHMTCmTm!B132=0,"",CHMTCmTm!B132)</f>
        <v/>
      </c>
      <c r="C133" s="398"/>
      <c r="D133" s="399"/>
      <c r="E133" s="216">
        <f t="shared" si="3"/>
        <v>0</v>
      </c>
      <c r="F133" s="397" t="str">
        <f>IF(CHMTCmTm!F132=0,"",CHMTCmTm!F132)</f>
        <v/>
      </c>
      <c r="G133" s="398"/>
      <c r="H133" s="399"/>
      <c r="I133" s="381" t="str">
        <f>IF(CHMTCmTm!I132=0,"",CHMTCmTm!I132)</f>
        <v/>
      </c>
      <c r="J133" s="382"/>
      <c r="K133" s="381" t="str">
        <f>IF(CHMTCmTm!K132=0,"",CHMTCmTm!K132)</f>
        <v/>
      </c>
      <c r="L133" s="382"/>
      <c r="M133" s="381" t="str">
        <f>IF(CHMTCmTm!M132=0,"",CHMTCmTm!M132)</f>
        <v/>
      </c>
      <c r="N133" s="382"/>
      <c r="O133" s="381" t="str">
        <f>IF(CHMTCmTm!O132=0,"",CHMTCmTm!O132)</f>
        <v/>
      </c>
      <c r="P133" s="382"/>
      <c r="Q133" s="215" t="b">
        <f t="shared" si="2"/>
        <v>0</v>
      </c>
      <c r="R133" s="381" t="str">
        <f>IF(CHMTCmTm!R132=0,"",CHMTCmTm!R132)</f>
        <v/>
      </c>
      <c r="S133" s="382"/>
      <c r="T133" s="381" t="str">
        <f>IF(CHMTCmTm!T132=0,"",CHMTCmTm!T132)</f>
        <v/>
      </c>
      <c r="U133" s="382"/>
      <c r="V133" s="381" t="str">
        <f>IF(CHMTCmTm!V132=0,"",CHMTCmTm!V132)</f>
        <v/>
      </c>
      <c r="W133" s="396"/>
      <c r="X133" s="396"/>
      <c r="Y133" s="382"/>
      <c r="Z133" s="215">
        <f>CHMTCmTm!Z132</f>
        <v>0</v>
      </c>
      <c r="AA133" s="381" t="str">
        <f>IF(CHMTCmTm!AA132=0,"",CHMTCmTm!AA132)</f>
        <v/>
      </c>
      <c r="AB133" s="396"/>
      <c r="AC133" s="382"/>
      <c r="AD133" s="215">
        <f>CHMTCmTm!AD132</f>
        <v>0</v>
      </c>
      <c r="AE133" s="381" t="str">
        <f>IF(CHMTCmTm!AE132=0,"",CHMTCmTm!AE132)</f>
        <v/>
      </c>
      <c r="AF133" s="396"/>
      <c r="AG133" s="382"/>
      <c r="AH133" s="215">
        <f>CHMTCmTm!AH132</f>
        <v>0</v>
      </c>
      <c r="AI133" s="381" t="str">
        <f>IF(CHMTCmTm!AI132=0,"",CHMTCmTm!AI132)</f>
        <v/>
      </c>
      <c r="AJ133" s="396"/>
      <c r="AK133" s="382"/>
      <c r="AL133" s="215">
        <f>CHMTCmTm!AL132</f>
        <v>0</v>
      </c>
      <c r="AM133" s="381" t="str">
        <f>IF(CHMTCmTm!AM132=0,"",CHMTCmTm!AM132)</f>
        <v/>
      </c>
      <c r="AN133" s="396"/>
      <c r="AO133" s="382"/>
      <c r="AP133" s="381" t="str">
        <f>IF(CHMTCmTm!AP132=0,"",CHMTCmTm!AP132)</f>
        <v/>
      </c>
      <c r="AQ133" s="382"/>
      <c r="AR133" s="381" t="str">
        <f>IF(CHMTCmTm!AR132=0,"",CHMTCmTm!AR132)</f>
        <v/>
      </c>
      <c r="AS133" s="382"/>
      <c r="AT133" s="381" t="str">
        <f>IF(CHMTCmTm!AT132=0,"",CHMTCmTm!AT132)</f>
        <v/>
      </c>
      <c r="AU133" s="396"/>
      <c r="AV133" s="382"/>
      <c r="AW133" s="381" t="str">
        <f>IF(CHMTCmTm!AW132=0,"",CHMTCmTm!AW132)</f>
        <v/>
      </c>
      <c r="AX133" s="396"/>
      <c r="AY133" s="382"/>
      <c r="AZ133" s="24">
        <f>CHMTCmTm!AZ132</f>
        <v>0</v>
      </c>
      <c r="BC133" s="24">
        <f>COUNTIF(CHMTCmTm!O132, "Outreach Session")</f>
        <v>0</v>
      </c>
      <c r="BD133" s="24">
        <f>COUNTIF(CHMTCmTm!O132, "Mobile Clinic")</f>
        <v>0</v>
      </c>
      <c r="BE133" s="24">
        <f>COUNTIF(CHMTCmTm!O132, "Health Facility")</f>
        <v>0</v>
      </c>
    </row>
    <row r="134" spans="2:57" s="24" customFormat="1" ht="21.95" customHeight="1" x14ac:dyDescent="0.25">
      <c r="B134" s="397" t="str">
        <f>IF(CHMTCmTm!B133=0,"",CHMTCmTm!B133)</f>
        <v/>
      </c>
      <c r="C134" s="398"/>
      <c r="D134" s="399"/>
      <c r="E134" s="216">
        <f t="shared" si="3"/>
        <v>0</v>
      </c>
      <c r="F134" s="397" t="str">
        <f>IF(CHMTCmTm!F133=0,"",CHMTCmTm!F133)</f>
        <v/>
      </c>
      <c r="G134" s="398"/>
      <c r="H134" s="399"/>
      <c r="I134" s="381" t="str">
        <f>IF(CHMTCmTm!I133=0,"",CHMTCmTm!I133)</f>
        <v/>
      </c>
      <c r="J134" s="382"/>
      <c r="K134" s="381" t="str">
        <f>IF(CHMTCmTm!K133=0,"",CHMTCmTm!K133)</f>
        <v/>
      </c>
      <c r="L134" s="382"/>
      <c r="M134" s="381" t="str">
        <f>IF(CHMTCmTm!M133=0,"",CHMTCmTm!M133)</f>
        <v/>
      </c>
      <c r="N134" s="382"/>
      <c r="O134" s="381" t="str">
        <f>IF(CHMTCmTm!O133=0,"",CHMTCmTm!O133)</f>
        <v/>
      </c>
      <c r="P134" s="382"/>
      <c r="Q134" s="215" t="b">
        <f t="shared" si="2"/>
        <v>0</v>
      </c>
      <c r="R134" s="381" t="str">
        <f>IF(CHMTCmTm!R133=0,"",CHMTCmTm!R133)</f>
        <v/>
      </c>
      <c r="S134" s="382"/>
      <c r="T134" s="381" t="str">
        <f>IF(CHMTCmTm!T133=0,"",CHMTCmTm!T133)</f>
        <v/>
      </c>
      <c r="U134" s="382"/>
      <c r="V134" s="381" t="str">
        <f>IF(CHMTCmTm!V133=0,"",CHMTCmTm!V133)</f>
        <v/>
      </c>
      <c r="W134" s="396"/>
      <c r="X134" s="396"/>
      <c r="Y134" s="382"/>
      <c r="Z134" s="215">
        <f>CHMTCmTm!Z133</f>
        <v>0</v>
      </c>
      <c r="AA134" s="381" t="str">
        <f>IF(CHMTCmTm!AA133=0,"",CHMTCmTm!AA133)</f>
        <v/>
      </c>
      <c r="AB134" s="396"/>
      <c r="AC134" s="382"/>
      <c r="AD134" s="215">
        <f>CHMTCmTm!AD133</f>
        <v>0</v>
      </c>
      <c r="AE134" s="381" t="str">
        <f>IF(CHMTCmTm!AE133=0,"",CHMTCmTm!AE133)</f>
        <v/>
      </c>
      <c r="AF134" s="396"/>
      <c r="AG134" s="382"/>
      <c r="AH134" s="215">
        <f>CHMTCmTm!AH133</f>
        <v>0</v>
      </c>
      <c r="AI134" s="381" t="str">
        <f>IF(CHMTCmTm!AI133=0,"",CHMTCmTm!AI133)</f>
        <v/>
      </c>
      <c r="AJ134" s="396"/>
      <c r="AK134" s="382"/>
      <c r="AL134" s="215">
        <f>CHMTCmTm!AL133</f>
        <v>0</v>
      </c>
      <c r="AM134" s="381" t="str">
        <f>IF(CHMTCmTm!AM133=0,"",CHMTCmTm!AM133)</f>
        <v/>
      </c>
      <c r="AN134" s="396"/>
      <c r="AO134" s="382"/>
      <c r="AP134" s="381" t="str">
        <f>IF(CHMTCmTm!AP133=0,"",CHMTCmTm!AP133)</f>
        <v/>
      </c>
      <c r="AQ134" s="382"/>
      <c r="AR134" s="381" t="str">
        <f>IF(CHMTCmTm!AR133=0,"",CHMTCmTm!AR133)</f>
        <v/>
      </c>
      <c r="AS134" s="382"/>
      <c r="AT134" s="381" t="str">
        <f>IF(CHMTCmTm!AT133=0,"",CHMTCmTm!AT133)</f>
        <v/>
      </c>
      <c r="AU134" s="396"/>
      <c r="AV134" s="382"/>
      <c r="AW134" s="381" t="str">
        <f>IF(CHMTCmTm!AW133=0,"",CHMTCmTm!AW133)</f>
        <v/>
      </c>
      <c r="AX134" s="396"/>
      <c r="AY134" s="382"/>
      <c r="AZ134" s="24">
        <f>CHMTCmTm!AZ133</f>
        <v>0</v>
      </c>
      <c r="BC134" s="24">
        <f>COUNTIF(CHMTCmTm!O133, "Outreach Session")</f>
        <v>0</v>
      </c>
      <c r="BD134" s="24">
        <f>COUNTIF(CHMTCmTm!O133, "Mobile Clinic")</f>
        <v>0</v>
      </c>
      <c r="BE134" s="24">
        <f>COUNTIF(CHMTCmTm!O133, "Health Facility")</f>
        <v>0</v>
      </c>
    </row>
    <row r="135" spans="2:57" s="24" customFormat="1" ht="21.95" customHeight="1" x14ac:dyDescent="0.25">
      <c r="B135" s="397" t="str">
        <f>IF(CHMTCmTm!B134=0,"",CHMTCmTm!B134)</f>
        <v/>
      </c>
      <c r="C135" s="398"/>
      <c r="D135" s="399"/>
      <c r="E135" s="216">
        <f t="shared" si="3"/>
        <v>0</v>
      </c>
      <c r="F135" s="397" t="str">
        <f>IF(CHMTCmTm!F134=0,"",CHMTCmTm!F134)</f>
        <v/>
      </c>
      <c r="G135" s="398"/>
      <c r="H135" s="399"/>
      <c r="I135" s="381" t="str">
        <f>IF(CHMTCmTm!I134=0,"",CHMTCmTm!I134)</f>
        <v/>
      </c>
      <c r="J135" s="382"/>
      <c r="K135" s="381" t="str">
        <f>IF(CHMTCmTm!K134=0,"",CHMTCmTm!K134)</f>
        <v/>
      </c>
      <c r="L135" s="382"/>
      <c r="M135" s="381" t="str">
        <f>IF(CHMTCmTm!M134=0,"",CHMTCmTm!M134)</f>
        <v/>
      </c>
      <c r="N135" s="382"/>
      <c r="O135" s="381" t="str">
        <f>IF(CHMTCmTm!O134=0,"",CHMTCmTm!O134)</f>
        <v/>
      </c>
      <c r="P135" s="382"/>
      <c r="Q135" s="215" t="b">
        <f t="shared" si="2"/>
        <v>0</v>
      </c>
      <c r="R135" s="381" t="str">
        <f>IF(CHMTCmTm!R134=0,"",CHMTCmTm!R134)</f>
        <v/>
      </c>
      <c r="S135" s="382"/>
      <c r="T135" s="381" t="str">
        <f>IF(CHMTCmTm!T134=0,"",CHMTCmTm!T134)</f>
        <v/>
      </c>
      <c r="U135" s="382"/>
      <c r="V135" s="381" t="str">
        <f>IF(CHMTCmTm!V134=0,"",CHMTCmTm!V134)</f>
        <v/>
      </c>
      <c r="W135" s="396"/>
      <c r="X135" s="396"/>
      <c r="Y135" s="382"/>
      <c r="Z135" s="215">
        <f>CHMTCmTm!Z134</f>
        <v>0</v>
      </c>
      <c r="AA135" s="381" t="str">
        <f>IF(CHMTCmTm!AA134=0,"",CHMTCmTm!AA134)</f>
        <v/>
      </c>
      <c r="AB135" s="396"/>
      <c r="AC135" s="382"/>
      <c r="AD135" s="215">
        <f>CHMTCmTm!AD134</f>
        <v>0</v>
      </c>
      <c r="AE135" s="381" t="str">
        <f>IF(CHMTCmTm!AE134=0,"",CHMTCmTm!AE134)</f>
        <v/>
      </c>
      <c r="AF135" s="396"/>
      <c r="AG135" s="382"/>
      <c r="AH135" s="215">
        <f>CHMTCmTm!AH134</f>
        <v>0</v>
      </c>
      <c r="AI135" s="381" t="str">
        <f>IF(CHMTCmTm!AI134=0,"",CHMTCmTm!AI134)</f>
        <v/>
      </c>
      <c r="AJ135" s="396"/>
      <c r="AK135" s="382"/>
      <c r="AL135" s="215">
        <f>CHMTCmTm!AL134</f>
        <v>0</v>
      </c>
      <c r="AM135" s="381" t="str">
        <f>IF(CHMTCmTm!AM134=0,"",CHMTCmTm!AM134)</f>
        <v/>
      </c>
      <c r="AN135" s="396"/>
      <c r="AO135" s="382"/>
      <c r="AP135" s="381" t="str">
        <f>IF(CHMTCmTm!AP134=0,"",CHMTCmTm!AP134)</f>
        <v/>
      </c>
      <c r="AQ135" s="382"/>
      <c r="AR135" s="381" t="str">
        <f>IF(CHMTCmTm!AR134=0,"",CHMTCmTm!AR134)</f>
        <v/>
      </c>
      <c r="AS135" s="382"/>
      <c r="AT135" s="381" t="str">
        <f>IF(CHMTCmTm!AT134=0,"",CHMTCmTm!AT134)</f>
        <v/>
      </c>
      <c r="AU135" s="396"/>
      <c r="AV135" s="382"/>
      <c r="AW135" s="381" t="str">
        <f>IF(CHMTCmTm!AW134=0,"",CHMTCmTm!AW134)</f>
        <v/>
      </c>
      <c r="AX135" s="396"/>
      <c r="AY135" s="382"/>
      <c r="AZ135" s="24">
        <f>CHMTCmTm!AZ134</f>
        <v>0</v>
      </c>
      <c r="BC135" s="24">
        <f>COUNTIF(CHMTCmTm!O134, "Outreach Session")</f>
        <v>0</v>
      </c>
      <c r="BD135" s="24">
        <f>COUNTIF(CHMTCmTm!O134, "Mobile Clinic")</f>
        <v>0</v>
      </c>
      <c r="BE135" s="24">
        <f>COUNTIF(CHMTCmTm!O134, "Health Facility")</f>
        <v>0</v>
      </c>
    </row>
    <row r="136" spans="2:57" s="24" customFormat="1" ht="21.95" customHeight="1" x14ac:dyDescent="0.25">
      <c r="B136" s="397" t="str">
        <f>IF(CHMTCmTm!B135=0,"",CHMTCmTm!B135)</f>
        <v/>
      </c>
      <c r="C136" s="398"/>
      <c r="D136" s="399"/>
      <c r="E136" s="216">
        <f t="shared" si="3"/>
        <v>0</v>
      </c>
      <c r="F136" s="397" t="str">
        <f>IF(CHMTCmTm!F135=0,"",CHMTCmTm!F135)</f>
        <v/>
      </c>
      <c r="G136" s="398"/>
      <c r="H136" s="399"/>
      <c r="I136" s="381" t="str">
        <f>IF(CHMTCmTm!I135=0,"",CHMTCmTm!I135)</f>
        <v/>
      </c>
      <c r="J136" s="382"/>
      <c r="K136" s="381" t="str">
        <f>IF(CHMTCmTm!K135=0,"",CHMTCmTm!K135)</f>
        <v/>
      </c>
      <c r="L136" s="382"/>
      <c r="M136" s="381" t="str">
        <f>IF(CHMTCmTm!M135=0,"",CHMTCmTm!M135)</f>
        <v/>
      </c>
      <c r="N136" s="382"/>
      <c r="O136" s="381" t="str">
        <f>IF(CHMTCmTm!O135=0,"",CHMTCmTm!O135)</f>
        <v/>
      </c>
      <c r="P136" s="382"/>
      <c r="Q136" s="215" t="b">
        <f t="shared" si="2"/>
        <v>0</v>
      </c>
      <c r="R136" s="381" t="str">
        <f>IF(CHMTCmTm!R135=0,"",CHMTCmTm!R135)</f>
        <v/>
      </c>
      <c r="S136" s="382"/>
      <c r="T136" s="381" t="str">
        <f>IF(CHMTCmTm!T135=0,"",CHMTCmTm!T135)</f>
        <v/>
      </c>
      <c r="U136" s="382"/>
      <c r="V136" s="381" t="str">
        <f>IF(CHMTCmTm!V135=0,"",CHMTCmTm!V135)</f>
        <v/>
      </c>
      <c r="W136" s="396"/>
      <c r="X136" s="396"/>
      <c r="Y136" s="382"/>
      <c r="Z136" s="215">
        <f>CHMTCmTm!Z135</f>
        <v>0</v>
      </c>
      <c r="AA136" s="381" t="str">
        <f>IF(CHMTCmTm!AA135=0,"",CHMTCmTm!AA135)</f>
        <v/>
      </c>
      <c r="AB136" s="396"/>
      <c r="AC136" s="382"/>
      <c r="AD136" s="215">
        <f>CHMTCmTm!AD135</f>
        <v>0</v>
      </c>
      <c r="AE136" s="381" t="str">
        <f>IF(CHMTCmTm!AE135=0,"",CHMTCmTm!AE135)</f>
        <v/>
      </c>
      <c r="AF136" s="396"/>
      <c r="AG136" s="382"/>
      <c r="AH136" s="215">
        <f>CHMTCmTm!AH135</f>
        <v>0</v>
      </c>
      <c r="AI136" s="381" t="str">
        <f>IF(CHMTCmTm!AI135=0,"",CHMTCmTm!AI135)</f>
        <v/>
      </c>
      <c r="AJ136" s="396"/>
      <c r="AK136" s="382"/>
      <c r="AL136" s="215">
        <f>CHMTCmTm!AL135</f>
        <v>0</v>
      </c>
      <c r="AM136" s="381" t="str">
        <f>IF(CHMTCmTm!AM135=0,"",CHMTCmTm!AM135)</f>
        <v/>
      </c>
      <c r="AN136" s="396"/>
      <c r="AO136" s="382"/>
      <c r="AP136" s="381" t="str">
        <f>IF(CHMTCmTm!AP135=0,"",CHMTCmTm!AP135)</f>
        <v/>
      </c>
      <c r="AQ136" s="382"/>
      <c r="AR136" s="381" t="str">
        <f>IF(CHMTCmTm!AR135=0,"",CHMTCmTm!AR135)</f>
        <v/>
      </c>
      <c r="AS136" s="382"/>
      <c r="AT136" s="381" t="str">
        <f>IF(CHMTCmTm!AT135=0,"",CHMTCmTm!AT135)</f>
        <v/>
      </c>
      <c r="AU136" s="396"/>
      <c r="AV136" s="382"/>
      <c r="AW136" s="381" t="str">
        <f>IF(CHMTCmTm!AW135=0,"",CHMTCmTm!AW135)</f>
        <v/>
      </c>
      <c r="AX136" s="396"/>
      <c r="AY136" s="382"/>
      <c r="AZ136" s="24">
        <f>CHMTCmTm!AZ135</f>
        <v>0</v>
      </c>
      <c r="BC136" s="24">
        <f>COUNTIF(CHMTCmTm!O135, "Outreach Session")</f>
        <v>0</v>
      </c>
      <c r="BD136" s="24">
        <f>COUNTIF(CHMTCmTm!O135, "Mobile Clinic")</f>
        <v>0</v>
      </c>
      <c r="BE136" s="24">
        <f>COUNTIF(CHMTCmTm!O135, "Health Facility")</f>
        <v>0</v>
      </c>
    </row>
    <row r="137" spans="2:57" s="24" customFormat="1" ht="21.95" customHeight="1" x14ac:dyDescent="0.25">
      <c r="B137" s="397" t="str">
        <f>IF(CHMTCmTm!B136=0,"",CHMTCmTm!B136)</f>
        <v/>
      </c>
      <c r="C137" s="398"/>
      <c r="D137" s="399"/>
      <c r="E137" s="216">
        <f t="shared" si="3"/>
        <v>0</v>
      </c>
      <c r="F137" s="397" t="str">
        <f>IF(CHMTCmTm!F136=0,"",CHMTCmTm!F136)</f>
        <v/>
      </c>
      <c r="G137" s="398"/>
      <c r="H137" s="399"/>
      <c r="I137" s="381" t="str">
        <f>IF(CHMTCmTm!I136=0,"",CHMTCmTm!I136)</f>
        <v/>
      </c>
      <c r="J137" s="382"/>
      <c r="K137" s="381" t="str">
        <f>IF(CHMTCmTm!K136=0,"",CHMTCmTm!K136)</f>
        <v/>
      </c>
      <c r="L137" s="382"/>
      <c r="M137" s="381" t="str">
        <f>IF(CHMTCmTm!M136=0,"",CHMTCmTm!M136)</f>
        <v/>
      </c>
      <c r="N137" s="382"/>
      <c r="O137" s="381" t="str">
        <f>IF(CHMTCmTm!O136=0,"",CHMTCmTm!O136)</f>
        <v/>
      </c>
      <c r="P137" s="382"/>
      <c r="Q137" s="215" t="b">
        <f t="shared" si="2"/>
        <v>0</v>
      </c>
      <c r="R137" s="381" t="str">
        <f>IF(CHMTCmTm!R136=0,"",CHMTCmTm!R136)</f>
        <v/>
      </c>
      <c r="S137" s="382"/>
      <c r="T137" s="381" t="str">
        <f>IF(CHMTCmTm!T136=0,"",CHMTCmTm!T136)</f>
        <v/>
      </c>
      <c r="U137" s="382"/>
      <c r="V137" s="381" t="str">
        <f>IF(CHMTCmTm!V136=0,"",CHMTCmTm!V136)</f>
        <v/>
      </c>
      <c r="W137" s="396"/>
      <c r="X137" s="396"/>
      <c r="Y137" s="382"/>
      <c r="Z137" s="215">
        <f>CHMTCmTm!Z136</f>
        <v>0</v>
      </c>
      <c r="AA137" s="381" t="str">
        <f>IF(CHMTCmTm!AA136=0,"",CHMTCmTm!AA136)</f>
        <v/>
      </c>
      <c r="AB137" s="396"/>
      <c r="AC137" s="382"/>
      <c r="AD137" s="215">
        <f>CHMTCmTm!AD136</f>
        <v>0</v>
      </c>
      <c r="AE137" s="381" t="str">
        <f>IF(CHMTCmTm!AE136=0,"",CHMTCmTm!AE136)</f>
        <v/>
      </c>
      <c r="AF137" s="396"/>
      <c r="AG137" s="382"/>
      <c r="AH137" s="215">
        <f>CHMTCmTm!AH136</f>
        <v>0</v>
      </c>
      <c r="AI137" s="381" t="str">
        <f>IF(CHMTCmTm!AI136=0,"",CHMTCmTm!AI136)</f>
        <v/>
      </c>
      <c r="AJ137" s="396"/>
      <c r="AK137" s="382"/>
      <c r="AL137" s="215">
        <f>CHMTCmTm!AL136</f>
        <v>0</v>
      </c>
      <c r="AM137" s="381" t="str">
        <f>IF(CHMTCmTm!AM136=0,"",CHMTCmTm!AM136)</f>
        <v/>
      </c>
      <c r="AN137" s="396"/>
      <c r="AO137" s="382"/>
      <c r="AP137" s="381" t="str">
        <f>IF(CHMTCmTm!AP136=0,"",CHMTCmTm!AP136)</f>
        <v/>
      </c>
      <c r="AQ137" s="382"/>
      <c r="AR137" s="381" t="str">
        <f>IF(CHMTCmTm!AR136=0,"",CHMTCmTm!AR136)</f>
        <v/>
      </c>
      <c r="AS137" s="382"/>
      <c r="AT137" s="381" t="str">
        <f>IF(CHMTCmTm!AT136=0,"",CHMTCmTm!AT136)</f>
        <v/>
      </c>
      <c r="AU137" s="396"/>
      <c r="AV137" s="382"/>
      <c r="AW137" s="381" t="str">
        <f>IF(CHMTCmTm!AW136=0,"",CHMTCmTm!AW136)</f>
        <v/>
      </c>
      <c r="AX137" s="396"/>
      <c r="AY137" s="382"/>
      <c r="AZ137" s="24">
        <f>CHMTCmTm!AZ136</f>
        <v>0</v>
      </c>
      <c r="BC137" s="24">
        <f>COUNTIF(CHMTCmTm!O136, "Outreach Session")</f>
        <v>0</v>
      </c>
      <c r="BD137" s="24">
        <f>COUNTIF(CHMTCmTm!O136, "Mobile Clinic")</f>
        <v>0</v>
      </c>
      <c r="BE137" s="24">
        <f>COUNTIF(CHMTCmTm!O136, "Health Facility")</f>
        <v>0</v>
      </c>
    </row>
    <row r="138" spans="2:57" s="24" customFormat="1" ht="21.95" customHeight="1" x14ac:dyDescent="0.25">
      <c r="B138" s="397" t="str">
        <f>IF(CHMTCmTm!B137=0,"",CHMTCmTm!B137)</f>
        <v/>
      </c>
      <c r="C138" s="398"/>
      <c r="D138" s="399"/>
      <c r="E138" s="216">
        <f t="shared" si="3"/>
        <v>0</v>
      </c>
      <c r="F138" s="397" t="str">
        <f>IF(CHMTCmTm!F137=0,"",CHMTCmTm!F137)</f>
        <v/>
      </c>
      <c r="G138" s="398"/>
      <c r="H138" s="399"/>
      <c r="I138" s="381" t="str">
        <f>IF(CHMTCmTm!I137=0,"",CHMTCmTm!I137)</f>
        <v/>
      </c>
      <c r="J138" s="382"/>
      <c r="K138" s="381" t="str">
        <f>IF(CHMTCmTm!K137=0,"",CHMTCmTm!K137)</f>
        <v/>
      </c>
      <c r="L138" s="382"/>
      <c r="M138" s="381" t="str">
        <f>IF(CHMTCmTm!M137=0,"",CHMTCmTm!M137)</f>
        <v/>
      </c>
      <c r="N138" s="382"/>
      <c r="O138" s="381" t="str">
        <f>IF(CHMTCmTm!O137=0,"",CHMTCmTm!O137)</f>
        <v/>
      </c>
      <c r="P138" s="382"/>
      <c r="Q138" s="215" t="b">
        <f t="shared" ref="Q138:Q201" si="4">IF(O138="Health Facility",3,IF(O138="Outreach Session",1,IF(O138="Mobile Clinic",2)))</f>
        <v>0</v>
      </c>
      <c r="R138" s="381" t="str">
        <f>IF(CHMTCmTm!R137=0,"",CHMTCmTm!R137)</f>
        <v/>
      </c>
      <c r="S138" s="382"/>
      <c r="T138" s="381" t="str">
        <f>IF(CHMTCmTm!T137=0,"",CHMTCmTm!T137)</f>
        <v/>
      </c>
      <c r="U138" s="382"/>
      <c r="V138" s="381" t="str">
        <f>IF(CHMTCmTm!V137=0,"",CHMTCmTm!V137)</f>
        <v/>
      </c>
      <c r="W138" s="396"/>
      <c r="X138" s="396"/>
      <c r="Y138" s="382"/>
      <c r="Z138" s="215">
        <f>CHMTCmTm!Z137</f>
        <v>0</v>
      </c>
      <c r="AA138" s="381" t="str">
        <f>IF(CHMTCmTm!AA137=0,"",CHMTCmTm!AA137)</f>
        <v/>
      </c>
      <c r="AB138" s="396"/>
      <c r="AC138" s="382"/>
      <c r="AD138" s="215">
        <f>CHMTCmTm!AD137</f>
        <v>0</v>
      </c>
      <c r="AE138" s="381" t="str">
        <f>IF(CHMTCmTm!AE137=0,"",CHMTCmTm!AE137)</f>
        <v/>
      </c>
      <c r="AF138" s="396"/>
      <c r="AG138" s="382"/>
      <c r="AH138" s="215">
        <f>CHMTCmTm!AH137</f>
        <v>0</v>
      </c>
      <c r="AI138" s="381" t="str">
        <f>IF(CHMTCmTm!AI137=0,"",CHMTCmTm!AI137)</f>
        <v/>
      </c>
      <c r="AJ138" s="396"/>
      <c r="AK138" s="382"/>
      <c r="AL138" s="215">
        <f>CHMTCmTm!AL137</f>
        <v>0</v>
      </c>
      <c r="AM138" s="381" t="str">
        <f>IF(CHMTCmTm!AM137=0,"",CHMTCmTm!AM137)</f>
        <v/>
      </c>
      <c r="AN138" s="396"/>
      <c r="AO138" s="382"/>
      <c r="AP138" s="381" t="str">
        <f>IF(CHMTCmTm!AP137=0,"",CHMTCmTm!AP137)</f>
        <v/>
      </c>
      <c r="AQ138" s="382"/>
      <c r="AR138" s="381" t="str">
        <f>IF(CHMTCmTm!AR137=0,"",CHMTCmTm!AR137)</f>
        <v/>
      </c>
      <c r="AS138" s="382"/>
      <c r="AT138" s="381" t="str">
        <f>IF(CHMTCmTm!AT137=0,"",CHMTCmTm!AT137)</f>
        <v/>
      </c>
      <c r="AU138" s="396"/>
      <c r="AV138" s="382"/>
      <c r="AW138" s="381" t="str">
        <f>IF(CHMTCmTm!AW137=0,"",CHMTCmTm!AW137)</f>
        <v/>
      </c>
      <c r="AX138" s="396"/>
      <c r="AY138" s="382"/>
      <c r="AZ138" s="24">
        <f>CHMTCmTm!AZ137</f>
        <v>0</v>
      </c>
      <c r="BC138" s="24">
        <f>COUNTIF(CHMTCmTm!O137, "Outreach Session")</f>
        <v>0</v>
      </c>
      <c r="BD138" s="24">
        <f>COUNTIF(CHMTCmTm!O137, "Mobile Clinic")</f>
        <v>0</v>
      </c>
      <c r="BE138" s="24">
        <f>COUNTIF(CHMTCmTm!O137, "Health Facility")</f>
        <v>0</v>
      </c>
    </row>
    <row r="139" spans="2:57" s="24" customFormat="1" ht="21.95" customHeight="1" x14ac:dyDescent="0.25">
      <c r="B139" s="397" t="str">
        <f>IF(CHMTCmTm!B138=0,"",CHMTCmTm!B138)</f>
        <v/>
      </c>
      <c r="C139" s="398"/>
      <c r="D139" s="399"/>
      <c r="E139" s="216">
        <f t="shared" ref="E139:E202" si="5">IF(F139="",0,1)</f>
        <v>0</v>
      </c>
      <c r="F139" s="397" t="str">
        <f>IF(CHMTCmTm!F138=0,"",CHMTCmTm!F138)</f>
        <v/>
      </c>
      <c r="G139" s="398"/>
      <c r="H139" s="399"/>
      <c r="I139" s="381" t="str">
        <f>IF(CHMTCmTm!I138=0,"",CHMTCmTm!I138)</f>
        <v/>
      </c>
      <c r="J139" s="382"/>
      <c r="K139" s="381" t="str">
        <f>IF(CHMTCmTm!K138=0,"",CHMTCmTm!K138)</f>
        <v/>
      </c>
      <c r="L139" s="382"/>
      <c r="M139" s="381" t="str">
        <f>IF(CHMTCmTm!M138=0,"",CHMTCmTm!M138)</f>
        <v/>
      </c>
      <c r="N139" s="382"/>
      <c r="O139" s="381" t="str">
        <f>IF(CHMTCmTm!O138=0,"",CHMTCmTm!O138)</f>
        <v/>
      </c>
      <c r="P139" s="382"/>
      <c r="Q139" s="215" t="b">
        <f t="shared" si="4"/>
        <v>0</v>
      </c>
      <c r="R139" s="381" t="str">
        <f>IF(CHMTCmTm!R138=0,"",CHMTCmTm!R138)</f>
        <v/>
      </c>
      <c r="S139" s="382"/>
      <c r="T139" s="381" t="str">
        <f>IF(CHMTCmTm!T138=0,"",CHMTCmTm!T138)</f>
        <v/>
      </c>
      <c r="U139" s="382"/>
      <c r="V139" s="381" t="str">
        <f>IF(CHMTCmTm!V138=0,"",CHMTCmTm!V138)</f>
        <v/>
      </c>
      <c r="W139" s="396"/>
      <c r="X139" s="396"/>
      <c r="Y139" s="382"/>
      <c r="Z139" s="215">
        <f>CHMTCmTm!Z138</f>
        <v>0</v>
      </c>
      <c r="AA139" s="381" t="str">
        <f>IF(CHMTCmTm!AA138=0,"",CHMTCmTm!AA138)</f>
        <v/>
      </c>
      <c r="AB139" s="396"/>
      <c r="AC139" s="382"/>
      <c r="AD139" s="215">
        <f>CHMTCmTm!AD138</f>
        <v>0</v>
      </c>
      <c r="AE139" s="381" t="str">
        <f>IF(CHMTCmTm!AE138=0,"",CHMTCmTm!AE138)</f>
        <v/>
      </c>
      <c r="AF139" s="396"/>
      <c r="AG139" s="382"/>
      <c r="AH139" s="215">
        <f>CHMTCmTm!AH138</f>
        <v>0</v>
      </c>
      <c r="AI139" s="381" t="str">
        <f>IF(CHMTCmTm!AI138=0,"",CHMTCmTm!AI138)</f>
        <v/>
      </c>
      <c r="AJ139" s="396"/>
      <c r="AK139" s="382"/>
      <c r="AL139" s="215">
        <f>CHMTCmTm!AL138</f>
        <v>0</v>
      </c>
      <c r="AM139" s="381" t="str">
        <f>IF(CHMTCmTm!AM138=0,"",CHMTCmTm!AM138)</f>
        <v/>
      </c>
      <c r="AN139" s="396"/>
      <c r="AO139" s="382"/>
      <c r="AP139" s="381" t="str">
        <f>IF(CHMTCmTm!AP138=0,"",CHMTCmTm!AP138)</f>
        <v/>
      </c>
      <c r="AQ139" s="382"/>
      <c r="AR139" s="381" t="str">
        <f>IF(CHMTCmTm!AR138=0,"",CHMTCmTm!AR138)</f>
        <v/>
      </c>
      <c r="AS139" s="382"/>
      <c r="AT139" s="381" t="str">
        <f>IF(CHMTCmTm!AT138=0,"",CHMTCmTm!AT138)</f>
        <v/>
      </c>
      <c r="AU139" s="396"/>
      <c r="AV139" s="382"/>
      <c r="AW139" s="381" t="str">
        <f>IF(CHMTCmTm!AW138=0,"",CHMTCmTm!AW138)</f>
        <v/>
      </c>
      <c r="AX139" s="396"/>
      <c r="AY139" s="382"/>
      <c r="AZ139" s="24">
        <f>CHMTCmTm!AZ138</f>
        <v>0</v>
      </c>
      <c r="BC139" s="24">
        <f>COUNTIF(CHMTCmTm!O138, "Outreach Session")</f>
        <v>0</v>
      </c>
      <c r="BD139" s="24">
        <f>COUNTIF(CHMTCmTm!O138, "Mobile Clinic")</f>
        <v>0</v>
      </c>
      <c r="BE139" s="24">
        <f>COUNTIF(CHMTCmTm!O138, "Health Facility")</f>
        <v>0</v>
      </c>
    </row>
    <row r="140" spans="2:57" s="24" customFormat="1" ht="21.95" customHeight="1" x14ac:dyDescent="0.25">
      <c r="B140" s="397" t="str">
        <f>IF(CHMTCmTm!B139=0,"",CHMTCmTm!B139)</f>
        <v/>
      </c>
      <c r="C140" s="398"/>
      <c r="D140" s="399"/>
      <c r="E140" s="216">
        <f t="shared" si="5"/>
        <v>0</v>
      </c>
      <c r="F140" s="397" t="str">
        <f>IF(CHMTCmTm!F139=0,"",CHMTCmTm!F139)</f>
        <v/>
      </c>
      <c r="G140" s="398"/>
      <c r="H140" s="399"/>
      <c r="I140" s="381" t="str">
        <f>IF(CHMTCmTm!I139=0,"",CHMTCmTm!I139)</f>
        <v/>
      </c>
      <c r="J140" s="382"/>
      <c r="K140" s="381" t="str">
        <f>IF(CHMTCmTm!K139=0,"",CHMTCmTm!K139)</f>
        <v/>
      </c>
      <c r="L140" s="382"/>
      <c r="M140" s="381" t="str">
        <f>IF(CHMTCmTm!M139=0,"",CHMTCmTm!M139)</f>
        <v/>
      </c>
      <c r="N140" s="382"/>
      <c r="O140" s="381" t="str">
        <f>IF(CHMTCmTm!O139=0,"",CHMTCmTm!O139)</f>
        <v/>
      </c>
      <c r="P140" s="382"/>
      <c r="Q140" s="215" t="b">
        <f t="shared" si="4"/>
        <v>0</v>
      </c>
      <c r="R140" s="381" t="str">
        <f>IF(CHMTCmTm!R139=0,"",CHMTCmTm!R139)</f>
        <v/>
      </c>
      <c r="S140" s="382"/>
      <c r="T140" s="381" t="str">
        <f>IF(CHMTCmTm!T139=0,"",CHMTCmTm!T139)</f>
        <v/>
      </c>
      <c r="U140" s="382"/>
      <c r="V140" s="381" t="str">
        <f>IF(CHMTCmTm!V139=0,"",CHMTCmTm!V139)</f>
        <v/>
      </c>
      <c r="W140" s="396"/>
      <c r="X140" s="396"/>
      <c r="Y140" s="382"/>
      <c r="Z140" s="215">
        <f>CHMTCmTm!Z139</f>
        <v>0</v>
      </c>
      <c r="AA140" s="381" t="str">
        <f>IF(CHMTCmTm!AA139=0,"",CHMTCmTm!AA139)</f>
        <v/>
      </c>
      <c r="AB140" s="396"/>
      <c r="AC140" s="382"/>
      <c r="AD140" s="215">
        <f>CHMTCmTm!AD139</f>
        <v>0</v>
      </c>
      <c r="AE140" s="381" t="str">
        <f>IF(CHMTCmTm!AE139=0,"",CHMTCmTm!AE139)</f>
        <v/>
      </c>
      <c r="AF140" s="396"/>
      <c r="AG140" s="382"/>
      <c r="AH140" s="215">
        <f>CHMTCmTm!AH139</f>
        <v>0</v>
      </c>
      <c r="AI140" s="381" t="str">
        <f>IF(CHMTCmTm!AI139=0,"",CHMTCmTm!AI139)</f>
        <v/>
      </c>
      <c r="AJ140" s="396"/>
      <c r="AK140" s="382"/>
      <c r="AL140" s="215">
        <f>CHMTCmTm!AL139</f>
        <v>0</v>
      </c>
      <c r="AM140" s="381" t="str">
        <f>IF(CHMTCmTm!AM139=0,"",CHMTCmTm!AM139)</f>
        <v/>
      </c>
      <c r="AN140" s="396"/>
      <c r="AO140" s="382"/>
      <c r="AP140" s="381" t="str">
        <f>IF(CHMTCmTm!AP139=0,"",CHMTCmTm!AP139)</f>
        <v/>
      </c>
      <c r="AQ140" s="382"/>
      <c r="AR140" s="381" t="str">
        <f>IF(CHMTCmTm!AR139=0,"",CHMTCmTm!AR139)</f>
        <v/>
      </c>
      <c r="AS140" s="382"/>
      <c r="AT140" s="381" t="str">
        <f>IF(CHMTCmTm!AT139=0,"",CHMTCmTm!AT139)</f>
        <v/>
      </c>
      <c r="AU140" s="396"/>
      <c r="AV140" s="382"/>
      <c r="AW140" s="381" t="str">
        <f>IF(CHMTCmTm!AW139=0,"",CHMTCmTm!AW139)</f>
        <v/>
      </c>
      <c r="AX140" s="396"/>
      <c r="AY140" s="382"/>
      <c r="AZ140" s="24">
        <f>CHMTCmTm!AZ139</f>
        <v>0</v>
      </c>
      <c r="BC140" s="24">
        <f>COUNTIF(CHMTCmTm!O139, "Outreach Session")</f>
        <v>0</v>
      </c>
      <c r="BD140" s="24">
        <f>COUNTIF(CHMTCmTm!O139, "Mobile Clinic")</f>
        <v>0</v>
      </c>
      <c r="BE140" s="24">
        <f>COUNTIF(CHMTCmTm!O139, "Health Facility")</f>
        <v>0</v>
      </c>
    </row>
    <row r="141" spans="2:57" s="24" customFormat="1" ht="21.95" customHeight="1" x14ac:dyDescent="0.25">
      <c r="B141" s="397" t="str">
        <f>IF(CHMTCmTm!B140=0,"",CHMTCmTm!B140)</f>
        <v/>
      </c>
      <c r="C141" s="398"/>
      <c r="D141" s="399"/>
      <c r="E141" s="216">
        <f t="shared" si="5"/>
        <v>0</v>
      </c>
      <c r="F141" s="397" t="str">
        <f>IF(CHMTCmTm!F140=0,"",CHMTCmTm!F140)</f>
        <v/>
      </c>
      <c r="G141" s="398"/>
      <c r="H141" s="399"/>
      <c r="I141" s="381" t="str">
        <f>IF(CHMTCmTm!I140=0,"",CHMTCmTm!I140)</f>
        <v/>
      </c>
      <c r="J141" s="382"/>
      <c r="K141" s="381" t="str">
        <f>IF(CHMTCmTm!K140=0,"",CHMTCmTm!K140)</f>
        <v/>
      </c>
      <c r="L141" s="382"/>
      <c r="M141" s="381" t="str">
        <f>IF(CHMTCmTm!M140=0,"",CHMTCmTm!M140)</f>
        <v/>
      </c>
      <c r="N141" s="382"/>
      <c r="O141" s="381" t="str">
        <f>IF(CHMTCmTm!O140=0,"",CHMTCmTm!O140)</f>
        <v/>
      </c>
      <c r="P141" s="382"/>
      <c r="Q141" s="215" t="b">
        <f t="shared" si="4"/>
        <v>0</v>
      </c>
      <c r="R141" s="381" t="str">
        <f>IF(CHMTCmTm!R140=0,"",CHMTCmTm!R140)</f>
        <v/>
      </c>
      <c r="S141" s="382"/>
      <c r="T141" s="381" t="str">
        <f>IF(CHMTCmTm!T140=0,"",CHMTCmTm!T140)</f>
        <v/>
      </c>
      <c r="U141" s="382"/>
      <c r="V141" s="381" t="str">
        <f>IF(CHMTCmTm!V140=0,"",CHMTCmTm!V140)</f>
        <v/>
      </c>
      <c r="W141" s="396"/>
      <c r="X141" s="396"/>
      <c r="Y141" s="382"/>
      <c r="Z141" s="215">
        <f>CHMTCmTm!Z140</f>
        <v>0</v>
      </c>
      <c r="AA141" s="381" t="str">
        <f>IF(CHMTCmTm!AA140=0,"",CHMTCmTm!AA140)</f>
        <v/>
      </c>
      <c r="AB141" s="396"/>
      <c r="AC141" s="382"/>
      <c r="AD141" s="215">
        <f>CHMTCmTm!AD140</f>
        <v>0</v>
      </c>
      <c r="AE141" s="381" t="str">
        <f>IF(CHMTCmTm!AE140=0,"",CHMTCmTm!AE140)</f>
        <v/>
      </c>
      <c r="AF141" s="396"/>
      <c r="AG141" s="382"/>
      <c r="AH141" s="215">
        <f>CHMTCmTm!AH140</f>
        <v>0</v>
      </c>
      <c r="AI141" s="381" t="str">
        <f>IF(CHMTCmTm!AI140=0,"",CHMTCmTm!AI140)</f>
        <v/>
      </c>
      <c r="AJ141" s="396"/>
      <c r="AK141" s="382"/>
      <c r="AL141" s="215">
        <f>CHMTCmTm!AL140</f>
        <v>0</v>
      </c>
      <c r="AM141" s="381" t="str">
        <f>IF(CHMTCmTm!AM140=0,"",CHMTCmTm!AM140)</f>
        <v/>
      </c>
      <c r="AN141" s="396"/>
      <c r="AO141" s="382"/>
      <c r="AP141" s="381" t="str">
        <f>IF(CHMTCmTm!AP140=0,"",CHMTCmTm!AP140)</f>
        <v/>
      </c>
      <c r="AQ141" s="382"/>
      <c r="AR141" s="381" t="str">
        <f>IF(CHMTCmTm!AR140=0,"",CHMTCmTm!AR140)</f>
        <v/>
      </c>
      <c r="AS141" s="382"/>
      <c r="AT141" s="381" t="str">
        <f>IF(CHMTCmTm!AT140=0,"",CHMTCmTm!AT140)</f>
        <v/>
      </c>
      <c r="AU141" s="396"/>
      <c r="AV141" s="382"/>
      <c r="AW141" s="381" t="str">
        <f>IF(CHMTCmTm!AW140=0,"",CHMTCmTm!AW140)</f>
        <v/>
      </c>
      <c r="AX141" s="396"/>
      <c r="AY141" s="382"/>
      <c r="AZ141" s="24">
        <f>CHMTCmTm!AZ140</f>
        <v>0</v>
      </c>
      <c r="BC141" s="24">
        <f>COUNTIF(CHMTCmTm!O140, "Outreach Session")</f>
        <v>0</v>
      </c>
      <c r="BD141" s="24">
        <f>COUNTIF(CHMTCmTm!O140, "Mobile Clinic")</f>
        <v>0</v>
      </c>
      <c r="BE141" s="24">
        <f>COUNTIF(CHMTCmTm!O140, "Health Facility")</f>
        <v>0</v>
      </c>
    </row>
    <row r="142" spans="2:57" s="24" customFormat="1" ht="21.95" customHeight="1" x14ac:dyDescent="0.25">
      <c r="B142" s="397" t="str">
        <f>IF(CHMTCmTm!B141=0,"",CHMTCmTm!B141)</f>
        <v/>
      </c>
      <c r="C142" s="398"/>
      <c r="D142" s="399"/>
      <c r="E142" s="216">
        <f t="shared" si="5"/>
        <v>0</v>
      </c>
      <c r="F142" s="397" t="str">
        <f>IF(CHMTCmTm!F141=0,"",CHMTCmTm!F141)</f>
        <v/>
      </c>
      <c r="G142" s="398"/>
      <c r="H142" s="399"/>
      <c r="I142" s="381" t="str">
        <f>IF(CHMTCmTm!I141=0,"",CHMTCmTm!I141)</f>
        <v/>
      </c>
      <c r="J142" s="382"/>
      <c r="K142" s="381" t="str">
        <f>IF(CHMTCmTm!K141=0,"",CHMTCmTm!K141)</f>
        <v/>
      </c>
      <c r="L142" s="382"/>
      <c r="M142" s="381" t="str">
        <f>IF(CHMTCmTm!M141=0,"",CHMTCmTm!M141)</f>
        <v/>
      </c>
      <c r="N142" s="382"/>
      <c r="O142" s="381" t="str">
        <f>IF(CHMTCmTm!O141=0,"",CHMTCmTm!O141)</f>
        <v/>
      </c>
      <c r="P142" s="382"/>
      <c r="Q142" s="215" t="b">
        <f t="shared" si="4"/>
        <v>0</v>
      </c>
      <c r="R142" s="381" t="str">
        <f>IF(CHMTCmTm!R141=0,"",CHMTCmTm!R141)</f>
        <v/>
      </c>
      <c r="S142" s="382"/>
      <c r="T142" s="381" t="str">
        <f>IF(CHMTCmTm!T141=0,"",CHMTCmTm!T141)</f>
        <v/>
      </c>
      <c r="U142" s="382"/>
      <c r="V142" s="381" t="str">
        <f>IF(CHMTCmTm!V141=0,"",CHMTCmTm!V141)</f>
        <v/>
      </c>
      <c r="W142" s="396"/>
      <c r="X142" s="396"/>
      <c r="Y142" s="382"/>
      <c r="Z142" s="215">
        <f>CHMTCmTm!Z141</f>
        <v>0</v>
      </c>
      <c r="AA142" s="381" t="str">
        <f>IF(CHMTCmTm!AA141=0,"",CHMTCmTm!AA141)</f>
        <v/>
      </c>
      <c r="AB142" s="396"/>
      <c r="AC142" s="382"/>
      <c r="AD142" s="215">
        <f>CHMTCmTm!AD141</f>
        <v>0</v>
      </c>
      <c r="AE142" s="381" t="str">
        <f>IF(CHMTCmTm!AE141=0,"",CHMTCmTm!AE141)</f>
        <v/>
      </c>
      <c r="AF142" s="396"/>
      <c r="AG142" s="382"/>
      <c r="AH142" s="215">
        <f>CHMTCmTm!AH141</f>
        <v>0</v>
      </c>
      <c r="AI142" s="381" t="str">
        <f>IF(CHMTCmTm!AI141=0,"",CHMTCmTm!AI141)</f>
        <v/>
      </c>
      <c r="AJ142" s="396"/>
      <c r="AK142" s="382"/>
      <c r="AL142" s="215">
        <f>CHMTCmTm!AL141</f>
        <v>0</v>
      </c>
      <c r="AM142" s="381" t="str">
        <f>IF(CHMTCmTm!AM141=0,"",CHMTCmTm!AM141)</f>
        <v/>
      </c>
      <c r="AN142" s="396"/>
      <c r="AO142" s="382"/>
      <c r="AP142" s="381" t="str">
        <f>IF(CHMTCmTm!AP141=0,"",CHMTCmTm!AP141)</f>
        <v/>
      </c>
      <c r="AQ142" s="382"/>
      <c r="AR142" s="381" t="str">
        <f>IF(CHMTCmTm!AR141=0,"",CHMTCmTm!AR141)</f>
        <v/>
      </c>
      <c r="AS142" s="382"/>
      <c r="AT142" s="381" t="str">
        <f>IF(CHMTCmTm!AT141=0,"",CHMTCmTm!AT141)</f>
        <v/>
      </c>
      <c r="AU142" s="396"/>
      <c r="AV142" s="382"/>
      <c r="AW142" s="381" t="str">
        <f>IF(CHMTCmTm!AW141=0,"",CHMTCmTm!AW141)</f>
        <v/>
      </c>
      <c r="AX142" s="396"/>
      <c r="AY142" s="382"/>
      <c r="AZ142" s="24">
        <f>CHMTCmTm!AZ141</f>
        <v>0</v>
      </c>
      <c r="BC142" s="24">
        <f>COUNTIF(CHMTCmTm!O141, "Outreach Session")</f>
        <v>0</v>
      </c>
      <c r="BD142" s="24">
        <f>COUNTIF(CHMTCmTm!O141, "Mobile Clinic")</f>
        <v>0</v>
      </c>
      <c r="BE142" s="24">
        <f>COUNTIF(CHMTCmTm!O141, "Health Facility")</f>
        <v>0</v>
      </c>
    </row>
    <row r="143" spans="2:57" s="24" customFormat="1" ht="21.95" customHeight="1" x14ac:dyDescent="0.25">
      <c r="B143" s="397" t="str">
        <f>IF(CHMTCmTm!B142=0,"",CHMTCmTm!B142)</f>
        <v/>
      </c>
      <c r="C143" s="398"/>
      <c r="D143" s="399"/>
      <c r="E143" s="216">
        <f t="shared" si="5"/>
        <v>0</v>
      </c>
      <c r="F143" s="397" t="str">
        <f>IF(CHMTCmTm!F142=0,"",CHMTCmTm!F142)</f>
        <v/>
      </c>
      <c r="G143" s="398"/>
      <c r="H143" s="399"/>
      <c r="I143" s="381" t="str">
        <f>IF(CHMTCmTm!I142=0,"",CHMTCmTm!I142)</f>
        <v/>
      </c>
      <c r="J143" s="382"/>
      <c r="K143" s="381" t="str">
        <f>IF(CHMTCmTm!K142=0,"",CHMTCmTm!K142)</f>
        <v/>
      </c>
      <c r="L143" s="382"/>
      <c r="M143" s="381" t="str">
        <f>IF(CHMTCmTm!M142=0,"",CHMTCmTm!M142)</f>
        <v/>
      </c>
      <c r="N143" s="382"/>
      <c r="O143" s="381" t="str">
        <f>IF(CHMTCmTm!O142=0,"",CHMTCmTm!O142)</f>
        <v/>
      </c>
      <c r="P143" s="382"/>
      <c r="Q143" s="215" t="b">
        <f t="shared" si="4"/>
        <v>0</v>
      </c>
      <c r="R143" s="381" t="str">
        <f>IF(CHMTCmTm!R142=0,"",CHMTCmTm!R142)</f>
        <v/>
      </c>
      <c r="S143" s="382"/>
      <c r="T143" s="381" t="str">
        <f>IF(CHMTCmTm!T142=0,"",CHMTCmTm!T142)</f>
        <v/>
      </c>
      <c r="U143" s="382"/>
      <c r="V143" s="381" t="str">
        <f>IF(CHMTCmTm!V142=0,"",CHMTCmTm!V142)</f>
        <v/>
      </c>
      <c r="W143" s="396"/>
      <c r="X143" s="396"/>
      <c r="Y143" s="382"/>
      <c r="Z143" s="215">
        <f>CHMTCmTm!Z142</f>
        <v>0</v>
      </c>
      <c r="AA143" s="381" t="str">
        <f>IF(CHMTCmTm!AA142=0,"",CHMTCmTm!AA142)</f>
        <v/>
      </c>
      <c r="AB143" s="396"/>
      <c r="AC143" s="382"/>
      <c r="AD143" s="215">
        <f>CHMTCmTm!AD142</f>
        <v>0</v>
      </c>
      <c r="AE143" s="381" t="str">
        <f>IF(CHMTCmTm!AE142=0,"",CHMTCmTm!AE142)</f>
        <v/>
      </c>
      <c r="AF143" s="396"/>
      <c r="AG143" s="382"/>
      <c r="AH143" s="215">
        <f>CHMTCmTm!AH142</f>
        <v>0</v>
      </c>
      <c r="AI143" s="381" t="str">
        <f>IF(CHMTCmTm!AI142=0,"",CHMTCmTm!AI142)</f>
        <v/>
      </c>
      <c r="AJ143" s="396"/>
      <c r="AK143" s="382"/>
      <c r="AL143" s="215">
        <f>CHMTCmTm!AL142</f>
        <v>0</v>
      </c>
      <c r="AM143" s="381" t="str">
        <f>IF(CHMTCmTm!AM142=0,"",CHMTCmTm!AM142)</f>
        <v/>
      </c>
      <c r="AN143" s="396"/>
      <c r="AO143" s="382"/>
      <c r="AP143" s="381" t="str">
        <f>IF(CHMTCmTm!AP142=0,"",CHMTCmTm!AP142)</f>
        <v/>
      </c>
      <c r="AQ143" s="382"/>
      <c r="AR143" s="381" t="str">
        <f>IF(CHMTCmTm!AR142=0,"",CHMTCmTm!AR142)</f>
        <v/>
      </c>
      <c r="AS143" s="382"/>
      <c r="AT143" s="381" t="str">
        <f>IF(CHMTCmTm!AT142=0,"",CHMTCmTm!AT142)</f>
        <v/>
      </c>
      <c r="AU143" s="396"/>
      <c r="AV143" s="382"/>
      <c r="AW143" s="381" t="str">
        <f>IF(CHMTCmTm!AW142=0,"",CHMTCmTm!AW142)</f>
        <v/>
      </c>
      <c r="AX143" s="396"/>
      <c r="AY143" s="382"/>
      <c r="AZ143" s="24">
        <f>CHMTCmTm!AZ142</f>
        <v>0</v>
      </c>
      <c r="BC143" s="24">
        <f>COUNTIF(CHMTCmTm!O142, "Outreach Session")</f>
        <v>0</v>
      </c>
      <c r="BD143" s="24">
        <f>COUNTIF(CHMTCmTm!O142, "Mobile Clinic")</f>
        <v>0</v>
      </c>
      <c r="BE143" s="24">
        <f>COUNTIF(CHMTCmTm!O142, "Health Facility")</f>
        <v>0</v>
      </c>
    </row>
    <row r="144" spans="2:57" s="24" customFormat="1" ht="21.95" customHeight="1" x14ac:dyDescent="0.25">
      <c r="B144" s="397" t="str">
        <f>IF(CHMTCmTm!B143=0,"",CHMTCmTm!B143)</f>
        <v/>
      </c>
      <c r="C144" s="398"/>
      <c r="D144" s="399"/>
      <c r="E144" s="216">
        <f t="shared" si="5"/>
        <v>0</v>
      </c>
      <c r="F144" s="397" t="str">
        <f>IF(CHMTCmTm!F143=0,"",CHMTCmTm!F143)</f>
        <v/>
      </c>
      <c r="G144" s="398"/>
      <c r="H144" s="399"/>
      <c r="I144" s="381" t="str">
        <f>IF(CHMTCmTm!I143=0,"",CHMTCmTm!I143)</f>
        <v/>
      </c>
      <c r="J144" s="382"/>
      <c r="K144" s="381" t="str">
        <f>IF(CHMTCmTm!K143=0,"",CHMTCmTm!K143)</f>
        <v/>
      </c>
      <c r="L144" s="382"/>
      <c r="M144" s="381" t="str">
        <f>IF(CHMTCmTm!M143=0,"",CHMTCmTm!M143)</f>
        <v/>
      </c>
      <c r="N144" s="382"/>
      <c r="O144" s="381" t="str">
        <f>IF(CHMTCmTm!O143=0,"",CHMTCmTm!O143)</f>
        <v/>
      </c>
      <c r="P144" s="382"/>
      <c r="Q144" s="215" t="b">
        <f t="shared" si="4"/>
        <v>0</v>
      </c>
      <c r="R144" s="381" t="str">
        <f>IF(CHMTCmTm!R143=0,"",CHMTCmTm!R143)</f>
        <v/>
      </c>
      <c r="S144" s="382"/>
      <c r="T144" s="381" t="str">
        <f>IF(CHMTCmTm!T143=0,"",CHMTCmTm!T143)</f>
        <v/>
      </c>
      <c r="U144" s="382"/>
      <c r="V144" s="381" t="str">
        <f>IF(CHMTCmTm!V143=0,"",CHMTCmTm!V143)</f>
        <v/>
      </c>
      <c r="W144" s="396"/>
      <c r="X144" s="396"/>
      <c r="Y144" s="382"/>
      <c r="Z144" s="215">
        <f>CHMTCmTm!Z143</f>
        <v>0</v>
      </c>
      <c r="AA144" s="381" t="str">
        <f>IF(CHMTCmTm!AA143=0,"",CHMTCmTm!AA143)</f>
        <v/>
      </c>
      <c r="AB144" s="396"/>
      <c r="AC144" s="382"/>
      <c r="AD144" s="215">
        <f>CHMTCmTm!AD143</f>
        <v>0</v>
      </c>
      <c r="AE144" s="381" t="str">
        <f>IF(CHMTCmTm!AE143=0,"",CHMTCmTm!AE143)</f>
        <v/>
      </c>
      <c r="AF144" s="396"/>
      <c r="AG144" s="382"/>
      <c r="AH144" s="215">
        <f>CHMTCmTm!AH143</f>
        <v>0</v>
      </c>
      <c r="AI144" s="381" t="str">
        <f>IF(CHMTCmTm!AI143=0,"",CHMTCmTm!AI143)</f>
        <v/>
      </c>
      <c r="AJ144" s="396"/>
      <c r="AK144" s="382"/>
      <c r="AL144" s="215">
        <f>CHMTCmTm!AL143</f>
        <v>0</v>
      </c>
      <c r="AM144" s="381" t="str">
        <f>IF(CHMTCmTm!AM143=0,"",CHMTCmTm!AM143)</f>
        <v/>
      </c>
      <c r="AN144" s="396"/>
      <c r="AO144" s="382"/>
      <c r="AP144" s="381" t="str">
        <f>IF(CHMTCmTm!AP143=0,"",CHMTCmTm!AP143)</f>
        <v/>
      </c>
      <c r="AQ144" s="382"/>
      <c r="AR144" s="381" t="str">
        <f>IF(CHMTCmTm!AR143=0,"",CHMTCmTm!AR143)</f>
        <v/>
      </c>
      <c r="AS144" s="382"/>
      <c r="AT144" s="381" t="str">
        <f>IF(CHMTCmTm!AT143=0,"",CHMTCmTm!AT143)</f>
        <v/>
      </c>
      <c r="AU144" s="396"/>
      <c r="AV144" s="382"/>
      <c r="AW144" s="381" t="str">
        <f>IF(CHMTCmTm!AW143=0,"",CHMTCmTm!AW143)</f>
        <v/>
      </c>
      <c r="AX144" s="396"/>
      <c r="AY144" s="382"/>
      <c r="AZ144" s="24">
        <f>CHMTCmTm!AZ143</f>
        <v>0</v>
      </c>
      <c r="BC144" s="24">
        <f>COUNTIF(CHMTCmTm!O143, "Outreach Session")</f>
        <v>0</v>
      </c>
      <c r="BD144" s="24">
        <f>COUNTIF(CHMTCmTm!O143, "Mobile Clinic")</f>
        <v>0</v>
      </c>
      <c r="BE144" s="24">
        <f>COUNTIF(CHMTCmTm!O143, "Health Facility")</f>
        <v>0</v>
      </c>
    </row>
    <row r="145" spans="2:57" s="24" customFormat="1" ht="21.95" customHeight="1" x14ac:dyDescent="0.25">
      <c r="B145" s="397" t="str">
        <f>IF(CHMTCmTm!B144=0,"",CHMTCmTm!B144)</f>
        <v/>
      </c>
      <c r="C145" s="398"/>
      <c r="D145" s="399"/>
      <c r="E145" s="216">
        <f t="shared" si="5"/>
        <v>0</v>
      </c>
      <c r="F145" s="397" t="str">
        <f>IF(CHMTCmTm!F144=0,"",CHMTCmTm!F144)</f>
        <v/>
      </c>
      <c r="G145" s="398"/>
      <c r="H145" s="399"/>
      <c r="I145" s="381" t="str">
        <f>IF(CHMTCmTm!I144=0,"",CHMTCmTm!I144)</f>
        <v/>
      </c>
      <c r="J145" s="382"/>
      <c r="K145" s="381" t="str">
        <f>IF(CHMTCmTm!K144=0,"",CHMTCmTm!K144)</f>
        <v/>
      </c>
      <c r="L145" s="382"/>
      <c r="M145" s="381" t="str">
        <f>IF(CHMTCmTm!M144=0,"",CHMTCmTm!M144)</f>
        <v/>
      </c>
      <c r="N145" s="382"/>
      <c r="O145" s="381" t="str">
        <f>IF(CHMTCmTm!O144=0,"",CHMTCmTm!O144)</f>
        <v/>
      </c>
      <c r="P145" s="382"/>
      <c r="Q145" s="215" t="b">
        <f t="shared" si="4"/>
        <v>0</v>
      </c>
      <c r="R145" s="381" t="str">
        <f>IF(CHMTCmTm!R144=0,"",CHMTCmTm!R144)</f>
        <v/>
      </c>
      <c r="S145" s="382"/>
      <c r="T145" s="381" t="str">
        <f>IF(CHMTCmTm!T144=0,"",CHMTCmTm!T144)</f>
        <v/>
      </c>
      <c r="U145" s="382"/>
      <c r="V145" s="381" t="str">
        <f>IF(CHMTCmTm!V144=0,"",CHMTCmTm!V144)</f>
        <v/>
      </c>
      <c r="W145" s="396"/>
      <c r="X145" s="396"/>
      <c r="Y145" s="382"/>
      <c r="Z145" s="215">
        <f>CHMTCmTm!Z144</f>
        <v>0</v>
      </c>
      <c r="AA145" s="381" t="str">
        <f>IF(CHMTCmTm!AA144=0,"",CHMTCmTm!AA144)</f>
        <v/>
      </c>
      <c r="AB145" s="396"/>
      <c r="AC145" s="382"/>
      <c r="AD145" s="215">
        <f>CHMTCmTm!AD144</f>
        <v>0</v>
      </c>
      <c r="AE145" s="381" t="str">
        <f>IF(CHMTCmTm!AE144=0,"",CHMTCmTm!AE144)</f>
        <v/>
      </c>
      <c r="AF145" s="396"/>
      <c r="AG145" s="382"/>
      <c r="AH145" s="215">
        <f>CHMTCmTm!AH144</f>
        <v>0</v>
      </c>
      <c r="AI145" s="381" t="str">
        <f>IF(CHMTCmTm!AI144=0,"",CHMTCmTm!AI144)</f>
        <v/>
      </c>
      <c r="AJ145" s="396"/>
      <c r="AK145" s="382"/>
      <c r="AL145" s="215">
        <f>CHMTCmTm!AL144</f>
        <v>0</v>
      </c>
      <c r="AM145" s="381" t="str">
        <f>IF(CHMTCmTm!AM144=0,"",CHMTCmTm!AM144)</f>
        <v/>
      </c>
      <c r="AN145" s="396"/>
      <c r="AO145" s="382"/>
      <c r="AP145" s="381" t="str">
        <f>IF(CHMTCmTm!AP144=0,"",CHMTCmTm!AP144)</f>
        <v/>
      </c>
      <c r="AQ145" s="382"/>
      <c r="AR145" s="381" t="str">
        <f>IF(CHMTCmTm!AR144=0,"",CHMTCmTm!AR144)</f>
        <v/>
      </c>
      <c r="AS145" s="382"/>
      <c r="AT145" s="381" t="str">
        <f>IF(CHMTCmTm!AT144=0,"",CHMTCmTm!AT144)</f>
        <v/>
      </c>
      <c r="AU145" s="396"/>
      <c r="AV145" s="382"/>
      <c r="AW145" s="381" t="str">
        <f>IF(CHMTCmTm!AW144=0,"",CHMTCmTm!AW144)</f>
        <v/>
      </c>
      <c r="AX145" s="396"/>
      <c r="AY145" s="382"/>
      <c r="AZ145" s="24">
        <f>CHMTCmTm!AZ144</f>
        <v>0</v>
      </c>
      <c r="BC145" s="24">
        <f>COUNTIF(CHMTCmTm!O144, "Outreach Session")</f>
        <v>0</v>
      </c>
      <c r="BD145" s="24">
        <f>COUNTIF(CHMTCmTm!O144, "Mobile Clinic")</f>
        <v>0</v>
      </c>
      <c r="BE145" s="24">
        <f>COUNTIF(CHMTCmTm!O144, "Health Facility")</f>
        <v>0</v>
      </c>
    </row>
    <row r="146" spans="2:57" s="24" customFormat="1" ht="21.95" customHeight="1" x14ac:dyDescent="0.25">
      <c r="B146" s="397" t="str">
        <f>IF(CHMTCmTm!B145=0,"",CHMTCmTm!B145)</f>
        <v/>
      </c>
      <c r="C146" s="398"/>
      <c r="D146" s="399"/>
      <c r="E146" s="216">
        <f t="shared" si="5"/>
        <v>0</v>
      </c>
      <c r="F146" s="397" t="str">
        <f>IF(CHMTCmTm!F145=0,"",CHMTCmTm!F145)</f>
        <v/>
      </c>
      <c r="G146" s="398"/>
      <c r="H146" s="399"/>
      <c r="I146" s="381" t="str">
        <f>IF(CHMTCmTm!I145=0,"",CHMTCmTm!I145)</f>
        <v/>
      </c>
      <c r="J146" s="382"/>
      <c r="K146" s="381" t="str">
        <f>IF(CHMTCmTm!K145=0,"",CHMTCmTm!K145)</f>
        <v/>
      </c>
      <c r="L146" s="382"/>
      <c r="M146" s="381" t="str">
        <f>IF(CHMTCmTm!M145=0,"",CHMTCmTm!M145)</f>
        <v/>
      </c>
      <c r="N146" s="382"/>
      <c r="O146" s="381" t="str">
        <f>IF(CHMTCmTm!O145=0,"",CHMTCmTm!O145)</f>
        <v/>
      </c>
      <c r="P146" s="382"/>
      <c r="Q146" s="215" t="b">
        <f t="shared" si="4"/>
        <v>0</v>
      </c>
      <c r="R146" s="381" t="str">
        <f>IF(CHMTCmTm!R145=0,"",CHMTCmTm!R145)</f>
        <v/>
      </c>
      <c r="S146" s="382"/>
      <c r="T146" s="381" t="str">
        <f>IF(CHMTCmTm!T145=0,"",CHMTCmTm!T145)</f>
        <v/>
      </c>
      <c r="U146" s="382"/>
      <c r="V146" s="381" t="str">
        <f>IF(CHMTCmTm!V145=0,"",CHMTCmTm!V145)</f>
        <v/>
      </c>
      <c r="W146" s="396"/>
      <c r="X146" s="396"/>
      <c r="Y146" s="382"/>
      <c r="Z146" s="215">
        <f>CHMTCmTm!Z145</f>
        <v>0</v>
      </c>
      <c r="AA146" s="381" t="str">
        <f>IF(CHMTCmTm!AA145=0,"",CHMTCmTm!AA145)</f>
        <v/>
      </c>
      <c r="AB146" s="396"/>
      <c r="AC146" s="382"/>
      <c r="AD146" s="215">
        <f>CHMTCmTm!AD145</f>
        <v>0</v>
      </c>
      <c r="AE146" s="381" t="str">
        <f>IF(CHMTCmTm!AE145=0,"",CHMTCmTm!AE145)</f>
        <v/>
      </c>
      <c r="AF146" s="396"/>
      <c r="AG146" s="382"/>
      <c r="AH146" s="215">
        <f>CHMTCmTm!AH145</f>
        <v>0</v>
      </c>
      <c r="AI146" s="381" t="str">
        <f>IF(CHMTCmTm!AI145=0,"",CHMTCmTm!AI145)</f>
        <v/>
      </c>
      <c r="AJ146" s="396"/>
      <c r="AK146" s="382"/>
      <c r="AL146" s="215">
        <f>CHMTCmTm!AL145</f>
        <v>0</v>
      </c>
      <c r="AM146" s="381" t="str">
        <f>IF(CHMTCmTm!AM145=0,"",CHMTCmTm!AM145)</f>
        <v/>
      </c>
      <c r="AN146" s="396"/>
      <c r="AO146" s="382"/>
      <c r="AP146" s="381" t="str">
        <f>IF(CHMTCmTm!AP145=0,"",CHMTCmTm!AP145)</f>
        <v/>
      </c>
      <c r="AQ146" s="382"/>
      <c r="AR146" s="381" t="str">
        <f>IF(CHMTCmTm!AR145=0,"",CHMTCmTm!AR145)</f>
        <v/>
      </c>
      <c r="AS146" s="382"/>
      <c r="AT146" s="381" t="str">
        <f>IF(CHMTCmTm!AT145=0,"",CHMTCmTm!AT145)</f>
        <v/>
      </c>
      <c r="AU146" s="396"/>
      <c r="AV146" s="382"/>
      <c r="AW146" s="381" t="str">
        <f>IF(CHMTCmTm!AW145=0,"",CHMTCmTm!AW145)</f>
        <v/>
      </c>
      <c r="AX146" s="396"/>
      <c r="AY146" s="382"/>
      <c r="AZ146" s="24">
        <f>CHMTCmTm!AZ145</f>
        <v>0</v>
      </c>
      <c r="BC146" s="24">
        <f>COUNTIF(CHMTCmTm!O145, "Outreach Session")</f>
        <v>0</v>
      </c>
      <c r="BD146" s="24">
        <f>COUNTIF(CHMTCmTm!O145, "Mobile Clinic")</f>
        <v>0</v>
      </c>
      <c r="BE146" s="24">
        <f>COUNTIF(CHMTCmTm!O145, "Health Facility")</f>
        <v>0</v>
      </c>
    </row>
    <row r="147" spans="2:57" s="24" customFormat="1" ht="21.95" customHeight="1" x14ac:dyDescent="0.25">
      <c r="B147" s="397" t="str">
        <f>IF(CHMTCmTm!B146=0,"",CHMTCmTm!B146)</f>
        <v/>
      </c>
      <c r="C147" s="398"/>
      <c r="D147" s="399"/>
      <c r="E147" s="216">
        <f t="shared" si="5"/>
        <v>0</v>
      </c>
      <c r="F147" s="397" t="str">
        <f>IF(CHMTCmTm!F146=0,"",CHMTCmTm!F146)</f>
        <v/>
      </c>
      <c r="G147" s="398"/>
      <c r="H147" s="399"/>
      <c r="I147" s="381" t="str">
        <f>IF(CHMTCmTm!I146=0,"",CHMTCmTm!I146)</f>
        <v/>
      </c>
      <c r="J147" s="382"/>
      <c r="K147" s="381" t="str">
        <f>IF(CHMTCmTm!K146=0,"",CHMTCmTm!K146)</f>
        <v/>
      </c>
      <c r="L147" s="382"/>
      <c r="M147" s="381" t="str">
        <f>IF(CHMTCmTm!M146=0,"",CHMTCmTm!M146)</f>
        <v/>
      </c>
      <c r="N147" s="382"/>
      <c r="O147" s="381" t="str">
        <f>IF(CHMTCmTm!O146=0,"",CHMTCmTm!O146)</f>
        <v/>
      </c>
      <c r="P147" s="382"/>
      <c r="Q147" s="215" t="b">
        <f t="shared" si="4"/>
        <v>0</v>
      </c>
      <c r="R147" s="381" t="str">
        <f>IF(CHMTCmTm!R146=0,"",CHMTCmTm!R146)</f>
        <v/>
      </c>
      <c r="S147" s="382"/>
      <c r="T147" s="381" t="str">
        <f>IF(CHMTCmTm!T146=0,"",CHMTCmTm!T146)</f>
        <v/>
      </c>
      <c r="U147" s="382"/>
      <c r="V147" s="381" t="str">
        <f>IF(CHMTCmTm!V146=0,"",CHMTCmTm!V146)</f>
        <v/>
      </c>
      <c r="W147" s="396"/>
      <c r="X147" s="396"/>
      <c r="Y147" s="382"/>
      <c r="Z147" s="215">
        <f>CHMTCmTm!Z146</f>
        <v>0</v>
      </c>
      <c r="AA147" s="381" t="str">
        <f>IF(CHMTCmTm!AA146=0,"",CHMTCmTm!AA146)</f>
        <v/>
      </c>
      <c r="AB147" s="396"/>
      <c r="AC147" s="382"/>
      <c r="AD147" s="215">
        <f>CHMTCmTm!AD146</f>
        <v>0</v>
      </c>
      <c r="AE147" s="381" t="str">
        <f>IF(CHMTCmTm!AE146=0,"",CHMTCmTm!AE146)</f>
        <v/>
      </c>
      <c r="AF147" s="396"/>
      <c r="AG147" s="382"/>
      <c r="AH147" s="215">
        <f>CHMTCmTm!AH146</f>
        <v>0</v>
      </c>
      <c r="AI147" s="381" t="str">
        <f>IF(CHMTCmTm!AI146=0,"",CHMTCmTm!AI146)</f>
        <v/>
      </c>
      <c r="AJ147" s="396"/>
      <c r="AK147" s="382"/>
      <c r="AL147" s="215">
        <f>CHMTCmTm!AL146</f>
        <v>0</v>
      </c>
      <c r="AM147" s="381" t="str">
        <f>IF(CHMTCmTm!AM146=0,"",CHMTCmTm!AM146)</f>
        <v/>
      </c>
      <c r="AN147" s="396"/>
      <c r="AO147" s="382"/>
      <c r="AP147" s="381" t="str">
        <f>IF(CHMTCmTm!AP146=0,"",CHMTCmTm!AP146)</f>
        <v/>
      </c>
      <c r="AQ147" s="382"/>
      <c r="AR147" s="381" t="str">
        <f>IF(CHMTCmTm!AR146=0,"",CHMTCmTm!AR146)</f>
        <v/>
      </c>
      <c r="AS147" s="382"/>
      <c r="AT147" s="381" t="str">
        <f>IF(CHMTCmTm!AT146=0,"",CHMTCmTm!AT146)</f>
        <v/>
      </c>
      <c r="AU147" s="396"/>
      <c r="AV147" s="382"/>
      <c r="AW147" s="381" t="str">
        <f>IF(CHMTCmTm!AW146=0,"",CHMTCmTm!AW146)</f>
        <v/>
      </c>
      <c r="AX147" s="396"/>
      <c r="AY147" s="382"/>
      <c r="AZ147" s="24">
        <f>CHMTCmTm!AZ146</f>
        <v>0</v>
      </c>
      <c r="BC147" s="24">
        <f>COUNTIF(CHMTCmTm!O146, "Outreach Session")</f>
        <v>0</v>
      </c>
      <c r="BD147" s="24">
        <f>COUNTIF(CHMTCmTm!O146, "Mobile Clinic")</f>
        <v>0</v>
      </c>
      <c r="BE147" s="24">
        <f>COUNTIF(CHMTCmTm!O146, "Health Facility")</f>
        <v>0</v>
      </c>
    </row>
    <row r="148" spans="2:57" s="24" customFormat="1" ht="21.95" customHeight="1" x14ac:dyDescent="0.25">
      <c r="B148" s="397" t="str">
        <f>IF(CHMTCmTm!B147=0,"",CHMTCmTm!B147)</f>
        <v/>
      </c>
      <c r="C148" s="398"/>
      <c r="D148" s="399"/>
      <c r="E148" s="216">
        <f t="shared" si="5"/>
        <v>0</v>
      </c>
      <c r="F148" s="397" t="str">
        <f>IF(CHMTCmTm!F147=0,"",CHMTCmTm!F147)</f>
        <v/>
      </c>
      <c r="G148" s="398"/>
      <c r="H148" s="399"/>
      <c r="I148" s="381" t="str">
        <f>IF(CHMTCmTm!I147=0,"",CHMTCmTm!I147)</f>
        <v/>
      </c>
      <c r="J148" s="382"/>
      <c r="K148" s="381" t="str">
        <f>IF(CHMTCmTm!K147=0,"",CHMTCmTm!K147)</f>
        <v/>
      </c>
      <c r="L148" s="382"/>
      <c r="M148" s="381" t="str">
        <f>IF(CHMTCmTm!M147=0,"",CHMTCmTm!M147)</f>
        <v/>
      </c>
      <c r="N148" s="382"/>
      <c r="O148" s="381" t="str">
        <f>IF(CHMTCmTm!O147=0,"",CHMTCmTm!O147)</f>
        <v/>
      </c>
      <c r="P148" s="382"/>
      <c r="Q148" s="215" t="b">
        <f t="shared" si="4"/>
        <v>0</v>
      </c>
      <c r="R148" s="381" t="str">
        <f>IF(CHMTCmTm!R147=0,"",CHMTCmTm!R147)</f>
        <v/>
      </c>
      <c r="S148" s="382"/>
      <c r="T148" s="381" t="str">
        <f>IF(CHMTCmTm!T147=0,"",CHMTCmTm!T147)</f>
        <v/>
      </c>
      <c r="U148" s="382"/>
      <c r="V148" s="381" t="str">
        <f>IF(CHMTCmTm!V147=0,"",CHMTCmTm!V147)</f>
        <v/>
      </c>
      <c r="W148" s="396"/>
      <c r="X148" s="396"/>
      <c r="Y148" s="382"/>
      <c r="Z148" s="215">
        <f>CHMTCmTm!Z147</f>
        <v>0</v>
      </c>
      <c r="AA148" s="381" t="str">
        <f>IF(CHMTCmTm!AA147=0,"",CHMTCmTm!AA147)</f>
        <v/>
      </c>
      <c r="AB148" s="396"/>
      <c r="AC148" s="382"/>
      <c r="AD148" s="215">
        <f>CHMTCmTm!AD147</f>
        <v>0</v>
      </c>
      <c r="AE148" s="381" t="str">
        <f>IF(CHMTCmTm!AE147=0,"",CHMTCmTm!AE147)</f>
        <v/>
      </c>
      <c r="AF148" s="396"/>
      <c r="AG148" s="382"/>
      <c r="AH148" s="215">
        <f>CHMTCmTm!AH147</f>
        <v>0</v>
      </c>
      <c r="AI148" s="381" t="str">
        <f>IF(CHMTCmTm!AI147=0,"",CHMTCmTm!AI147)</f>
        <v/>
      </c>
      <c r="AJ148" s="396"/>
      <c r="AK148" s="382"/>
      <c r="AL148" s="215">
        <f>CHMTCmTm!AL147</f>
        <v>0</v>
      </c>
      <c r="AM148" s="381" t="str">
        <f>IF(CHMTCmTm!AM147=0,"",CHMTCmTm!AM147)</f>
        <v/>
      </c>
      <c r="AN148" s="396"/>
      <c r="AO148" s="382"/>
      <c r="AP148" s="381" t="str">
        <f>IF(CHMTCmTm!AP147=0,"",CHMTCmTm!AP147)</f>
        <v/>
      </c>
      <c r="AQ148" s="382"/>
      <c r="AR148" s="381" t="str">
        <f>IF(CHMTCmTm!AR147=0,"",CHMTCmTm!AR147)</f>
        <v/>
      </c>
      <c r="AS148" s="382"/>
      <c r="AT148" s="381" t="str">
        <f>IF(CHMTCmTm!AT147=0,"",CHMTCmTm!AT147)</f>
        <v/>
      </c>
      <c r="AU148" s="396"/>
      <c r="AV148" s="382"/>
      <c r="AW148" s="381" t="str">
        <f>IF(CHMTCmTm!AW147=0,"",CHMTCmTm!AW147)</f>
        <v/>
      </c>
      <c r="AX148" s="396"/>
      <c r="AY148" s="382"/>
      <c r="AZ148" s="24">
        <f>CHMTCmTm!AZ147</f>
        <v>0</v>
      </c>
      <c r="BC148" s="24">
        <f>COUNTIF(CHMTCmTm!O147, "Outreach Session")</f>
        <v>0</v>
      </c>
      <c r="BD148" s="24">
        <f>COUNTIF(CHMTCmTm!O147, "Mobile Clinic")</f>
        <v>0</v>
      </c>
      <c r="BE148" s="24">
        <f>COUNTIF(CHMTCmTm!O147, "Health Facility")</f>
        <v>0</v>
      </c>
    </row>
    <row r="149" spans="2:57" s="24" customFormat="1" ht="21.95" customHeight="1" x14ac:dyDescent="0.25">
      <c r="B149" s="397" t="str">
        <f>IF(CHMTCmTm!B148=0,"",CHMTCmTm!B148)</f>
        <v/>
      </c>
      <c r="C149" s="398"/>
      <c r="D149" s="399"/>
      <c r="E149" s="216">
        <f t="shared" si="5"/>
        <v>0</v>
      </c>
      <c r="F149" s="397" t="str">
        <f>IF(CHMTCmTm!F148=0,"",CHMTCmTm!F148)</f>
        <v/>
      </c>
      <c r="G149" s="398"/>
      <c r="H149" s="399"/>
      <c r="I149" s="381" t="str">
        <f>IF(CHMTCmTm!I148=0,"",CHMTCmTm!I148)</f>
        <v/>
      </c>
      <c r="J149" s="382"/>
      <c r="K149" s="381" t="str">
        <f>IF(CHMTCmTm!K148=0,"",CHMTCmTm!K148)</f>
        <v/>
      </c>
      <c r="L149" s="382"/>
      <c r="M149" s="381" t="str">
        <f>IF(CHMTCmTm!M148=0,"",CHMTCmTm!M148)</f>
        <v/>
      </c>
      <c r="N149" s="382"/>
      <c r="O149" s="381" t="str">
        <f>IF(CHMTCmTm!O148=0,"",CHMTCmTm!O148)</f>
        <v/>
      </c>
      <c r="P149" s="382"/>
      <c r="Q149" s="215" t="b">
        <f t="shared" si="4"/>
        <v>0</v>
      </c>
      <c r="R149" s="381" t="str">
        <f>IF(CHMTCmTm!R148=0,"",CHMTCmTm!R148)</f>
        <v/>
      </c>
      <c r="S149" s="382"/>
      <c r="T149" s="381" t="str">
        <f>IF(CHMTCmTm!T148=0,"",CHMTCmTm!T148)</f>
        <v/>
      </c>
      <c r="U149" s="382"/>
      <c r="V149" s="381" t="str">
        <f>IF(CHMTCmTm!V148=0,"",CHMTCmTm!V148)</f>
        <v/>
      </c>
      <c r="W149" s="396"/>
      <c r="X149" s="396"/>
      <c r="Y149" s="382"/>
      <c r="Z149" s="215">
        <f>CHMTCmTm!Z148</f>
        <v>0</v>
      </c>
      <c r="AA149" s="381" t="str">
        <f>IF(CHMTCmTm!AA148=0,"",CHMTCmTm!AA148)</f>
        <v/>
      </c>
      <c r="AB149" s="396"/>
      <c r="AC149" s="382"/>
      <c r="AD149" s="215">
        <f>CHMTCmTm!AD148</f>
        <v>0</v>
      </c>
      <c r="AE149" s="381" t="str">
        <f>IF(CHMTCmTm!AE148=0,"",CHMTCmTm!AE148)</f>
        <v/>
      </c>
      <c r="AF149" s="396"/>
      <c r="AG149" s="382"/>
      <c r="AH149" s="215">
        <f>CHMTCmTm!AH148</f>
        <v>0</v>
      </c>
      <c r="AI149" s="381" t="str">
        <f>IF(CHMTCmTm!AI148=0,"",CHMTCmTm!AI148)</f>
        <v/>
      </c>
      <c r="AJ149" s="396"/>
      <c r="AK149" s="382"/>
      <c r="AL149" s="215">
        <f>CHMTCmTm!AL148</f>
        <v>0</v>
      </c>
      <c r="AM149" s="381" t="str">
        <f>IF(CHMTCmTm!AM148=0,"",CHMTCmTm!AM148)</f>
        <v/>
      </c>
      <c r="AN149" s="396"/>
      <c r="AO149" s="382"/>
      <c r="AP149" s="381" t="str">
        <f>IF(CHMTCmTm!AP148=0,"",CHMTCmTm!AP148)</f>
        <v/>
      </c>
      <c r="AQ149" s="382"/>
      <c r="AR149" s="381" t="str">
        <f>IF(CHMTCmTm!AR148=0,"",CHMTCmTm!AR148)</f>
        <v/>
      </c>
      <c r="AS149" s="382"/>
      <c r="AT149" s="381" t="str">
        <f>IF(CHMTCmTm!AT148=0,"",CHMTCmTm!AT148)</f>
        <v/>
      </c>
      <c r="AU149" s="396"/>
      <c r="AV149" s="382"/>
      <c r="AW149" s="381" t="str">
        <f>IF(CHMTCmTm!AW148=0,"",CHMTCmTm!AW148)</f>
        <v/>
      </c>
      <c r="AX149" s="396"/>
      <c r="AY149" s="382"/>
      <c r="AZ149" s="24">
        <f>CHMTCmTm!AZ148</f>
        <v>0</v>
      </c>
      <c r="BC149" s="24">
        <f>COUNTIF(CHMTCmTm!O148, "Outreach Session")</f>
        <v>0</v>
      </c>
      <c r="BD149" s="24">
        <f>COUNTIF(CHMTCmTm!O148, "Mobile Clinic")</f>
        <v>0</v>
      </c>
      <c r="BE149" s="24">
        <f>COUNTIF(CHMTCmTm!O148, "Health Facility")</f>
        <v>0</v>
      </c>
    </row>
    <row r="150" spans="2:57" s="24" customFormat="1" ht="21.95" customHeight="1" x14ac:dyDescent="0.25">
      <c r="B150" s="397" t="str">
        <f>IF(CHMTCmTm!B149=0,"",CHMTCmTm!B149)</f>
        <v/>
      </c>
      <c r="C150" s="398"/>
      <c r="D150" s="399"/>
      <c r="E150" s="216">
        <f t="shared" si="5"/>
        <v>0</v>
      </c>
      <c r="F150" s="397" t="str">
        <f>IF(CHMTCmTm!F149=0,"",CHMTCmTm!F149)</f>
        <v/>
      </c>
      <c r="G150" s="398"/>
      <c r="H150" s="399"/>
      <c r="I150" s="381" t="str">
        <f>IF(CHMTCmTm!I149=0,"",CHMTCmTm!I149)</f>
        <v/>
      </c>
      <c r="J150" s="382"/>
      <c r="K150" s="381" t="str">
        <f>IF(CHMTCmTm!K149=0,"",CHMTCmTm!K149)</f>
        <v/>
      </c>
      <c r="L150" s="382"/>
      <c r="M150" s="381" t="str">
        <f>IF(CHMTCmTm!M149=0,"",CHMTCmTm!M149)</f>
        <v/>
      </c>
      <c r="N150" s="382"/>
      <c r="O150" s="381" t="str">
        <f>IF(CHMTCmTm!O149=0,"",CHMTCmTm!O149)</f>
        <v/>
      </c>
      <c r="P150" s="382"/>
      <c r="Q150" s="215" t="b">
        <f t="shared" si="4"/>
        <v>0</v>
      </c>
      <c r="R150" s="381" t="str">
        <f>IF(CHMTCmTm!R149=0,"",CHMTCmTm!R149)</f>
        <v/>
      </c>
      <c r="S150" s="382"/>
      <c r="T150" s="381" t="str">
        <f>IF(CHMTCmTm!T149=0,"",CHMTCmTm!T149)</f>
        <v/>
      </c>
      <c r="U150" s="382"/>
      <c r="V150" s="381" t="str">
        <f>IF(CHMTCmTm!V149=0,"",CHMTCmTm!V149)</f>
        <v/>
      </c>
      <c r="W150" s="396"/>
      <c r="X150" s="396"/>
      <c r="Y150" s="382"/>
      <c r="Z150" s="215">
        <f>CHMTCmTm!Z149</f>
        <v>0</v>
      </c>
      <c r="AA150" s="381" t="str">
        <f>IF(CHMTCmTm!AA149=0,"",CHMTCmTm!AA149)</f>
        <v/>
      </c>
      <c r="AB150" s="396"/>
      <c r="AC150" s="382"/>
      <c r="AD150" s="215">
        <f>CHMTCmTm!AD149</f>
        <v>0</v>
      </c>
      <c r="AE150" s="381" t="str">
        <f>IF(CHMTCmTm!AE149=0,"",CHMTCmTm!AE149)</f>
        <v/>
      </c>
      <c r="AF150" s="396"/>
      <c r="AG150" s="382"/>
      <c r="AH150" s="215">
        <f>CHMTCmTm!AH149</f>
        <v>0</v>
      </c>
      <c r="AI150" s="381" t="str">
        <f>IF(CHMTCmTm!AI149=0,"",CHMTCmTm!AI149)</f>
        <v/>
      </c>
      <c r="AJ150" s="396"/>
      <c r="AK150" s="382"/>
      <c r="AL150" s="215">
        <f>CHMTCmTm!AL149</f>
        <v>0</v>
      </c>
      <c r="AM150" s="381" t="str">
        <f>IF(CHMTCmTm!AM149=0,"",CHMTCmTm!AM149)</f>
        <v/>
      </c>
      <c r="AN150" s="396"/>
      <c r="AO150" s="382"/>
      <c r="AP150" s="381" t="str">
        <f>IF(CHMTCmTm!AP149=0,"",CHMTCmTm!AP149)</f>
        <v/>
      </c>
      <c r="AQ150" s="382"/>
      <c r="AR150" s="381" t="str">
        <f>IF(CHMTCmTm!AR149=0,"",CHMTCmTm!AR149)</f>
        <v/>
      </c>
      <c r="AS150" s="382"/>
      <c r="AT150" s="381" t="str">
        <f>IF(CHMTCmTm!AT149=0,"",CHMTCmTm!AT149)</f>
        <v/>
      </c>
      <c r="AU150" s="396"/>
      <c r="AV150" s="382"/>
      <c r="AW150" s="381" t="str">
        <f>IF(CHMTCmTm!AW149=0,"",CHMTCmTm!AW149)</f>
        <v/>
      </c>
      <c r="AX150" s="396"/>
      <c r="AY150" s="382"/>
      <c r="AZ150" s="24">
        <f>CHMTCmTm!AZ149</f>
        <v>0</v>
      </c>
      <c r="BC150" s="24">
        <f>COUNTIF(CHMTCmTm!O149, "Outreach Session")</f>
        <v>0</v>
      </c>
      <c r="BD150" s="24">
        <f>COUNTIF(CHMTCmTm!O149, "Mobile Clinic")</f>
        <v>0</v>
      </c>
      <c r="BE150" s="24">
        <f>COUNTIF(CHMTCmTm!O149, "Health Facility")</f>
        <v>0</v>
      </c>
    </row>
    <row r="151" spans="2:57" s="24" customFormat="1" ht="21.95" customHeight="1" x14ac:dyDescent="0.25">
      <c r="B151" s="397" t="str">
        <f>IF(CHMTCmTm!B150=0,"",CHMTCmTm!B150)</f>
        <v/>
      </c>
      <c r="C151" s="398"/>
      <c r="D151" s="399"/>
      <c r="E151" s="216">
        <f t="shared" si="5"/>
        <v>0</v>
      </c>
      <c r="F151" s="397" t="str">
        <f>IF(CHMTCmTm!F150=0,"",CHMTCmTm!F150)</f>
        <v/>
      </c>
      <c r="G151" s="398"/>
      <c r="H151" s="399"/>
      <c r="I151" s="381" t="str">
        <f>IF(CHMTCmTm!I150=0,"",CHMTCmTm!I150)</f>
        <v/>
      </c>
      <c r="J151" s="382"/>
      <c r="K151" s="381" t="str">
        <f>IF(CHMTCmTm!K150=0,"",CHMTCmTm!K150)</f>
        <v/>
      </c>
      <c r="L151" s="382"/>
      <c r="M151" s="381" t="str">
        <f>IF(CHMTCmTm!M150=0,"",CHMTCmTm!M150)</f>
        <v/>
      </c>
      <c r="N151" s="382"/>
      <c r="O151" s="381" t="str">
        <f>IF(CHMTCmTm!O150=0,"",CHMTCmTm!O150)</f>
        <v/>
      </c>
      <c r="P151" s="382"/>
      <c r="Q151" s="215" t="b">
        <f t="shared" si="4"/>
        <v>0</v>
      </c>
      <c r="R151" s="381" t="str">
        <f>IF(CHMTCmTm!R150=0,"",CHMTCmTm!R150)</f>
        <v/>
      </c>
      <c r="S151" s="382"/>
      <c r="T151" s="381" t="str">
        <f>IF(CHMTCmTm!T150=0,"",CHMTCmTm!T150)</f>
        <v/>
      </c>
      <c r="U151" s="382"/>
      <c r="V151" s="381" t="str">
        <f>IF(CHMTCmTm!V150=0,"",CHMTCmTm!V150)</f>
        <v/>
      </c>
      <c r="W151" s="396"/>
      <c r="X151" s="396"/>
      <c r="Y151" s="382"/>
      <c r="Z151" s="215">
        <f>CHMTCmTm!Z150</f>
        <v>0</v>
      </c>
      <c r="AA151" s="381" t="str">
        <f>IF(CHMTCmTm!AA150=0,"",CHMTCmTm!AA150)</f>
        <v/>
      </c>
      <c r="AB151" s="396"/>
      <c r="AC151" s="382"/>
      <c r="AD151" s="215">
        <f>CHMTCmTm!AD150</f>
        <v>0</v>
      </c>
      <c r="AE151" s="381" t="str">
        <f>IF(CHMTCmTm!AE150=0,"",CHMTCmTm!AE150)</f>
        <v/>
      </c>
      <c r="AF151" s="396"/>
      <c r="AG151" s="382"/>
      <c r="AH151" s="215">
        <f>CHMTCmTm!AH150</f>
        <v>0</v>
      </c>
      <c r="AI151" s="381" t="str">
        <f>IF(CHMTCmTm!AI150=0,"",CHMTCmTm!AI150)</f>
        <v/>
      </c>
      <c r="AJ151" s="396"/>
      <c r="AK151" s="382"/>
      <c r="AL151" s="215">
        <f>CHMTCmTm!AL150</f>
        <v>0</v>
      </c>
      <c r="AM151" s="381" t="str">
        <f>IF(CHMTCmTm!AM150=0,"",CHMTCmTm!AM150)</f>
        <v/>
      </c>
      <c r="AN151" s="396"/>
      <c r="AO151" s="382"/>
      <c r="AP151" s="381" t="str">
        <f>IF(CHMTCmTm!AP150=0,"",CHMTCmTm!AP150)</f>
        <v/>
      </c>
      <c r="AQ151" s="382"/>
      <c r="AR151" s="381" t="str">
        <f>IF(CHMTCmTm!AR150=0,"",CHMTCmTm!AR150)</f>
        <v/>
      </c>
      <c r="AS151" s="382"/>
      <c r="AT151" s="381" t="str">
        <f>IF(CHMTCmTm!AT150=0,"",CHMTCmTm!AT150)</f>
        <v/>
      </c>
      <c r="AU151" s="396"/>
      <c r="AV151" s="382"/>
      <c r="AW151" s="381" t="str">
        <f>IF(CHMTCmTm!AW150=0,"",CHMTCmTm!AW150)</f>
        <v/>
      </c>
      <c r="AX151" s="396"/>
      <c r="AY151" s="382"/>
      <c r="AZ151" s="24">
        <f>CHMTCmTm!AZ150</f>
        <v>0</v>
      </c>
      <c r="BC151" s="24">
        <f>COUNTIF(CHMTCmTm!O150, "Outreach Session")</f>
        <v>0</v>
      </c>
      <c r="BD151" s="24">
        <f>COUNTIF(CHMTCmTm!O150, "Mobile Clinic")</f>
        <v>0</v>
      </c>
      <c r="BE151" s="24">
        <f>COUNTIF(CHMTCmTm!O150, "Health Facility")</f>
        <v>0</v>
      </c>
    </row>
    <row r="152" spans="2:57" s="24" customFormat="1" ht="21.95" customHeight="1" x14ac:dyDescent="0.25">
      <c r="B152" s="397" t="str">
        <f>IF(CHMTCmTm!B151=0,"",CHMTCmTm!B151)</f>
        <v/>
      </c>
      <c r="C152" s="398"/>
      <c r="D152" s="399"/>
      <c r="E152" s="216">
        <f t="shared" si="5"/>
        <v>0</v>
      </c>
      <c r="F152" s="397" t="str">
        <f>IF(CHMTCmTm!F151=0,"",CHMTCmTm!F151)</f>
        <v/>
      </c>
      <c r="G152" s="398"/>
      <c r="H152" s="399"/>
      <c r="I152" s="381" t="str">
        <f>IF(CHMTCmTm!I151=0,"",CHMTCmTm!I151)</f>
        <v/>
      </c>
      <c r="J152" s="382"/>
      <c r="K152" s="381" t="str">
        <f>IF(CHMTCmTm!K151=0,"",CHMTCmTm!K151)</f>
        <v/>
      </c>
      <c r="L152" s="382"/>
      <c r="M152" s="381" t="str">
        <f>IF(CHMTCmTm!M151=0,"",CHMTCmTm!M151)</f>
        <v/>
      </c>
      <c r="N152" s="382"/>
      <c r="O152" s="381" t="str">
        <f>IF(CHMTCmTm!O151=0,"",CHMTCmTm!O151)</f>
        <v/>
      </c>
      <c r="P152" s="382"/>
      <c r="Q152" s="215" t="b">
        <f t="shared" si="4"/>
        <v>0</v>
      </c>
      <c r="R152" s="381" t="str">
        <f>IF(CHMTCmTm!R151=0,"",CHMTCmTm!R151)</f>
        <v/>
      </c>
      <c r="S152" s="382"/>
      <c r="T152" s="381" t="str">
        <f>IF(CHMTCmTm!T151=0,"",CHMTCmTm!T151)</f>
        <v/>
      </c>
      <c r="U152" s="382"/>
      <c r="V152" s="381" t="str">
        <f>IF(CHMTCmTm!V151=0,"",CHMTCmTm!V151)</f>
        <v/>
      </c>
      <c r="W152" s="396"/>
      <c r="X152" s="396"/>
      <c r="Y152" s="382"/>
      <c r="Z152" s="215">
        <f>CHMTCmTm!Z151</f>
        <v>0</v>
      </c>
      <c r="AA152" s="381" t="str">
        <f>IF(CHMTCmTm!AA151=0,"",CHMTCmTm!AA151)</f>
        <v/>
      </c>
      <c r="AB152" s="396"/>
      <c r="AC152" s="382"/>
      <c r="AD152" s="215">
        <f>CHMTCmTm!AD151</f>
        <v>0</v>
      </c>
      <c r="AE152" s="381" t="str">
        <f>IF(CHMTCmTm!AE151=0,"",CHMTCmTm!AE151)</f>
        <v/>
      </c>
      <c r="AF152" s="396"/>
      <c r="AG152" s="382"/>
      <c r="AH152" s="215">
        <f>CHMTCmTm!AH151</f>
        <v>0</v>
      </c>
      <c r="AI152" s="381" t="str">
        <f>IF(CHMTCmTm!AI151=0,"",CHMTCmTm!AI151)</f>
        <v/>
      </c>
      <c r="AJ152" s="396"/>
      <c r="AK152" s="382"/>
      <c r="AL152" s="215">
        <f>CHMTCmTm!AL151</f>
        <v>0</v>
      </c>
      <c r="AM152" s="381" t="str">
        <f>IF(CHMTCmTm!AM151=0,"",CHMTCmTm!AM151)</f>
        <v/>
      </c>
      <c r="AN152" s="396"/>
      <c r="AO152" s="382"/>
      <c r="AP152" s="381" t="str">
        <f>IF(CHMTCmTm!AP151=0,"",CHMTCmTm!AP151)</f>
        <v/>
      </c>
      <c r="AQ152" s="382"/>
      <c r="AR152" s="381" t="str">
        <f>IF(CHMTCmTm!AR151=0,"",CHMTCmTm!AR151)</f>
        <v/>
      </c>
      <c r="AS152" s="382"/>
      <c r="AT152" s="381" t="str">
        <f>IF(CHMTCmTm!AT151=0,"",CHMTCmTm!AT151)</f>
        <v/>
      </c>
      <c r="AU152" s="396"/>
      <c r="AV152" s="382"/>
      <c r="AW152" s="381" t="str">
        <f>IF(CHMTCmTm!AW151=0,"",CHMTCmTm!AW151)</f>
        <v/>
      </c>
      <c r="AX152" s="396"/>
      <c r="AY152" s="382"/>
      <c r="AZ152" s="24">
        <f>CHMTCmTm!AZ151</f>
        <v>0</v>
      </c>
      <c r="BC152" s="24">
        <f>COUNTIF(CHMTCmTm!O151, "Outreach Session")</f>
        <v>0</v>
      </c>
      <c r="BD152" s="24">
        <f>COUNTIF(CHMTCmTm!O151, "Mobile Clinic")</f>
        <v>0</v>
      </c>
      <c r="BE152" s="24">
        <f>COUNTIF(CHMTCmTm!O151, "Health Facility")</f>
        <v>0</v>
      </c>
    </row>
    <row r="153" spans="2:57" s="24" customFormat="1" ht="21.95" customHeight="1" x14ac:dyDescent="0.25">
      <c r="B153" s="397" t="str">
        <f>IF(CHMTCmTm!B152=0,"",CHMTCmTm!B152)</f>
        <v/>
      </c>
      <c r="C153" s="398"/>
      <c r="D153" s="399"/>
      <c r="E153" s="216">
        <f t="shared" si="5"/>
        <v>0</v>
      </c>
      <c r="F153" s="397" t="str">
        <f>IF(CHMTCmTm!F152=0,"",CHMTCmTm!F152)</f>
        <v/>
      </c>
      <c r="G153" s="398"/>
      <c r="H153" s="399"/>
      <c r="I153" s="381" t="str">
        <f>IF(CHMTCmTm!I152=0,"",CHMTCmTm!I152)</f>
        <v/>
      </c>
      <c r="J153" s="382"/>
      <c r="K153" s="381" t="str">
        <f>IF(CHMTCmTm!K152=0,"",CHMTCmTm!K152)</f>
        <v/>
      </c>
      <c r="L153" s="382"/>
      <c r="M153" s="381" t="str">
        <f>IF(CHMTCmTm!M152=0,"",CHMTCmTm!M152)</f>
        <v/>
      </c>
      <c r="N153" s="382"/>
      <c r="O153" s="381" t="str">
        <f>IF(CHMTCmTm!O152=0,"",CHMTCmTm!O152)</f>
        <v/>
      </c>
      <c r="P153" s="382"/>
      <c r="Q153" s="215" t="b">
        <f t="shared" si="4"/>
        <v>0</v>
      </c>
      <c r="R153" s="381" t="str">
        <f>IF(CHMTCmTm!R152=0,"",CHMTCmTm!R152)</f>
        <v/>
      </c>
      <c r="S153" s="382"/>
      <c r="T153" s="381" t="str">
        <f>IF(CHMTCmTm!T152=0,"",CHMTCmTm!T152)</f>
        <v/>
      </c>
      <c r="U153" s="382"/>
      <c r="V153" s="381" t="str">
        <f>IF(CHMTCmTm!V152=0,"",CHMTCmTm!V152)</f>
        <v/>
      </c>
      <c r="W153" s="396"/>
      <c r="X153" s="396"/>
      <c r="Y153" s="382"/>
      <c r="Z153" s="215">
        <f>CHMTCmTm!Z152</f>
        <v>0</v>
      </c>
      <c r="AA153" s="381" t="str">
        <f>IF(CHMTCmTm!AA152=0,"",CHMTCmTm!AA152)</f>
        <v/>
      </c>
      <c r="AB153" s="396"/>
      <c r="AC153" s="382"/>
      <c r="AD153" s="215">
        <f>CHMTCmTm!AD152</f>
        <v>0</v>
      </c>
      <c r="AE153" s="381" t="str">
        <f>IF(CHMTCmTm!AE152=0,"",CHMTCmTm!AE152)</f>
        <v/>
      </c>
      <c r="AF153" s="396"/>
      <c r="AG153" s="382"/>
      <c r="AH153" s="215">
        <f>CHMTCmTm!AH152</f>
        <v>0</v>
      </c>
      <c r="AI153" s="381" t="str">
        <f>IF(CHMTCmTm!AI152=0,"",CHMTCmTm!AI152)</f>
        <v/>
      </c>
      <c r="AJ153" s="396"/>
      <c r="AK153" s="382"/>
      <c r="AL153" s="215">
        <f>CHMTCmTm!AL152</f>
        <v>0</v>
      </c>
      <c r="AM153" s="381" t="str">
        <f>IF(CHMTCmTm!AM152=0,"",CHMTCmTm!AM152)</f>
        <v/>
      </c>
      <c r="AN153" s="396"/>
      <c r="AO153" s="382"/>
      <c r="AP153" s="381" t="str">
        <f>IF(CHMTCmTm!AP152=0,"",CHMTCmTm!AP152)</f>
        <v/>
      </c>
      <c r="AQ153" s="382"/>
      <c r="AR153" s="381" t="str">
        <f>IF(CHMTCmTm!AR152=0,"",CHMTCmTm!AR152)</f>
        <v/>
      </c>
      <c r="AS153" s="382"/>
      <c r="AT153" s="381" t="str">
        <f>IF(CHMTCmTm!AT152=0,"",CHMTCmTm!AT152)</f>
        <v/>
      </c>
      <c r="AU153" s="396"/>
      <c r="AV153" s="382"/>
      <c r="AW153" s="381" t="str">
        <f>IF(CHMTCmTm!AW152=0,"",CHMTCmTm!AW152)</f>
        <v/>
      </c>
      <c r="AX153" s="396"/>
      <c r="AY153" s="382"/>
      <c r="AZ153" s="24">
        <f>CHMTCmTm!AZ152</f>
        <v>0</v>
      </c>
      <c r="BC153" s="24">
        <f>COUNTIF(CHMTCmTm!O152, "Outreach Session")</f>
        <v>0</v>
      </c>
      <c r="BD153" s="24">
        <f>COUNTIF(CHMTCmTm!O152, "Mobile Clinic")</f>
        <v>0</v>
      </c>
      <c r="BE153" s="24">
        <f>COUNTIF(CHMTCmTm!O152, "Health Facility")</f>
        <v>0</v>
      </c>
    </row>
    <row r="154" spans="2:57" s="24" customFormat="1" ht="21.95" customHeight="1" x14ac:dyDescent="0.25">
      <c r="B154" s="397" t="str">
        <f>IF(CHMTCmTm!B153=0,"",CHMTCmTm!B153)</f>
        <v/>
      </c>
      <c r="C154" s="398"/>
      <c r="D154" s="399"/>
      <c r="E154" s="216">
        <f t="shared" si="5"/>
        <v>0</v>
      </c>
      <c r="F154" s="397" t="str">
        <f>IF(CHMTCmTm!F153=0,"",CHMTCmTm!F153)</f>
        <v/>
      </c>
      <c r="G154" s="398"/>
      <c r="H154" s="399"/>
      <c r="I154" s="381" t="str">
        <f>IF(CHMTCmTm!I153=0,"",CHMTCmTm!I153)</f>
        <v/>
      </c>
      <c r="J154" s="382"/>
      <c r="K154" s="381" t="str">
        <f>IF(CHMTCmTm!K153=0,"",CHMTCmTm!K153)</f>
        <v/>
      </c>
      <c r="L154" s="382"/>
      <c r="M154" s="381" t="str">
        <f>IF(CHMTCmTm!M153=0,"",CHMTCmTm!M153)</f>
        <v/>
      </c>
      <c r="N154" s="382"/>
      <c r="O154" s="381" t="str">
        <f>IF(CHMTCmTm!O153=0,"",CHMTCmTm!O153)</f>
        <v/>
      </c>
      <c r="P154" s="382"/>
      <c r="Q154" s="215" t="b">
        <f t="shared" si="4"/>
        <v>0</v>
      </c>
      <c r="R154" s="381" t="str">
        <f>IF(CHMTCmTm!R153=0,"",CHMTCmTm!R153)</f>
        <v/>
      </c>
      <c r="S154" s="382"/>
      <c r="T154" s="381" t="str">
        <f>IF(CHMTCmTm!T153=0,"",CHMTCmTm!T153)</f>
        <v/>
      </c>
      <c r="U154" s="382"/>
      <c r="V154" s="381" t="str">
        <f>IF(CHMTCmTm!V153=0,"",CHMTCmTm!V153)</f>
        <v/>
      </c>
      <c r="W154" s="396"/>
      <c r="X154" s="396"/>
      <c r="Y154" s="382"/>
      <c r="Z154" s="215">
        <f>CHMTCmTm!Z153</f>
        <v>0</v>
      </c>
      <c r="AA154" s="381" t="str">
        <f>IF(CHMTCmTm!AA153=0,"",CHMTCmTm!AA153)</f>
        <v/>
      </c>
      <c r="AB154" s="396"/>
      <c r="AC154" s="382"/>
      <c r="AD154" s="215">
        <f>CHMTCmTm!AD153</f>
        <v>0</v>
      </c>
      <c r="AE154" s="381" t="str">
        <f>IF(CHMTCmTm!AE153=0,"",CHMTCmTm!AE153)</f>
        <v/>
      </c>
      <c r="AF154" s="396"/>
      <c r="AG154" s="382"/>
      <c r="AH154" s="215">
        <f>CHMTCmTm!AH153</f>
        <v>0</v>
      </c>
      <c r="AI154" s="381" t="str">
        <f>IF(CHMTCmTm!AI153=0,"",CHMTCmTm!AI153)</f>
        <v/>
      </c>
      <c r="AJ154" s="396"/>
      <c r="AK154" s="382"/>
      <c r="AL154" s="215">
        <f>CHMTCmTm!AL153</f>
        <v>0</v>
      </c>
      <c r="AM154" s="381" t="str">
        <f>IF(CHMTCmTm!AM153=0,"",CHMTCmTm!AM153)</f>
        <v/>
      </c>
      <c r="AN154" s="396"/>
      <c r="AO154" s="382"/>
      <c r="AP154" s="381" t="str">
        <f>IF(CHMTCmTm!AP153=0,"",CHMTCmTm!AP153)</f>
        <v/>
      </c>
      <c r="AQ154" s="382"/>
      <c r="AR154" s="381" t="str">
        <f>IF(CHMTCmTm!AR153=0,"",CHMTCmTm!AR153)</f>
        <v/>
      </c>
      <c r="AS154" s="382"/>
      <c r="AT154" s="381" t="str">
        <f>IF(CHMTCmTm!AT153=0,"",CHMTCmTm!AT153)</f>
        <v/>
      </c>
      <c r="AU154" s="396"/>
      <c r="AV154" s="382"/>
      <c r="AW154" s="381" t="str">
        <f>IF(CHMTCmTm!AW153=0,"",CHMTCmTm!AW153)</f>
        <v/>
      </c>
      <c r="AX154" s="396"/>
      <c r="AY154" s="382"/>
      <c r="AZ154" s="24">
        <f>CHMTCmTm!AZ153</f>
        <v>0</v>
      </c>
      <c r="BC154" s="24">
        <f>COUNTIF(CHMTCmTm!O153, "Outreach Session")</f>
        <v>0</v>
      </c>
      <c r="BD154" s="24">
        <f>COUNTIF(CHMTCmTm!O153, "Mobile Clinic")</f>
        <v>0</v>
      </c>
      <c r="BE154" s="24">
        <f>COUNTIF(CHMTCmTm!O153, "Health Facility")</f>
        <v>0</v>
      </c>
    </row>
    <row r="155" spans="2:57" s="24" customFormat="1" ht="21.95" customHeight="1" x14ac:dyDescent="0.25">
      <c r="B155" s="397" t="str">
        <f>IF(CHMTCmTm!B154=0,"",CHMTCmTm!B154)</f>
        <v/>
      </c>
      <c r="C155" s="398"/>
      <c r="D155" s="399"/>
      <c r="E155" s="216">
        <f t="shared" si="5"/>
        <v>0</v>
      </c>
      <c r="F155" s="397" t="str">
        <f>IF(CHMTCmTm!F154=0,"",CHMTCmTm!F154)</f>
        <v/>
      </c>
      <c r="G155" s="398"/>
      <c r="H155" s="399"/>
      <c r="I155" s="381" t="str">
        <f>IF(CHMTCmTm!I154=0,"",CHMTCmTm!I154)</f>
        <v/>
      </c>
      <c r="J155" s="382"/>
      <c r="K155" s="381" t="str">
        <f>IF(CHMTCmTm!K154=0,"",CHMTCmTm!K154)</f>
        <v/>
      </c>
      <c r="L155" s="382"/>
      <c r="M155" s="381" t="str">
        <f>IF(CHMTCmTm!M154=0,"",CHMTCmTm!M154)</f>
        <v/>
      </c>
      <c r="N155" s="382"/>
      <c r="O155" s="381" t="str">
        <f>IF(CHMTCmTm!O154=0,"",CHMTCmTm!O154)</f>
        <v/>
      </c>
      <c r="P155" s="382"/>
      <c r="Q155" s="215" t="b">
        <f t="shared" si="4"/>
        <v>0</v>
      </c>
      <c r="R155" s="381" t="str">
        <f>IF(CHMTCmTm!R154=0,"",CHMTCmTm!R154)</f>
        <v/>
      </c>
      <c r="S155" s="382"/>
      <c r="T155" s="381" t="str">
        <f>IF(CHMTCmTm!T154=0,"",CHMTCmTm!T154)</f>
        <v/>
      </c>
      <c r="U155" s="382"/>
      <c r="V155" s="381" t="str">
        <f>IF(CHMTCmTm!V154=0,"",CHMTCmTm!V154)</f>
        <v/>
      </c>
      <c r="W155" s="396"/>
      <c r="X155" s="396"/>
      <c r="Y155" s="382"/>
      <c r="Z155" s="215">
        <f>CHMTCmTm!Z154</f>
        <v>0</v>
      </c>
      <c r="AA155" s="381" t="str">
        <f>IF(CHMTCmTm!AA154=0,"",CHMTCmTm!AA154)</f>
        <v/>
      </c>
      <c r="AB155" s="396"/>
      <c r="AC155" s="382"/>
      <c r="AD155" s="215">
        <f>CHMTCmTm!AD154</f>
        <v>0</v>
      </c>
      <c r="AE155" s="381" t="str">
        <f>IF(CHMTCmTm!AE154=0,"",CHMTCmTm!AE154)</f>
        <v/>
      </c>
      <c r="AF155" s="396"/>
      <c r="AG155" s="382"/>
      <c r="AH155" s="215">
        <f>CHMTCmTm!AH154</f>
        <v>0</v>
      </c>
      <c r="AI155" s="381" t="str">
        <f>IF(CHMTCmTm!AI154=0,"",CHMTCmTm!AI154)</f>
        <v/>
      </c>
      <c r="AJ155" s="396"/>
      <c r="AK155" s="382"/>
      <c r="AL155" s="215">
        <f>CHMTCmTm!AL154</f>
        <v>0</v>
      </c>
      <c r="AM155" s="381" t="str">
        <f>IF(CHMTCmTm!AM154=0,"",CHMTCmTm!AM154)</f>
        <v/>
      </c>
      <c r="AN155" s="396"/>
      <c r="AO155" s="382"/>
      <c r="AP155" s="381" t="str">
        <f>IF(CHMTCmTm!AP154=0,"",CHMTCmTm!AP154)</f>
        <v/>
      </c>
      <c r="AQ155" s="382"/>
      <c r="AR155" s="381" t="str">
        <f>IF(CHMTCmTm!AR154=0,"",CHMTCmTm!AR154)</f>
        <v/>
      </c>
      <c r="AS155" s="382"/>
      <c r="AT155" s="381" t="str">
        <f>IF(CHMTCmTm!AT154=0,"",CHMTCmTm!AT154)</f>
        <v/>
      </c>
      <c r="AU155" s="396"/>
      <c r="AV155" s="382"/>
      <c r="AW155" s="381" t="str">
        <f>IF(CHMTCmTm!AW154=0,"",CHMTCmTm!AW154)</f>
        <v/>
      </c>
      <c r="AX155" s="396"/>
      <c r="AY155" s="382"/>
      <c r="AZ155" s="24">
        <f>CHMTCmTm!AZ154</f>
        <v>0</v>
      </c>
      <c r="BC155" s="24">
        <f>COUNTIF(CHMTCmTm!O154, "Outreach Session")</f>
        <v>0</v>
      </c>
      <c r="BD155" s="24">
        <f>COUNTIF(CHMTCmTm!O154, "Mobile Clinic")</f>
        <v>0</v>
      </c>
      <c r="BE155" s="24">
        <f>COUNTIF(CHMTCmTm!O154, "Health Facility")</f>
        <v>0</v>
      </c>
    </row>
    <row r="156" spans="2:57" s="24" customFormat="1" ht="21.95" customHeight="1" x14ac:dyDescent="0.25">
      <c r="B156" s="397" t="str">
        <f>IF(CHMTCmTm!B155=0,"",CHMTCmTm!B155)</f>
        <v/>
      </c>
      <c r="C156" s="398"/>
      <c r="D156" s="399"/>
      <c r="E156" s="216">
        <f t="shared" si="5"/>
        <v>0</v>
      </c>
      <c r="F156" s="397" t="str">
        <f>IF(CHMTCmTm!F155=0,"",CHMTCmTm!F155)</f>
        <v/>
      </c>
      <c r="G156" s="398"/>
      <c r="H156" s="399"/>
      <c r="I156" s="381" t="str">
        <f>IF(CHMTCmTm!I155=0,"",CHMTCmTm!I155)</f>
        <v/>
      </c>
      <c r="J156" s="382"/>
      <c r="K156" s="381" t="str">
        <f>IF(CHMTCmTm!K155=0,"",CHMTCmTm!K155)</f>
        <v/>
      </c>
      <c r="L156" s="382"/>
      <c r="M156" s="381" t="str">
        <f>IF(CHMTCmTm!M155=0,"",CHMTCmTm!M155)</f>
        <v/>
      </c>
      <c r="N156" s="382"/>
      <c r="O156" s="381" t="str">
        <f>IF(CHMTCmTm!O155=0,"",CHMTCmTm!O155)</f>
        <v/>
      </c>
      <c r="P156" s="382"/>
      <c r="Q156" s="215" t="b">
        <f t="shared" si="4"/>
        <v>0</v>
      </c>
      <c r="R156" s="381" t="str">
        <f>IF(CHMTCmTm!R155=0,"",CHMTCmTm!R155)</f>
        <v/>
      </c>
      <c r="S156" s="382"/>
      <c r="T156" s="381" t="str">
        <f>IF(CHMTCmTm!T155=0,"",CHMTCmTm!T155)</f>
        <v/>
      </c>
      <c r="U156" s="382"/>
      <c r="V156" s="381" t="str">
        <f>IF(CHMTCmTm!V155=0,"",CHMTCmTm!V155)</f>
        <v/>
      </c>
      <c r="W156" s="396"/>
      <c r="X156" s="396"/>
      <c r="Y156" s="382"/>
      <c r="Z156" s="215">
        <f>CHMTCmTm!Z155</f>
        <v>0</v>
      </c>
      <c r="AA156" s="381" t="str">
        <f>IF(CHMTCmTm!AA155=0,"",CHMTCmTm!AA155)</f>
        <v/>
      </c>
      <c r="AB156" s="396"/>
      <c r="AC156" s="382"/>
      <c r="AD156" s="215">
        <f>CHMTCmTm!AD155</f>
        <v>0</v>
      </c>
      <c r="AE156" s="381" t="str">
        <f>IF(CHMTCmTm!AE155=0,"",CHMTCmTm!AE155)</f>
        <v/>
      </c>
      <c r="AF156" s="396"/>
      <c r="AG156" s="382"/>
      <c r="AH156" s="215">
        <f>CHMTCmTm!AH155</f>
        <v>0</v>
      </c>
      <c r="AI156" s="381" t="str">
        <f>IF(CHMTCmTm!AI155=0,"",CHMTCmTm!AI155)</f>
        <v/>
      </c>
      <c r="AJ156" s="396"/>
      <c r="AK156" s="382"/>
      <c r="AL156" s="215">
        <f>CHMTCmTm!AL155</f>
        <v>0</v>
      </c>
      <c r="AM156" s="381" t="str">
        <f>IF(CHMTCmTm!AM155=0,"",CHMTCmTm!AM155)</f>
        <v/>
      </c>
      <c r="AN156" s="396"/>
      <c r="AO156" s="382"/>
      <c r="AP156" s="381" t="str">
        <f>IF(CHMTCmTm!AP155=0,"",CHMTCmTm!AP155)</f>
        <v/>
      </c>
      <c r="AQ156" s="382"/>
      <c r="AR156" s="381" t="str">
        <f>IF(CHMTCmTm!AR155=0,"",CHMTCmTm!AR155)</f>
        <v/>
      </c>
      <c r="AS156" s="382"/>
      <c r="AT156" s="381" t="str">
        <f>IF(CHMTCmTm!AT155=0,"",CHMTCmTm!AT155)</f>
        <v/>
      </c>
      <c r="AU156" s="396"/>
      <c r="AV156" s="382"/>
      <c r="AW156" s="381" t="str">
        <f>IF(CHMTCmTm!AW155=0,"",CHMTCmTm!AW155)</f>
        <v/>
      </c>
      <c r="AX156" s="396"/>
      <c r="AY156" s="382"/>
      <c r="AZ156" s="24">
        <f>CHMTCmTm!AZ155</f>
        <v>0</v>
      </c>
      <c r="BC156" s="24">
        <f>COUNTIF(CHMTCmTm!O155, "Outreach Session")</f>
        <v>0</v>
      </c>
      <c r="BD156" s="24">
        <f>COUNTIF(CHMTCmTm!O155, "Mobile Clinic")</f>
        <v>0</v>
      </c>
      <c r="BE156" s="24">
        <f>COUNTIF(CHMTCmTm!O155, "Health Facility")</f>
        <v>0</v>
      </c>
    </row>
    <row r="157" spans="2:57" s="24" customFormat="1" ht="21.95" customHeight="1" x14ac:dyDescent="0.25">
      <c r="B157" s="397" t="str">
        <f>IF(CHMTCmTm!B156=0,"",CHMTCmTm!B156)</f>
        <v/>
      </c>
      <c r="C157" s="398"/>
      <c r="D157" s="399"/>
      <c r="E157" s="216">
        <f t="shared" si="5"/>
        <v>0</v>
      </c>
      <c r="F157" s="397" t="str">
        <f>IF(CHMTCmTm!F156=0,"",CHMTCmTm!F156)</f>
        <v/>
      </c>
      <c r="G157" s="398"/>
      <c r="H157" s="399"/>
      <c r="I157" s="381" t="str">
        <f>IF(CHMTCmTm!I156=0,"",CHMTCmTm!I156)</f>
        <v/>
      </c>
      <c r="J157" s="382"/>
      <c r="K157" s="381" t="str">
        <f>IF(CHMTCmTm!K156=0,"",CHMTCmTm!K156)</f>
        <v/>
      </c>
      <c r="L157" s="382"/>
      <c r="M157" s="381" t="str">
        <f>IF(CHMTCmTm!M156=0,"",CHMTCmTm!M156)</f>
        <v/>
      </c>
      <c r="N157" s="382"/>
      <c r="O157" s="381" t="str">
        <f>IF(CHMTCmTm!O156=0,"",CHMTCmTm!O156)</f>
        <v/>
      </c>
      <c r="P157" s="382"/>
      <c r="Q157" s="215" t="b">
        <f t="shared" si="4"/>
        <v>0</v>
      </c>
      <c r="R157" s="381" t="str">
        <f>IF(CHMTCmTm!R156=0,"",CHMTCmTm!R156)</f>
        <v/>
      </c>
      <c r="S157" s="382"/>
      <c r="T157" s="381" t="str">
        <f>IF(CHMTCmTm!T156=0,"",CHMTCmTm!T156)</f>
        <v/>
      </c>
      <c r="U157" s="382"/>
      <c r="V157" s="381" t="str">
        <f>IF(CHMTCmTm!V156=0,"",CHMTCmTm!V156)</f>
        <v/>
      </c>
      <c r="W157" s="396"/>
      <c r="X157" s="396"/>
      <c r="Y157" s="382"/>
      <c r="Z157" s="215">
        <f>CHMTCmTm!Z156</f>
        <v>0</v>
      </c>
      <c r="AA157" s="381" t="str">
        <f>IF(CHMTCmTm!AA156=0,"",CHMTCmTm!AA156)</f>
        <v/>
      </c>
      <c r="AB157" s="396"/>
      <c r="AC157" s="382"/>
      <c r="AD157" s="215">
        <f>CHMTCmTm!AD156</f>
        <v>0</v>
      </c>
      <c r="AE157" s="381" t="str">
        <f>IF(CHMTCmTm!AE156=0,"",CHMTCmTm!AE156)</f>
        <v/>
      </c>
      <c r="AF157" s="396"/>
      <c r="AG157" s="382"/>
      <c r="AH157" s="215">
        <f>CHMTCmTm!AH156</f>
        <v>0</v>
      </c>
      <c r="AI157" s="381" t="str">
        <f>IF(CHMTCmTm!AI156=0,"",CHMTCmTm!AI156)</f>
        <v/>
      </c>
      <c r="AJ157" s="396"/>
      <c r="AK157" s="382"/>
      <c r="AL157" s="215">
        <f>CHMTCmTm!AL156</f>
        <v>0</v>
      </c>
      <c r="AM157" s="381" t="str">
        <f>IF(CHMTCmTm!AM156=0,"",CHMTCmTm!AM156)</f>
        <v/>
      </c>
      <c r="AN157" s="396"/>
      <c r="AO157" s="382"/>
      <c r="AP157" s="381" t="str">
        <f>IF(CHMTCmTm!AP156=0,"",CHMTCmTm!AP156)</f>
        <v/>
      </c>
      <c r="AQ157" s="382"/>
      <c r="AR157" s="381" t="str">
        <f>IF(CHMTCmTm!AR156=0,"",CHMTCmTm!AR156)</f>
        <v/>
      </c>
      <c r="AS157" s="382"/>
      <c r="AT157" s="381" t="str">
        <f>IF(CHMTCmTm!AT156=0,"",CHMTCmTm!AT156)</f>
        <v/>
      </c>
      <c r="AU157" s="396"/>
      <c r="AV157" s="382"/>
      <c r="AW157" s="381" t="str">
        <f>IF(CHMTCmTm!AW156=0,"",CHMTCmTm!AW156)</f>
        <v/>
      </c>
      <c r="AX157" s="396"/>
      <c r="AY157" s="382"/>
      <c r="AZ157" s="24">
        <f>CHMTCmTm!AZ156</f>
        <v>0</v>
      </c>
      <c r="BC157" s="24">
        <f>COUNTIF(CHMTCmTm!O156, "Outreach Session")</f>
        <v>0</v>
      </c>
      <c r="BD157" s="24">
        <f>COUNTIF(CHMTCmTm!O156, "Mobile Clinic")</f>
        <v>0</v>
      </c>
      <c r="BE157" s="24">
        <f>COUNTIF(CHMTCmTm!O156, "Health Facility")</f>
        <v>0</v>
      </c>
    </row>
    <row r="158" spans="2:57" s="24" customFormat="1" ht="21.95" customHeight="1" x14ac:dyDescent="0.25">
      <c r="B158" s="397" t="str">
        <f>IF(CHMTCmTm!B157=0,"",CHMTCmTm!B157)</f>
        <v/>
      </c>
      <c r="C158" s="398"/>
      <c r="D158" s="399"/>
      <c r="E158" s="216">
        <f t="shared" si="5"/>
        <v>0</v>
      </c>
      <c r="F158" s="397" t="str">
        <f>IF(CHMTCmTm!F157=0,"",CHMTCmTm!F157)</f>
        <v/>
      </c>
      <c r="G158" s="398"/>
      <c r="H158" s="399"/>
      <c r="I158" s="381" t="str">
        <f>IF(CHMTCmTm!I157=0,"",CHMTCmTm!I157)</f>
        <v/>
      </c>
      <c r="J158" s="382"/>
      <c r="K158" s="381" t="str">
        <f>IF(CHMTCmTm!K157=0,"",CHMTCmTm!K157)</f>
        <v/>
      </c>
      <c r="L158" s="382"/>
      <c r="M158" s="381" t="str">
        <f>IF(CHMTCmTm!M157=0,"",CHMTCmTm!M157)</f>
        <v/>
      </c>
      <c r="N158" s="382"/>
      <c r="O158" s="381" t="str">
        <f>IF(CHMTCmTm!O157=0,"",CHMTCmTm!O157)</f>
        <v/>
      </c>
      <c r="P158" s="382"/>
      <c r="Q158" s="215" t="b">
        <f t="shared" si="4"/>
        <v>0</v>
      </c>
      <c r="R158" s="381" t="str">
        <f>IF(CHMTCmTm!R157=0,"",CHMTCmTm!R157)</f>
        <v/>
      </c>
      <c r="S158" s="382"/>
      <c r="T158" s="381" t="str">
        <f>IF(CHMTCmTm!T157=0,"",CHMTCmTm!T157)</f>
        <v/>
      </c>
      <c r="U158" s="382"/>
      <c r="V158" s="381" t="str">
        <f>IF(CHMTCmTm!V157=0,"",CHMTCmTm!V157)</f>
        <v/>
      </c>
      <c r="W158" s="396"/>
      <c r="X158" s="396"/>
      <c r="Y158" s="382"/>
      <c r="Z158" s="215">
        <f>CHMTCmTm!Z157</f>
        <v>0</v>
      </c>
      <c r="AA158" s="381" t="str">
        <f>IF(CHMTCmTm!AA157=0,"",CHMTCmTm!AA157)</f>
        <v/>
      </c>
      <c r="AB158" s="396"/>
      <c r="AC158" s="382"/>
      <c r="AD158" s="215">
        <f>CHMTCmTm!AD157</f>
        <v>0</v>
      </c>
      <c r="AE158" s="381" t="str">
        <f>IF(CHMTCmTm!AE157=0,"",CHMTCmTm!AE157)</f>
        <v/>
      </c>
      <c r="AF158" s="396"/>
      <c r="AG158" s="382"/>
      <c r="AH158" s="215">
        <f>CHMTCmTm!AH157</f>
        <v>0</v>
      </c>
      <c r="AI158" s="381" t="str">
        <f>IF(CHMTCmTm!AI157=0,"",CHMTCmTm!AI157)</f>
        <v/>
      </c>
      <c r="AJ158" s="396"/>
      <c r="AK158" s="382"/>
      <c r="AL158" s="215">
        <f>CHMTCmTm!AL157</f>
        <v>0</v>
      </c>
      <c r="AM158" s="381" t="str">
        <f>IF(CHMTCmTm!AM157=0,"",CHMTCmTm!AM157)</f>
        <v/>
      </c>
      <c r="AN158" s="396"/>
      <c r="AO158" s="382"/>
      <c r="AP158" s="381" t="str">
        <f>IF(CHMTCmTm!AP157=0,"",CHMTCmTm!AP157)</f>
        <v/>
      </c>
      <c r="AQ158" s="382"/>
      <c r="AR158" s="381" t="str">
        <f>IF(CHMTCmTm!AR157=0,"",CHMTCmTm!AR157)</f>
        <v/>
      </c>
      <c r="AS158" s="382"/>
      <c r="AT158" s="381" t="str">
        <f>IF(CHMTCmTm!AT157=0,"",CHMTCmTm!AT157)</f>
        <v/>
      </c>
      <c r="AU158" s="396"/>
      <c r="AV158" s="382"/>
      <c r="AW158" s="381" t="str">
        <f>IF(CHMTCmTm!AW157=0,"",CHMTCmTm!AW157)</f>
        <v/>
      </c>
      <c r="AX158" s="396"/>
      <c r="AY158" s="382"/>
      <c r="AZ158" s="24">
        <f>CHMTCmTm!AZ157</f>
        <v>0</v>
      </c>
      <c r="BC158" s="24">
        <f>COUNTIF(CHMTCmTm!O157, "Outreach Session")</f>
        <v>0</v>
      </c>
      <c r="BD158" s="24">
        <f>COUNTIF(CHMTCmTm!O157, "Mobile Clinic")</f>
        <v>0</v>
      </c>
      <c r="BE158" s="24">
        <f>COUNTIF(CHMTCmTm!O157, "Health Facility")</f>
        <v>0</v>
      </c>
    </row>
    <row r="159" spans="2:57" s="24" customFormat="1" ht="21.95" customHeight="1" x14ac:dyDescent="0.25">
      <c r="B159" s="397" t="str">
        <f>IF(CHMTCmTm!B158=0,"",CHMTCmTm!B158)</f>
        <v/>
      </c>
      <c r="C159" s="398"/>
      <c r="D159" s="399"/>
      <c r="E159" s="216">
        <f t="shared" si="5"/>
        <v>0</v>
      </c>
      <c r="F159" s="397" t="str">
        <f>IF(CHMTCmTm!F158=0,"",CHMTCmTm!F158)</f>
        <v/>
      </c>
      <c r="G159" s="398"/>
      <c r="H159" s="399"/>
      <c r="I159" s="381" t="str">
        <f>IF(CHMTCmTm!I158=0,"",CHMTCmTm!I158)</f>
        <v/>
      </c>
      <c r="J159" s="382"/>
      <c r="K159" s="381" t="str">
        <f>IF(CHMTCmTm!K158=0,"",CHMTCmTm!K158)</f>
        <v/>
      </c>
      <c r="L159" s="382"/>
      <c r="M159" s="381" t="str">
        <f>IF(CHMTCmTm!M158=0,"",CHMTCmTm!M158)</f>
        <v/>
      </c>
      <c r="N159" s="382"/>
      <c r="O159" s="381" t="str">
        <f>IF(CHMTCmTm!O158=0,"",CHMTCmTm!O158)</f>
        <v/>
      </c>
      <c r="P159" s="382"/>
      <c r="Q159" s="215" t="b">
        <f t="shared" si="4"/>
        <v>0</v>
      </c>
      <c r="R159" s="381" t="str">
        <f>IF(CHMTCmTm!R158=0,"",CHMTCmTm!R158)</f>
        <v/>
      </c>
      <c r="S159" s="382"/>
      <c r="T159" s="381" t="str">
        <f>IF(CHMTCmTm!T158=0,"",CHMTCmTm!T158)</f>
        <v/>
      </c>
      <c r="U159" s="382"/>
      <c r="V159" s="381" t="str">
        <f>IF(CHMTCmTm!V158=0,"",CHMTCmTm!V158)</f>
        <v/>
      </c>
      <c r="W159" s="396"/>
      <c r="X159" s="396"/>
      <c r="Y159" s="382"/>
      <c r="Z159" s="215">
        <f>CHMTCmTm!Z158</f>
        <v>0</v>
      </c>
      <c r="AA159" s="381" t="str">
        <f>IF(CHMTCmTm!AA158=0,"",CHMTCmTm!AA158)</f>
        <v/>
      </c>
      <c r="AB159" s="396"/>
      <c r="AC159" s="382"/>
      <c r="AD159" s="215">
        <f>CHMTCmTm!AD158</f>
        <v>0</v>
      </c>
      <c r="AE159" s="381" t="str">
        <f>IF(CHMTCmTm!AE158=0,"",CHMTCmTm!AE158)</f>
        <v/>
      </c>
      <c r="AF159" s="396"/>
      <c r="AG159" s="382"/>
      <c r="AH159" s="215">
        <f>CHMTCmTm!AH158</f>
        <v>0</v>
      </c>
      <c r="AI159" s="381" t="str">
        <f>IF(CHMTCmTm!AI158=0,"",CHMTCmTm!AI158)</f>
        <v/>
      </c>
      <c r="AJ159" s="396"/>
      <c r="AK159" s="382"/>
      <c r="AL159" s="215">
        <f>CHMTCmTm!AL158</f>
        <v>0</v>
      </c>
      <c r="AM159" s="381" t="str">
        <f>IF(CHMTCmTm!AM158=0,"",CHMTCmTm!AM158)</f>
        <v/>
      </c>
      <c r="AN159" s="396"/>
      <c r="AO159" s="382"/>
      <c r="AP159" s="381" t="str">
        <f>IF(CHMTCmTm!AP158=0,"",CHMTCmTm!AP158)</f>
        <v/>
      </c>
      <c r="AQ159" s="382"/>
      <c r="AR159" s="381" t="str">
        <f>IF(CHMTCmTm!AR158=0,"",CHMTCmTm!AR158)</f>
        <v/>
      </c>
      <c r="AS159" s="382"/>
      <c r="AT159" s="381" t="str">
        <f>IF(CHMTCmTm!AT158=0,"",CHMTCmTm!AT158)</f>
        <v/>
      </c>
      <c r="AU159" s="396"/>
      <c r="AV159" s="382"/>
      <c r="AW159" s="381" t="str">
        <f>IF(CHMTCmTm!AW158=0,"",CHMTCmTm!AW158)</f>
        <v/>
      </c>
      <c r="AX159" s="396"/>
      <c r="AY159" s="382"/>
      <c r="AZ159" s="24">
        <f>CHMTCmTm!AZ158</f>
        <v>0</v>
      </c>
      <c r="BC159" s="24">
        <f>COUNTIF(CHMTCmTm!O158, "Outreach Session")</f>
        <v>0</v>
      </c>
      <c r="BD159" s="24">
        <f>COUNTIF(CHMTCmTm!O158, "Mobile Clinic")</f>
        <v>0</v>
      </c>
      <c r="BE159" s="24">
        <f>COUNTIF(CHMTCmTm!O158, "Health Facility")</f>
        <v>0</v>
      </c>
    </row>
    <row r="160" spans="2:57" s="24" customFormat="1" ht="21.95" customHeight="1" x14ac:dyDescent="0.25">
      <c r="B160" s="397" t="str">
        <f>IF(CHMTCmTm!B159=0,"",CHMTCmTm!B159)</f>
        <v/>
      </c>
      <c r="C160" s="398"/>
      <c r="D160" s="399"/>
      <c r="E160" s="216">
        <f t="shared" si="5"/>
        <v>0</v>
      </c>
      <c r="F160" s="397" t="str">
        <f>IF(CHMTCmTm!F159=0,"",CHMTCmTm!F159)</f>
        <v/>
      </c>
      <c r="G160" s="398"/>
      <c r="H160" s="399"/>
      <c r="I160" s="381" t="str">
        <f>IF(CHMTCmTm!I159=0,"",CHMTCmTm!I159)</f>
        <v/>
      </c>
      <c r="J160" s="382"/>
      <c r="K160" s="381" t="str">
        <f>IF(CHMTCmTm!K159=0,"",CHMTCmTm!K159)</f>
        <v/>
      </c>
      <c r="L160" s="382"/>
      <c r="M160" s="381" t="str">
        <f>IF(CHMTCmTm!M159=0,"",CHMTCmTm!M159)</f>
        <v/>
      </c>
      <c r="N160" s="382"/>
      <c r="O160" s="381" t="str">
        <f>IF(CHMTCmTm!O159=0,"",CHMTCmTm!O159)</f>
        <v/>
      </c>
      <c r="P160" s="382"/>
      <c r="Q160" s="215" t="b">
        <f t="shared" si="4"/>
        <v>0</v>
      </c>
      <c r="R160" s="381" t="str">
        <f>IF(CHMTCmTm!R159=0,"",CHMTCmTm!R159)</f>
        <v/>
      </c>
      <c r="S160" s="382"/>
      <c r="T160" s="381" t="str">
        <f>IF(CHMTCmTm!T159=0,"",CHMTCmTm!T159)</f>
        <v/>
      </c>
      <c r="U160" s="382"/>
      <c r="V160" s="381" t="str">
        <f>IF(CHMTCmTm!V159=0,"",CHMTCmTm!V159)</f>
        <v/>
      </c>
      <c r="W160" s="396"/>
      <c r="X160" s="396"/>
      <c r="Y160" s="382"/>
      <c r="Z160" s="215">
        <f>CHMTCmTm!Z159</f>
        <v>0</v>
      </c>
      <c r="AA160" s="381" t="str">
        <f>IF(CHMTCmTm!AA159=0,"",CHMTCmTm!AA159)</f>
        <v/>
      </c>
      <c r="AB160" s="396"/>
      <c r="AC160" s="382"/>
      <c r="AD160" s="215">
        <f>CHMTCmTm!AD159</f>
        <v>0</v>
      </c>
      <c r="AE160" s="381" t="str">
        <f>IF(CHMTCmTm!AE159=0,"",CHMTCmTm!AE159)</f>
        <v/>
      </c>
      <c r="AF160" s="396"/>
      <c r="AG160" s="382"/>
      <c r="AH160" s="215">
        <f>CHMTCmTm!AH159</f>
        <v>0</v>
      </c>
      <c r="AI160" s="381" t="str">
        <f>IF(CHMTCmTm!AI159=0,"",CHMTCmTm!AI159)</f>
        <v/>
      </c>
      <c r="AJ160" s="396"/>
      <c r="AK160" s="382"/>
      <c r="AL160" s="215">
        <f>CHMTCmTm!AL159</f>
        <v>0</v>
      </c>
      <c r="AM160" s="381" t="str">
        <f>IF(CHMTCmTm!AM159=0,"",CHMTCmTm!AM159)</f>
        <v/>
      </c>
      <c r="AN160" s="396"/>
      <c r="AO160" s="382"/>
      <c r="AP160" s="381" t="str">
        <f>IF(CHMTCmTm!AP159=0,"",CHMTCmTm!AP159)</f>
        <v/>
      </c>
      <c r="AQ160" s="382"/>
      <c r="AR160" s="381" t="str">
        <f>IF(CHMTCmTm!AR159=0,"",CHMTCmTm!AR159)</f>
        <v/>
      </c>
      <c r="AS160" s="382"/>
      <c r="AT160" s="381" t="str">
        <f>IF(CHMTCmTm!AT159=0,"",CHMTCmTm!AT159)</f>
        <v/>
      </c>
      <c r="AU160" s="396"/>
      <c r="AV160" s="382"/>
      <c r="AW160" s="381" t="str">
        <f>IF(CHMTCmTm!AW159=0,"",CHMTCmTm!AW159)</f>
        <v/>
      </c>
      <c r="AX160" s="396"/>
      <c r="AY160" s="382"/>
      <c r="AZ160" s="24">
        <f>CHMTCmTm!AZ159</f>
        <v>0</v>
      </c>
      <c r="BC160" s="24">
        <f>COUNTIF(CHMTCmTm!O159, "Outreach Session")</f>
        <v>0</v>
      </c>
      <c r="BD160" s="24">
        <f>COUNTIF(CHMTCmTm!O159, "Mobile Clinic")</f>
        <v>0</v>
      </c>
      <c r="BE160" s="24">
        <f>COUNTIF(CHMTCmTm!O159, "Health Facility")</f>
        <v>0</v>
      </c>
    </row>
    <row r="161" spans="2:57" s="24" customFormat="1" ht="21.95" customHeight="1" x14ac:dyDescent="0.25">
      <c r="B161" s="397" t="str">
        <f>IF(CHMTCmTm!B160=0,"",CHMTCmTm!B160)</f>
        <v/>
      </c>
      <c r="C161" s="398"/>
      <c r="D161" s="399"/>
      <c r="E161" s="216">
        <f t="shared" si="5"/>
        <v>0</v>
      </c>
      <c r="F161" s="397" t="str">
        <f>IF(CHMTCmTm!F160=0,"",CHMTCmTm!F160)</f>
        <v/>
      </c>
      <c r="G161" s="398"/>
      <c r="H161" s="399"/>
      <c r="I161" s="381" t="str">
        <f>IF(CHMTCmTm!I160=0,"",CHMTCmTm!I160)</f>
        <v/>
      </c>
      <c r="J161" s="382"/>
      <c r="K161" s="381" t="str">
        <f>IF(CHMTCmTm!K160=0,"",CHMTCmTm!K160)</f>
        <v/>
      </c>
      <c r="L161" s="382"/>
      <c r="M161" s="381" t="str">
        <f>IF(CHMTCmTm!M160=0,"",CHMTCmTm!M160)</f>
        <v/>
      </c>
      <c r="N161" s="382"/>
      <c r="O161" s="381" t="str">
        <f>IF(CHMTCmTm!O160=0,"",CHMTCmTm!O160)</f>
        <v/>
      </c>
      <c r="P161" s="382"/>
      <c r="Q161" s="215" t="b">
        <f t="shared" si="4"/>
        <v>0</v>
      </c>
      <c r="R161" s="381" t="str">
        <f>IF(CHMTCmTm!R160=0,"",CHMTCmTm!R160)</f>
        <v/>
      </c>
      <c r="S161" s="382"/>
      <c r="T161" s="381" t="str">
        <f>IF(CHMTCmTm!T160=0,"",CHMTCmTm!T160)</f>
        <v/>
      </c>
      <c r="U161" s="382"/>
      <c r="V161" s="381" t="str">
        <f>IF(CHMTCmTm!V160=0,"",CHMTCmTm!V160)</f>
        <v/>
      </c>
      <c r="W161" s="396"/>
      <c r="X161" s="396"/>
      <c r="Y161" s="382"/>
      <c r="Z161" s="215">
        <f>CHMTCmTm!Z160</f>
        <v>0</v>
      </c>
      <c r="AA161" s="381" t="str">
        <f>IF(CHMTCmTm!AA160=0,"",CHMTCmTm!AA160)</f>
        <v/>
      </c>
      <c r="AB161" s="396"/>
      <c r="AC161" s="382"/>
      <c r="AD161" s="215">
        <f>CHMTCmTm!AD160</f>
        <v>0</v>
      </c>
      <c r="AE161" s="381" t="str">
        <f>IF(CHMTCmTm!AE160=0,"",CHMTCmTm!AE160)</f>
        <v/>
      </c>
      <c r="AF161" s="396"/>
      <c r="AG161" s="382"/>
      <c r="AH161" s="215">
        <f>CHMTCmTm!AH160</f>
        <v>0</v>
      </c>
      <c r="AI161" s="381" t="str">
        <f>IF(CHMTCmTm!AI160=0,"",CHMTCmTm!AI160)</f>
        <v/>
      </c>
      <c r="AJ161" s="396"/>
      <c r="AK161" s="382"/>
      <c r="AL161" s="215">
        <f>CHMTCmTm!AL160</f>
        <v>0</v>
      </c>
      <c r="AM161" s="381" t="str">
        <f>IF(CHMTCmTm!AM160=0,"",CHMTCmTm!AM160)</f>
        <v/>
      </c>
      <c r="AN161" s="396"/>
      <c r="AO161" s="382"/>
      <c r="AP161" s="381" t="str">
        <f>IF(CHMTCmTm!AP160=0,"",CHMTCmTm!AP160)</f>
        <v/>
      </c>
      <c r="AQ161" s="382"/>
      <c r="AR161" s="381" t="str">
        <f>IF(CHMTCmTm!AR160=0,"",CHMTCmTm!AR160)</f>
        <v/>
      </c>
      <c r="AS161" s="382"/>
      <c r="AT161" s="381" t="str">
        <f>IF(CHMTCmTm!AT160=0,"",CHMTCmTm!AT160)</f>
        <v/>
      </c>
      <c r="AU161" s="396"/>
      <c r="AV161" s="382"/>
      <c r="AW161" s="381" t="str">
        <f>IF(CHMTCmTm!AW160=0,"",CHMTCmTm!AW160)</f>
        <v/>
      </c>
      <c r="AX161" s="396"/>
      <c r="AY161" s="382"/>
      <c r="AZ161" s="24">
        <f>CHMTCmTm!AZ160</f>
        <v>0</v>
      </c>
      <c r="BC161" s="24">
        <f>COUNTIF(CHMTCmTm!O160, "Outreach Session")</f>
        <v>0</v>
      </c>
      <c r="BD161" s="24">
        <f>COUNTIF(CHMTCmTm!O160, "Mobile Clinic")</f>
        <v>0</v>
      </c>
      <c r="BE161" s="24">
        <f>COUNTIF(CHMTCmTm!O160, "Health Facility")</f>
        <v>0</v>
      </c>
    </row>
    <row r="162" spans="2:57" s="24" customFormat="1" ht="21.95" customHeight="1" x14ac:dyDescent="0.25">
      <c r="B162" s="397" t="str">
        <f>IF(CHMTCmTm!B161=0,"",CHMTCmTm!B161)</f>
        <v/>
      </c>
      <c r="C162" s="398"/>
      <c r="D162" s="399"/>
      <c r="E162" s="216">
        <f t="shared" si="5"/>
        <v>0</v>
      </c>
      <c r="F162" s="397" t="str">
        <f>IF(CHMTCmTm!F161=0,"",CHMTCmTm!F161)</f>
        <v/>
      </c>
      <c r="G162" s="398"/>
      <c r="H162" s="399"/>
      <c r="I162" s="381" t="str">
        <f>IF(CHMTCmTm!I161=0,"",CHMTCmTm!I161)</f>
        <v/>
      </c>
      <c r="J162" s="382"/>
      <c r="K162" s="381" t="str">
        <f>IF(CHMTCmTm!K161=0,"",CHMTCmTm!K161)</f>
        <v/>
      </c>
      <c r="L162" s="382"/>
      <c r="M162" s="381" t="str">
        <f>IF(CHMTCmTm!M161=0,"",CHMTCmTm!M161)</f>
        <v/>
      </c>
      <c r="N162" s="382"/>
      <c r="O162" s="381" t="str">
        <f>IF(CHMTCmTm!O161=0,"",CHMTCmTm!O161)</f>
        <v/>
      </c>
      <c r="P162" s="382"/>
      <c r="Q162" s="215" t="b">
        <f t="shared" si="4"/>
        <v>0</v>
      </c>
      <c r="R162" s="381" t="str">
        <f>IF(CHMTCmTm!R161=0,"",CHMTCmTm!R161)</f>
        <v/>
      </c>
      <c r="S162" s="382"/>
      <c r="T162" s="381" t="str">
        <f>IF(CHMTCmTm!T161=0,"",CHMTCmTm!T161)</f>
        <v/>
      </c>
      <c r="U162" s="382"/>
      <c r="V162" s="381" t="str">
        <f>IF(CHMTCmTm!V161=0,"",CHMTCmTm!V161)</f>
        <v/>
      </c>
      <c r="W162" s="396"/>
      <c r="X162" s="396"/>
      <c r="Y162" s="382"/>
      <c r="Z162" s="215">
        <f>CHMTCmTm!Z161</f>
        <v>0</v>
      </c>
      <c r="AA162" s="381" t="str">
        <f>IF(CHMTCmTm!AA161=0,"",CHMTCmTm!AA161)</f>
        <v/>
      </c>
      <c r="AB162" s="396"/>
      <c r="AC162" s="382"/>
      <c r="AD162" s="215">
        <f>CHMTCmTm!AD161</f>
        <v>0</v>
      </c>
      <c r="AE162" s="381" t="str">
        <f>IF(CHMTCmTm!AE161=0,"",CHMTCmTm!AE161)</f>
        <v/>
      </c>
      <c r="AF162" s="396"/>
      <c r="AG162" s="382"/>
      <c r="AH162" s="215">
        <f>CHMTCmTm!AH161</f>
        <v>0</v>
      </c>
      <c r="AI162" s="381" t="str">
        <f>IF(CHMTCmTm!AI161=0,"",CHMTCmTm!AI161)</f>
        <v/>
      </c>
      <c r="AJ162" s="396"/>
      <c r="AK162" s="382"/>
      <c r="AL162" s="215">
        <f>CHMTCmTm!AL161</f>
        <v>0</v>
      </c>
      <c r="AM162" s="381" t="str">
        <f>IF(CHMTCmTm!AM161=0,"",CHMTCmTm!AM161)</f>
        <v/>
      </c>
      <c r="AN162" s="396"/>
      <c r="AO162" s="382"/>
      <c r="AP162" s="381" t="str">
        <f>IF(CHMTCmTm!AP161=0,"",CHMTCmTm!AP161)</f>
        <v/>
      </c>
      <c r="AQ162" s="382"/>
      <c r="AR162" s="381" t="str">
        <f>IF(CHMTCmTm!AR161=0,"",CHMTCmTm!AR161)</f>
        <v/>
      </c>
      <c r="AS162" s="382"/>
      <c r="AT162" s="381" t="str">
        <f>IF(CHMTCmTm!AT161=0,"",CHMTCmTm!AT161)</f>
        <v/>
      </c>
      <c r="AU162" s="396"/>
      <c r="AV162" s="382"/>
      <c r="AW162" s="381" t="str">
        <f>IF(CHMTCmTm!AW161=0,"",CHMTCmTm!AW161)</f>
        <v/>
      </c>
      <c r="AX162" s="396"/>
      <c r="AY162" s="382"/>
      <c r="AZ162" s="24">
        <f>CHMTCmTm!AZ161</f>
        <v>0</v>
      </c>
      <c r="BC162" s="24">
        <f>COUNTIF(CHMTCmTm!O161, "Outreach Session")</f>
        <v>0</v>
      </c>
      <c r="BD162" s="24">
        <f>COUNTIF(CHMTCmTm!O161, "Mobile Clinic")</f>
        <v>0</v>
      </c>
      <c r="BE162" s="24">
        <f>COUNTIF(CHMTCmTm!O161, "Health Facility")</f>
        <v>0</v>
      </c>
    </row>
    <row r="163" spans="2:57" s="24" customFormat="1" ht="21.95" customHeight="1" x14ac:dyDescent="0.25">
      <c r="B163" s="397" t="str">
        <f>IF(CHMTCmTm!B162=0,"",CHMTCmTm!B162)</f>
        <v/>
      </c>
      <c r="C163" s="398"/>
      <c r="D163" s="399"/>
      <c r="E163" s="216">
        <f t="shared" si="5"/>
        <v>0</v>
      </c>
      <c r="F163" s="397" t="str">
        <f>IF(CHMTCmTm!F162=0,"",CHMTCmTm!F162)</f>
        <v/>
      </c>
      <c r="G163" s="398"/>
      <c r="H163" s="399"/>
      <c r="I163" s="381" t="str">
        <f>IF(CHMTCmTm!I162=0,"",CHMTCmTm!I162)</f>
        <v/>
      </c>
      <c r="J163" s="382"/>
      <c r="K163" s="381" t="str">
        <f>IF(CHMTCmTm!K162=0,"",CHMTCmTm!K162)</f>
        <v/>
      </c>
      <c r="L163" s="382"/>
      <c r="M163" s="381" t="str">
        <f>IF(CHMTCmTm!M162=0,"",CHMTCmTm!M162)</f>
        <v/>
      </c>
      <c r="N163" s="382"/>
      <c r="O163" s="381" t="str">
        <f>IF(CHMTCmTm!O162=0,"",CHMTCmTm!O162)</f>
        <v/>
      </c>
      <c r="P163" s="382"/>
      <c r="Q163" s="215" t="b">
        <f t="shared" si="4"/>
        <v>0</v>
      </c>
      <c r="R163" s="381" t="str">
        <f>IF(CHMTCmTm!R162=0,"",CHMTCmTm!R162)</f>
        <v/>
      </c>
      <c r="S163" s="382"/>
      <c r="T163" s="381" t="str">
        <f>IF(CHMTCmTm!T162=0,"",CHMTCmTm!T162)</f>
        <v/>
      </c>
      <c r="U163" s="382"/>
      <c r="V163" s="381" t="str">
        <f>IF(CHMTCmTm!V162=0,"",CHMTCmTm!V162)</f>
        <v/>
      </c>
      <c r="W163" s="396"/>
      <c r="X163" s="396"/>
      <c r="Y163" s="382"/>
      <c r="Z163" s="215">
        <f>CHMTCmTm!Z162</f>
        <v>0</v>
      </c>
      <c r="AA163" s="381" t="str">
        <f>IF(CHMTCmTm!AA162=0,"",CHMTCmTm!AA162)</f>
        <v/>
      </c>
      <c r="AB163" s="396"/>
      <c r="AC163" s="382"/>
      <c r="AD163" s="215">
        <f>CHMTCmTm!AD162</f>
        <v>0</v>
      </c>
      <c r="AE163" s="381" t="str">
        <f>IF(CHMTCmTm!AE162=0,"",CHMTCmTm!AE162)</f>
        <v/>
      </c>
      <c r="AF163" s="396"/>
      <c r="AG163" s="382"/>
      <c r="AH163" s="215">
        <f>CHMTCmTm!AH162</f>
        <v>0</v>
      </c>
      <c r="AI163" s="381" t="str">
        <f>IF(CHMTCmTm!AI162=0,"",CHMTCmTm!AI162)</f>
        <v/>
      </c>
      <c r="AJ163" s="396"/>
      <c r="AK163" s="382"/>
      <c r="AL163" s="215">
        <f>CHMTCmTm!AL162</f>
        <v>0</v>
      </c>
      <c r="AM163" s="381" t="str">
        <f>IF(CHMTCmTm!AM162=0,"",CHMTCmTm!AM162)</f>
        <v/>
      </c>
      <c r="AN163" s="396"/>
      <c r="AO163" s="382"/>
      <c r="AP163" s="381" t="str">
        <f>IF(CHMTCmTm!AP162=0,"",CHMTCmTm!AP162)</f>
        <v/>
      </c>
      <c r="AQ163" s="382"/>
      <c r="AR163" s="381" t="str">
        <f>IF(CHMTCmTm!AR162=0,"",CHMTCmTm!AR162)</f>
        <v/>
      </c>
      <c r="AS163" s="382"/>
      <c r="AT163" s="381" t="str">
        <f>IF(CHMTCmTm!AT162=0,"",CHMTCmTm!AT162)</f>
        <v/>
      </c>
      <c r="AU163" s="396"/>
      <c r="AV163" s="382"/>
      <c r="AW163" s="381" t="str">
        <f>IF(CHMTCmTm!AW162=0,"",CHMTCmTm!AW162)</f>
        <v/>
      </c>
      <c r="AX163" s="396"/>
      <c r="AY163" s="382"/>
      <c r="AZ163" s="24">
        <f>CHMTCmTm!AZ162</f>
        <v>0</v>
      </c>
      <c r="BC163" s="24">
        <f>COUNTIF(CHMTCmTm!O162, "Outreach Session")</f>
        <v>0</v>
      </c>
      <c r="BD163" s="24">
        <f>COUNTIF(CHMTCmTm!O162, "Mobile Clinic")</f>
        <v>0</v>
      </c>
      <c r="BE163" s="24">
        <f>COUNTIF(CHMTCmTm!O162, "Health Facility")</f>
        <v>0</v>
      </c>
    </row>
    <row r="164" spans="2:57" s="24" customFormat="1" ht="21.95" customHeight="1" x14ac:dyDescent="0.25">
      <c r="B164" s="397" t="str">
        <f>IF(CHMTCmTm!B163=0,"",CHMTCmTm!B163)</f>
        <v/>
      </c>
      <c r="C164" s="398"/>
      <c r="D164" s="399"/>
      <c r="E164" s="216">
        <f t="shared" si="5"/>
        <v>0</v>
      </c>
      <c r="F164" s="397" t="str">
        <f>IF(CHMTCmTm!F163=0,"",CHMTCmTm!F163)</f>
        <v/>
      </c>
      <c r="G164" s="398"/>
      <c r="H164" s="399"/>
      <c r="I164" s="381" t="str">
        <f>IF(CHMTCmTm!I163=0,"",CHMTCmTm!I163)</f>
        <v/>
      </c>
      <c r="J164" s="382"/>
      <c r="K164" s="381" t="str">
        <f>IF(CHMTCmTm!K163=0,"",CHMTCmTm!K163)</f>
        <v/>
      </c>
      <c r="L164" s="382"/>
      <c r="M164" s="381" t="str">
        <f>IF(CHMTCmTm!M163=0,"",CHMTCmTm!M163)</f>
        <v/>
      </c>
      <c r="N164" s="382"/>
      <c r="O164" s="381" t="str">
        <f>IF(CHMTCmTm!O163=0,"",CHMTCmTm!O163)</f>
        <v/>
      </c>
      <c r="P164" s="382"/>
      <c r="Q164" s="215" t="b">
        <f t="shared" si="4"/>
        <v>0</v>
      </c>
      <c r="R164" s="381" t="str">
        <f>IF(CHMTCmTm!R163=0,"",CHMTCmTm!R163)</f>
        <v/>
      </c>
      <c r="S164" s="382"/>
      <c r="T164" s="381" t="str">
        <f>IF(CHMTCmTm!T163=0,"",CHMTCmTm!T163)</f>
        <v/>
      </c>
      <c r="U164" s="382"/>
      <c r="V164" s="381" t="str">
        <f>IF(CHMTCmTm!V163=0,"",CHMTCmTm!V163)</f>
        <v/>
      </c>
      <c r="W164" s="396"/>
      <c r="X164" s="396"/>
      <c r="Y164" s="382"/>
      <c r="Z164" s="215">
        <f>CHMTCmTm!Z163</f>
        <v>0</v>
      </c>
      <c r="AA164" s="381" t="str">
        <f>IF(CHMTCmTm!AA163=0,"",CHMTCmTm!AA163)</f>
        <v/>
      </c>
      <c r="AB164" s="396"/>
      <c r="AC164" s="382"/>
      <c r="AD164" s="215">
        <f>CHMTCmTm!AD163</f>
        <v>0</v>
      </c>
      <c r="AE164" s="381" t="str">
        <f>IF(CHMTCmTm!AE163=0,"",CHMTCmTm!AE163)</f>
        <v/>
      </c>
      <c r="AF164" s="396"/>
      <c r="AG164" s="382"/>
      <c r="AH164" s="215">
        <f>CHMTCmTm!AH163</f>
        <v>0</v>
      </c>
      <c r="AI164" s="381" t="str">
        <f>IF(CHMTCmTm!AI163=0,"",CHMTCmTm!AI163)</f>
        <v/>
      </c>
      <c r="AJ164" s="396"/>
      <c r="AK164" s="382"/>
      <c r="AL164" s="215">
        <f>CHMTCmTm!AL163</f>
        <v>0</v>
      </c>
      <c r="AM164" s="381" t="str">
        <f>IF(CHMTCmTm!AM163=0,"",CHMTCmTm!AM163)</f>
        <v/>
      </c>
      <c r="AN164" s="396"/>
      <c r="AO164" s="382"/>
      <c r="AP164" s="381" t="str">
        <f>IF(CHMTCmTm!AP163=0,"",CHMTCmTm!AP163)</f>
        <v/>
      </c>
      <c r="AQ164" s="382"/>
      <c r="AR164" s="381" t="str">
        <f>IF(CHMTCmTm!AR163=0,"",CHMTCmTm!AR163)</f>
        <v/>
      </c>
      <c r="AS164" s="382"/>
      <c r="AT164" s="381" t="str">
        <f>IF(CHMTCmTm!AT163=0,"",CHMTCmTm!AT163)</f>
        <v/>
      </c>
      <c r="AU164" s="396"/>
      <c r="AV164" s="382"/>
      <c r="AW164" s="381" t="str">
        <f>IF(CHMTCmTm!AW163=0,"",CHMTCmTm!AW163)</f>
        <v/>
      </c>
      <c r="AX164" s="396"/>
      <c r="AY164" s="382"/>
      <c r="AZ164" s="24">
        <f>CHMTCmTm!AZ163</f>
        <v>0</v>
      </c>
      <c r="BC164" s="24">
        <f>COUNTIF(CHMTCmTm!O163, "Outreach Session")</f>
        <v>0</v>
      </c>
      <c r="BD164" s="24">
        <f>COUNTIF(CHMTCmTm!O163, "Mobile Clinic")</f>
        <v>0</v>
      </c>
      <c r="BE164" s="24">
        <f>COUNTIF(CHMTCmTm!O163, "Health Facility")</f>
        <v>0</v>
      </c>
    </row>
    <row r="165" spans="2:57" s="24" customFormat="1" ht="21.95" customHeight="1" x14ac:dyDescent="0.25">
      <c r="B165" s="397" t="str">
        <f>IF(CHMTCmTm!B164=0,"",CHMTCmTm!B164)</f>
        <v/>
      </c>
      <c r="C165" s="398"/>
      <c r="D165" s="399"/>
      <c r="E165" s="216">
        <f t="shared" si="5"/>
        <v>0</v>
      </c>
      <c r="F165" s="397" t="str">
        <f>IF(CHMTCmTm!F164=0,"",CHMTCmTm!F164)</f>
        <v/>
      </c>
      <c r="G165" s="398"/>
      <c r="H165" s="399"/>
      <c r="I165" s="381" t="str">
        <f>IF(CHMTCmTm!I164=0,"",CHMTCmTm!I164)</f>
        <v/>
      </c>
      <c r="J165" s="382"/>
      <c r="K165" s="381" t="str">
        <f>IF(CHMTCmTm!K164=0,"",CHMTCmTm!K164)</f>
        <v/>
      </c>
      <c r="L165" s="382"/>
      <c r="M165" s="381" t="str">
        <f>IF(CHMTCmTm!M164=0,"",CHMTCmTm!M164)</f>
        <v/>
      </c>
      <c r="N165" s="382"/>
      <c r="O165" s="381" t="str">
        <f>IF(CHMTCmTm!O164=0,"",CHMTCmTm!O164)</f>
        <v/>
      </c>
      <c r="P165" s="382"/>
      <c r="Q165" s="215" t="b">
        <f t="shared" si="4"/>
        <v>0</v>
      </c>
      <c r="R165" s="381" t="str">
        <f>IF(CHMTCmTm!R164=0,"",CHMTCmTm!R164)</f>
        <v/>
      </c>
      <c r="S165" s="382"/>
      <c r="T165" s="381" t="str">
        <f>IF(CHMTCmTm!T164=0,"",CHMTCmTm!T164)</f>
        <v/>
      </c>
      <c r="U165" s="382"/>
      <c r="V165" s="381" t="str">
        <f>IF(CHMTCmTm!V164=0,"",CHMTCmTm!V164)</f>
        <v/>
      </c>
      <c r="W165" s="396"/>
      <c r="X165" s="396"/>
      <c r="Y165" s="382"/>
      <c r="Z165" s="215">
        <f>CHMTCmTm!Z164</f>
        <v>0</v>
      </c>
      <c r="AA165" s="381" t="str">
        <f>IF(CHMTCmTm!AA164=0,"",CHMTCmTm!AA164)</f>
        <v/>
      </c>
      <c r="AB165" s="396"/>
      <c r="AC165" s="382"/>
      <c r="AD165" s="215">
        <f>CHMTCmTm!AD164</f>
        <v>0</v>
      </c>
      <c r="AE165" s="381" t="str">
        <f>IF(CHMTCmTm!AE164=0,"",CHMTCmTm!AE164)</f>
        <v/>
      </c>
      <c r="AF165" s="396"/>
      <c r="AG165" s="382"/>
      <c r="AH165" s="215">
        <f>CHMTCmTm!AH164</f>
        <v>0</v>
      </c>
      <c r="AI165" s="381" t="str">
        <f>IF(CHMTCmTm!AI164=0,"",CHMTCmTm!AI164)</f>
        <v/>
      </c>
      <c r="AJ165" s="396"/>
      <c r="AK165" s="382"/>
      <c r="AL165" s="215">
        <f>CHMTCmTm!AL164</f>
        <v>0</v>
      </c>
      <c r="AM165" s="381" t="str">
        <f>IF(CHMTCmTm!AM164=0,"",CHMTCmTm!AM164)</f>
        <v/>
      </c>
      <c r="AN165" s="396"/>
      <c r="AO165" s="382"/>
      <c r="AP165" s="381" t="str">
        <f>IF(CHMTCmTm!AP164=0,"",CHMTCmTm!AP164)</f>
        <v/>
      </c>
      <c r="AQ165" s="382"/>
      <c r="AR165" s="381" t="str">
        <f>IF(CHMTCmTm!AR164=0,"",CHMTCmTm!AR164)</f>
        <v/>
      </c>
      <c r="AS165" s="382"/>
      <c r="AT165" s="381" t="str">
        <f>IF(CHMTCmTm!AT164=0,"",CHMTCmTm!AT164)</f>
        <v/>
      </c>
      <c r="AU165" s="396"/>
      <c r="AV165" s="382"/>
      <c r="AW165" s="381" t="str">
        <f>IF(CHMTCmTm!AW164=0,"",CHMTCmTm!AW164)</f>
        <v/>
      </c>
      <c r="AX165" s="396"/>
      <c r="AY165" s="382"/>
      <c r="AZ165" s="24">
        <f>CHMTCmTm!AZ164</f>
        <v>0</v>
      </c>
      <c r="BC165" s="24">
        <f>COUNTIF(CHMTCmTm!O164, "Outreach Session")</f>
        <v>0</v>
      </c>
      <c r="BD165" s="24">
        <f>COUNTIF(CHMTCmTm!O164, "Mobile Clinic")</f>
        <v>0</v>
      </c>
      <c r="BE165" s="24">
        <f>COUNTIF(CHMTCmTm!O164, "Health Facility")</f>
        <v>0</v>
      </c>
    </row>
    <row r="166" spans="2:57" s="24" customFormat="1" ht="21.95" customHeight="1" x14ac:dyDescent="0.25">
      <c r="B166" s="397" t="str">
        <f>IF(CHMTCmTm!B165=0,"",CHMTCmTm!B165)</f>
        <v/>
      </c>
      <c r="C166" s="398"/>
      <c r="D166" s="399"/>
      <c r="E166" s="216">
        <f t="shared" si="5"/>
        <v>0</v>
      </c>
      <c r="F166" s="397" t="str">
        <f>IF(CHMTCmTm!F165=0,"",CHMTCmTm!F165)</f>
        <v/>
      </c>
      <c r="G166" s="398"/>
      <c r="H166" s="399"/>
      <c r="I166" s="381" t="str">
        <f>IF(CHMTCmTm!I165=0,"",CHMTCmTm!I165)</f>
        <v/>
      </c>
      <c r="J166" s="382"/>
      <c r="K166" s="381" t="str">
        <f>IF(CHMTCmTm!K165=0,"",CHMTCmTm!K165)</f>
        <v/>
      </c>
      <c r="L166" s="382"/>
      <c r="M166" s="381" t="str">
        <f>IF(CHMTCmTm!M165=0,"",CHMTCmTm!M165)</f>
        <v/>
      </c>
      <c r="N166" s="382"/>
      <c r="O166" s="381" t="str">
        <f>IF(CHMTCmTm!O165=0,"",CHMTCmTm!O165)</f>
        <v/>
      </c>
      <c r="P166" s="382"/>
      <c r="Q166" s="215" t="b">
        <f t="shared" si="4"/>
        <v>0</v>
      </c>
      <c r="R166" s="381" t="str">
        <f>IF(CHMTCmTm!R165=0,"",CHMTCmTm!R165)</f>
        <v/>
      </c>
      <c r="S166" s="382"/>
      <c r="T166" s="381" t="str">
        <f>IF(CHMTCmTm!T165=0,"",CHMTCmTm!T165)</f>
        <v/>
      </c>
      <c r="U166" s="382"/>
      <c r="V166" s="381" t="str">
        <f>IF(CHMTCmTm!V165=0,"",CHMTCmTm!V165)</f>
        <v/>
      </c>
      <c r="W166" s="396"/>
      <c r="X166" s="396"/>
      <c r="Y166" s="382"/>
      <c r="Z166" s="215">
        <f>CHMTCmTm!Z165</f>
        <v>0</v>
      </c>
      <c r="AA166" s="381" t="str">
        <f>IF(CHMTCmTm!AA165=0,"",CHMTCmTm!AA165)</f>
        <v/>
      </c>
      <c r="AB166" s="396"/>
      <c r="AC166" s="382"/>
      <c r="AD166" s="215">
        <f>CHMTCmTm!AD165</f>
        <v>0</v>
      </c>
      <c r="AE166" s="381" t="str">
        <f>IF(CHMTCmTm!AE165=0,"",CHMTCmTm!AE165)</f>
        <v/>
      </c>
      <c r="AF166" s="396"/>
      <c r="AG166" s="382"/>
      <c r="AH166" s="215">
        <f>CHMTCmTm!AH165</f>
        <v>0</v>
      </c>
      <c r="AI166" s="381" t="str">
        <f>IF(CHMTCmTm!AI165=0,"",CHMTCmTm!AI165)</f>
        <v/>
      </c>
      <c r="AJ166" s="396"/>
      <c r="AK166" s="382"/>
      <c r="AL166" s="215">
        <f>CHMTCmTm!AL165</f>
        <v>0</v>
      </c>
      <c r="AM166" s="381" t="str">
        <f>IF(CHMTCmTm!AM165=0,"",CHMTCmTm!AM165)</f>
        <v/>
      </c>
      <c r="AN166" s="396"/>
      <c r="AO166" s="382"/>
      <c r="AP166" s="381" t="str">
        <f>IF(CHMTCmTm!AP165=0,"",CHMTCmTm!AP165)</f>
        <v/>
      </c>
      <c r="AQ166" s="382"/>
      <c r="AR166" s="381" t="str">
        <f>IF(CHMTCmTm!AR165=0,"",CHMTCmTm!AR165)</f>
        <v/>
      </c>
      <c r="AS166" s="382"/>
      <c r="AT166" s="381" t="str">
        <f>IF(CHMTCmTm!AT165=0,"",CHMTCmTm!AT165)</f>
        <v/>
      </c>
      <c r="AU166" s="396"/>
      <c r="AV166" s="382"/>
      <c r="AW166" s="381" t="str">
        <f>IF(CHMTCmTm!AW165=0,"",CHMTCmTm!AW165)</f>
        <v/>
      </c>
      <c r="AX166" s="396"/>
      <c r="AY166" s="382"/>
      <c r="AZ166" s="24">
        <f>CHMTCmTm!AZ165</f>
        <v>0</v>
      </c>
      <c r="BC166" s="24">
        <f>COUNTIF(CHMTCmTm!O165, "Outreach Session")</f>
        <v>0</v>
      </c>
      <c r="BD166" s="24">
        <f>COUNTIF(CHMTCmTm!O165, "Mobile Clinic")</f>
        <v>0</v>
      </c>
      <c r="BE166" s="24">
        <f>COUNTIF(CHMTCmTm!O165, "Health Facility")</f>
        <v>0</v>
      </c>
    </row>
    <row r="167" spans="2:57" s="24" customFormat="1" ht="21.95" customHeight="1" x14ac:dyDescent="0.25">
      <c r="B167" s="397" t="str">
        <f>IF(CHMTCmTm!B166=0,"",CHMTCmTm!B166)</f>
        <v/>
      </c>
      <c r="C167" s="398"/>
      <c r="D167" s="399"/>
      <c r="E167" s="216">
        <f t="shared" si="5"/>
        <v>0</v>
      </c>
      <c r="F167" s="397" t="str">
        <f>IF(CHMTCmTm!F166=0,"",CHMTCmTm!F166)</f>
        <v/>
      </c>
      <c r="G167" s="398"/>
      <c r="H167" s="399"/>
      <c r="I167" s="381" t="str">
        <f>IF(CHMTCmTm!I166=0,"",CHMTCmTm!I166)</f>
        <v/>
      </c>
      <c r="J167" s="382"/>
      <c r="K167" s="381" t="str">
        <f>IF(CHMTCmTm!K166=0,"",CHMTCmTm!K166)</f>
        <v/>
      </c>
      <c r="L167" s="382"/>
      <c r="M167" s="381" t="str">
        <f>IF(CHMTCmTm!M166=0,"",CHMTCmTm!M166)</f>
        <v/>
      </c>
      <c r="N167" s="382"/>
      <c r="O167" s="381" t="str">
        <f>IF(CHMTCmTm!O166=0,"",CHMTCmTm!O166)</f>
        <v/>
      </c>
      <c r="P167" s="382"/>
      <c r="Q167" s="215" t="b">
        <f t="shared" si="4"/>
        <v>0</v>
      </c>
      <c r="R167" s="381" t="str">
        <f>IF(CHMTCmTm!R166=0,"",CHMTCmTm!R166)</f>
        <v/>
      </c>
      <c r="S167" s="382"/>
      <c r="T167" s="381" t="str">
        <f>IF(CHMTCmTm!T166=0,"",CHMTCmTm!T166)</f>
        <v/>
      </c>
      <c r="U167" s="382"/>
      <c r="V167" s="381" t="str">
        <f>IF(CHMTCmTm!V166=0,"",CHMTCmTm!V166)</f>
        <v/>
      </c>
      <c r="W167" s="396"/>
      <c r="X167" s="396"/>
      <c r="Y167" s="382"/>
      <c r="Z167" s="215">
        <f>CHMTCmTm!Z166</f>
        <v>0</v>
      </c>
      <c r="AA167" s="381" t="str">
        <f>IF(CHMTCmTm!AA166=0,"",CHMTCmTm!AA166)</f>
        <v/>
      </c>
      <c r="AB167" s="396"/>
      <c r="AC167" s="382"/>
      <c r="AD167" s="215">
        <f>CHMTCmTm!AD166</f>
        <v>0</v>
      </c>
      <c r="AE167" s="381" t="str">
        <f>IF(CHMTCmTm!AE166=0,"",CHMTCmTm!AE166)</f>
        <v/>
      </c>
      <c r="AF167" s="396"/>
      <c r="AG167" s="382"/>
      <c r="AH167" s="215">
        <f>CHMTCmTm!AH166</f>
        <v>0</v>
      </c>
      <c r="AI167" s="381" t="str">
        <f>IF(CHMTCmTm!AI166=0,"",CHMTCmTm!AI166)</f>
        <v/>
      </c>
      <c r="AJ167" s="396"/>
      <c r="AK167" s="382"/>
      <c r="AL167" s="215">
        <f>CHMTCmTm!AL166</f>
        <v>0</v>
      </c>
      <c r="AM167" s="381" t="str">
        <f>IF(CHMTCmTm!AM166=0,"",CHMTCmTm!AM166)</f>
        <v/>
      </c>
      <c r="AN167" s="396"/>
      <c r="AO167" s="382"/>
      <c r="AP167" s="381" t="str">
        <f>IF(CHMTCmTm!AP166=0,"",CHMTCmTm!AP166)</f>
        <v/>
      </c>
      <c r="AQ167" s="382"/>
      <c r="AR167" s="381" t="str">
        <f>IF(CHMTCmTm!AR166=0,"",CHMTCmTm!AR166)</f>
        <v/>
      </c>
      <c r="AS167" s="382"/>
      <c r="AT167" s="381" t="str">
        <f>IF(CHMTCmTm!AT166=0,"",CHMTCmTm!AT166)</f>
        <v/>
      </c>
      <c r="AU167" s="396"/>
      <c r="AV167" s="382"/>
      <c r="AW167" s="381" t="str">
        <f>IF(CHMTCmTm!AW166=0,"",CHMTCmTm!AW166)</f>
        <v/>
      </c>
      <c r="AX167" s="396"/>
      <c r="AY167" s="382"/>
      <c r="AZ167" s="24">
        <f>CHMTCmTm!AZ166</f>
        <v>0</v>
      </c>
      <c r="BC167" s="24">
        <f>COUNTIF(CHMTCmTm!O166, "Outreach Session")</f>
        <v>0</v>
      </c>
      <c r="BD167" s="24">
        <f>COUNTIF(CHMTCmTm!O166, "Mobile Clinic")</f>
        <v>0</v>
      </c>
      <c r="BE167" s="24">
        <f>COUNTIF(CHMTCmTm!O166, "Health Facility")</f>
        <v>0</v>
      </c>
    </row>
    <row r="168" spans="2:57" s="24" customFormat="1" ht="21.95" customHeight="1" x14ac:dyDescent="0.25">
      <c r="B168" s="397" t="str">
        <f>IF(CHMTCmTm!B167=0,"",CHMTCmTm!B167)</f>
        <v/>
      </c>
      <c r="C168" s="398"/>
      <c r="D168" s="399"/>
      <c r="E168" s="216">
        <f t="shared" si="5"/>
        <v>0</v>
      </c>
      <c r="F168" s="397" t="str">
        <f>IF(CHMTCmTm!F167=0,"",CHMTCmTm!F167)</f>
        <v/>
      </c>
      <c r="G168" s="398"/>
      <c r="H168" s="399"/>
      <c r="I168" s="381" t="str">
        <f>IF(CHMTCmTm!I167=0,"",CHMTCmTm!I167)</f>
        <v/>
      </c>
      <c r="J168" s="382"/>
      <c r="K168" s="381" t="str">
        <f>IF(CHMTCmTm!K167=0,"",CHMTCmTm!K167)</f>
        <v/>
      </c>
      <c r="L168" s="382"/>
      <c r="M168" s="381" t="str">
        <f>IF(CHMTCmTm!M167=0,"",CHMTCmTm!M167)</f>
        <v/>
      </c>
      <c r="N168" s="382"/>
      <c r="O168" s="381" t="str">
        <f>IF(CHMTCmTm!O167=0,"",CHMTCmTm!O167)</f>
        <v/>
      </c>
      <c r="P168" s="382"/>
      <c r="Q168" s="215" t="b">
        <f t="shared" si="4"/>
        <v>0</v>
      </c>
      <c r="R168" s="381" t="str">
        <f>IF(CHMTCmTm!R167=0,"",CHMTCmTm!R167)</f>
        <v/>
      </c>
      <c r="S168" s="382"/>
      <c r="T168" s="381" t="str">
        <f>IF(CHMTCmTm!T167=0,"",CHMTCmTm!T167)</f>
        <v/>
      </c>
      <c r="U168" s="382"/>
      <c r="V168" s="381" t="str">
        <f>IF(CHMTCmTm!V167=0,"",CHMTCmTm!V167)</f>
        <v/>
      </c>
      <c r="W168" s="396"/>
      <c r="X168" s="396"/>
      <c r="Y168" s="382"/>
      <c r="Z168" s="215">
        <f>CHMTCmTm!Z167</f>
        <v>0</v>
      </c>
      <c r="AA168" s="381" t="str">
        <f>IF(CHMTCmTm!AA167=0,"",CHMTCmTm!AA167)</f>
        <v/>
      </c>
      <c r="AB168" s="396"/>
      <c r="AC168" s="382"/>
      <c r="AD168" s="215">
        <f>CHMTCmTm!AD167</f>
        <v>0</v>
      </c>
      <c r="AE168" s="381" t="str">
        <f>IF(CHMTCmTm!AE167=0,"",CHMTCmTm!AE167)</f>
        <v/>
      </c>
      <c r="AF168" s="396"/>
      <c r="AG168" s="382"/>
      <c r="AH168" s="215">
        <f>CHMTCmTm!AH167</f>
        <v>0</v>
      </c>
      <c r="AI168" s="381" t="str">
        <f>IF(CHMTCmTm!AI167=0,"",CHMTCmTm!AI167)</f>
        <v/>
      </c>
      <c r="AJ168" s="396"/>
      <c r="AK168" s="382"/>
      <c r="AL168" s="215">
        <f>CHMTCmTm!AL167</f>
        <v>0</v>
      </c>
      <c r="AM168" s="381" t="str">
        <f>IF(CHMTCmTm!AM167=0,"",CHMTCmTm!AM167)</f>
        <v/>
      </c>
      <c r="AN168" s="396"/>
      <c r="AO168" s="382"/>
      <c r="AP168" s="381" t="str">
        <f>IF(CHMTCmTm!AP167=0,"",CHMTCmTm!AP167)</f>
        <v/>
      </c>
      <c r="AQ168" s="382"/>
      <c r="AR168" s="381" t="str">
        <f>IF(CHMTCmTm!AR167=0,"",CHMTCmTm!AR167)</f>
        <v/>
      </c>
      <c r="AS168" s="382"/>
      <c r="AT168" s="381" t="str">
        <f>IF(CHMTCmTm!AT167=0,"",CHMTCmTm!AT167)</f>
        <v/>
      </c>
      <c r="AU168" s="396"/>
      <c r="AV168" s="382"/>
      <c r="AW168" s="381" t="str">
        <f>IF(CHMTCmTm!AW167=0,"",CHMTCmTm!AW167)</f>
        <v/>
      </c>
      <c r="AX168" s="396"/>
      <c r="AY168" s="382"/>
      <c r="AZ168" s="24">
        <f>CHMTCmTm!AZ167</f>
        <v>0</v>
      </c>
      <c r="BC168" s="24">
        <f>COUNTIF(CHMTCmTm!O167, "Outreach Session")</f>
        <v>0</v>
      </c>
      <c r="BD168" s="24">
        <f>COUNTIF(CHMTCmTm!O167, "Mobile Clinic")</f>
        <v>0</v>
      </c>
      <c r="BE168" s="24">
        <f>COUNTIF(CHMTCmTm!O167, "Health Facility")</f>
        <v>0</v>
      </c>
    </row>
    <row r="169" spans="2:57" s="24" customFormat="1" ht="21.95" customHeight="1" x14ac:dyDescent="0.25">
      <c r="B169" s="397" t="str">
        <f>IF(CHMTCmTm!B168=0,"",CHMTCmTm!B168)</f>
        <v/>
      </c>
      <c r="C169" s="398"/>
      <c r="D169" s="399"/>
      <c r="E169" s="216">
        <f t="shared" si="5"/>
        <v>0</v>
      </c>
      <c r="F169" s="397" t="str">
        <f>IF(CHMTCmTm!F168=0,"",CHMTCmTm!F168)</f>
        <v/>
      </c>
      <c r="G169" s="398"/>
      <c r="H169" s="399"/>
      <c r="I169" s="381" t="str">
        <f>IF(CHMTCmTm!I168=0,"",CHMTCmTm!I168)</f>
        <v/>
      </c>
      <c r="J169" s="382"/>
      <c r="K169" s="381" t="str">
        <f>IF(CHMTCmTm!K168=0,"",CHMTCmTm!K168)</f>
        <v/>
      </c>
      <c r="L169" s="382"/>
      <c r="M169" s="381" t="str">
        <f>IF(CHMTCmTm!M168=0,"",CHMTCmTm!M168)</f>
        <v/>
      </c>
      <c r="N169" s="382"/>
      <c r="O169" s="381" t="str">
        <f>IF(CHMTCmTm!O168=0,"",CHMTCmTm!O168)</f>
        <v/>
      </c>
      <c r="P169" s="382"/>
      <c r="Q169" s="215" t="b">
        <f t="shared" si="4"/>
        <v>0</v>
      </c>
      <c r="R169" s="381" t="str">
        <f>IF(CHMTCmTm!R168=0,"",CHMTCmTm!R168)</f>
        <v/>
      </c>
      <c r="S169" s="382"/>
      <c r="T169" s="381" t="str">
        <f>IF(CHMTCmTm!T168=0,"",CHMTCmTm!T168)</f>
        <v/>
      </c>
      <c r="U169" s="382"/>
      <c r="V169" s="381" t="str">
        <f>IF(CHMTCmTm!V168=0,"",CHMTCmTm!V168)</f>
        <v/>
      </c>
      <c r="W169" s="396"/>
      <c r="X169" s="396"/>
      <c r="Y169" s="382"/>
      <c r="Z169" s="215">
        <f>CHMTCmTm!Z168</f>
        <v>0</v>
      </c>
      <c r="AA169" s="381" t="str">
        <f>IF(CHMTCmTm!AA168=0,"",CHMTCmTm!AA168)</f>
        <v/>
      </c>
      <c r="AB169" s="396"/>
      <c r="AC169" s="382"/>
      <c r="AD169" s="215">
        <f>CHMTCmTm!AD168</f>
        <v>0</v>
      </c>
      <c r="AE169" s="381" t="str">
        <f>IF(CHMTCmTm!AE168=0,"",CHMTCmTm!AE168)</f>
        <v/>
      </c>
      <c r="AF169" s="396"/>
      <c r="AG169" s="382"/>
      <c r="AH169" s="215">
        <f>CHMTCmTm!AH168</f>
        <v>0</v>
      </c>
      <c r="AI169" s="381" t="str">
        <f>IF(CHMTCmTm!AI168=0,"",CHMTCmTm!AI168)</f>
        <v/>
      </c>
      <c r="AJ169" s="396"/>
      <c r="AK169" s="382"/>
      <c r="AL169" s="215">
        <f>CHMTCmTm!AL168</f>
        <v>0</v>
      </c>
      <c r="AM169" s="381" t="str">
        <f>IF(CHMTCmTm!AM168=0,"",CHMTCmTm!AM168)</f>
        <v/>
      </c>
      <c r="AN169" s="396"/>
      <c r="AO169" s="382"/>
      <c r="AP169" s="381" t="str">
        <f>IF(CHMTCmTm!AP168=0,"",CHMTCmTm!AP168)</f>
        <v/>
      </c>
      <c r="AQ169" s="382"/>
      <c r="AR169" s="381" t="str">
        <f>IF(CHMTCmTm!AR168=0,"",CHMTCmTm!AR168)</f>
        <v/>
      </c>
      <c r="AS169" s="382"/>
      <c r="AT169" s="381" t="str">
        <f>IF(CHMTCmTm!AT168=0,"",CHMTCmTm!AT168)</f>
        <v/>
      </c>
      <c r="AU169" s="396"/>
      <c r="AV169" s="382"/>
      <c r="AW169" s="381" t="str">
        <f>IF(CHMTCmTm!AW168=0,"",CHMTCmTm!AW168)</f>
        <v/>
      </c>
      <c r="AX169" s="396"/>
      <c r="AY169" s="382"/>
      <c r="AZ169" s="24">
        <f>CHMTCmTm!AZ168</f>
        <v>0</v>
      </c>
      <c r="BC169" s="24">
        <f>COUNTIF(CHMTCmTm!O168, "Outreach Session")</f>
        <v>0</v>
      </c>
      <c r="BD169" s="24">
        <f>COUNTIF(CHMTCmTm!O168, "Mobile Clinic")</f>
        <v>0</v>
      </c>
      <c r="BE169" s="24">
        <f>COUNTIF(CHMTCmTm!O168, "Health Facility")</f>
        <v>0</v>
      </c>
    </row>
    <row r="170" spans="2:57" s="24" customFormat="1" ht="21.95" customHeight="1" x14ac:dyDescent="0.25">
      <c r="B170" s="397" t="str">
        <f>IF(CHMTCmTm!B169=0,"",CHMTCmTm!B169)</f>
        <v/>
      </c>
      <c r="C170" s="398"/>
      <c r="D170" s="399"/>
      <c r="E170" s="216">
        <f t="shared" si="5"/>
        <v>0</v>
      </c>
      <c r="F170" s="397" t="str">
        <f>IF(CHMTCmTm!F169=0,"",CHMTCmTm!F169)</f>
        <v/>
      </c>
      <c r="G170" s="398"/>
      <c r="H170" s="399"/>
      <c r="I170" s="381" t="str">
        <f>IF(CHMTCmTm!I169=0,"",CHMTCmTm!I169)</f>
        <v/>
      </c>
      <c r="J170" s="382"/>
      <c r="K170" s="381" t="str">
        <f>IF(CHMTCmTm!K169=0,"",CHMTCmTm!K169)</f>
        <v/>
      </c>
      <c r="L170" s="382"/>
      <c r="M170" s="381" t="str">
        <f>IF(CHMTCmTm!M169=0,"",CHMTCmTm!M169)</f>
        <v/>
      </c>
      <c r="N170" s="382"/>
      <c r="O170" s="381" t="str">
        <f>IF(CHMTCmTm!O169=0,"",CHMTCmTm!O169)</f>
        <v/>
      </c>
      <c r="P170" s="382"/>
      <c r="Q170" s="215" t="b">
        <f t="shared" si="4"/>
        <v>0</v>
      </c>
      <c r="R170" s="381" t="str">
        <f>IF(CHMTCmTm!R169=0,"",CHMTCmTm!R169)</f>
        <v/>
      </c>
      <c r="S170" s="382"/>
      <c r="T170" s="381" t="str">
        <f>IF(CHMTCmTm!T169=0,"",CHMTCmTm!T169)</f>
        <v/>
      </c>
      <c r="U170" s="382"/>
      <c r="V170" s="381" t="str">
        <f>IF(CHMTCmTm!V169=0,"",CHMTCmTm!V169)</f>
        <v/>
      </c>
      <c r="W170" s="396"/>
      <c r="X170" s="396"/>
      <c r="Y170" s="382"/>
      <c r="Z170" s="215">
        <f>CHMTCmTm!Z169</f>
        <v>0</v>
      </c>
      <c r="AA170" s="381" t="str">
        <f>IF(CHMTCmTm!AA169=0,"",CHMTCmTm!AA169)</f>
        <v/>
      </c>
      <c r="AB170" s="396"/>
      <c r="AC170" s="382"/>
      <c r="AD170" s="215">
        <f>CHMTCmTm!AD169</f>
        <v>0</v>
      </c>
      <c r="AE170" s="381" t="str">
        <f>IF(CHMTCmTm!AE169=0,"",CHMTCmTm!AE169)</f>
        <v/>
      </c>
      <c r="AF170" s="396"/>
      <c r="AG170" s="382"/>
      <c r="AH170" s="215">
        <f>CHMTCmTm!AH169</f>
        <v>0</v>
      </c>
      <c r="AI170" s="381" t="str">
        <f>IF(CHMTCmTm!AI169=0,"",CHMTCmTm!AI169)</f>
        <v/>
      </c>
      <c r="AJ170" s="396"/>
      <c r="AK170" s="382"/>
      <c r="AL170" s="215">
        <f>CHMTCmTm!AL169</f>
        <v>0</v>
      </c>
      <c r="AM170" s="381" t="str">
        <f>IF(CHMTCmTm!AM169=0,"",CHMTCmTm!AM169)</f>
        <v/>
      </c>
      <c r="AN170" s="396"/>
      <c r="AO170" s="382"/>
      <c r="AP170" s="381" t="str">
        <f>IF(CHMTCmTm!AP169=0,"",CHMTCmTm!AP169)</f>
        <v/>
      </c>
      <c r="AQ170" s="382"/>
      <c r="AR170" s="381" t="str">
        <f>IF(CHMTCmTm!AR169=0,"",CHMTCmTm!AR169)</f>
        <v/>
      </c>
      <c r="AS170" s="382"/>
      <c r="AT170" s="381" t="str">
        <f>IF(CHMTCmTm!AT169=0,"",CHMTCmTm!AT169)</f>
        <v/>
      </c>
      <c r="AU170" s="396"/>
      <c r="AV170" s="382"/>
      <c r="AW170" s="381" t="str">
        <f>IF(CHMTCmTm!AW169=0,"",CHMTCmTm!AW169)</f>
        <v/>
      </c>
      <c r="AX170" s="396"/>
      <c r="AY170" s="382"/>
      <c r="AZ170" s="24">
        <f>CHMTCmTm!AZ169</f>
        <v>0</v>
      </c>
      <c r="BC170" s="24">
        <f>COUNTIF(CHMTCmTm!O169, "Outreach Session")</f>
        <v>0</v>
      </c>
      <c r="BD170" s="24">
        <f>COUNTIF(CHMTCmTm!O169, "Mobile Clinic")</f>
        <v>0</v>
      </c>
      <c r="BE170" s="24">
        <f>COUNTIF(CHMTCmTm!O169, "Health Facility")</f>
        <v>0</v>
      </c>
    </row>
    <row r="171" spans="2:57" s="24" customFormat="1" ht="21.95" customHeight="1" x14ac:dyDescent="0.25">
      <c r="B171" s="397" t="str">
        <f>IF(CHMTCmTm!B170=0,"",CHMTCmTm!B170)</f>
        <v/>
      </c>
      <c r="C171" s="398"/>
      <c r="D171" s="399"/>
      <c r="E171" s="216">
        <f t="shared" si="5"/>
        <v>0</v>
      </c>
      <c r="F171" s="397" t="str">
        <f>IF(CHMTCmTm!F170=0,"",CHMTCmTm!F170)</f>
        <v/>
      </c>
      <c r="G171" s="398"/>
      <c r="H171" s="399"/>
      <c r="I171" s="381" t="str">
        <f>IF(CHMTCmTm!I170=0,"",CHMTCmTm!I170)</f>
        <v/>
      </c>
      <c r="J171" s="382"/>
      <c r="K171" s="381" t="str">
        <f>IF(CHMTCmTm!K170=0,"",CHMTCmTm!K170)</f>
        <v/>
      </c>
      <c r="L171" s="382"/>
      <c r="M171" s="381" t="str">
        <f>IF(CHMTCmTm!M170=0,"",CHMTCmTm!M170)</f>
        <v/>
      </c>
      <c r="N171" s="382"/>
      <c r="O171" s="381" t="str">
        <f>IF(CHMTCmTm!O170=0,"",CHMTCmTm!O170)</f>
        <v/>
      </c>
      <c r="P171" s="382"/>
      <c r="Q171" s="215" t="b">
        <f t="shared" si="4"/>
        <v>0</v>
      </c>
      <c r="R171" s="381" t="str">
        <f>IF(CHMTCmTm!R170=0,"",CHMTCmTm!R170)</f>
        <v/>
      </c>
      <c r="S171" s="382"/>
      <c r="T171" s="381" t="str">
        <f>IF(CHMTCmTm!T170=0,"",CHMTCmTm!T170)</f>
        <v/>
      </c>
      <c r="U171" s="382"/>
      <c r="V171" s="381" t="str">
        <f>IF(CHMTCmTm!V170=0,"",CHMTCmTm!V170)</f>
        <v/>
      </c>
      <c r="W171" s="396"/>
      <c r="X171" s="396"/>
      <c r="Y171" s="382"/>
      <c r="Z171" s="215">
        <f>CHMTCmTm!Z170</f>
        <v>0</v>
      </c>
      <c r="AA171" s="381" t="str">
        <f>IF(CHMTCmTm!AA170=0,"",CHMTCmTm!AA170)</f>
        <v/>
      </c>
      <c r="AB171" s="396"/>
      <c r="AC171" s="382"/>
      <c r="AD171" s="215">
        <f>CHMTCmTm!AD170</f>
        <v>0</v>
      </c>
      <c r="AE171" s="381" t="str">
        <f>IF(CHMTCmTm!AE170=0,"",CHMTCmTm!AE170)</f>
        <v/>
      </c>
      <c r="AF171" s="396"/>
      <c r="AG171" s="382"/>
      <c r="AH171" s="215">
        <f>CHMTCmTm!AH170</f>
        <v>0</v>
      </c>
      <c r="AI171" s="381" t="str">
        <f>IF(CHMTCmTm!AI170=0,"",CHMTCmTm!AI170)</f>
        <v/>
      </c>
      <c r="AJ171" s="396"/>
      <c r="AK171" s="382"/>
      <c r="AL171" s="215">
        <f>CHMTCmTm!AL170</f>
        <v>0</v>
      </c>
      <c r="AM171" s="381" t="str">
        <f>IF(CHMTCmTm!AM170=0,"",CHMTCmTm!AM170)</f>
        <v/>
      </c>
      <c r="AN171" s="396"/>
      <c r="AO171" s="382"/>
      <c r="AP171" s="381" t="str">
        <f>IF(CHMTCmTm!AP170=0,"",CHMTCmTm!AP170)</f>
        <v/>
      </c>
      <c r="AQ171" s="382"/>
      <c r="AR171" s="381" t="str">
        <f>IF(CHMTCmTm!AR170=0,"",CHMTCmTm!AR170)</f>
        <v/>
      </c>
      <c r="AS171" s="382"/>
      <c r="AT171" s="381" t="str">
        <f>IF(CHMTCmTm!AT170=0,"",CHMTCmTm!AT170)</f>
        <v/>
      </c>
      <c r="AU171" s="396"/>
      <c r="AV171" s="382"/>
      <c r="AW171" s="381" t="str">
        <f>IF(CHMTCmTm!AW170=0,"",CHMTCmTm!AW170)</f>
        <v/>
      </c>
      <c r="AX171" s="396"/>
      <c r="AY171" s="382"/>
      <c r="AZ171" s="24">
        <f>CHMTCmTm!AZ170</f>
        <v>0</v>
      </c>
      <c r="BC171" s="24">
        <f>COUNTIF(CHMTCmTm!O170, "Outreach Session")</f>
        <v>0</v>
      </c>
      <c r="BD171" s="24">
        <f>COUNTIF(CHMTCmTm!O170, "Mobile Clinic")</f>
        <v>0</v>
      </c>
      <c r="BE171" s="24">
        <f>COUNTIF(CHMTCmTm!O170, "Health Facility")</f>
        <v>0</v>
      </c>
    </row>
    <row r="172" spans="2:57" s="24" customFormat="1" ht="21.95" customHeight="1" x14ac:dyDescent="0.25">
      <c r="B172" s="397" t="str">
        <f>IF(CHMTCmTm!B171=0,"",CHMTCmTm!B171)</f>
        <v/>
      </c>
      <c r="C172" s="398"/>
      <c r="D172" s="399"/>
      <c r="E172" s="216">
        <f t="shared" si="5"/>
        <v>0</v>
      </c>
      <c r="F172" s="397" t="str">
        <f>IF(CHMTCmTm!F171=0,"",CHMTCmTm!F171)</f>
        <v/>
      </c>
      <c r="G172" s="398"/>
      <c r="H172" s="399"/>
      <c r="I172" s="381" t="str">
        <f>IF(CHMTCmTm!I171=0,"",CHMTCmTm!I171)</f>
        <v/>
      </c>
      <c r="J172" s="382"/>
      <c r="K172" s="381" t="str">
        <f>IF(CHMTCmTm!K171=0,"",CHMTCmTm!K171)</f>
        <v/>
      </c>
      <c r="L172" s="382"/>
      <c r="M172" s="381" t="str">
        <f>IF(CHMTCmTm!M171=0,"",CHMTCmTm!M171)</f>
        <v/>
      </c>
      <c r="N172" s="382"/>
      <c r="O172" s="381" t="str">
        <f>IF(CHMTCmTm!O171=0,"",CHMTCmTm!O171)</f>
        <v/>
      </c>
      <c r="P172" s="382"/>
      <c r="Q172" s="215" t="b">
        <f t="shared" si="4"/>
        <v>0</v>
      </c>
      <c r="R172" s="381" t="str">
        <f>IF(CHMTCmTm!R171=0,"",CHMTCmTm!R171)</f>
        <v/>
      </c>
      <c r="S172" s="382"/>
      <c r="T172" s="381" t="str">
        <f>IF(CHMTCmTm!T171=0,"",CHMTCmTm!T171)</f>
        <v/>
      </c>
      <c r="U172" s="382"/>
      <c r="V172" s="381" t="str">
        <f>IF(CHMTCmTm!V171=0,"",CHMTCmTm!V171)</f>
        <v/>
      </c>
      <c r="W172" s="396"/>
      <c r="X172" s="396"/>
      <c r="Y172" s="382"/>
      <c r="Z172" s="215">
        <f>CHMTCmTm!Z171</f>
        <v>0</v>
      </c>
      <c r="AA172" s="381" t="str">
        <f>IF(CHMTCmTm!AA171=0,"",CHMTCmTm!AA171)</f>
        <v/>
      </c>
      <c r="AB172" s="396"/>
      <c r="AC172" s="382"/>
      <c r="AD172" s="215">
        <f>CHMTCmTm!AD171</f>
        <v>0</v>
      </c>
      <c r="AE172" s="381" t="str">
        <f>IF(CHMTCmTm!AE171=0,"",CHMTCmTm!AE171)</f>
        <v/>
      </c>
      <c r="AF172" s="396"/>
      <c r="AG172" s="382"/>
      <c r="AH172" s="215">
        <f>CHMTCmTm!AH171</f>
        <v>0</v>
      </c>
      <c r="AI172" s="381" t="str">
        <f>IF(CHMTCmTm!AI171=0,"",CHMTCmTm!AI171)</f>
        <v/>
      </c>
      <c r="AJ172" s="396"/>
      <c r="AK172" s="382"/>
      <c r="AL172" s="215">
        <f>CHMTCmTm!AL171</f>
        <v>0</v>
      </c>
      <c r="AM172" s="381" t="str">
        <f>IF(CHMTCmTm!AM171=0,"",CHMTCmTm!AM171)</f>
        <v/>
      </c>
      <c r="AN172" s="396"/>
      <c r="AO172" s="382"/>
      <c r="AP172" s="381" t="str">
        <f>IF(CHMTCmTm!AP171=0,"",CHMTCmTm!AP171)</f>
        <v/>
      </c>
      <c r="AQ172" s="382"/>
      <c r="AR172" s="381" t="str">
        <f>IF(CHMTCmTm!AR171=0,"",CHMTCmTm!AR171)</f>
        <v/>
      </c>
      <c r="AS172" s="382"/>
      <c r="AT172" s="381" t="str">
        <f>IF(CHMTCmTm!AT171=0,"",CHMTCmTm!AT171)</f>
        <v/>
      </c>
      <c r="AU172" s="396"/>
      <c r="AV172" s="382"/>
      <c r="AW172" s="381" t="str">
        <f>IF(CHMTCmTm!AW171=0,"",CHMTCmTm!AW171)</f>
        <v/>
      </c>
      <c r="AX172" s="396"/>
      <c r="AY172" s="382"/>
      <c r="AZ172" s="24">
        <f>CHMTCmTm!AZ171</f>
        <v>0</v>
      </c>
      <c r="BC172" s="24">
        <f>COUNTIF(CHMTCmTm!O171, "Outreach Session")</f>
        <v>0</v>
      </c>
      <c r="BD172" s="24">
        <f>COUNTIF(CHMTCmTm!O171, "Mobile Clinic")</f>
        <v>0</v>
      </c>
      <c r="BE172" s="24">
        <f>COUNTIF(CHMTCmTm!O171, "Health Facility")</f>
        <v>0</v>
      </c>
    </row>
    <row r="173" spans="2:57" s="24" customFormat="1" ht="21.95" customHeight="1" x14ac:dyDescent="0.25">
      <c r="B173" s="397" t="str">
        <f>IF(CHMTCmTm!B172=0,"",CHMTCmTm!B172)</f>
        <v/>
      </c>
      <c r="C173" s="398"/>
      <c r="D173" s="399"/>
      <c r="E173" s="216">
        <f t="shared" si="5"/>
        <v>0</v>
      </c>
      <c r="F173" s="397" t="str">
        <f>IF(CHMTCmTm!F172=0,"",CHMTCmTm!F172)</f>
        <v/>
      </c>
      <c r="G173" s="398"/>
      <c r="H173" s="399"/>
      <c r="I173" s="381" t="str">
        <f>IF(CHMTCmTm!I172=0,"",CHMTCmTm!I172)</f>
        <v/>
      </c>
      <c r="J173" s="382"/>
      <c r="K173" s="381" t="str">
        <f>IF(CHMTCmTm!K172=0,"",CHMTCmTm!K172)</f>
        <v/>
      </c>
      <c r="L173" s="382"/>
      <c r="M173" s="381" t="str">
        <f>IF(CHMTCmTm!M172=0,"",CHMTCmTm!M172)</f>
        <v/>
      </c>
      <c r="N173" s="382"/>
      <c r="O173" s="381" t="str">
        <f>IF(CHMTCmTm!O172=0,"",CHMTCmTm!O172)</f>
        <v/>
      </c>
      <c r="P173" s="382"/>
      <c r="Q173" s="215" t="b">
        <f t="shared" si="4"/>
        <v>0</v>
      </c>
      <c r="R173" s="381" t="str">
        <f>IF(CHMTCmTm!R172=0,"",CHMTCmTm!R172)</f>
        <v/>
      </c>
      <c r="S173" s="382"/>
      <c r="T173" s="381" t="str">
        <f>IF(CHMTCmTm!T172=0,"",CHMTCmTm!T172)</f>
        <v/>
      </c>
      <c r="U173" s="382"/>
      <c r="V173" s="381" t="str">
        <f>IF(CHMTCmTm!V172=0,"",CHMTCmTm!V172)</f>
        <v/>
      </c>
      <c r="W173" s="396"/>
      <c r="X173" s="396"/>
      <c r="Y173" s="382"/>
      <c r="Z173" s="215">
        <f>CHMTCmTm!Z172</f>
        <v>0</v>
      </c>
      <c r="AA173" s="381" t="str">
        <f>IF(CHMTCmTm!AA172=0,"",CHMTCmTm!AA172)</f>
        <v/>
      </c>
      <c r="AB173" s="396"/>
      <c r="AC173" s="382"/>
      <c r="AD173" s="215">
        <f>CHMTCmTm!AD172</f>
        <v>0</v>
      </c>
      <c r="AE173" s="381" t="str">
        <f>IF(CHMTCmTm!AE172=0,"",CHMTCmTm!AE172)</f>
        <v/>
      </c>
      <c r="AF173" s="396"/>
      <c r="AG173" s="382"/>
      <c r="AH173" s="215">
        <f>CHMTCmTm!AH172</f>
        <v>0</v>
      </c>
      <c r="AI173" s="381" t="str">
        <f>IF(CHMTCmTm!AI172=0,"",CHMTCmTm!AI172)</f>
        <v/>
      </c>
      <c r="AJ173" s="396"/>
      <c r="AK173" s="382"/>
      <c r="AL173" s="215">
        <f>CHMTCmTm!AL172</f>
        <v>0</v>
      </c>
      <c r="AM173" s="381" t="str">
        <f>IF(CHMTCmTm!AM172=0,"",CHMTCmTm!AM172)</f>
        <v/>
      </c>
      <c r="AN173" s="396"/>
      <c r="AO173" s="382"/>
      <c r="AP173" s="381" t="str">
        <f>IF(CHMTCmTm!AP172=0,"",CHMTCmTm!AP172)</f>
        <v/>
      </c>
      <c r="AQ173" s="382"/>
      <c r="AR173" s="381" t="str">
        <f>IF(CHMTCmTm!AR172=0,"",CHMTCmTm!AR172)</f>
        <v/>
      </c>
      <c r="AS173" s="382"/>
      <c r="AT173" s="381" t="str">
        <f>IF(CHMTCmTm!AT172=0,"",CHMTCmTm!AT172)</f>
        <v/>
      </c>
      <c r="AU173" s="396"/>
      <c r="AV173" s="382"/>
      <c r="AW173" s="381" t="str">
        <f>IF(CHMTCmTm!AW172=0,"",CHMTCmTm!AW172)</f>
        <v/>
      </c>
      <c r="AX173" s="396"/>
      <c r="AY173" s="382"/>
      <c r="AZ173" s="24">
        <f>CHMTCmTm!AZ172</f>
        <v>0</v>
      </c>
      <c r="BC173" s="24">
        <f>COUNTIF(CHMTCmTm!O172, "Outreach Session")</f>
        <v>0</v>
      </c>
      <c r="BD173" s="24">
        <f>COUNTIF(CHMTCmTm!O172, "Mobile Clinic")</f>
        <v>0</v>
      </c>
      <c r="BE173" s="24">
        <f>COUNTIF(CHMTCmTm!O172, "Health Facility")</f>
        <v>0</v>
      </c>
    </row>
    <row r="174" spans="2:57" s="24" customFormat="1" ht="21.95" customHeight="1" x14ac:dyDescent="0.25">
      <c r="B174" s="397" t="str">
        <f>IF(CHMTCmTm!B173=0,"",CHMTCmTm!B173)</f>
        <v/>
      </c>
      <c r="C174" s="398"/>
      <c r="D174" s="399"/>
      <c r="E174" s="216">
        <f t="shared" si="5"/>
        <v>0</v>
      </c>
      <c r="F174" s="397" t="str">
        <f>IF(CHMTCmTm!F173=0,"",CHMTCmTm!F173)</f>
        <v/>
      </c>
      <c r="G174" s="398"/>
      <c r="H174" s="399"/>
      <c r="I174" s="381" t="str">
        <f>IF(CHMTCmTm!I173=0,"",CHMTCmTm!I173)</f>
        <v/>
      </c>
      <c r="J174" s="382"/>
      <c r="K174" s="381" t="str">
        <f>IF(CHMTCmTm!K173=0,"",CHMTCmTm!K173)</f>
        <v/>
      </c>
      <c r="L174" s="382"/>
      <c r="M174" s="381" t="str">
        <f>IF(CHMTCmTm!M173=0,"",CHMTCmTm!M173)</f>
        <v/>
      </c>
      <c r="N174" s="382"/>
      <c r="O174" s="381" t="str">
        <f>IF(CHMTCmTm!O173=0,"",CHMTCmTm!O173)</f>
        <v/>
      </c>
      <c r="P174" s="382"/>
      <c r="Q174" s="215" t="b">
        <f t="shared" si="4"/>
        <v>0</v>
      </c>
      <c r="R174" s="381" t="str">
        <f>IF(CHMTCmTm!R173=0,"",CHMTCmTm!R173)</f>
        <v/>
      </c>
      <c r="S174" s="382"/>
      <c r="T174" s="381" t="str">
        <f>IF(CHMTCmTm!T173=0,"",CHMTCmTm!T173)</f>
        <v/>
      </c>
      <c r="U174" s="382"/>
      <c r="V174" s="381" t="str">
        <f>IF(CHMTCmTm!V173=0,"",CHMTCmTm!V173)</f>
        <v/>
      </c>
      <c r="W174" s="396"/>
      <c r="X174" s="396"/>
      <c r="Y174" s="382"/>
      <c r="Z174" s="215">
        <f>CHMTCmTm!Z173</f>
        <v>0</v>
      </c>
      <c r="AA174" s="381" t="str">
        <f>IF(CHMTCmTm!AA173=0,"",CHMTCmTm!AA173)</f>
        <v/>
      </c>
      <c r="AB174" s="396"/>
      <c r="AC174" s="382"/>
      <c r="AD174" s="215">
        <f>CHMTCmTm!AD173</f>
        <v>0</v>
      </c>
      <c r="AE174" s="381" t="str">
        <f>IF(CHMTCmTm!AE173=0,"",CHMTCmTm!AE173)</f>
        <v/>
      </c>
      <c r="AF174" s="396"/>
      <c r="AG174" s="382"/>
      <c r="AH174" s="215">
        <f>CHMTCmTm!AH173</f>
        <v>0</v>
      </c>
      <c r="AI174" s="381" t="str">
        <f>IF(CHMTCmTm!AI173=0,"",CHMTCmTm!AI173)</f>
        <v/>
      </c>
      <c r="AJ174" s="396"/>
      <c r="AK174" s="382"/>
      <c r="AL174" s="215">
        <f>CHMTCmTm!AL173</f>
        <v>0</v>
      </c>
      <c r="AM174" s="381" t="str">
        <f>IF(CHMTCmTm!AM173=0,"",CHMTCmTm!AM173)</f>
        <v/>
      </c>
      <c r="AN174" s="396"/>
      <c r="AO174" s="382"/>
      <c r="AP174" s="381" t="str">
        <f>IF(CHMTCmTm!AP173=0,"",CHMTCmTm!AP173)</f>
        <v/>
      </c>
      <c r="AQ174" s="382"/>
      <c r="AR174" s="381" t="str">
        <f>IF(CHMTCmTm!AR173=0,"",CHMTCmTm!AR173)</f>
        <v/>
      </c>
      <c r="AS174" s="382"/>
      <c r="AT174" s="381" t="str">
        <f>IF(CHMTCmTm!AT173=0,"",CHMTCmTm!AT173)</f>
        <v/>
      </c>
      <c r="AU174" s="396"/>
      <c r="AV174" s="382"/>
      <c r="AW174" s="381" t="str">
        <f>IF(CHMTCmTm!AW173=0,"",CHMTCmTm!AW173)</f>
        <v/>
      </c>
      <c r="AX174" s="396"/>
      <c r="AY174" s="382"/>
      <c r="AZ174" s="24">
        <f>CHMTCmTm!AZ173</f>
        <v>0</v>
      </c>
      <c r="BC174" s="24">
        <f>COUNTIF(CHMTCmTm!O173, "Outreach Session")</f>
        <v>0</v>
      </c>
      <c r="BD174" s="24">
        <f>COUNTIF(CHMTCmTm!O173, "Mobile Clinic")</f>
        <v>0</v>
      </c>
      <c r="BE174" s="24">
        <f>COUNTIF(CHMTCmTm!O173, "Health Facility")</f>
        <v>0</v>
      </c>
    </row>
    <row r="175" spans="2:57" s="24" customFormat="1" ht="21.95" customHeight="1" x14ac:dyDescent="0.25">
      <c r="B175" s="397" t="str">
        <f>IF(CHMTCmTm!B174=0,"",CHMTCmTm!B174)</f>
        <v/>
      </c>
      <c r="C175" s="398"/>
      <c r="D175" s="399"/>
      <c r="E175" s="216">
        <f t="shared" si="5"/>
        <v>0</v>
      </c>
      <c r="F175" s="397" t="str">
        <f>IF(CHMTCmTm!F174=0,"",CHMTCmTm!F174)</f>
        <v/>
      </c>
      <c r="G175" s="398"/>
      <c r="H175" s="399"/>
      <c r="I175" s="381" t="str">
        <f>IF(CHMTCmTm!I174=0,"",CHMTCmTm!I174)</f>
        <v/>
      </c>
      <c r="J175" s="382"/>
      <c r="K175" s="381" t="str">
        <f>IF(CHMTCmTm!K174=0,"",CHMTCmTm!K174)</f>
        <v/>
      </c>
      <c r="L175" s="382"/>
      <c r="M175" s="381" t="str">
        <f>IF(CHMTCmTm!M174=0,"",CHMTCmTm!M174)</f>
        <v/>
      </c>
      <c r="N175" s="382"/>
      <c r="O175" s="381" t="str">
        <f>IF(CHMTCmTm!O174=0,"",CHMTCmTm!O174)</f>
        <v/>
      </c>
      <c r="P175" s="382"/>
      <c r="Q175" s="215" t="b">
        <f t="shared" si="4"/>
        <v>0</v>
      </c>
      <c r="R175" s="381" t="str">
        <f>IF(CHMTCmTm!R174=0,"",CHMTCmTm!R174)</f>
        <v/>
      </c>
      <c r="S175" s="382"/>
      <c r="T175" s="381" t="str">
        <f>IF(CHMTCmTm!T174=0,"",CHMTCmTm!T174)</f>
        <v/>
      </c>
      <c r="U175" s="382"/>
      <c r="V175" s="381" t="str">
        <f>IF(CHMTCmTm!V174=0,"",CHMTCmTm!V174)</f>
        <v/>
      </c>
      <c r="W175" s="396"/>
      <c r="X175" s="396"/>
      <c r="Y175" s="382"/>
      <c r="Z175" s="215">
        <f>CHMTCmTm!Z174</f>
        <v>0</v>
      </c>
      <c r="AA175" s="381" t="str">
        <f>IF(CHMTCmTm!AA174=0,"",CHMTCmTm!AA174)</f>
        <v/>
      </c>
      <c r="AB175" s="396"/>
      <c r="AC175" s="382"/>
      <c r="AD175" s="215">
        <f>CHMTCmTm!AD174</f>
        <v>0</v>
      </c>
      <c r="AE175" s="381" t="str">
        <f>IF(CHMTCmTm!AE174=0,"",CHMTCmTm!AE174)</f>
        <v/>
      </c>
      <c r="AF175" s="396"/>
      <c r="AG175" s="382"/>
      <c r="AH175" s="215">
        <f>CHMTCmTm!AH174</f>
        <v>0</v>
      </c>
      <c r="AI175" s="381" t="str">
        <f>IF(CHMTCmTm!AI174=0,"",CHMTCmTm!AI174)</f>
        <v/>
      </c>
      <c r="AJ175" s="396"/>
      <c r="AK175" s="382"/>
      <c r="AL175" s="215">
        <f>CHMTCmTm!AL174</f>
        <v>0</v>
      </c>
      <c r="AM175" s="381" t="str">
        <f>IF(CHMTCmTm!AM174=0,"",CHMTCmTm!AM174)</f>
        <v/>
      </c>
      <c r="AN175" s="396"/>
      <c r="AO175" s="382"/>
      <c r="AP175" s="381" t="str">
        <f>IF(CHMTCmTm!AP174=0,"",CHMTCmTm!AP174)</f>
        <v/>
      </c>
      <c r="AQ175" s="382"/>
      <c r="AR175" s="381" t="str">
        <f>IF(CHMTCmTm!AR174=0,"",CHMTCmTm!AR174)</f>
        <v/>
      </c>
      <c r="AS175" s="382"/>
      <c r="AT175" s="381" t="str">
        <f>IF(CHMTCmTm!AT174=0,"",CHMTCmTm!AT174)</f>
        <v/>
      </c>
      <c r="AU175" s="396"/>
      <c r="AV175" s="382"/>
      <c r="AW175" s="381" t="str">
        <f>IF(CHMTCmTm!AW174=0,"",CHMTCmTm!AW174)</f>
        <v/>
      </c>
      <c r="AX175" s="396"/>
      <c r="AY175" s="382"/>
      <c r="AZ175" s="24">
        <f>CHMTCmTm!AZ174</f>
        <v>0</v>
      </c>
      <c r="BC175" s="24">
        <f>COUNTIF(CHMTCmTm!O174, "Outreach Session")</f>
        <v>0</v>
      </c>
      <c r="BD175" s="24">
        <f>COUNTIF(CHMTCmTm!O174, "Mobile Clinic")</f>
        <v>0</v>
      </c>
      <c r="BE175" s="24">
        <f>COUNTIF(CHMTCmTm!O174, "Health Facility")</f>
        <v>0</v>
      </c>
    </row>
    <row r="176" spans="2:57" s="24" customFormat="1" ht="21.95" customHeight="1" x14ac:dyDescent="0.25">
      <c r="B176" s="397" t="str">
        <f>IF(CHMTCmTm!B175=0,"",CHMTCmTm!B175)</f>
        <v/>
      </c>
      <c r="C176" s="398"/>
      <c r="D176" s="399"/>
      <c r="E176" s="216">
        <f t="shared" si="5"/>
        <v>0</v>
      </c>
      <c r="F176" s="397" t="str">
        <f>IF(CHMTCmTm!F175=0,"",CHMTCmTm!F175)</f>
        <v/>
      </c>
      <c r="G176" s="398"/>
      <c r="H176" s="399"/>
      <c r="I176" s="381" t="str">
        <f>IF(CHMTCmTm!I175=0,"",CHMTCmTm!I175)</f>
        <v/>
      </c>
      <c r="J176" s="382"/>
      <c r="K176" s="381" t="str">
        <f>IF(CHMTCmTm!K175=0,"",CHMTCmTm!K175)</f>
        <v/>
      </c>
      <c r="L176" s="382"/>
      <c r="M176" s="381" t="str">
        <f>IF(CHMTCmTm!M175=0,"",CHMTCmTm!M175)</f>
        <v/>
      </c>
      <c r="N176" s="382"/>
      <c r="O176" s="381" t="str">
        <f>IF(CHMTCmTm!O175=0,"",CHMTCmTm!O175)</f>
        <v/>
      </c>
      <c r="P176" s="382"/>
      <c r="Q176" s="215" t="b">
        <f t="shared" si="4"/>
        <v>0</v>
      </c>
      <c r="R176" s="381" t="str">
        <f>IF(CHMTCmTm!R175=0,"",CHMTCmTm!R175)</f>
        <v/>
      </c>
      <c r="S176" s="382"/>
      <c r="T176" s="381" t="str">
        <f>IF(CHMTCmTm!T175=0,"",CHMTCmTm!T175)</f>
        <v/>
      </c>
      <c r="U176" s="382"/>
      <c r="V176" s="381" t="str">
        <f>IF(CHMTCmTm!V175=0,"",CHMTCmTm!V175)</f>
        <v/>
      </c>
      <c r="W176" s="396"/>
      <c r="X176" s="396"/>
      <c r="Y176" s="382"/>
      <c r="Z176" s="215">
        <f>CHMTCmTm!Z175</f>
        <v>0</v>
      </c>
      <c r="AA176" s="381" t="str">
        <f>IF(CHMTCmTm!AA175=0,"",CHMTCmTm!AA175)</f>
        <v/>
      </c>
      <c r="AB176" s="396"/>
      <c r="AC176" s="382"/>
      <c r="AD176" s="215">
        <f>CHMTCmTm!AD175</f>
        <v>0</v>
      </c>
      <c r="AE176" s="381" t="str">
        <f>IF(CHMTCmTm!AE175=0,"",CHMTCmTm!AE175)</f>
        <v/>
      </c>
      <c r="AF176" s="396"/>
      <c r="AG176" s="382"/>
      <c r="AH176" s="215">
        <f>CHMTCmTm!AH175</f>
        <v>0</v>
      </c>
      <c r="AI176" s="381" t="str">
        <f>IF(CHMTCmTm!AI175=0,"",CHMTCmTm!AI175)</f>
        <v/>
      </c>
      <c r="AJ176" s="396"/>
      <c r="AK176" s="382"/>
      <c r="AL176" s="215">
        <f>CHMTCmTm!AL175</f>
        <v>0</v>
      </c>
      <c r="AM176" s="381" t="str">
        <f>IF(CHMTCmTm!AM175=0,"",CHMTCmTm!AM175)</f>
        <v/>
      </c>
      <c r="AN176" s="396"/>
      <c r="AO176" s="382"/>
      <c r="AP176" s="381" t="str">
        <f>IF(CHMTCmTm!AP175=0,"",CHMTCmTm!AP175)</f>
        <v/>
      </c>
      <c r="AQ176" s="382"/>
      <c r="AR176" s="381" t="str">
        <f>IF(CHMTCmTm!AR175=0,"",CHMTCmTm!AR175)</f>
        <v/>
      </c>
      <c r="AS176" s="382"/>
      <c r="AT176" s="381" t="str">
        <f>IF(CHMTCmTm!AT175=0,"",CHMTCmTm!AT175)</f>
        <v/>
      </c>
      <c r="AU176" s="396"/>
      <c r="AV176" s="382"/>
      <c r="AW176" s="381" t="str">
        <f>IF(CHMTCmTm!AW175=0,"",CHMTCmTm!AW175)</f>
        <v/>
      </c>
      <c r="AX176" s="396"/>
      <c r="AY176" s="382"/>
      <c r="AZ176" s="24">
        <f>CHMTCmTm!AZ175</f>
        <v>0</v>
      </c>
      <c r="BC176" s="24">
        <f>COUNTIF(CHMTCmTm!O175, "Outreach Session")</f>
        <v>0</v>
      </c>
      <c r="BD176" s="24">
        <f>COUNTIF(CHMTCmTm!O175, "Mobile Clinic")</f>
        <v>0</v>
      </c>
      <c r="BE176" s="24">
        <f>COUNTIF(CHMTCmTm!O175, "Health Facility")</f>
        <v>0</v>
      </c>
    </row>
    <row r="177" spans="2:57" s="24" customFormat="1" ht="21.95" customHeight="1" x14ac:dyDescent="0.25">
      <c r="B177" s="397" t="str">
        <f>IF(CHMTCmTm!B176=0,"",CHMTCmTm!B176)</f>
        <v/>
      </c>
      <c r="C177" s="398"/>
      <c r="D177" s="399"/>
      <c r="E177" s="216">
        <f t="shared" si="5"/>
        <v>0</v>
      </c>
      <c r="F177" s="397" t="str">
        <f>IF(CHMTCmTm!F176=0,"",CHMTCmTm!F176)</f>
        <v/>
      </c>
      <c r="G177" s="398"/>
      <c r="H177" s="399"/>
      <c r="I177" s="381" t="str">
        <f>IF(CHMTCmTm!I176=0,"",CHMTCmTm!I176)</f>
        <v/>
      </c>
      <c r="J177" s="382"/>
      <c r="K177" s="381" t="str">
        <f>IF(CHMTCmTm!K176=0,"",CHMTCmTm!K176)</f>
        <v/>
      </c>
      <c r="L177" s="382"/>
      <c r="M177" s="381" t="str">
        <f>IF(CHMTCmTm!M176=0,"",CHMTCmTm!M176)</f>
        <v/>
      </c>
      <c r="N177" s="382"/>
      <c r="O177" s="381" t="str">
        <f>IF(CHMTCmTm!O176=0,"",CHMTCmTm!O176)</f>
        <v/>
      </c>
      <c r="P177" s="382"/>
      <c r="Q177" s="215" t="b">
        <f t="shared" si="4"/>
        <v>0</v>
      </c>
      <c r="R177" s="381" t="str">
        <f>IF(CHMTCmTm!R176=0,"",CHMTCmTm!R176)</f>
        <v/>
      </c>
      <c r="S177" s="382"/>
      <c r="T177" s="381" t="str">
        <f>IF(CHMTCmTm!T176=0,"",CHMTCmTm!T176)</f>
        <v/>
      </c>
      <c r="U177" s="382"/>
      <c r="V177" s="381" t="str">
        <f>IF(CHMTCmTm!V176=0,"",CHMTCmTm!V176)</f>
        <v/>
      </c>
      <c r="W177" s="396"/>
      <c r="X177" s="396"/>
      <c r="Y177" s="382"/>
      <c r="Z177" s="215">
        <f>CHMTCmTm!Z176</f>
        <v>0</v>
      </c>
      <c r="AA177" s="381" t="str">
        <f>IF(CHMTCmTm!AA176=0,"",CHMTCmTm!AA176)</f>
        <v/>
      </c>
      <c r="AB177" s="396"/>
      <c r="AC177" s="382"/>
      <c r="AD177" s="215">
        <f>CHMTCmTm!AD176</f>
        <v>0</v>
      </c>
      <c r="AE177" s="381" t="str">
        <f>IF(CHMTCmTm!AE176=0,"",CHMTCmTm!AE176)</f>
        <v/>
      </c>
      <c r="AF177" s="396"/>
      <c r="AG177" s="382"/>
      <c r="AH177" s="215">
        <f>CHMTCmTm!AH176</f>
        <v>0</v>
      </c>
      <c r="AI177" s="381" t="str">
        <f>IF(CHMTCmTm!AI176=0,"",CHMTCmTm!AI176)</f>
        <v/>
      </c>
      <c r="AJ177" s="396"/>
      <c r="AK177" s="382"/>
      <c r="AL177" s="215">
        <f>CHMTCmTm!AL176</f>
        <v>0</v>
      </c>
      <c r="AM177" s="381" t="str">
        <f>IF(CHMTCmTm!AM176=0,"",CHMTCmTm!AM176)</f>
        <v/>
      </c>
      <c r="AN177" s="396"/>
      <c r="AO177" s="382"/>
      <c r="AP177" s="381" t="str">
        <f>IF(CHMTCmTm!AP176=0,"",CHMTCmTm!AP176)</f>
        <v/>
      </c>
      <c r="AQ177" s="382"/>
      <c r="AR177" s="381" t="str">
        <f>IF(CHMTCmTm!AR176=0,"",CHMTCmTm!AR176)</f>
        <v/>
      </c>
      <c r="AS177" s="382"/>
      <c r="AT177" s="381" t="str">
        <f>IF(CHMTCmTm!AT176=0,"",CHMTCmTm!AT176)</f>
        <v/>
      </c>
      <c r="AU177" s="396"/>
      <c r="AV177" s="382"/>
      <c r="AW177" s="381" t="str">
        <f>IF(CHMTCmTm!AW176=0,"",CHMTCmTm!AW176)</f>
        <v/>
      </c>
      <c r="AX177" s="396"/>
      <c r="AY177" s="382"/>
      <c r="AZ177" s="24">
        <f>CHMTCmTm!AZ176</f>
        <v>0</v>
      </c>
      <c r="BC177" s="24">
        <f>COUNTIF(CHMTCmTm!O176, "Outreach Session")</f>
        <v>0</v>
      </c>
      <c r="BD177" s="24">
        <f>COUNTIF(CHMTCmTm!O176, "Mobile Clinic")</f>
        <v>0</v>
      </c>
      <c r="BE177" s="24">
        <f>COUNTIF(CHMTCmTm!O176, "Health Facility")</f>
        <v>0</v>
      </c>
    </row>
    <row r="178" spans="2:57" s="24" customFormat="1" ht="21.95" customHeight="1" x14ac:dyDescent="0.25">
      <c r="B178" s="397" t="str">
        <f>IF(CHMTCmTm!B177=0,"",CHMTCmTm!B177)</f>
        <v/>
      </c>
      <c r="C178" s="398"/>
      <c r="D178" s="399"/>
      <c r="E178" s="216">
        <f t="shared" si="5"/>
        <v>0</v>
      </c>
      <c r="F178" s="397" t="str">
        <f>IF(CHMTCmTm!F177=0,"",CHMTCmTm!F177)</f>
        <v/>
      </c>
      <c r="G178" s="398"/>
      <c r="H178" s="399"/>
      <c r="I178" s="381" t="str">
        <f>IF(CHMTCmTm!I177=0,"",CHMTCmTm!I177)</f>
        <v/>
      </c>
      <c r="J178" s="382"/>
      <c r="K178" s="381" t="str">
        <f>IF(CHMTCmTm!K177=0,"",CHMTCmTm!K177)</f>
        <v/>
      </c>
      <c r="L178" s="382"/>
      <c r="M178" s="381" t="str">
        <f>IF(CHMTCmTm!M177=0,"",CHMTCmTm!M177)</f>
        <v/>
      </c>
      <c r="N178" s="382"/>
      <c r="O178" s="381" t="str">
        <f>IF(CHMTCmTm!O177=0,"",CHMTCmTm!O177)</f>
        <v/>
      </c>
      <c r="P178" s="382"/>
      <c r="Q178" s="215" t="b">
        <f t="shared" si="4"/>
        <v>0</v>
      </c>
      <c r="R178" s="381" t="str">
        <f>IF(CHMTCmTm!R177=0,"",CHMTCmTm!R177)</f>
        <v/>
      </c>
      <c r="S178" s="382"/>
      <c r="T178" s="381" t="str">
        <f>IF(CHMTCmTm!T177=0,"",CHMTCmTm!T177)</f>
        <v/>
      </c>
      <c r="U178" s="382"/>
      <c r="V178" s="381" t="str">
        <f>IF(CHMTCmTm!V177=0,"",CHMTCmTm!V177)</f>
        <v/>
      </c>
      <c r="W178" s="396"/>
      <c r="X178" s="396"/>
      <c r="Y178" s="382"/>
      <c r="Z178" s="215">
        <f>CHMTCmTm!Z177</f>
        <v>0</v>
      </c>
      <c r="AA178" s="381" t="str">
        <f>IF(CHMTCmTm!AA177=0,"",CHMTCmTm!AA177)</f>
        <v/>
      </c>
      <c r="AB178" s="396"/>
      <c r="AC178" s="382"/>
      <c r="AD178" s="215">
        <f>CHMTCmTm!AD177</f>
        <v>0</v>
      </c>
      <c r="AE178" s="381" t="str">
        <f>IF(CHMTCmTm!AE177=0,"",CHMTCmTm!AE177)</f>
        <v/>
      </c>
      <c r="AF178" s="396"/>
      <c r="AG178" s="382"/>
      <c r="AH178" s="215">
        <f>CHMTCmTm!AH177</f>
        <v>0</v>
      </c>
      <c r="AI178" s="381" t="str">
        <f>IF(CHMTCmTm!AI177=0,"",CHMTCmTm!AI177)</f>
        <v/>
      </c>
      <c r="AJ178" s="396"/>
      <c r="AK178" s="382"/>
      <c r="AL178" s="215">
        <f>CHMTCmTm!AL177</f>
        <v>0</v>
      </c>
      <c r="AM178" s="381" t="str">
        <f>IF(CHMTCmTm!AM177=0,"",CHMTCmTm!AM177)</f>
        <v/>
      </c>
      <c r="AN178" s="396"/>
      <c r="AO178" s="382"/>
      <c r="AP178" s="381" t="str">
        <f>IF(CHMTCmTm!AP177=0,"",CHMTCmTm!AP177)</f>
        <v/>
      </c>
      <c r="AQ178" s="382"/>
      <c r="AR178" s="381" t="str">
        <f>IF(CHMTCmTm!AR177=0,"",CHMTCmTm!AR177)</f>
        <v/>
      </c>
      <c r="AS178" s="382"/>
      <c r="AT178" s="381" t="str">
        <f>IF(CHMTCmTm!AT177=0,"",CHMTCmTm!AT177)</f>
        <v/>
      </c>
      <c r="AU178" s="396"/>
      <c r="AV178" s="382"/>
      <c r="AW178" s="381" t="str">
        <f>IF(CHMTCmTm!AW177=0,"",CHMTCmTm!AW177)</f>
        <v/>
      </c>
      <c r="AX178" s="396"/>
      <c r="AY178" s="382"/>
      <c r="AZ178" s="24">
        <f>CHMTCmTm!AZ177</f>
        <v>0</v>
      </c>
      <c r="BC178" s="24">
        <f>COUNTIF(CHMTCmTm!O177, "Outreach Session")</f>
        <v>0</v>
      </c>
      <c r="BD178" s="24">
        <f>COUNTIF(CHMTCmTm!O177, "Mobile Clinic")</f>
        <v>0</v>
      </c>
      <c r="BE178" s="24">
        <f>COUNTIF(CHMTCmTm!O177, "Health Facility")</f>
        <v>0</v>
      </c>
    </row>
    <row r="179" spans="2:57" s="24" customFormat="1" ht="21.95" customHeight="1" x14ac:dyDescent="0.25">
      <c r="B179" s="397" t="str">
        <f>IF(CHMTCmTm!B178=0,"",CHMTCmTm!B178)</f>
        <v/>
      </c>
      <c r="C179" s="398"/>
      <c r="D179" s="399"/>
      <c r="E179" s="216">
        <f t="shared" si="5"/>
        <v>0</v>
      </c>
      <c r="F179" s="397" t="str">
        <f>IF(CHMTCmTm!F178=0,"",CHMTCmTm!F178)</f>
        <v/>
      </c>
      <c r="G179" s="398"/>
      <c r="H179" s="399"/>
      <c r="I179" s="381" t="str">
        <f>IF(CHMTCmTm!I178=0,"",CHMTCmTm!I178)</f>
        <v/>
      </c>
      <c r="J179" s="382"/>
      <c r="K179" s="381" t="str">
        <f>IF(CHMTCmTm!K178=0,"",CHMTCmTm!K178)</f>
        <v/>
      </c>
      <c r="L179" s="382"/>
      <c r="M179" s="381" t="str">
        <f>IF(CHMTCmTm!M178=0,"",CHMTCmTm!M178)</f>
        <v/>
      </c>
      <c r="N179" s="382"/>
      <c r="O179" s="381" t="str">
        <f>IF(CHMTCmTm!O178=0,"",CHMTCmTm!O178)</f>
        <v/>
      </c>
      <c r="P179" s="382"/>
      <c r="Q179" s="215" t="b">
        <f t="shared" si="4"/>
        <v>0</v>
      </c>
      <c r="R179" s="381" t="str">
        <f>IF(CHMTCmTm!R178=0,"",CHMTCmTm!R178)</f>
        <v/>
      </c>
      <c r="S179" s="382"/>
      <c r="T179" s="381" t="str">
        <f>IF(CHMTCmTm!T178=0,"",CHMTCmTm!T178)</f>
        <v/>
      </c>
      <c r="U179" s="382"/>
      <c r="V179" s="381" t="str">
        <f>IF(CHMTCmTm!V178=0,"",CHMTCmTm!V178)</f>
        <v/>
      </c>
      <c r="W179" s="396"/>
      <c r="X179" s="396"/>
      <c r="Y179" s="382"/>
      <c r="Z179" s="215">
        <f>CHMTCmTm!Z178</f>
        <v>0</v>
      </c>
      <c r="AA179" s="381" t="str">
        <f>IF(CHMTCmTm!AA178=0,"",CHMTCmTm!AA178)</f>
        <v/>
      </c>
      <c r="AB179" s="396"/>
      <c r="AC179" s="382"/>
      <c r="AD179" s="215">
        <f>CHMTCmTm!AD178</f>
        <v>0</v>
      </c>
      <c r="AE179" s="381" t="str">
        <f>IF(CHMTCmTm!AE178=0,"",CHMTCmTm!AE178)</f>
        <v/>
      </c>
      <c r="AF179" s="396"/>
      <c r="AG179" s="382"/>
      <c r="AH179" s="215">
        <f>CHMTCmTm!AH178</f>
        <v>0</v>
      </c>
      <c r="AI179" s="381" t="str">
        <f>IF(CHMTCmTm!AI178=0,"",CHMTCmTm!AI178)</f>
        <v/>
      </c>
      <c r="AJ179" s="396"/>
      <c r="AK179" s="382"/>
      <c r="AL179" s="215">
        <f>CHMTCmTm!AL178</f>
        <v>0</v>
      </c>
      <c r="AM179" s="381" t="str">
        <f>IF(CHMTCmTm!AM178=0,"",CHMTCmTm!AM178)</f>
        <v/>
      </c>
      <c r="AN179" s="396"/>
      <c r="AO179" s="382"/>
      <c r="AP179" s="381" t="str">
        <f>IF(CHMTCmTm!AP178=0,"",CHMTCmTm!AP178)</f>
        <v/>
      </c>
      <c r="AQ179" s="382"/>
      <c r="AR179" s="381" t="str">
        <f>IF(CHMTCmTm!AR178=0,"",CHMTCmTm!AR178)</f>
        <v/>
      </c>
      <c r="AS179" s="382"/>
      <c r="AT179" s="381" t="str">
        <f>IF(CHMTCmTm!AT178=0,"",CHMTCmTm!AT178)</f>
        <v/>
      </c>
      <c r="AU179" s="396"/>
      <c r="AV179" s="382"/>
      <c r="AW179" s="381" t="str">
        <f>IF(CHMTCmTm!AW178=0,"",CHMTCmTm!AW178)</f>
        <v/>
      </c>
      <c r="AX179" s="396"/>
      <c r="AY179" s="382"/>
      <c r="AZ179" s="24">
        <f>CHMTCmTm!AZ178</f>
        <v>0</v>
      </c>
      <c r="BC179" s="24">
        <f>COUNTIF(CHMTCmTm!O178, "Outreach Session")</f>
        <v>0</v>
      </c>
      <c r="BD179" s="24">
        <f>COUNTIF(CHMTCmTm!O178, "Mobile Clinic")</f>
        <v>0</v>
      </c>
      <c r="BE179" s="24">
        <f>COUNTIF(CHMTCmTm!O178, "Health Facility")</f>
        <v>0</v>
      </c>
    </row>
    <row r="180" spans="2:57" s="24" customFormat="1" ht="21.95" customHeight="1" x14ac:dyDescent="0.25">
      <c r="B180" s="397" t="str">
        <f>IF(CHMTCmTm!B179=0,"",CHMTCmTm!B179)</f>
        <v/>
      </c>
      <c r="C180" s="398"/>
      <c r="D180" s="399"/>
      <c r="E180" s="216">
        <f t="shared" si="5"/>
        <v>0</v>
      </c>
      <c r="F180" s="397" t="str">
        <f>IF(CHMTCmTm!F179=0,"",CHMTCmTm!F179)</f>
        <v/>
      </c>
      <c r="G180" s="398"/>
      <c r="H180" s="399"/>
      <c r="I180" s="381" t="str">
        <f>IF(CHMTCmTm!I179=0,"",CHMTCmTm!I179)</f>
        <v/>
      </c>
      <c r="J180" s="382"/>
      <c r="K180" s="381" t="str">
        <f>IF(CHMTCmTm!K179=0,"",CHMTCmTm!K179)</f>
        <v/>
      </c>
      <c r="L180" s="382"/>
      <c r="M180" s="381" t="str">
        <f>IF(CHMTCmTm!M179=0,"",CHMTCmTm!M179)</f>
        <v/>
      </c>
      <c r="N180" s="382"/>
      <c r="O180" s="381" t="str">
        <f>IF(CHMTCmTm!O179=0,"",CHMTCmTm!O179)</f>
        <v/>
      </c>
      <c r="P180" s="382"/>
      <c r="Q180" s="215" t="b">
        <f t="shared" si="4"/>
        <v>0</v>
      </c>
      <c r="R180" s="381" t="str">
        <f>IF(CHMTCmTm!R179=0,"",CHMTCmTm!R179)</f>
        <v/>
      </c>
      <c r="S180" s="382"/>
      <c r="T180" s="381" t="str">
        <f>IF(CHMTCmTm!T179=0,"",CHMTCmTm!T179)</f>
        <v/>
      </c>
      <c r="U180" s="382"/>
      <c r="V180" s="381" t="str">
        <f>IF(CHMTCmTm!V179=0,"",CHMTCmTm!V179)</f>
        <v/>
      </c>
      <c r="W180" s="396"/>
      <c r="X180" s="396"/>
      <c r="Y180" s="382"/>
      <c r="Z180" s="215">
        <f>CHMTCmTm!Z179</f>
        <v>0</v>
      </c>
      <c r="AA180" s="381" t="str">
        <f>IF(CHMTCmTm!AA179=0,"",CHMTCmTm!AA179)</f>
        <v/>
      </c>
      <c r="AB180" s="396"/>
      <c r="AC180" s="382"/>
      <c r="AD180" s="215">
        <f>CHMTCmTm!AD179</f>
        <v>0</v>
      </c>
      <c r="AE180" s="381" t="str">
        <f>IF(CHMTCmTm!AE179=0,"",CHMTCmTm!AE179)</f>
        <v/>
      </c>
      <c r="AF180" s="396"/>
      <c r="AG180" s="382"/>
      <c r="AH180" s="215">
        <f>CHMTCmTm!AH179</f>
        <v>0</v>
      </c>
      <c r="AI180" s="381" t="str">
        <f>IF(CHMTCmTm!AI179=0,"",CHMTCmTm!AI179)</f>
        <v/>
      </c>
      <c r="AJ180" s="396"/>
      <c r="AK180" s="382"/>
      <c r="AL180" s="215">
        <f>CHMTCmTm!AL179</f>
        <v>0</v>
      </c>
      <c r="AM180" s="381" t="str">
        <f>IF(CHMTCmTm!AM179=0,"",CHMTCmTm!AM179)</f>
        <v/>
      </c>
      <c r="AN180" s="396"/>
      <c r="AO180" s="382"/>
      <c r="AP180" s="381" t="str">
        <f>IF(CHMTCmTm!AP179=0,"",CHMTCmTm!AP179)</f>
        <v/>
      </c>
      <c r="AQ180" s="382"/>
      <c r="AR180" s="381" t="str">
        <f>IF(CHMTCmTm!AR179=0,"",CHMTCmTm!AR179)</f>
        <v/>
      </c>
      <c r="AS180" s="382"/>
      <c r="AT180" s="381" t="str">
        <f>IF(CHMTCmTm!AT179=0,"",CHMTCmTm!AT179)</f>
        <v/>
      </c>
      <c r="AU180" s="396"/>
      <c r="AV180" s="382"/>
      <c r="AW180" s="381" t="str">
        <f>IF(CHMTCmTm!AW179=0,"",CHMTCmTm!AW179)</f>
        <v/>
      </c>
      <c r="AX180" s="396"/>
      <c r="AY180" s="382"/>
      <c r="AZ180" s="24">
        <f>CHMTCmTm!AZ179</f>
        <v>0</v>
      </c>
      <c r="BC180" s="24">
        <f>COUNTIF(CHMTCmTm!O179, "Outreach Session")</f>
        <v>0</v>
      </c>
      <c r="BD180" s="24">
        <f>COUNTIF(CHMTCmTm!O179, "Mobile Clinic")</f>
        <v>0</v>
      </c>
      <c r="BE180" s="24">
        <f>COUNTIF(CHMTCmTm!O179, "Health Facility")</f>
        <v>0</v>
      </c>
    </row>
    <row r="181" spans="2:57" s="24" customFormat="1" ht="21.95" customHeight="1" x14ac:dyDescent="0.25">
      <c r="B181" s="397" t="str">
        <f>IF(CHMTCmTm!B180=0,"",CHMTCmTm!B180)</f>
        <v/>
      </c>
      <c r="C181" s="398"/>
      <c r="D181" s="399"/>
      <c r="E181" s="216">
        <f t="shared" si="5"/>
        <v>0</v>
      </c>
      <c r="F181" s="397" t="str">
        <f>IF(CHMTCmTm!F180=0,"",CHMTCmTm!F180)</f>
        <v/>
      </c>
      <c r="G181" s="398"/>
      <c r="H181" s="399"/>
      <c r="I181" s="381" t="str">
        <f>IF(CHMTCmTm!I180=0,"",CHMTCmTm!I180)</f>
        <v/>
      </c>
      <c r="J181" s="382"/>
      <c r="K181" s="381" t="str">
        <f>IF(CHMTCmTm!K180=0,"",CHMTCmTm!K180)</f>
        <v/>
      </c>
      <c r="L181" s="382"/>
      <c r="M181" s="381" t="str">
        <f>IF(CHMTCmTm!M180=0,"",CHMTCmTm!M180)</f>
        <v/>
      </c>
      <c r="N181" s="382"/>
      <c r="O181" s="381" t="str">
        <f>IF(CHMTCmTm!O180=0,"",CHMTCmTm!O180)</f>
        <v/>
      </c>
      <c r="P181" s="382"/>
      <c r="Q181" s="215" t="b">
        <f t="shared" si="4"/>
        <v>0</v>
      </c>
      <c r="R181" s="381" t="str">
        <f>IF(CHMTCmTm!R180=0,"",CHMTCmTm!R180)</f>
        <v/>
      </c>
      <c r="S181" s="382"/>
      <c r="T181" s="381" t="str">
        <f>IF(CHMTCmTm!T180=0,"",CHMTCmTm!T180)</f>
        <v/>
      </c>
      <c r="U181" s="382"/>
      <c r="V181" s="381" t="str">
        <f>IF(CHMTCmTm!V180=0,"",CHMTCmTm!V180)</f>
        <v/>
      </c>
      <c r="W181" s="396"/>
      <c r="X181" s="396"/>
      <c r="Y181" s="382"/>
      <c r="Z181" s="215">
        <f>CHMTCmTm!Z180</f>
        <v>0</v>
      </c>
      <c r="AA181" s="381" t="str">
        <f>IF(CHMTCmTm!AA180=0,"",CHMTCmTm!AA180)</f>
        <v/>
      </c>
      <c r="AB181" s="396"/>
      <c r="AC181" s="382"/>
      <c r="AD181" s="215">
        <f>CHMTCmTm!AD180</f>
        <v>0</v>
      </c>
      <c r="AE181" s="381" t="str">
        <f>IF(CHMTCmTm!AE180=0,"",CHMTCmTm!AE180)</f>
        <v/>
      </c>
      <c r="AF181" s="396"/>
      <c r="AG181" s="382"/>
      <c r="AH181" s="215">
        <f>CHMTCmTm!AH180</f>
        <v>0</v>
      </c>
      <c r="AI181" s="381" t="str">
        <f>IF(CHMTCmTm!AI180=0,"",CHMTCmTm!AI180)</f>
        <v/>
      </c>
      <c r="AJ181" s="396"/>
      <c r="AK181" s="382"/>
      <c r="AL181" s="215">
        <f>CHMTCmTm!AL180</f>
        <v>0</v>
      </c>
      <c r="AM181" s="381" t="str">
        <f>IF(CHMTCmTm!AM180=0,"",CHMTCmTm!AM180)</f>
        <v/>
      </c>
      <c r="AN181" s="396"/>
      <c r="AO181" s="382"/>
      <c r="AP181" s="381" t="str">
        <f>IF(CHMTCmTm!AP180=0,"",CHMTCmTm!AP180)</f>
        <v/>
      </c>
      <c r="AQ181" s="382"/>
      <c r="AR181" s="381" t="str">
        <f>IF(CHMTCmTm!AR180=0,"",CHMTCmTm!AR180)</f>
        <v/>
      </c>
      <c r="AS181" s="382"/>
      <c r="AT181" s="381" t="str">
        <f>IF(CHMTCmTm!AT180=0,"",CHMTCmTm!AT180)</f>
        <v/>
      </c>
      <c r="AU181" s="396"/>
      <c r="AV181" s="382"/>
      <c r="AW181" s="381" t="str">
        <f>IF(CHMTCmTm!AW180=0,"",CHMTCmTm!AW180)</f>
        <v/>
      </c>
      <c r="AX181" s="396"/>
      <c r="AY181" s="382"/>
      <c r="AZ181" s="24">
        <f>CHMTCmTm!AZ180</f>
        <v>0</v>
      </c>
      <c r="BC181" s="24">
        <f>COUNTIF(CHMTCmTm!O180, "Outreach Session")</f>
        <v>0</v>
      </c>
      <c r="BD181" s="24">
        <f>COUNTIF(CHMTCmTm!O180, "Mobile Clinic")</f>
        <v>0</v>
      </c>
      <c r="BE181" s="24">
        <f>COUNTIF(CHMTCmTm!O180, "Health Facility")</f>
        <v>0</v>
      </c>
    </row>
    <row r="182" spans="2:57" s="24" customFormat="1" ht="21.95" customHeight="1" x14ac:dyDescent="0.25">
      <c r="B182" s="397" t="str">
        <f>IF(CHMTCmTm!B181=0,"",CHMTCmTm!B181)</f>
        <v/>
      </c>
      <c r="C182" s="398"/>
      <c r="D182" s="399"/>
      <c r="E182" s="216">
        <f t="shared" si="5"/>
        <v>0</v>
      </c>
      <c r="F182" s="397" t="str">
        <f>IF(CHMTCmTm!F181=0,"",CHMTCmTm!F181)</f>
        <v/>
      </c>
      <c r="G182" s="398"/>
      <c r="H182" s="399"/>
      <c r="I182" s="381" t="str">
        <f>IF(CHMTCmTm!I181=0,"",CHMTCmTm!I181)</f>
        <v/>
      </c>
      <c r="J182" s="382"/>
      <c r="K182" s="381" t="str">
        <f>IF(CHMTCmTm!K181=0,"",CHMTCmTm!K181)</f>
        <v/>
      </c>
      <c r="L182" s="382"/>
      <c r="M182" s="381" t="str">
        <f>IF(CHMTCmTm!M181=0,"",CHMTCmTm!M181)</f>
        <v/>
      </c>
      <c r="N182" s="382"/>
      <c r="O182" s="381" t="str">
        <f>IF(CHMTCmTm!O181=0,"",CHMTCmTm!O181)</f>
        <v/>
      </c>
      <c r="P182" s="382"/>
      <c r="Q182" s="215" t="b">
        <f t="shared" si="4"/>
        <v>0</v>
      </c>
      <c r="R182" s="381" t="str">
        <f>IF(CHMTCmTm!R181=0,"",CHMTCmTm!R181)</f>
        <v/>
      </c>
      <c r="S182" s="382"/>
      <c r="T182" s="381" t="str">
        <f>IF(CHMTCmTm!T181=0,"",CHMTCmTm!T181)</f>
        <v/>
      </c>
      <c r="U182" s="382"/>
      <c r="V182" s="381" t="str">
        <f>IF(CHMTCmTm!V181=0,"",CHMTCmTm!V181)</f>
        <v/>
      </c>
      <c r="W182" s="396"/>
      <c r="X182" s="396"/>
      <c r="Y182" s="382"/>
      <c r="Z182" s="215">
        <f>CHMTCmTm!Z181</f>
        <v>0</v>
      </c>
      <c r="AA182" s="381" t="str">
        <f>IF(CHMTCmTm!AA181=0,"",CHMTCmTm!AA181)</f>
        <v/>
      </c>
      <c r="AB182" s="396"/>
      <c r="AC182" s="382"/>
      <c r="AD182" s="215">
        <f>CHMTCmTm!AD181</f>
        <v>0</v>
      </c>
      <c r="AE182" s="381" t="str">
        <f>IF(CHMTCmTm!AE181=0,"",CHMTCmTm!AE181)</f>
        <v/>
      </c>
      <c r="AF182" s="396"/>
      <c r="AG182" s="382"/>
      <c r="AH182" s="215">
        <f>CHMTCmTm!AH181</f>
        <v>0</v>
      </c>
      <c r="AI182" s="381" t="str">
        <f>IF(CHMTCmTm!AI181=0,"",CHMTCmTm!AI181)</f>
        <v/>
      </c>
      <c r="AJ182" s="396"/>
      <c r="AK182" s="382"/>
      <c r="AL182" s="215">
        <f>CHMTCmTm!AL181</f>
        <v>0</v>
      </c>
      <c r="AM182" s="381" t="str">
        <f>IF(CHMTCmTm!AM181=0,"",CHMTCmTm!AM181)</f>
        <v/>
      </c>
      <c r="AN182" s="396"/>
      <c r="AO182" s="382"/>
      <c r="AP182" s="381" t="str">
        <f>IF(CHMTCmTm!AP181=0,"",CHMTCmTm!AP181)</f>
        <v/>
      </c>
      <c r="AQ182" s="382"/>
      <c r="AR182" s="381" t="str">
        <f>IF(CHMTCmTm!AR181=0,"",CHMTCmTm!AR181)</f>
        <v/>
      </c>
      <c r="AS182" s="382"/>
      <c r="AT182" s="381" t="str">
        <f>IF(CHMTCmTm!AT181=0,"",CHMTCmTm!AT181)</f>
        <v/>
      </c>
      <c r="AU182" s="396"/>
      <c r="AV182" s="382"/>
      <c r="AW182" s="381" t="str">
        <f>IF(CHMTCmTm!AW181=0,"",CHMTCmTm!AW181)</f>
        <v/>
      </c>
      <c r="AX182" s="396"/>
      <c r="AY182" s="382"/>
      <c r="AZ182" s="24">
        <f>CHMTCmTm!AZ181</f>
        <v>0</v>
      </c>
      <c r="BC182" s="24">
        <f>COUNTIF(CHMTCmTm!O181, "Outreach Session")</f>
        <v>0</v>
      </c>
      <c r="BD182" s="24">
        <f>COUNTIF(CHMTCmTm!O181, "Mobile Clinic")</f>
        <v>0</v>
      </c>
      <c r="BE182" s="24">
        <f>COUNTIF(CHMTCmTm!O181, "Health Facility")</f>
        <v>0</v>
      </c>
    </row>
    <row r="183" spans="2:57" s="24" customFormat="1" ht="21.95" customHeight="1" x14ac:dyDescent="0.25">
      <c r="B183" s="397" t="str">
        <f>IF(CHMTCmTm!B182=0,"",CHMTCmTm!B182)</f>
        <v/>
      </c>
      <c r="C183" s="398"/>
      <c r="D183" s="399"/>
      <c r="E183" s="216">
        <f t="shared" si="5"/>
        <v>0</v>
      </c>
      <c r="F183" s="397" t="str">
        <f>IF(CHMTCmTm!F182=0,"",CHMTCmTm!F182)</f>
        <v/>
      </c>
      <c r="G183" s="398"/>
      <c r="H183" s="399"/>
      <c r="I183" s="381" t="str">
        <f>IF(CHMTCmTm!I182=0,"",CHMTCmTm!I182)</f>
        <v/>
      </c>
      <c r="J183" s="382"/>
      <c r="K183" s="381" t="str">
        <f>IF(CHMTCmTm!K182=0,"",CHMTCmTm!K182)</f>
        <v/>
      </c>
      <c r="L183" s="382"/>
      <c r="M183" s="381" t="str">
        <f>IF(CHMTCmTm!M182=0,"",CHMTCmTm!M182)</f>
        <v/>
      </c>
      <c r="N183" s="382"/>
      <c r="O183" s="381" t="str">
        <f>IF(CHMTCmTm!O182=0,"",CHMTCmTm!O182)</f>
        <v/>
      </c>
      <c r="P183" s="382"/>
      <c r="Q183" s="215" t="b">
        <f t="shared" si="4"/>
        <v>0</v>
      </c>
      <c r="R183" s="381" t="str">
        <f>IF(CHMTCmTm!R182=0,"",CHMTCmTm!R182)</f>
        <v/>
      </c>
      <c r="S183" s="382"/>
      <c r="T183" s="381" t="str">
        <f>IF(CHMTCmTm!T182=0,"",CHMTCmTm!T182)</f>
        <v/>
      </c>
      <c r="U183" s="382"/>
      <c r="V183" s="381" t="str">
        <f>IF(CHMTCmTm!V182=0,"",CHMTCmTm!V182)</f>
        <v/>
      </c>
      <c r="W183" s="396"/>
      <c r="X183" s="396"/>
      <c r="Y183" s="382"/>
      <c r="Z183" s="215">
        <f>CHMTCmTm!Z182</f>
        <v>0</v>
      </c>
      <c r="AA183" s="381" t="str">
        <f>IF(CHMTCmTm!AA182=0,"",CHMTCmTm!AA182)</f>
        <v/>
      </c>
      <c r="AB183" s="396"/>
      <c r="AC183" s="382"/>
      <c r="AD183" s="215">
        <f>CHMTCmTm!AD182</f>
        <v>0</v>
      </c>
      <c r="AE183" s="381" t="str">
        <f>IF(CHMTCmTm!AE182=0,"",CHMTCmTm!AE182)</f>
        <v/>
      </c>
      <c r="AF183" s="396"/>
      <c r="AG183" s="382"/>
      <c r="AH183" s="215">
        <f>CHMTCmTm!AH182</f>
        <v>0</v>
      </c>
      <c r="AI183" s="381" t="str">
        <f>IF(CHMTCmTm!AI182=0,"",CHMTCmTm!AI182)</f>
        <v/>
      </c>
      <c r="AJ183" s="396"/>
      <c r="AK183" s="382"/>
      <c r="AL183" s="215">
        <f>CHMTCmTm!AL182</f>
        <v>0</v>
      </c>
      <c r="AM183" s="381" t="str">
        <f>IF(CHMTCmTm!AM182=0,"",CHMTCmTm!AM182)</f>
        <v/>
      </c>
      <c r="AN183" s="396"/>
      <c r="AO183" s="382"/>
      <c r="AP183" s="381" t="str">
        <f>IF(CHMTCmTm!AP182=0,"",CHMTCmTm!AP182)</f>
        <v/>
      </c>
      <c r="AQ183" s="382"/>
      <c r="AR183" s="381" t="str">
        <f>IF(CHMTCmTm!AR182=0,"",CHMTCmTm!AR182)</f>
        <v/>
      </c>
      <c r="AS183" s="382"/>
      <c r="AT183" s="381" t="str">
        <f>IF(CHMTCmTm!AT182=0,"",CHMTCmTm!AT182)</f>
        <v/>
      </c>
      <c r="AU183" s="396"/>
      <c r="AV183" s="382"/>
      <c r="AW183" s="381" t="str">
        <f>IF(CHMTCmTm!AW182=0,"",CHMTCmTm!AW182)</f>
        <v/>
      </c>
      <c r="AX183" s="396"/>
      <c r="AY183" s="382"/>
      <c r="AZ183" s="24">
        <f>CHMTCmTm!AZ182</f>
        <v>0</v>
      </c>
      <c r="BC183" s="24">
        <f>COUNTIF(CHMTCmTm!O182, "Outreach Session")</f>
        <v>0</v>
      </c>
      <c r="BD183" s="24">
        <f>COUNTIF(CHMTCmTm!O182, "Mobile Clinic")</f>
        <v>0</v>
      </c>
      <c r="BE183" s="24">
        <f>COUNTIF(CHMTCmTm!O182, "Health Facility")</f>
        <v>0</v>
      </c>
    </row>
    <row r="184" spans="2:57" s="24" customFormat="1" ht="21.95" customHeight="1" x14ac:dyDescent="0.25">
      <c r="B184" s="397" t="str">
        <f>IF(CHMTCmTm!B183=0,"",CHMTCmTm!B183)</f>
        <v/>
      </c>
      <c r="C184" s="398"/>
      <c r="D184" s="399"/>
      <c r="E184" s="216">
        <f t="shared" si="5"/>
        <v>0</v>
      </c>
      <c r="F184" s="397" t="str">
        <f>IF(CHMTCmTm!F183=0,"",CHMTCmTm!F183)</f>
        <v/>
      </c>
      <c r="G184" s="398"/>
      <c r="H184" s="399"/>
      <c r="I184" s="381" t="str">
        <f>IF(CHMTCmTm!I183=0,"",CHMTCmTm!I183)</f>
        <v/>
      </c>
      <c r="J184" s="382"/>
      <c r="K184" s="381" t="str">
        <f>IF(CHMTCmTm!K183=0,"",CHMTCmTm!K183)</f>
        <v/>
      </c>
      <c r="L184" s="382"/>
      <c r="M184" s="381" t="str">
        <f>IF(CHMTCmTm!M183=0,"",CHMTCmTm!M183)</f>
        <v/>
      </c>
      <c r="N184" s="382"/>
      <c r="O184" s="381" t="str">
        <f>IF(CHMTCmTm!O183=0,"",CHMTCmTm!O183)</f>
        <v/>
      </c>
      <c r="P184" s="382"/>
      <c r="Q184" s="215" t="b">
        <f t="shared" si="4"/>
        <v>0</v>
      </c>
      <c r="R184" s="381" t="str">
        <f>IF(CHMTCmTm!R183=0,"",CHMTCmTm!R183)</f>
        <v/>
      </c>
      <c r="S184" s="382"/>
      <c r="T184" s="381" t="str">
        <f>IF(CHMTCmTm!T183=0,"",CHMTCmTm!T183)</f>
        <v/>
      </c>
      <c r="U184" s="382"/>
      <c r="V184" s="381" t="str">
        <f>IF(CHMTCmTm!V183=0,"",CHMTCmTm!V183)</f>
        <v/>
      </c>
      <c r="W184" s="396"/>
      <c r="X184" s="396"/>
      <c r="Y184" s="382"/>
      <c r="Z184" s="215">
        <f>CHMTCmTm!Z183</f>
        <v>0</v>
      </c>
      <c r="AA184" s="381" t="str">
        <f>IF(CHMTCmTm!AA183=0,"",CHMTCmTm!AA183)</f>
        <v/>
      </c>
      <c r="AB184" s="396"/>
      <c r="AC184" s="382"/>
      <c r="AD184" s="215">
        <f>CHMTCmTm!AD183</f>
        <v>0</v>
      </c>
      <c r="AE184" s="381" t="str">
        <f>IF(CHMTCmTm!AE183=0,"",CHMTCmTm!AE183)</f>
        <v/>
      </c>
      <c r="AF184" s="396"/>
      <c r="AG184" s="382"/>
      <c r="AH184" s="215">
        <f>CHMTCmTm!AH183</f>
        <v>0</v>
      </c>
      <c r="AI184" s="381" t="str">
        <f>IF(CHMTCmTm!AI183=0,"",CHMTCmTm!AI183)</f>
        <v/>
      </c>
      <c r="AJ184" s="396"/>
      <c r="AK184" s="382"/>
      <c r="AL184" s="215">
        <f>CHMTCmTm!AL183</f>
        <v>0</v>
      </c>
      <c r="AM184" s="381" t="str">
        <f>IF(CHMTCmTm!AM183=0,"",CHMTCmTm!AM183)</f>
        <v/>
      </c>
      <c r="AN184" s="396"/>
      <c r="AO184" s="382"/>
      <c r="AP184" s="381" t="str">
        <f>IF(CHMTCmTm!AP183=0,"",CHMTCmTm!AP183)</f>
        <v/>
      </c>
      <c r="AQ184" s="382"/>
      <c r="AR184" s="381" t="str">
        <f>IF(CHMTCmTm!AR183=0,"",CHMTCmTm!AR183)</f>
        <v/>
      </c>
      <c r="AS184" s="382"/>
      <c r="AT184" s="381" t="str">
        <f>IF(CHMTCmTm!AT183=0,"",CHMTCmTm!AT183)</f>
        <v/>
      </c>
      <c r="AU184" s="396"/>
      <c r="AV184" s="382"/>
      <c r="AW184" s="381" t="str">
        <f>IF(CHMTCmTm!AW183=0,"",CHMTCmTm!AW183)</f>
        <v/>
      </c>
      <c r="AX184" s="396"/>
      <c r="AY184" s="382"/>
      <c r="AZ184" s="24">
        <f>CHMTCmTm!AZ183</f>
        <v>0</v>
      </c>
      <c r="BC184" s="24">
        <f>COUNTIF(CHMTCmTm!O183, "Outreach Session")</f>
        <v>0</v>
      </c>
      <c r="BD184" s="24">
        <f>COUNTIF(CHMTCmTm!O183, "Mobile Clinic")</f>
        <v>0</v>
      </c>
      <c r="BE184" s="24">
        <f>COUNTIF(CHMTCmTm!O183, "Health Facility")</f>
        <v>0</v>
      </c>
    </row>
    <row r="185" spans="2:57" s="24" customFormat="1" ht="21.95" customHeight="1" x14ac:dyDescent="0.25">
      <c r="B185" s="397" t="str">
        <f>IF(CHMTCmTm!B184=0,"",CHMTCmTm!B184)</f>
        <v/>
      </c>
      <c r="C185" s="398"/>
      <c r="D185" s="399"/>
      <c r="E185" s="216">
        <f t="shared" si="5"/>
        <v>0</v>
      </c>
      <c r="F185" s="397" t="str">
        <f>IF(CHMTCmTm!F184=0,"",CHMTCmTm!F184)</f>
        <v/>
      </c>
      <c r="G185" s="398"/>
      <c r="H185" s="399"/>
      <c r="I185" s="381" t="str">
        <f>IF(CHMTCmTm!I184=0,"",CHMTCmTm!I184)</f>
        <v/>
      </c>
      <c r="J185" s="382"/>
      <c r="K185" s="381" t="str">
        <f>IF(CHMTCmTm!K184=0,"",CHMTCmTm!K184)</f>
        <v/>
      </c>
      <c r="L185" s="382"/>
      <c r="M185" s="381" t="str">
        <f>IF(CHMTCmTm!M184=0,"",CHMTCmTm!M184)</f>
        <v/>
      </c>
      <c r="N185" s="382"/>
      <c r="O185" s="381" t="str">
        <f>IF(CHMTCmTm!O184=0,"",CHMTCmTm!O184)</f>
        <v/>
      </c>
      <c r="P185" s="382"/>
      <c r="Q185" s="215" t="b">
        <f t="shared" si="4"/>
        <v>0</v>
      </c>
      <c r="R185" s="381" t="str">
        <f>IF(CHMTCmTm!R184=0,"",CHMTCmTm!R184)</f>
        <v/>
      </c>
      <c r="S185" s="382"/>
      <c r="T185" s="381" t="str">
        <f>IF(CHMTCmTm!T184=0,"",CHMTCmTm!T184)</f>
        <v/>
      </c>
      <c r="U185" s="382"/>
      <c r="V185" s="381" t="str">
        <f>IF(CHMTCmTm!V184=0,"",CHMTCmTm!V184)</f>
        <v/>
      </c>
      <c r="W185" s="396"/>
      <c r="X185" s="396"/>
      <c r="Y185" s="382"/>
      <c r="Z185" s="215">
        <f>CHMTCmTm!Z184</f>
        <v>0</v>
      </c>
      <c r="AA185" s="381" t="str">
        <f>IF(CHMTCmTm!AA184=0,"",CHMTCmTm!AA184)</f>
        <v/>
      </c>
      <c r="AB185" s="396"/>
      <c r="AC185" s="382"/>
      <c r="AD185" s="215">
        <f>CHMTCmTm!AD184</f>
        <v>0</v>
      </c>
      <c r="AE185" s="381" t="str">
        <f>IF(CHMTCmTm!AE184=0,"",CHMTCmTm!AE184)</f>
        <v/>
      </c>
      <c r="AF185" s="396"/>
      <c r="AG185" s="382"/>
      <c r="AH185" s="215">
        <f>CHMTCmTm!AH184</f>
        <v>0</v>
      </c>
      <c r="AI185" s="381" t="str">
        <f>IF(CHMTCmTm!AI184=0,"",CHMTCmTm!AI184)</f>
        <v/>
      </c>
      <c r="AJ185" s="396"/>
      <c r="AK185" s="382"/>
      <c r="AL185" s="215">
        <f>CHMTCmTm!AL184</f>
        <v>0</v>
      </c>
      <c r="AM185" s="381" t="str">
        <f>IF(CHMTCmTm!AM184=0,"",CHMTCmTm!AM184)</f>
        <v/>
      </c>
      <c r="AN185" s="396"/>
      <c r="AO185" s="382"/>
      <c r="AP185" s="381" t="str">
        <f>IF(CHMTCmTm!AP184=0,"",CHMTCmTm!AP184)</f>
        <v/>
      </c>
      <c r="AQ185" s="382"/>
      <c r="AR185" s="381" t="str">
        <f>IF(CHMTCmTm!AR184=0,"",CHMTCmTm!AR184)</f>
        <v/>
      </c>
      <c r="AS185" s="382"/>
      <c r="AT185" s="381" t="str">
        <f>IF(CHMTCmTm!AT184=0,"",CHMTCmTm!AT184)</f>
        <v/>
      </c>
      <c r="AU185" s="396"/>
      <c r="AV185" s="382"/>
      <c r="AW185" s="381" t="str">
        <f>IF(CHMTCmTm!AW184=0,"",CHMTCmTm!AW184)</f>
        <v/>
      </c>
      <c r="AX185" s="396"/>
      <c r="AY185" s="382"/>
      <c r="AZ185" s="24">
        <f>CHMTCmTm!AZ184</f>
        <v>0</v>
      </c>
      <c r="BC185" s="24">
        <f>COUNTIF(CHMTCmTm!O184, "Outreach Session")</f>
        <v>0</v>
      </c>
      <c r="BD185" s="24">
        <f>COUNTIF(CHMTCmTm!O184, "Mobile Clinic")</f>
        <v>0</v>
      </c>
      <c r="BE185" s="24">
        <f>COUNTIF(CHMTCmTm!O184, "Health Facility")</f>
        <v>0</v>
      </c>
    </row>
    <row r="186" spans="2:57" s="24" customFormat="1" ht="21.95" customHeight="1" x14ac:dyDescent="0.25">
      <c r="B186" s="397" t="str">
        <f>IF(CHMTCmTm!B185=0,"",CHMTCmTm!B185)</f>
        <v/>
      </c>
      <c r="C186" s="398"/>
      <c r="D186" s="399"/>
      <c r="E186" s="216">
        <f t="shared" si="5"/>
        <v>0</v>
      </c>
      <c r="F186" s="397" t="str">
        <f>IF(CHMTCmTm!F185=0,"",CHMTCmTm!F185)</f>
        <v/>
      </c>
      <c r="G186" s="398"/>
      <c r="H186" s="399"/>
      <c r="I186" s="381" t="str">
        <f>IF(CHMTCmTm!I185=0,"",CHMTCmTm!I185)</f>
        <v/>
      </c>
      <c r="J186" s="382"/>
      <c r="K186" s="381" t="str">
        <f>IF(CHMTCmTm!K185=0,"",CHMTCmTm!K185)</f>
        <v/>
      </c>
      <c r="L186" s="382"/>
      <c r="M186" s="381" t="str">
        <f>IF(CHMTCmTm!M185=0,"",CHMTCmTm!M185)</f>
        <v/>
      </c>
      <c r="N186" s="382"/>
      <c r="O186" s="381" t="str">
        <f>IF(CHMTCmTm!O185=0,"",CHMTCmTm!O185)</f>
        <v/>
      </c>
      <c r="P186" s="382"/>
      <c r="Q186" s="215" t="b">
        <f t="shared" si="4"/>
        <v>0</v>
      </c>
      <c r="R186" s="381" t="str">
        <f>IF(CHMTCmTm!R185=0,"",CHMTCmTm!R185)</f>
        <v/>
      </c>
      <c r="S186" s="382"/>
      <c r="T186" s="381" t="str">
        <f>IF(CHMTCmTm!T185=0,"",CHMTCmTm!T185)</f>
        <v/>
      </c>
      <c r="U186" s="382"/>
      <c r="V186" s="381" t="str">
        <f>IF(CHMTCmTm!V185=0,"",CHMTCmTm!V185)</f>
        <v/>
      </c>
      <c r="W186" s="396"/>
      <c r="X186" s="396"/>
      <c r="Y186" s="382"/>
      <c r="Z186" s="215">
        <f>CHMTCmTm!Z185</f>
        <v>0</v>
      </c>
      <c r="AA186" s="381" t="str">
        <f>IF(CHMTCmTm!AA185=0,"",CHMTCmTm!AA185)</f>
        <v/>
      </c>
      <c r="AB186" s="396"/>
      <c r="AC186" s="382"/>
      <c r="AD186" s="215">
        <f>CHMTCmTm!AD185</f>
        <v>0</v>
      </c>
      <c r="AE186" s="381" t="str">
        <f>IF(CHMTCmTm!AE185=0,"",CHMTCmTm!AE185)</f>
        <v/>
      </c>
      <c r="AF186" s="396"/>
      <c r="AG186" s="382"/>
      <c r="AH186" s="215">
        <f>CHMTCmTm!AH185</f>
        <v>0</v>
      </c>
      <c r="AI186" s="381" t="str">
        <f>IF(CHMTCmTm!AI185=0,"",CHMTCmTm!AI185)</f>
        <v/>
      </c>
      <c r="AJ186" s="396"/>
      <c r="AK186" s="382"/>
      <c r="AL186" s="215">
        <f>CHMTCmTm!AL185</f>
        <v>0</v>
      </c>
      <c r="AM186" s="381" t="str">
        <f>IF(CHMTCmTm!AM185=0,"",CHMTCmTm!AM185)</f>
        <v/>
      </c>
      <c r="AN186" s="396"/>
      <c r="AO186" s="382"/>
      <c r="AP186" s="381" t="str">
        <f>IF(CHMTCmTm!AP185=0,"",CHMTCmTm!AP185)</f>
        <v/>
      </c>
      <c r="AQ186" s="382"/>
      <c r="AR186" s="381" t="str">
        <f>IF(CHMTCmTm!AR185=0,"",CHMTCmTm!AR185)</f>
        <v/>
      </c>
      <c r="AS186" s="382"/>
      <c r="AT186" s="381" t="str">
        <f>IF(CHMTCmTm!AT185=0,"",CHMTCmTm!AT185)</f>
        <v/>
      </c>
      <c r="AU186" s="396"/>
      <c r="AV186" s="382"/>
      <c r="AW186" s="381" t="str">
        <f>IF(CHMTCmTm!AW185=0,"",CHMTCmTm!AW185)</f>
        <v/>
      </c>
      <c r="AX186" s="396"/>
      <c r="AY186" s="382"/>
      <c r="AZ186" s="24">
        <f>CHMTCmTm!AZ185</f>
        <v>0</v>
      </c>
      <c r="BC186" s="24">
        <f>COUNTIF(CHMTCmTm!O185, "Outreach Session")</f>
        <v>0</v>
      </c>
      <c r="BD186" s="24">
        <f>COUNTIF(CHMTCmTm!O185, "Mobile Clinic")</f>
        <v>0</v>
      </c>
      <c r="BE186" s="24">
        <f>COUNTIF(CHMTCmTm!O185, "Health Facility")</f>
        <v>0</v>
      </c>
    </row>
    <row r="187" spans="2:57" s="24" customFormat="1" ht="21.95" customHeight="1" x14ac:dyDescent="0.25">
      <c r="B187" s="397" t="str">
        <f>IF(CHMTCmTm!B186=0,"",CHMTCmTm!B186)</f>
        <v/>
      </c>
      <c r="C187" s="398"/>
      <c r="D187" s="399"/>
      <c r="E187" s="216">
        <f t="shared" si="5"/>
        <v>0</v>
      </c>
      <c r="F187" s="397" t="str">
        <f>IF(CHMTCmTm!F186=0,"",CHMTCmTm!F186)</f>
        <v/>
      </c>
      <c r="G187" s="398"/>
      <c r="H187" s="399"/>
      <c r="I187" s="381" t="str">
        <f>IF(CHMTCmTm!I186=0,"",CHMTCmTm!I186)</f>
        <v/>
      </c>
      <c r="J187" s="382"/>
      <c r="K187" s="381" t="str">
        <f>IF(CHMTCmTm!K186=0,"",CHMTCmTm!K186)</f>
        <v/>
      </c>
      <c r="L187" s="382"/>
      <c r="M187" s="381" t="str">
        <f>IF(CHMTCmTm!M186=0,"",CHMTCmTm!M186)</f>
        <v/>
      </c>
      <c r="N187" s="382"/>
      <c r="O187" s="381" t="str">
        <f>IF(CHMTCmTm!O186=0,"",CHMTCmTm!O186)</f>
        <v/>
      </c>
      <c r="P187" s="382"/>
      <c r="Q187" s="215" t="b">
        <f t="shared" si="4"/>
        <v>0</v>
      </c>
      <c r="R187" s="381" t="str">
        <f>IF(CHMTCmTm!R186=0,"",CHMTCmTm!R186)</f>
        <v/>
      </c>
      <c r="S187" s="382"/>
      <c r="T187" s="381" t="str">
        <f>IF(CHMTCmTm!T186=0,"",CHMTCmTm!T186)</f>
        <v/>
      </c>
      <c r="U187" s="382"/>
      <c r="V187" s="381" t="str">
        <f>IF(CHMTCmTm!V186=0,"",CHMTCmTm!V186)</f>
        <v/>
      </c>
      <c r="W187" s="396"/>
      <c r="X187" s="396"/>
      <c r="Y187" s="382"/>
      <c r="Z187" s="215">
        <f>CHMTCmTm!Z186</f>
        <v>0</v>
      </c>
      <c r="AA187" s="381" t="str">
        <f>IF(CHMTCmTm!AA186=0,"",CHMTCmTm!AA186)</f>
        <v/>
      </c>
      <c r="AB187" s="396"/>
      <c r="AC187" s="382"/>
      <c r="AD187" s="215">
        <f>CHMTCmTm!AD186</f>
        <v>0</v>
      </c>
      <c r="AE187" s="381" t="str">
        <f>IF(CHMTCmTm!AE186=0,"",CHMTCmTm!AE186)</f>
        <v/>
      </c>
      <c r="AF187" s="396"/>
      <c r="AG187" s="382"/>
      <c r="AH187" s="215">
        <f>CHMTCmTm!AH186</f>
        <v>0</v>
      </c>
      <c r="AI187" s="381" t="str">
        <f>IF(CHMTCmTm!AI186=0,"",CHMTCmTm!AI186)</f>
        <v/>
      </c>
      <c r="AJ187" s="396"/>
      <c r="AK187" s="382"/>
      <c r="AL187" s="215">
        <f>CHMTCmTm!AL186</f>
        <v>0</v>
      </c>
      <c r="AM187" s="381" t="str">
        <f>IF(CHMTCmTm!AM186=0,"",CHMTCmTm!AM186)</f>
        <v/>
      </c>
      <c r="AN187" s="396"/>
      <c r="AO187" s="382"/>
      <c r="AP187" s="381" t="str">
        <f>IF(CHMTCmTm!AP186=0,"",CHMTCmTm!AP186)</f>
        <v/>
      </c>
      <c r="AQ187" s="382"/>
      <c r="AR187" s="381" t="str">
        <f>IF(CHMTCmTm!AR186=0,"",CHMTCmTm!AR186)</f>
        <v/>
      </c>
      <c r="AS187" s="382"/>
      <c r="AT187" s="381" t="str">
        <f>IF(CHMTCmTm!AT186=0,"",CHMTCmTm!AT186)</f>
        <v/>
      </c>
      <c r="AU187" s="396"/>
      <c r="AV187" s="382"/>
      <c r="AW187" s="381" t="str">
        <f>IF(CHMTCmTm!AW186=0,"",CHMTCmTm!AW186)</f>
        <v/>
      </c>
      <c r="AX187" s="396"/>
      <c r="AY187" s="382"/>
      <c r="AZ187" s="24">
        <f>CHMTCmTm!AZ186</f>
        <v>0</v>
      </c>
      <c r="BC187" s="24">
        <f>COUNTIF(CHMTCmTm!O186, "Outreach Session")</f>
        <v>0</v>
      </c>
      <c r="BD187" s="24">
        <f>COUNTIF(CHMTCmTm!O186, "Mobile Clinic")</f>
        <v>0</v>
      </c>
      <c r="BE187" s="24">
        <f>COUNTIF(CHMTCmTm!O186, "Health Facility")</f>
        <v>0</v>
      </c>
    </row>
    <row r="188" spans="2:57" s="24" customFormat="1" ht="21.95" customHeight="1" x14ac:dyDescent="0.25">
      <c r="B188" s="397" t="str">
        <f>IF(CHMTCmTm!B187=0,"",CHMTCmTm!B187)</f>
        <v/>
      </c>
      <c r="C188" s="398"/>
      <c r="D188" s="399"/>
      <c r="E188" s="216">
        <f t="shared" si="5"/>
        <v>0</v>
      </c>
      <c r="F188" s="397" t="str">
        <f>IF(CHMTCmTm!F187=0,"",CHMTCmTm!F187)</f>
        <v/>
      </c>
      <c r="G188" s="398"/>
      <c r="H188" s="399"/>
      <c r="I188" s="381" t="str">
        <f>IF(CHMTCmTm!I187=0,"",CHMTCmTm!I187)</f>
        <v/>
      </c>
      <c r="J188" s="382"/>
      <c r="K188" s="381" t="str">
        <f>IF(CHMTCmTm!K187=0,"",CHMTCmTm!K187)</f>
        <v/>
      </c>
      <c r="L188" s="382"/>
      <c r="M188" s="381" t="str">
        <f>IF(CHMTCmTm!M187=0,"",CHMTCmTm!M187)</f>
        <v/>
      </c>
      <c r="N188" s="382"/>
      <c r="O188" s="381" t="str">
        <f>IF(CHMTCmTm!O187=0,"",CHMTCmTm!O187)</f>
        <v/>
      </c>
      <c r="P188" s="382"/>
      <c r="Q188" s="215" t="b">
        <f t="shared" si="4"/>
        <v>0</v>
      </c>
      <c r="R188" s="381" t="str">
        <f>IF(CHMTCmTm!R187=0,"",CHMTCmTm!R187)</f>
        <v/>
      </c>
      <c r="S188" s="382"/>
      <c r="T188" s="381" t="str">
        <f>IF(CHMTCmTm!T187=0,"",CHMTCmTm!T187)</f>
        <v/>
      </c>
      <c r="U188" s="382"/>
      <c r="V188" s="381" t="str">
        <f>IF(CHMTCmTm!V187=0,"",CHMTCmTm!V187)</f>
        <v/>
      </c>
      <c r="W188" s="396"/>
      <c r="X188" s="396"/>
      <c r="Y188" s="382"/>
      <c r="Z188" s="215">
        <f>CHMTCmTm!Z187</f>
        <v>0</v>
      </c>
      <c r="AA188" s="381" t="str">
        <f>IF(CHMTCmTm!AA187=0,"",CHMTCmTm!AA187)</f>
        <v/>
      </c>
      <c r="AB188" s="396"/>
      <c r="AC188" s="382"/>
      <c r="AD188" s="215">
        <f>CHMTCmTm!AD187</f>
        <v>0</v>
      </c>
      <c r="AE188" s="381" t="str">
        <f>IF(CHMTCmTm!AE187=0,"",CHMTCmTm!AE187)</f>
        <v/>
      </c>
      <c r="AF188" s="396"/>
      <c r="AG188" s="382"/>
      <c r="AH188" s="215">
        <f>CHMTCmTm!AH187</f>
        <v>0</v>
      </c>
      <c r="AI188" s="381" t="str">
        <f>IF(CHMTCmTm!AI187=0,"",CHMTCmTm!AI187)</f>
        <v/>
      </c>
      <c r="AJ188" s="396"/>
      <c r="AK188" s="382"/>
      <c r="AL188" s="215">
        <f>CHMTCmTm!AL187</f>
        <v>0</v>
      </c>
      <c r="AM188" s="381" t="str">
        <f>IF(CHMTCmTm!AM187=0,"",CHMTCmTm!AM187)</f>
        <v/>
      </c>
      <c r="AN188" s="396"/>
      <c r="AO188" s="382"/>
      <c r="AP188" s="381" t="str">
        <f>IF(CHMTCmTm!AP187=0,"",CHMTCmTm!AP187)</f>
        <v/>
      </c>
      <c r="AQ188" s="382"/>
      <c r="AR188" s="381" t="str">
        <f>IF(CHMTCmTm!AR187=0,"",CHMTCmTm!AR187)</f>
        <v/>
      </c>
      <c r="AS188" s="382"/>
      <c r="AT188" s="381" t="str">
        <f>IF(CHMTCmTm!AT187=0,"",CHMTCmTm!AT187)</f>
        <v/>
      </c>
      <c r="AU188" s="396"/>
      <c r="AV188" s="382"/>
      <c r="AW188" s="381" t="str">
        <f>IF(CHMTCmTm!AW187=0,"",CHMTCmTm!AW187)</f>
        <v/>
      </c>
      <c r="AX188" s="396"/>
      <c r="AY188" s="382"/>
      <c r="AZ188" s="24">
        <f>CHMTCmTm!AZ187</f>
        <v>0</v>
      </c>
      <c r="BC188" s="24">
        <f>COUNTIF(CHMTCmTm!O187, "Outreach Session")</f>
        <v>0</v>
      </c>
      <c r="BD188" s="24">
        <f>COUNTIF(CHMTCmTm!O187, "Mobile Clinic")</f>
        <v>0</v>
      </c>
      <c r="BE188" s="24">
        <f>COUNTIF(CHMTCmTm!O187, "Health Facility")</f>
        <v>0</v>
      </c>
    </row>
    <row r="189" spans="2:57" s="24" customFormat="1" ht="21.95" customHeight="1" x14ac:dyDescent="0.25">
      <c r="B189" s="397" t="str">
        <f>IF(CHMTCmTm!B188=0,"",CHMTCmTm!B188)</f>
        <v/>
      </c>
      <c r="C189" s="398"/>
      <c r="D189" s="399"/>
      <c r="E189" s="216">
        <f t="shared" si="5"/>
        <v>0</v>
      </c>
      <c r="F189" s="397" t="str">
        <f>IF(CHMTCmTm!F188=0,"",CHMTCmTm!F188)</f>
        <v/>
      </c>
      <c r="G189" s="398"/>
      <c r="H189" s="399"/>
      <c r="I189" s="381" t="str">
        <f>IF(CHMTCmTm!I188=0,"",CHMTCmTm!I188)</f>
        <v/>
      </c>
      <c r="J189" s="382"/>
      <c r="K189" s="381" t="str">
        <f>IF(CHMTCmTm!K188=0,"",CHMTCmTm!K188)</f>
        <v/>
      </c>
      <c r="L189" s="382"/>
      <c r="M189" s="381" t="str">
        <f>IF(CHMTCmTm!M188=0,"",CHMTCmTm!M188)</f>
        <v/>
      </c>
      <c r="N189" s="382"/>
      <c r="O189" s="381" t="str">
        <f>IF(CHMTCmTm!O188=0,"",CHMTCmTm!O188)</f>
        <v/>
      </c>
      <c r="P189" s="382"/>
      <c r="Q189" s="215" t="b">
        <f t="shared" si="4"/>
        <v>0</v>
      </c>
      <c r="R189" s="381" t="str">
        <f>IF(CHMTCmTm!R188=0,"",CHMTCmTm!R188)</f>
        <v/>
      </c>
      <c r="S189" s="382"/>
      <c r="T189" s="381" t="str">
        <f>IF(CHMTCmTm!T188=0,"",CHMTCmTm!T188)</f>
        <v/>
      </c>
      <c r="U189" s="382"/>
      <c r="V189" s="381" t="str">
        <f>IF(CHMTCmTm!V188=0,"",CHMTCmTm!V188)</f>
        <v/>
      </c>
      <c r="W189" s="396"/>
      <c r="X189" s="396"/>
      <c r="Y189" s="382"/>
      <c r="Z189" s="215">
        <f>CHMTCmTm!Z188</f>
        <v>0</v>
      </c>
      <c r="AA189" s="381" t="str">
        <f>IF(CHMTCmTm!AA188=0,"",CHMTCmTm!AA188)</f>
        <v/>
      </c>
      <c r="AB189" s="396"/>
      <c r="AC189" s="382"/>
      <c r="AD189" s="215">
        <f>CHMTCmTm!AD188</f>
        <v>0</v>
      </c>
      <c r="AE189" s="381" t="str">
        <f>IF(CHMTCmTm!AE188=0,"",CHMTCmTm!AE188)</f>
        <v/>
      </c>
      <c r="AF189" s="396"/>
      <c r="AG189" s="382"/>
      <c r="AH189" s="215">
        <f>CHMTCmTm!AH188</f>
        <v>0</v>
      </c>
      <c r="AI189" s="381" t="str">
        <f>IF(CHMTCmTm!AI188=0,"",CHMTCmTm!AI188)</f>
        <v/>
      </c>
      <c r="AJ189" s="396"/>
      <c r="AK189" s="382"/>
      <c r="AL189" s="215">
        <f>CHMTCmTm!AL188</f>
        <v>0</v>
      </c>
      <c r="AM189" s="381" t="str">
        <f>IF(CHMTCmTm!AM188=0,"",CHMTCmTm!AM188)</f>
        <v/>
      </c>
      <c r="AN189" s="396"/>
      <c r="AO189" s="382"/>
      <c r="AP189" s="381" t="str">
        <f>IF(CHMTCmTm!AP188=0,"",CHMTCmTm!AP188)</f>
        <v/>
      </c>
      <c r="AQ189" s="382"/>
      <c r="AR189" s="381" t="str">
        <f>IF(CHMTCmTm!AR188=0,"",CHMTCmTm!AR188)</f>
        <v/>
      </c>
      <c r="AS189" s="382"/>
      <c r="AT189" s="381" t="str">
        <f>IF(CHMTCmTm!AT188=0,"",CHMTCmTm!AT188)</f>
        <v/>
      </c>
      <c r="AU189" s="396"/>
      <c r="AV189" s="382"/>
      <c r="AW189" s="381" t="str">
        <f>IF(CHMTCmTm!AW188=0,"",CHMTCmTm!AW188)</f>
        <v/>
      </c>
      <c r="AX189" s="396"/>
      <c r="AY189" s="382"/>
      <c r="AZ189" s="24">
        <f>CHMTCmTm!AZ188</f>
        <v>0</v>
      </c>
      <c r="BC189" s="24">
        <f>COUNTIF(CHMTCmTm!O188, "Outreach Session")</f>
        <v>0</v>
      </c>
      <c r="BD189" s="24">
        <f>COUNTIF(CHMTCmTm!O188, "Mobile Clinic")</f>
        <v>0</v>
      </c>
      <c r="BE189" s="24">
        <f>COUNTIF(CHMTCmTm!O188, "Health Facility")</f>
        <v>0</v>
      </c>
    </row>
    <row r="190" spans="2:57" s="24" customFormat="1" ht="21.95" customHeight="1" x14ac:dyDescent="0.25">
      <c r="B190" s="397" t="str">
        <f>IF(CHMTCmTm!B189=0,"",CHMTCmTm!B189)</f>
        <v/>
      </c>
      <c r="C190" s="398"/>
      <c r="D190" s="399"/>
      <c r="E190" s="216">
        <f t="shared" si="5"/>
        <v>0</v>
      </c>
      <c r="F190" s="397" t="str">
        <f>IF(CHMTCmTm!F189=0,"",CHMTCmTm!F189)</f>
        <v/>
      </c>
      <c r="G190" s="398"/>
      <c r="H190" s="399"/>
      <c r="I190" s="381" t="str">
        <f>IF(CHMTCmTm!I189=0,"",CHMTCmTm!I189)</f>
        <v/>
      </c>
      <c r="J190" s="382"/>
      <c r="K190" s="381" t="str">
        <f>IF(CHMTCmTm!K189=0,"",CHMTCmTm!K189)</f>
        <v/>
      </c>
      <c r="L190" s="382"/>
      <c r="M190" s="381" t="str">
        <f>IF(CHMTCmTm!M189=0,"",CHMTCmTm!M189)</f>
        <v/>
      </c>
      <c r="N190" s="382"/>
      <c r="O190" s="381" t="str">
        <f>IF(CHMTCmTm!O189=0,"",CHMTCmTm!O189)</f>
        <v/>
      </c>
      <c r="P190" s="382"/>
      <c r="Q190" s="215" t="b">
        <f t="shared" si="4"/>
        <v>0</v>
      </c>
      <c r="R190" s="381" t="str">
        <f>IF(CHMTCmTm!R189=0,"",CHMTCmTm!R189)</f>
        <v/>
      </c>
      <c r="S190" s="382"/>
      <c r="T190" s="381" t="str">
        <f>IF(CHMTCmTm!T189=0,"",CHMTCmTm!T189)</f>
        <v/>
      </c>
      <c r="U190" s="382"/>
      <c r="V190" s="381" t="str">
        <f>IF(CHMTCmTm!V189=0,"",CHMTCmTm!V189)</f>
        <v/>
      </c>
      <c r="W190" s="396"/>
      <c r="X190" s="396"/>
      <c r="Y190" s="382"/>
      <c r="Z190" s="215">
        <f>CHMTCmTm!Z189</f>
        <v>0</v>
      </c>
      <c r="AA190" s="381" t="str">
        <f>IF(CHMTCmTm!AA189=0,"",CHMTCmTm!AA189)</f>
        <v/>
      </c>
      <c r="AB190" s="396"/>
      <c r="AC190" s="382"/>
      <c r="AD190" s="215">
        <f>CHMTCmTm!AD189</f>
        <v>0</v>
      </c>
      <c r="AE190" s="381" t="str">
        <f>IF(CHMTCmTm!AE189=0,"",CHMTCmTm!AE189)</f>
        <v/>
      </c>
      <c r="AF190" s="396"/>
      <c r="AG190" s="382"/>
      <c r="AH190" s="215">
        <f>CHMTCmTm!AH189</f>
        <v>0</v>
      </c>
      <c r="AI190" s="381" t="str">
        <f>IF(CHMTCmTm!AI189=0,"",CHMTCmTm!AI189)</f>
        <v/>
      </c>
      <c r="AJ190" s="396"/>
      <c r="AK190" s="382"/>
      <c r="AL190" s="215">
        <f>CHMTCmTm!AL189</f>
        <v>0</v>
      </c>
      <c r="AM190" s="381" t="str">
        <f>IF(CHMTCmTm!AM189=0,"",CHMTCmTm!AM189)</f>
        <v/>
      </c>
      <c r="AN190" s="396"/>
      <c r="AO190" s="382"/>
      <c r="AP190" s="381" t="str">
        <f>IF(CHMTCmTm!AP189=0,"",CHMTCmTm!AP189)</f>
        <v/>
      </c>
      <c r="AQ190" s="382"/>
      <c r="AR190" s="381" t="str">
        <f>IF(CHMTCmTm!AR189=0,"",CHMTCmTm!AR189)</f>
        <v/>
      </c>
      <c r="AS190" s="382"/>
      <c r="AT190" s="381" t="str">
        <f>IF(CHMTCmTm!AT189=0,"",CHMTCmTm!AT189)</f>
        <v/>
      </c>
      <c r="AU190" s="396"/>
      <c r="AV190" s="382"/>
      <c r="AW190" s="381" t="str">
        <f>IF(CHMTCmTm!AW189=0,"",CHMTCmTm!AW189)</f>
        <v/>
      </c>
      <c r="AX190" s="396"/>
      <c r="AY190" s="382"/>
      <c r="AZ190" s="24">
        <f>CHMTCmTm!AZ189</f>
        <v>0</v>
      </c>
      <c r="BC190" s="24">
        <f>COUNTIF(CHMTCmTm!O189, "Outreach Session")</f>
        <v>0</v>
      </c>
      <c r="BD190" s="24">
        <f>COUNTIF(CHMTCmTm!O189, "Mobile Clinic")</f>
        <v>0</v>
      </c>
      <c r="BE190" s="24">
        <f>COUNTIF(CHMTCmTm!O189, "Health Facility")</f>
        <v>0</v>
      </c>
    </row>
    <row r="191" spans="2:57" s="24" customFormat="1" ht="21.95" customHeight="1" x14ac:dyDescent="0.25">
      <c r="B191" s="397" t="str">
        <f>IF(CHMTCmTm!B190=0,"",CHMTCmTm!B190)</f>
        <v/>
      </c>
      <c r="C191" s="398"/>
      <c r="D191" s="399"/>
      <c r="E191" s="216">
        <f t="shared" si="5"/>
        <v>0</v>
      </c>
      <c r="F191" s="397" t="str">
        <f>IF(CHMTCmTm!F190=0,"",CHMTCmTm!F190)</f>
        <v/>
      </c>
      <c r="G191" s="398"/>
      <c r="H191" s="399"/>
      <c r="I191" s="381" t="str">
        <f>IF(CHMTCmTm!I190=0,"",CHMTCmTm!I190)</f>
        <v/>
      </c>
      <c r="J191" s="382"/>
      <c r="K191" s="381" t="str">
        <f>IF(CHMTCmTm!K190=0,"",CHMTCmTm!K190)</f>
        <v/>
      </c>
      <c r="L191" s="382"/>
      <c r="M191" s="381" t="str">
        <f>IF(CHMTCmTm!M190=0,"",CHMTCmTm!M190)</f>
        <v/>
      </c>
      <c r="N191" s="382"/>
      <c r="O191" s="381" t="str">
        <f>IF(CHMTCmTm!O190=0,"",CHMTCmTm!O190)</f>
        <v/>
      </c>
      <c r="P191" s="382"/>
      <c r="Q191" s="215" t="b">
        <f t="shared" si="4"/>
        <v>0</v>
      </c>
      <c r="R191" s="381" t="str">
        <f>IF(CHMTCmTm!R190=0,"",CHMTCmTm!R190)</f>
        <v/>
      </c>
      <c r="S191" s="382"/>
      <c r="T191" s="381" t="str">
        <f>IF(CHMTCmTm!T190=0,"",CHMTCmTm!T190)</f>
        <v/>
      </c>
      <c r="U191" s="382"/>
      <c r="V191" s="381" t="str">
        <f>IF(CHMTCmTm!V190=0,"",CHMTCmTm!V190)</f>
        <v/>
      </c>
      <c r="W191" s="396"/>
      <c r="X191" s="396"/>
      <c r="Y191" s="382"/>
      <c r="Z191" s="215">
        <f>CHMTCmTm!Z190</f>
        <v>0</v>
      </c>
      <c r="AA191" s="381" t="str">
        <f>IF(CHMTCmTm!AA190=0,"",CHMTCmTm!AA190)</f>
        <v/>
      </c>
      <c r="AB191" s="396"/>
      <c r="AC191" s="382"/>
      <c r="AD191" s="215">
        <f>CHMTCmTm!AD190</f>
        <v>0</v>
      </c>
      <c r="AE191" s="381" t="str">
        <f>IF(CHMTCmTm!AE190=0,"",CHMTCmTm!AE190)</f>
        <v/>
      </c>
      <c r="AF191" s="396"/>
      <c r="AG191" s="382"/>
      <c r="AH191" s="215">
        <f>CHMTCmTm!AH190</f>
        <v>0</v>
      </c>
      <c r="AI191" s="381" t="str">
        <f>IF(CHMTCmTm!AI190=0,"",CHMTCmTm!AI190)</f>
        <v/>
      </c>
      <c r="AJ191" s="396"/>
      <c r="AK191" s="382"/>
      <c r="AL191" s="215">
        <f>CHMTCmTm!AL190</f>
        <v>0</v>
      </c>
      <c r="AM191" s="381" t="str">
        <f>IF(CHMTCmTm!AM190=0,"",CHMTCmTm!AM190)</f>
        <v/>
      </c>
      <c r="AN191" s="396"/>
      <c r="AO191" s="382"/>
      <c r="AP191" s="381" t="str">
        <f>IF(CHMTCmTm!AP190=0,"",CHMTCmTm!AP190)</f>
        <v/>
      </c>
      <c r="AQ191" s="382"/>
      <c r="AR191" s="381" t="str">
        <f>IF(CHMTCmTm!AR190=0,"",CHMTCmTm!AR190)</f>
        <v/>
      </c>
      <c r="AS191" s="382"/>
      <c r="AT191" s="381" t="str">
        <f>IF(CHMTCmTm!AT190=0,"",CHMTCmTm!AT190)</f>
        <v/>
      </c>
      <c r="AU191" s="396"/>
      <c r="AV191" s="382"/>
      <c r="AW191" s="381" t="str">
        <f>IF(CHMTCmTm!AW190=0,"",CHMTCmTm!AW190)</f>
        <v/>
      </c>
      <c r="AX191" s="396"/>
      <c r="AY191" s="382"/>
      <c r="AZ191" s="24">
        <f>CHMTCmTm!AZ190</f>
        <v>0</v>
      </c>
      <c r="BC191" s="24">
        <f>COUNTIF(CHMTCmTm!O190, "Outreach Session")</f>
        <v>0</v>
      </c>
      <c r="BD191" s="24">
        <f>COUNTIF(CHMTCmTm!O190, "Mobile Clinic")</f>
        <v>0</v>
      </c>
      <c r="BE191" s="24">
        <f>COUNTIF(CHMTCmTm!O190, "Health Facility")</f>
        <v>0</v>
      </c>
    </row>
    <row r="192" spans="2:57" s="24" customFormat="1" ht="21.95" customHeight="1" x14ac:dyDescent="0.25">
      <c r="B192" s="397" t="str">
        <f>IF(CHMTCmTm!B191=0,"",CHMTCmTm!B191)</f>
        <v/>
      </c>
      <c r="C192" s="398"/>
      <c r="D192" s="399"/>
      <c r="E192" s="216">
        <f t="shared" si="5"/>
        <v>0</v>
      </c>
      <c r="F192" s="397" t="str">
        <f>IF(CHMTCmTm!F191=0,"",CHMTCmTm!F191)</f>
        <v/>
      </c>
      <c r="G192" s="398"/>
      <c r="H192" s="399"/>
      <c r="I192" s="381" t="str">
        <f>IF(CHMTCmTm!I191=0,"",CHMTCmTm!I191)</f>
        <v/>
      </c>
      <c r="J192" s="382"/>
      <c r="K192" s="381" t="str">
        <f>IF(CHMTCmTm!K191=0,"",CHMTCmTm!K191)</f>
        <v/>
      </c>
      <c r="L192" s="382"/>
      <c r="M192" s="381" t="str">
        <f>IF(CHMTCmTm!M191=0,"",CHMTCmTm!M191)</f>
        <v/>
      </c>
      <c r="N192" s="382"/>
      <c r="O192" s="381" t="str">
        <f>IF(CHMTCmTm!O191=0,"",CHMTCmTm!O191)</f>
        <v/>
      </c>
      <c r="P192" s="382"/>
      <c r="Q192" s="215" t="b">
        <f t="shared" si="4"/>
        <v>0</v>
      </c>
      <c r="R192" s="381" t="str">
        <f>IF(CHMTCmTm!R191=0,"",CHMTCmTm!R191)</f>
        <v/>
      </c>
      <c r="S192" s="382"/>
      <c r="T192" s="381" t="str">
        <f>IF(CHMTCmTm!T191=0,"",CHMTCmTm!T191)</f>
        <v/>
      </c>
      <c r="U192" s="382"/>
      <c r="V192" s="381" t="str">
        <f>IF(CHMTCmTm!V191=0,"",CHMTCmTm!V191)</f>
        <v/>
      </c>
      <c r="W192" s="396"/>
      <c r="X192" s="396"/>
      <c r="Y192" s="382"/>
      <c r="Z192" s="215">
        <f>CHMTCmTm!Z191</f>
        <v>0</v>
      </c>
      <c r="AA192" s="381" t="str">
        <f>IF(CHMTCmTm!AA191=0,"",CHMTCmTm!AA191)</f>
        <v/>
      </c>
      <c r="AB192" s="396"/>
      <c r="AC192" s="382"/>
      <c r="AD192" s="215">
        <f>CHMTCmTm!AD191</f>
        <v>0</v>
      </c>
      <c r="AE192" s="381" t="str">
        <f>IF(CHMTCmTm!AE191=0,"",CHMTCmTm!AE191)</f>
        <v/>
      </c>
      <c r="AF192" s="396"/>
      <c r="AG192" s="382"/>
      <c r="AH192" s="215">
        <f>CHMTCmTm!AH191</f>
        <v>0</v>
      </c>
      <c r="AI192" s="381" t="str">
        <f>IF(CHMTCmTm!AI191=0,"",CHMTCmTm!AI191)</f>
        <v/>
      </c>
      <c r="AJ192" s="396"/>
      <c r="AK192" s="382"/>
      <c r="AL192" s="215">
        <f>CHMTCmTm!AL191</f>
        <v>0</v>
      </c>
      <c r="AM192" s="381" t="str">
        <f>IF(CHMTCmTm!AM191=0,"",CHMTCmTm!AM191)</f>
        <v/>
      </c>
      <c r="AN192" s="396"/>
      <c r="AO192" s="382"/>
      <c r="AP192" s="381" t="str">
        <f>IF(CHMTCmTm!AP191=0,"",CHMTCmTm!AP191)</f>
        <v/>
      </c>
      <c r="AQ192" s="382"/>
      <c r="AR192" s="381" t="str">
        <f>IF(CHMTCmTm!AR191=0,"",CHMTCmTm!AR191)</f>
        <v/>
      </c>
      <c r="AS192" s="382"/>
      <c r="AT192" s="381" t="str">
        <f>IF(CHMTCmTm!AT191=0,"",CHMTCmTm!AT191)</f>
        <v/>
      </c>
      <c r="AU192" s="396"/>
      <c r="AV192" s="382"/>
      <c r="AW192" s="381" t="str">
        <f>IF(CHMTCmTm!AW191=0,"",CHMTCmTm!AW191)</f>
        <v/>
      </c>
      <c r="AX192" s="396"/>
      <c r="AY192" s="382"/>
      <c r="AZ192" s="24">
        <f>CHMTCmTm!AZ191</f>
        <v>0</v>
      </c>
      <c r="BC192" s="24">
        <f>COUNTIF(CHMTCmTm!O191, "Outreach Session")</f>
        <v>0</v>
      </c>
      <c r="BD192" s="24">
        <f>COUNTIF(CHMTCmTm!O191, "Mobile Clinic")</f>
        <v>0</v>
      </c>
      <c r="BE192" s="24">
        <f>COUNTIF(CHMTCmTm!O191, "Health Facility")</f>
        <v>0</v>
      </c>
    </row>
    <row r="193" spans="2:57" s="24" customFormat="1" ht="21.95" customHeight="1" x14ac:dyDescent="0.25">
      <c r="B193" s="397" t="str">
        <f>IF(CHMTCmTm!B192=0,"",CHMTCmTm!B192)</f>
        <v/>
      </c>
      <c r="C193" s="398"/>
      <c r="D193" s="399"/>
      <c r="E193" s="216">
        <f t="shared" si="5"/>
        <v>0</v>
      </c>
      <c r="F193" s="397" t="str">
        <f>IF(CHMTCmTm!F192=0,"",CHMTCmTm!F192)</f>
        <v/>
      </c>
      <c r="G193" s="398"/>
      <c r="H193" s="399"/>
      <c r="I193" s="381" t="str">
        <f>IF(CHMTCmTm!I192=0,"",CHMTCmTm!I192)</f>
        <v/>
      </c>
      <c r="J193" s="382"/>
      <c r="K193" s="381" t="str">
        <f>IF(CHMTCmTm!K192=0,"",CHMTCmTm!K192)</f>
        <v/>
      </c>
      <c r="L193" s="382"/>
      <c r="M193" s="381" t="str">
        <f>IF(CHMTCmTm!M192=0,"",CHMTCmTm!M192)</f>
        <v/>
      </c>
      <c r="N193" s="382"/>
      <c r="O193" s="381" t="str">
        <f>IF(CHMTCmTm!O192=0,"",CHMTCmTm!O192)</f>
        <v/>
      </c>
      <c r="P193" s="382"/>
      <c r="Q193" s="215" t="b">
        <f t="shared" si="4"/>
        <v>0</v>
      </c>
      <c r="R193" s="381" t="str">
        <f>IF(CHMTCmTm!R192=0,"",CHMTCmTm!R192)</f>
        <v/>
      </c>
      <c r="S193" s="382"/>
      <c r="T193" s="381" t="str">
        <f>IF(CHMTCmTm!T192=0,"",CHMTCmTm!T192)</f>
        <v/>
      </c>
      <c r="U193" s="382"/>
      <c r="V193" s="381" t="str">
        <f>IF(CHMTCmTm!V192=0,"",CHMTCmTm!V192)</f>
        <v/>
      </c>
      <c r="W193" s="396"/>
      <c r="X193" s="396"/>
      <c r="Y193" s="382"/>
      <c r="Z193" s="215">
        <f>CHMTCmTm!Z192</f>
        <v>0</v>
      </c>
      <c r="AA193" s="381" t="str">
        <f>IF(CHMTCmTm!AA192=0,"",CHMTCmTm!AA192)</f>
        <v/>
      </c>
      <c r="AB193" s="396"/>
      <c r="AC193" s="382"/>
      <c r="AD193" s="215">
        <f>CHMTCmTm!AD192</f>
        <v>0</v>
      </c>
      <c r="AE193" s="381" t="str">
        <f>IF(CHMTCmTm!AE192=0,"",CHMTCmTm!AE192)</f>
        <v/>
      </c>
      <c r="AF193" s="396"/>
      <c r="AG193" s="382"/>
      <c r="AH193" s="215">
        <f>CHMTCmTm!AH192</f>
        <v>0</v>
      </c>
      <c r="AI193" s="381" t="str">
        <f>IF(CHMTCmTm!AI192=0,"",CHMTCmTm!AI192)</f>
        <v/>
      </c>
      <c r="AJ193" s="396"/>
      <c r="AK193" s="382"/>
      <c r="AL193" s="215">
        <f>CHMTCmTm!AL192</f>
        <v>0</v>
      </c>
      <c r="AM193" s="381" t="str">
        <f>IF(CHMTCmTm!AM192=0,"",CHMTCmTm!AM192)</f>
        <v/>
      </c>
      <c r="AN193" s="396"/>
      <c r="AO193" s="382"/>
      <c r="AP193" s="381" t="str">
        <f>IF(CHMTCmTm!AP192=0,"",CHMTCmTm!AP192)</f>
        <v/>
      </c>
      <c r="AQ193" s="382"/>
      <c r="AR193" s="381" t="str">
        <f>IF(CHMTCmTm!AR192=0,"",CHMTCmTm!AR192)</f>
        <v/>
      </c>
      <c r="AS193" s="382"/>
      <c r="AT193" s="381" t="str">
        <f>IF(CHMTCmTm!AT192=0,"",CHMTCmTm!AT192)</f>
        <v/>
      </c>
      <c r="AU193" s="396"/>
      <c r="AV193" s="382"/>
      <c r="AW193" s="381" t="str">
        <f>IF(CHMTCmTm!AW192=0,"",CHMTCmTm!AW192)</f>
        <v/>
      </c>
      <c r="AX193" s="396"/>
      <c r="AY193" s="382"/>
      <c r="AZ193" s="24">
        <f>CHMTCmTm!AZ192</f>
        <v>0</v>
      </c>
      <c r="BC193" s="24">
        <f>COUNTIF(CHMTCmTm!O192, "Outreach Session")</f>
        <v>0</v>
      </c>
      <c r="BD193" s="24">
        <f>COUNTIF(CHMTCmTm!O192, "Mobile Clinic")</f>
        <v>0</v>
      </c>
      <c r="BE193" s="24">
        <f>COUNTIF(CHMTCmTm!O192, "Health Facility")</f>
        <v>0</v>
      </c>
    </row>
    <row r="194" spans="2:57" s="24" customFormat="1" ht="21.95" customHeight="1" x14ac:dyDescent="0.25">
      <c r="B194" s="397" t="str">
        <f>IF(CHMTCmTm!B193=0,"",CHMTCmTm!B193)</f>
        <v/>
      </c>
      <c r="C194" s="398"/>
      <c r="D194" s="399"/>
      <c r="E194" s="216">
        <f t="shared" si="5"/>
        <v>0</v>
      </c>
      <c r="F194" s="397" t="str">
        <f>IF(CHMTCmTm!F193=0,"",CHMTCmTm!F193)</f>
        <v/>
      </c>
      <c r="G194" s="398"/>
      <c r="H194" s="399"/>
      <c r="I194" s="381" t="str">
        <f>IF(CHMTCmTm!I193=0,"",CHMTCmTm!I193)</f>
        <v/>
      </c>
      <c r="J194" s="382"/>
      <c r="K194" s="381" t="str">
        <f>IF(CHMTCmTm!K193=0,"",CHMTCmTm!K193)</f>
        <v/>
      </c>
      <c r="L194" s="382"/>
      <c r="M194" s="381" t="str">
        <f>IF(CHMTCmTm!M193=0,"",CHMTCmTm!M193)</f>
        <v/>
      </c>
      <c r="N194" s="382"/>
      <c r="O194" s="381" t="str">
        <f>IF(CHMTCmTm!O193=0,"",CHMTCmTm!O193)</f>
        <v/>
      </c>
      <c r="P194" s="382"/>
      <c r="Q194" s="215" t="b">
        <f t="shared" si="4"/>
        <v>0</v>
      </c>
      <c r="R194" s="381" t="str">
        <f>IF(CHMTCmTm!R193=0,"",CHMTCmTm!R193)</f>
        <v/>
      </c>
      <c r="S194" s="382"/>
      <c r="T194" s="381" t="str">
        <f>IF(CHMTCmTm!T193=0,"",CHMTCmTm!T193)</f>
        <v/>
      </c>
      <c r="U194" s="382"/>
      <c r="V194" s="381" t="str">
        <f>IF(CHMTCmTm!V193=0,"",CHMTCmTm!V193)</f>
        <v/>
      </c>
      <c r="W194" s="396"/>
      <c r="X194" s="396"/>
      <c r="Y194" s="382"/>
      <c r="Z194" s="215">
        <f>CHMTCmTm!Z193</f>
        <v>0</v>
      </c>
      <c r="AA194" s="381" t="str">
        <f>IF(CHMTCmTm!AA193=0,"",CHMTCmTm!AA193)</f>
        <v/>
      </c>
      <c r="AB194" s="396"/>
      <c r="AC194" s="382"/>
      <c r="AD194" s="215">
        <f>CHMTCmTm!AD193</f>
        <v>0</v>
      </c>
      <c r="AE194" s="381" t="str">
        <f>IF(CHMTCmTm!AE193=0,"",CHMTCmTm!AE193)</f>
        <v/>
      </c>
      <c r="AF194" s="396"/>
      <c r="AG194" s="382"/>
      <c r="AH194" s="215">
        <f>CHMTCmTm!AH193</f>
        <v>0</v>
      </c>
      <c r="AI194" s="381" t="str">
        <f>IF(CHMTCmTm!AI193=0,"",CHMTCmTm!AI193)</f>
        <v/>
      </c>
      <c r="AJ194" s="396"/>
      <c r="AK194" s="382"/>
      <c r="AL194" s="215">
        <f>CHMTCmTm!AL193</f>
        <v>0</v>
      </c>
      <c r="AM194" s="381" t="str">
        <f>IF(CHMTCmTm!AM193=0,"",CHMTCmTm!AM193)</f>
        <v/>
      </c>
      <c r="AN194" s="396"/>
      <c r="AO194" s="382"/>
      <c r="AP194" s="381" t="str">
        <f>IF(CHMTCmTm!AP193=0,"",CHMTCmTm!AP193)</f>
        <v/>
      </c>
      <c r="AQ194" s="382"/>
      <c r="AR194" s="381" t="str">
        <f>IF(CHMTCmTm!AR193=0,"",CHMTCmTm!AR193)</f>
        <v/>
      </c>
      <c r="AS194" s="382"/>
      <c r="AT194" s="381" t="str">
        <f>IF(CHMTCmTm!AT193=0,"",CHMTCmTm!AT193)</f>
        <v/>
      </c>
      <c r="AU194" s="396"/>
      <c r="AV194" s="382"/>
      <c r="AW194" s="381" t="str">
        <f>IF(CHMTCmTm!AW193=0,"",CHMTCmTm!AW193)</f>
        <v/>
      </c>
      <c r="AX194" s="396"/>
      <c r="AY194" s="382"/>
      <c r="AZ194" s="24">
        <f>CHMTCmTm!AZ193</f>
        <v>0</v>
      </c>
      <c r="BC194" s="24">
        <f>COUNTIF(CHMTCmTm!O193, "Outreach Session")</f>
        <v>0</v>
      </c>
      <c r="BD194" s="24">
        <f>COUNTIF(CHMTCmTm!O193, "Mobile Clinic")</f>
        <v>0</v>
      </c>
      <c r="BE194" s="24">
        <f>COUNTIF(CHMTCmTm!O193, "Health Facility")</f>
        <v>0</v>
      </c>
    </row>
    <row r="195" spans="2:57" s="24" customFormat="1" ht="21.95" customHeight="1" x14ac:dyDescent="0.25">
      <c r="B195" s="397" t="str">
        <f>IF(CHMTCmTm!B194=0,"",CHMTCmTm!B194)</f>
        <v/>
      </c>
      <c r="C195" s="398"/>
      <c r="D195" s="399"/>
      <c r="E195" s="216">
        <f t="shared" si="5"/>
        <v>0</v>
      </c>
      <c r="F195" s="397" t="str">
        <f>IF(CHMTCmTm!F194=0,"",CHMTCmTm!F194)</f>
        <v/>
      </c>
      <c r="G195" s="398"/>
      <c r="H195" s="399"/>
      <c r="I195" s="381" t="str">
        <f>IF(CHMTCmTm!I194=0,"",CHMTCmTm!I194)</f>
        <v/>
      </c>
      <c r="J195" s="382"/>
      <c r="K195" s="381" t="str">
        <f>IF(CHMTCmTm!K194=0,"",CHMTCmTm!K194)</f>
        <v/>
      </c>
      <c r="L195" s="382"/>
      <c r="M195" s="381" t="str">
        <f>IF(CHMTCmTm!M194=0,"",CHMTCmTm!M194)</f>
        <v/>
      </c>
      <c r="N195" s="382"/>
      <c r="O195" s="381" t="str">
        <f>IF(CHMTCmTm!O194=0,"",CHMTCmTm!O194)</f>
        <v/>
      </c>
      <c r="P195" s="382"/>
      <c r="Q195" s="215" t="b">
        <f t="shared" si="4"/>
        <v>0</v>
      </c>
      <c r="R195" s="381" t="str">
        <f>IF(CHMTCmTm!R194=0,"",CHMTCmTm!R194)</f>
        <v/>
      </c>
      <c r="S195" s="382"/>
      <c r="T195" s="381" t="str">
        <f>IF(CHMTCmTm!T194=0,"",CHMTCmTm!T194)</f>
        <v/>
      </c>
      <c r="U195" s="382"/>
      <c r="V195" s="381" t="str">
        <f>IF(CHMTCmTm!V194=0,"",CHMTCmTm!V194)</f>
        <v/>
      </c>
      <c r="W195" s="396"/>
      <c r="X195" s="396"/>
      <c r="Y195" s="382"/>
      <c r="Z195" s="215">
        <f>CHMTCmTm!Z194</f>
        <v>0</v>
      </c>
      <c r="AA195" s="381" t="str">
        <f>IF(CHMTCmTm!AA194=0,"",CHMTCmTm!AA194)</f>
        <v/>
      </c>
      <c r="AB195" s="396"/>
      <c r="AC195" s="382"/>
      <c r="AD195" s="215">
        <f>CHMTCmTm!AD194</f>
        <v>0</v>
      </c>
      <c r="AE195" s="381" t="str">
        <f>IF(CHMTCmTm!AE194=0,"",CHMTCmTm!AE194)</f>
        <v/>
      </c>
      <c r="AF195" s="396"/>
      <c r="AG195" s="382"/>
      <c r="AH195" s="215">
        <f>CHMTCmTm!AH194</f>
        <v>0</v>
      </c>
      <c r="AI195" s="381" t="str">
        <f>IF(CHMTCmTm!AI194=0,"",CHMTCmTm!AI194)</f>
        <v/>
      </c>
      <c r="AJ195" s="396"/>
      <c r="AK195" s="382"/>
      <c r="AL195" s="215">
        <f>CHMTCmTm!AL194</f>
        <v>0</v>
      </c>
      <c r="AM195" s="381" t="str">
        <f>IF(CHMTCmTm!AM194=0,"",CHMTCmTm!AM194)</f>
        <v/>
      </c>
      <c r="AN195" s="396"/>
      <c r="AO195" s="382"/>
      <c r="AP195" s="381" t="str">
        <f>IF(CHMTCmTm!AP194=0,"",CHMTCmTm!AP194)</f>
        <v/>
      </c>
      <c r="AQ195" s="382"/>
      <c r="AR195" s="381" t="str">
        <f>IF(CHMTCmTm!AR194=0,"",CHMTCmTm!AR194)</f>
        <v/>
      </c>
      <c r="AS195" s="382"/>
      <c r="AT195" s="381" t="str">
        <f>IF(CHMTCmTm!AT194=0,"",CHMTCmTm!AT194)</f>
        <v/>
      </c>
      <c r="AU195" s="396"/>
      <c r="AV195" s="382"/>
      <c r="AW195" s="381" t="str">
        <f>IF(CHMTCmTm!AW194=0,"",CHMTCmTm!AW194)</f>
        <v/>
      </c>
      <c r="AX195" s="396"/>
      <c r="AY195" s="382"/>
      <c r="AZ195" s="24">
        <f>CHMTCmTm!AZ194</f>
        <v>0</v>
      </c>
      <c r="BC195" s="24">
        <f>COUNTIF(CHMTCmTm!O194, "Outreach Session")</f>
        <v>0</v>
      </c>
      <c r="BD195" s="24">
        <f>COUNTIF(CHMTCmTm!O194, "Mobile Clinic")</f>
        <v>0</v>
      </c>
      <c r="BE195" s="24">
        <f>COUNTIF(CHMTCmTm!O194, "Health Facility")</f>
        <v>0</v>
      </c>
    </row>
    <row r="196" spans="2:57" s="24" customFormat="1" ht="21.95" customHeight="1" x14ac:dyDescent="0.25">
      <c r="B196" s="397" t="str">
        <f>IF(CHMTCmTm!B195=0,"",CHMTCmTm!B195)</f>
        <v/>
      </c>
      <c r="C196" s="398"/>
      <c r="D196" s="399"/>
      <c r="E196" s="216">
        <f t="shared" si="5"/>
        <v>0</v>
      </c>
      <c r="F196" s="397" t="str">
        <f>IF(CHMTCmTm!F195=0,"",CHMTCmTm!F195)</f>
        <v/>
      </c>
      <c r="G196" s="398"/>
      <c r="H196" s="399"/>
      <c r="I196" s="381" t="str">
        <f>IF(CHMTCmTm!I195=0,"",CHMTCmTm!I195)</f>
        <v/>
      </c>
      <c r="J196" s="382"/>
      <c r="K196" s="381" t="str">
        <f>IF(CHMTCmTm!K195=0,"",CHMTCmTm!K195)</f>
        <v/>
      </c>
      <c r="L196" s="382"/>
      <c r="M196" s="381" t="str">
        <f>IF(CHMTCmTm!M195=0,"",CHMTCmTm!M195)</f>
        <v/>
      </c>
      <c r="N196" s="382"/>
      <c r="O196" s="381" t="str">
        <f>IF(CHMTCmTm!O195=0,"",CHMTCmTm!O195)</f>
        <v/>
      </c>
      <c r="P196" s="382"/>
      <c r="Q196" s="215" t="b">
        <f t="shared" si="4"/>
        <v>0</v>
      </c>
      <c r="R196" s="381" t="str">
        <f>IF(CHMTCmTm!R195=0,"",CHMTCmTm!R195)</f>
        <v/>
      </c>
      <c r="S196" s="382"/>
      <c r="T196" s="381" t="str">
        <f>IF(CHMTCmTm!T195=0,"",CHMTCmTm!T195)</f>
        <v/>
      </c>
      <c r="U196" s="382"/>
      <c r="V196" s="381" t="str">
        <f>IF(CHMTCmTm!V195=0,"",CHMTCmTm!V195)</f>
        <v/>
      </c>
      <c r="W196" s="396"/>
      <c r="X196" s="396"/>
      <c r="Y196" s="382"/>
      <c r="Z196" s="215">
        <f>CHMTCmTm!Z195</f>
        <v>0</v>
      </c>
      <c r="AA196" s="381" t="str">
        <f>IF(CHMTCmTm!AA195=0,"",CHMTCmTm!AA195)</f>
        <v/>
      </c>
      <c r="AB196" s="396"/>
      <c r="AC196" s="382"/>
      <c r="AD196" s="215">
        <f>CHMTCmTm!AD195</f>
        <v>0</v>
      </c>
      <c r="AE196" s="381" t="str">
        <f>IF(CHMTCmTm!AE195=0,"",CHMTCmTm!AE195)</f>
        <v/>
      </c>
      <c r="AF196" s="396"/>
      <c r="AG196" s="382"/>
      <c r="AH196" s="215">
        <f>CHMTCmTm!AH195</f>
        <v>0</v>
      </c>
      <c r="AI196" s="381" t="str">
        <f>IF(CHMTCmTm!AI195=0,"",CHMTCmTm!AI195)</f>
        <v/>
      </c>
      <c r="AJ196" s="396"/>
      <c r="AK196" s="382"/>
      <c r="AL196" s="215">
        <f>CHMTCmTm!AL195</f>
        <v>0</v>
      </c>
      <c r="AM196" s="381" t="str">
        <f>IF(CHMTCmTm!AM195=0,"",CHMTCmTm!AM195)</f>
        <v/>
      </c>
      <c r="AN196" s="396"/>
      <c r="AO196" s="382"/>
      <c r="AP196" s="381" t="str">
        <f>IF(CHMTCmTm!AP195=0,"",CHMTCmTm!AP195)</f>
        <v/>
      </c>
      <c r="AQ196" s="382"/>
      <c r="AR196" s="381" t="str">
        <f>IF(CHMTCmTm!AR195=0,"",CHMTCmTm!AR195)</f>
        <v/>
      </c>
      <c r="AS196" s="382"/>
      <c r="AT196" s="381" t="str">
        <f>IF(CHMTCmTm!AT195=0,"",CHMTCmTm!AT195)</f>
        <v/>
      </c>
      <c r="AU196" s="396"/>
      <c r="AV196" s="382"/>
      <c r="AW196" s="381" t="str">
        <f>IF(CHMTCmTm!AW195=0,"",CHMTCmTm!AW195)</f>
        <v/>
      </c>
      <c r="AX196" s="396"/>
      <c r="AY196" s="382"/>
      <c r="AZ196" s="24">
        <f>CHMTCmTm!AZ195</f>
        <v>0</v>
      </c>
      <c r="BC196" s="24">
        <f>COUNTIF(CHMTCmTm!O195, "Outreach Session")</f>
        <v>0</v>
      </c>
      <c r="BD196" s="24">
        <f>COUNTIF(CHMTCmTm!O195, "Mobile Clinic")</f>
        <v>0</v>
      </c>
      <c r="BE196" s="24">
        <f>COUNTIF(CHMTCmTm!O195, "Health Facility")</f>
        <v>0</v>
      </c>
    </row>
    <row r="197" spans="2:57" s="24" customFormat="1" ht="21.95" customHeight="1" x14ac:dyDescent="0.25">
      <c r="B197" s="397" t="str">
        <f>IF(CHMTCmTm!B196=0,"",CHMTCmTm!B196)</f>
        <v/>
      </c>
      <c r="C197" s="398"/>
      <c r="D197" s="399"/>
      <c r="E197" s="216">
        <f t="shared" si="5"/>
        <v>0</v>
      </c>
      <c r="F197" s="397" t="str">
        <f>IF(CHMTCmTm!F196=0,"",CHMTCmTm!F196)</f>
        <v/>
      </c>
      <c r="G197" s="398"/>
      <c r="H197" s="399"/>
      <c r="I197" s="381" t="str">
        <f>IF(CHMTCmTm!I196=0,"",CHMTCmTm!I196)</f>
        <v/>
      </c>
      <c r="J197" s="382"/>
      <c r="K197" s="381" t="str">
        <f>IF(CHMTCmTm!K196=0,"",CHMTCmTm!K196)</f>
        <v/>
      </c>
      <c r="L197" s="382"/>
      <c r="M197" s="381" t="str">
        <f>IF(CHMTCmTm!M196=0,"",CHMTCmTm!M196)</f>
        <v/>
      </c>
      <c r="N197" s="382"/>
      <c r="O197" s="381" t="str">
        <f>IF(CHMTCmTm!O196=0,"",CHMTCmTm!O196)</f>
        <v/>
      </c>
      <c r="P197" s="382"/>
      <c r="Q197" s="215" t="b">
        <f t="shared" si="4"/>
        <v>0</v>
      </c>
      <c r="R197" s="381" t="str">
        <f>IF(CHMTCmTm!R196=0,"",CHMTCmTm!R196)</f>
        <v/>
      </c>
      <c r="S197" s="382"/>
      <c r="T197" s="381" t="str">
        <f>IF(CHMTCmTm!T196=0,"",CHMTCmTm!T196)</f>
        <v/>
      </c>
      <c r="U197" s="382"/>
      <c r="V197" s="381" t="str">
        <f>IF(CHMTCmTm!V196=0,"",CHMTCmTm!V196)</f>
        <v/>
      </c>
      <c r="W197" s="396"/>
      <c r="X197" s="396"/>
      <c r="Y197" s="382"/>
      <c r="Z197" s="215">
        <f>CHMTCmTm!Z196</f>
        <v>0</v>
      </c>
      <c r="AA197" s="381" t="str">
        <f>IF(CHMTCmTm!AA196=0,"",CHMTCmTm!AA196)</f>
        <v/>
      </c>
      <c r="AB197" s="396"/>
      <c r="AC197" s="382"/>
      <c r="AD197" s="215">
        <f>CHMTCmTm!AD196</f>
        <v>0</v>
      </c>
      <c r="AE197" s="381" t="str">
        <f>IF(CHMTCmTm!AE196=0,"",CHMTCmTm!AE196)</f>
        <v/>
      </c>
      <c r="AF197" s="396"/>
      <c r="AG197" s="382"/>
      <c r="AH197" s="215">
        <f>CHMTCmTm!AH196</f>
        <v>0</v>
      </c>
      <c r="AI197" s="381" t="str">
        <f>IF(CHMTCmTm!AI196=0,"",CHMTCmTm!AI196)</f>
        <v/>
      </c>
      <c r="AJ197" s="396"/>
      <c r="AK197" s="382"/>
      <c r="AL197" s="215">
        <f>CHMTCmTm!AL196</f>
        <v>0</v>
      </c>
      <c r="AM197" s="381" t="str">
        <f>IF(CHMTCmTm!AM196=0,"",CHMTCmTm!AM196)</f>
        <v/>
      </c>
      <c r="AN197" s="396"/>
      <c r="AO197" s="382"/>
      <c r="AP197" s="381" t="str">
        <f>IF(CHMTCmTm!AP196=0,"",CHMTCmTm!AP196)</f>
        <v/>
      </c>
      <c r="AQ197" s="382"/>
      <c r="AR197" s="381" t="str">
        <f>IF(CHMTCmTm!AR196=0,"",CHMTCmTm!AR196)</f>
        <v/>
      </c>
      <c r="AS197" s="382"/>
      <c r="AT197" s="381" t="str">
        <f>IF(CHMTCmTm!AT196=0,"",CHMTCmTm!AT196)</f>
        <v/>
      </c>
      <c r="AU197" s="396"/>
      <c r="AV197" s="382"/>
      <c r="AW197" s="381" t="str">
        <f>IF(CHMTCmTm!AW196=0,"",CHMTCmTm!AW196)</f>
        <v/>
      </c>
      <c r="AX197" s="396"/>
      <c r="AY197" s="382"/>
      <c r="AZ197" s="24">
        <f>CHMTCmTm!AZ196</f>
        <v>0</v>
      </c>
      <c r="BC197" s="24">
        <f>COUNTIF(CHMTCmTm!O196, "Outreach Session")</f>
        <v>0</v>
      </c>
      <c r="BD197" s="24">
        <f>COUNTIF(CHMTCmTm!O196, "Mobile Clinic")</f>
        <v>0</v>
      </c>
      <c r="BE197" s="24">
        <f>COUNTIF(CHMTCmTm!O196, "Health Facility")</f>
        <v>0</v>
      </c>
    </row>
    <row r="198" spans="2:57" s="24" customFormat="1" ht="21.95" customHeight="1" x14ac:dyDescent="0.25">
      <c r="B198" s="397" t="str">
        <f>IF(CHMTCmTm!B197=0,"",CHMTCmTm!B197)</f>
        <v/>
      </c>
      <c r="C198" s="398"/>
      <c r="D198" s="399"/>
      <c r="E198" s="216">
        <f t="shared" si="5"/>
        <v>0</v>
      </c>
      <c r="F198" s="397" t="str">
        <f>IF(CHMTCmTm!F197=0,"",CHMTCmTm!F197)</f>
        <v/>
      </c>
      <c r="G198" s="398"/>
      <c r="H198" s="399"/>
      <c r="I198" s="381" t="str">
        <f>IF(CHMTCmTm!I197=0,"",CHMTCmTm!I197)</f>
        <v/>
      </c>
      <c r="J198" s="382"/>
      <c r="K198" s="381" t="str">
        <f>IF(CHMTCmTm!K197=0,"",CHMTCmTm!K197)</f>
        <v/>
      </c>
      <c r="L198" s="382"/>
      <c r="M198" s="381" t="str">
        <f>IF(CHMTCmTm!M197=0,"",CHMTCmTm!M197)</f>
        <v/>
      </c>
      <c r="N198" s="382"/>
      <c r="O198" s="381" t="str">
        <f>IF(CHMTCmTm!O197=0,"",CHMTCmTm!O197)</f>
        <v/>
      </c>
      <c r="P198" s="382"/>
      <c r="Q198" s="215" t="b">
        <f t="shared" si="4"/>
        <v>0</v>
      </c>
      <c r="R198" s="381" t="str">
        <f>IF(CHMTCmTm!R197=0,"",CHMTCmTm!R197)</f>
        <v/>
      </c>
      <c r="S198" s="382"/>
      <c r="T198" s="381" t="str">
        <f>IF(CHMTCmTm!T197=0,"",CHMTCmTm!T197)</f>
        <v/>
      </c>
      <c r="U198" s="382"/>
      <c r="V198" s="381" t="str">
        <f>IF(CHMTCmTm!V197=0,"",CHMTCmTm!V197)</f>
        <v/>
      </c>
      <c r="W198" s="396"/>
      <c r="X198" s="396"/>
      <c r="Y198" s="382"/>
      <c r="Z198" s="215">
        <f>CHMTCmTm!Z197</f>
        <v>0</v>
      </c>
      <c r="AA198" s="381" t="str">
        <f>IF(CHMTCmTm!AA197=0,"",CHMTCmTm!AA197)</f>
        <v/>
      </c>
      <c r="AB198" s="396"/>
      <c r="AC198" s="382"/>
      <c r="AD198" s="215">
        <f>CHMTCmTm!AD197</f>
        <v>0</v>
      </c>
      <c r="AE198" s="381" t="str">
        <f>IF(CHMTCmTm!AE197=0,"",CHMTCmTm!AE197)</f>
        <v/>
      </c>
      <c r="AF198" s="396"/>
      <c r="AG198" s="382"/>
      <c r="AH198" s="215">
        <f>CHMTCmTm!AH197</f>
        <v>0</v>
      </c>
      <c r="AI198" s="381" t="str">
        <f>IF(CHMTCmTm!AI197=0,"",CHMTCmTm!AI197)</f>
        <v/>
      </c>
      <c r="AJ198" s="396"/>
      <c r="AK198" s="382"/>
      <c r="AL198" s="215">
        <f>CHMTCmTm!AL197</f>
        <v>0</v>
      </c>
      <c r="AM198" s="381" t="str">
        <f>IF(CHMTCmTm!AM197=0,"",CHMTCmTm!AM197)</f>
        <v/>
      </c>
      <c r="AN198" s="396"/>
      <c r="AO198" s="382"/>
      <c r="AP198" s="381" t="str">
        <f>IF(CHMTCmTm!AP197=0,"",CHMTCmTm!AP197)</f>
        <v/>
      </c>
      <c r="AQ198" s="382"/>
      <c r="AR198" s="381" t="str">
        <f>IF(CHMTCmTm!AR197=0,"",CHMTCmTm!AR197)</f>
        <v/>
      </c>
      <c r="AS198" s="382"/>
      <c r="AT198" s="381" t="str">
        <f>IF(CHMTCmTm!AT197=0,"",CHMTCmTm!AT197)</f>
        <v/>
      </c>
      <c r="AU198" s="396"/>
      <c r="AV198" s="382"/>
      <c r="AW198" s="381" t="str">
        <f>IF(CHMTCmTm!AW197=0,"",CHMTCmTm!AW197)</f>
        <v/>
      </c>
      <c r="AX198" s="396"/>
      <c r="AY198" s="382"/>
      <c r="AZ198" s="24">
        <f>CHMTCmTm!AZ197</f>
        <v>0</v>
      </c>
      <c r="BC198" s="24">
        <f>COUNTIF(CHMTCmTm!O197, "Outreach Session")</f>
        <v>0</v>
      </c>
      <c r="BD198" s="24">
        <f>COUNTIF(CHMTCmTm!O197, "Mobile Clinic")</f>
        <v>0</v>
      </c>
      <c r="BE198" s="24">
        <f>COUNTIF(CHMTCmTm!O197, "Health Facility")</f>
        <v>0</v>
      </c>
    </row>
    <row r="199" spans="2:57" s="24" customFormat="1" ht="21.95" customHeight="1" x14ac:dyDescent="0.25">
      <c r="B199" s="397" t="str">
        <f>IF(CHMTCmTm!B198=0,"",CHMTCmTm!B198)</f>
        <v/>
      </c>
      <c r="C199" s="398"/>
      <c r="D199" s="399"/>
      <c r="E199" s="216">
        <f t="shared" si="5"/>
        <v>0</v>
      </c>
      <c r="F199" s="397" t="str">
        <f>IF(CHMTCmTm!F198=0,"",CHMTCmTm!F198)</f>
        <v/>
      </c>
      <c r="G199" s="398"/>
      <c r="H199" s="399"/>
      <c r="I199" s="381" t="str">
        <f>IF(CHMTCmTm!I198=0,"",CHMTCmTm!I198)</f>
        <v/>
      </c>
      <c r="J199" s="382"/>
      <c r="K199" s="381" t="str">
        <f>IF(CHMTCmTm!K198=0,"",CHMTCmTm!K198)</f>
        <v/>
      </c>
      <c r="L199" s="382"/>
      <c r="M199" s="381" t="str">
        <f>IF(CHMTCmTm!M198=0,"",CHMTCmTm!M198)</f>
        <v/>
      </c>
      <c r="N199" s="382"/>
      <c r="O199" s="381" t="str">
        <f>IF(CHMTCmTm!O198=0,"",CHMTCmTm!O198)</f>
        <v/>
      </c>
      <c r="P199" s="382"/>
      <c r="Q199" s="215" t="b">
        <f t="shared" si="4"/>
        <v>0</v>
      </c>
      <c r="R199" s="381" t="str">
        <f>IF(CHMTCmTm!R198=0,"",CHMTCmTm!R198)</f>
        <v/>
      </c>
      <c r="S199" s="382"/>
      <c r="T199" s="381" t="str">
        <f>IF(CHMTCmTm!T198=0,"",CHMTCmTm!T198)</f>
        <v/>
      </c>
      <c r="U199" s="382"/>
      <c r="V199" s="381" t="str">
        <f>IF(CHMTCmTm!V198=0,"",CHMTCmTm!V198)</f>
        <v/>
      </c>
      <c r="W199" s="396"/>
      <c r="X199" s="396"/>
      <c r="Y199" s="382"/>
      <c r="Z199" s="215">
        <f>CHMTCmTm!Z198</f>
        <v>0</v>
      </c>
      <c r="AA199" s="381" t="str">
        <f>IF(CHMTCmTm!AA198=0,"",CHMTCmTm!AA198)</f>
        <v/>
      </c>
      <c r="AB199" s="396"/>
      <c r="AC199" s="382"/>
      <c r="AD199" s="215">
        <f>CHMTCmTm!AD198</f>
        <v>0</v>
      </c>
      <c r="AE199" s="381" t="str">
        <f>IF(CHMTCmTm!AE198=0,"",CHMTCmTm!AE198)</f>
        <v/>
      </c>
      <c r="AF199" s="396"/>
      <c r="AG199" s="382"/>
      <c r="AH199" s="215">
        <f>CHMTCmTm!AH198</f>
        <v>0</v>
      </c>
      <c r="AI199" s="381" t="str">
        <f>IF(CHMTCmTm!AI198=0,"",CHMTCmTm!AI198)</f>
        <v/>
      </c>
      <c r="AJ199" s="396"/>
      <c r="AK199" s="382"/>
      <c r="AL199" s="215">
        <f>CHMTCmTm!AL198</f>
        <v>0</v>
      </c>
      <c r="AM199" s="381" t="str">
        <f>IF(CHMTCmTm!AM198=0,"",CHMTCmTm!AM198)</f>
        <v/>
      </c>
      <c r="AN199" s="396"/>
      <c r="AO199" s="382"/>
      <c r="AP199" s="381" t="str">
        <f>IF(CHMTCmTm!AP198=0,"",CHMTCmTm!AP198)</f>
        <v/>
      </c>
      <c r="AQ199" s="382"/>
      <c r="AR199" s="381" t="str">
        <f>IF(CHMTCmTm!AR198=0,"",CHMTCmTm!AR198)</f>
        <v/>
      </c>
      <c r="AS199" s="382"/>
      <c r="AT199" s="381" t="str">
        <f>IF(CHMTCmTm!AT198=0,"",CHMTCmTm!AT198)</f>
        <v/>
      </c>
      <c r="AU199" s="396"/>
      <c r="AV199" s="382"/>
      <c r="AW199" s="381" t="str">
        <f>IF(CHMTCmTm!AW198=0,"",CHMTCmTm!AW198)</f>
        <v/>
      </c>
      <c r="AX199" s="396"/>
      <c r="AY199" s="382"/>
      <c r="AZ199" s="24">
        <f>CHMTCmTm!AZ198</f>
        <v>0</v>
      </c>
      <c r="BC199" s="24">
        <f>COUNTIF(CHMTCmTm!O198, "Outreach Session")</f>
        <v>0</v>
      </c>
      <c r="BD199" s="24">
        <f>COUNTIF(CHMTCmTm!O198, "Mobile Clinic")</f>
        <v>0</v>
      </c>
      <c r="BE199" s="24">
        <f>COUNTIF(CHMTCmTm!O198, "Health Facility")</f>
        <v>0</v>
      </c>
    </row>
    <row r="200" spans="2:57" s="24" customFormat="1" ht="21.95" customHeight="1" x14ac:dyDescent="0.25">
      <c r="B200" s="397" t="str">
        <f>IF(CHMTCmTm!B199=0,"",CHMTCmTm!B199)</f>
        <v/>
      </c>
      <c r="C200" s="398"/>
      <c r="D200" s="399"/>
      <c r="E200" s="216">
        <f t="shared" si="5"/>
        <v>0</v>
      </c>
      <c r="F200" s="397" t="str">
        <f>IF(CHMTCmTm!F199=0,"",CHMTCmTm!F199)</f>
        <v/>
      </c>
      <c r="G200" s="398"/>
      <c r="H200" s="399"/>
      <c r="I200" s="381" t="str">
        <f>IF(CHMTCmTm!I199=0,"",CHMTCmTm!I199)</f>
        <v/>
      </c>
      <c r="J200" s="382"/>
      <c r="K200" s="381" t="str">
        <f>IF(CHMTCmTm!K199=0,"",CHMTCmTm!K199)</f>
        <v/>
      </c>
      <c r="L200" s="382"/>
      <c r="M200" s="381" t="str">
        <f>IF(CHMTCmTm!M199=0,"",CHMTCmTm!M199)</f>
        <v/>
      </c>
      <c r="N200" s="382"/>
      <c r="O200" s="381" t="str">
        <f>IF(CHMTCmTm!O199=0,"",CHMTCmTm!O199)</f>
        <v/>
      </c>
      <c r="P200" s="382"/>
      <c r="Q200" s="215" t="b">
        <f t="shared" si="4"/>
        <v>0</v>
      </c>
      <c r="R200" s="381" t="str">
        <f>IF(CHMTCmTm!R199=0,"",CHMTCmTm!R199)</f>
        <v/>
      </c>
      <c r="S200" s="382"/>
      <c r="T200" s="381" t="str">
        <f>IF(CHMTCmTm!T199=0,"",CHMTCmTm!T199)</f>
        <v/>
      </c>
      <c r="U200" s="382"/>
      <c r="V200" s="381" t="str">
        <f>IF(CHMTCmTm!V199=0,"",CHMTCmTm!V199)</f>
        <v/>
      </c>
      <c r="W200" s="396"/>
      <c r="X200" s="396"/>
      <c r="Y200" s="382"/>
      <c r="Z200" s="215">
        <f>CHMTCmTm!Z199</f>
        <v>0</v>
      </c>
      <c r="AA200" s="381" t="str">
        <f>IF(CHMTCmTm!AA199=0,"",CHMTCmTm!AA199)</f>
        <v/>
      </c>
      <c r="AB200" s="396"/>
      <c r="AC200" s="382"/>
      <c r="AD200" s="215">
        <f>CHMTCmTm!AD199</f>
        <v>0</v>
      </c>
      <c r="AE200" s="381" t="str">
        <f>IF(CHMTCmTm!AE199=0,"",CHMTCmTm!AE199)</f>
        <v/>
      </c>
      <c r="AF200" s="396"/>
      <c r="AG200" s="382"/>
      <c r="AH200" s="215">
        <f>CHMTCmTm!AH199</f>
        <v>0</v>
      </c>
      <c r="AI200" s="381" t="str">
        <f>IF(CHMTCmTm!AI199=0,"",CHMTCmTm!AI199)</f>
        <v/>
      </c>
      <c r="AJ200" s="396"/>
      <c r="AK200" s="382"/>
      <c r="AL200" s="215">
        <f>CHMTCmTm!AL199</f>
        <v>0</v>
      </c>
      <c r="AM200" s="381" t="str">
        <f>IF(CHMTCmTm!AM199=0,"",CHMTCmTm!AM199)</f>
        <v/>
      </c>
      <c r="AN200" s="396"/>
      <c r="AO200" s="382"/>
      <c r="AP200" s="381" t="str">
        <f>IF(CHMTCmTm!AP199=0,"",CHMTCmTm!AP199)</f>
        <v/>
      </c>
      <c r="AQ200" s="382"/>
      <c r="AR200" s="381" t="str">
        <f>IF(CHMTCmTm!AR199=0,"",CHMTCmTm!AR199)</f>
        <v/>
      </c>
      <c r="AS200" s="382"/>
      <c r="AT200" s="381" t="str">
        <f>IF(CHMTCmTm!AT199=0,"",CHMTCmTm!AT199)</f>
        <v/>
      </c>
      <c r="AU200" s="396"/>
      <c r="AV200" s="382"/>
      <c r="AW200" s="381" t="str">
        <f>IF(CHMTCmTm!AW199=0,"",CHMTCmTm!AW199)</f>
        <v/>
      </c>
      <c r="AX200" s="396"/>
      <c r="AY200" s="382"/>
      <c r="AZ200" s="24">
        <f>CHMTCmTm!AZ199</f>
        <v>0</v>
      </c>
      <c r="BC200" s="24">
        <f>COUNTIF(CHMTCmTm!O199, "Outreach Session")</f>
        <v>0</v>
      </c>
      <c r="BD200" s="24">
        <f>COUNTIF(CHMTCmTm!O199, "Mobile Clinic")</f>
        <v>0</v>
      </c>
      <c r="BE200" s="24">
        <f>COUNTIF(CHMTCmTm!O199, "Health Facility")</f>
        <v>0</v>
      </c>
    </row>
    <row r="201" spans="2:57" s="24" customFormat="1" ht="21.95" customHeight="1" x14ac:dyDescent="0.25">
      <c r="B201" s="397" t="str">
        <f>IF(CHMTCmTm!B200=0,"",CHMTCmTm!B200)</f>
        <v/>
      </c>
      <c r="C201" s="398"/>
      <c r="D201" s="399"/>
      <c r="E201" s="216">
        <f t="shared" si="5"/>
        <v>0</v>
      </c>
      <c r="F201" s="397" t="str">
        <f>IF(CHMTCmTm!F200=0,"",CHMTCmTm!F200)</f>
        <v/>
      </c>
      <c r="G201" s="398"/>
      <c r="H201" s="399"/>
      <c r="I201" s="381" t="str">
        <f>IF(CHMTCmTm!I200=0,"",CHMTCmTm!I200)</f>
        <v/>
      </c>
      <c r="J201" s="382"/>
      <c r="K201" s="381" t="str">
        <f>IF(CHMTCmTm!K200=0,"",CHMTCmTm!K200)</f>
        <v/>
      </c>
      <c r="L201" s="382"/>
      <c r="M201" s="381" t="str">
        <f>IF(CHMTCmTm!M200=0,"",CHMTCmTm!M200)</f>
        <v/>
      </c>
      <c r="N201" s="382"/>
      <c r="O201" s="381" t="str">
        <f>IF(CHMTCmTm!O200=0,"",CHMTCmTm!O200)</f>
        <v/>
      </c>
      <c r="P201" s="382"/>
      <c r="Q201" s="215" t="b">
        <f t="shared" si="4"/>
        <v>0</v>
      </c>
      <c r="R201" s="381" t="str">
        <f>IF(CHMTCmTm!R200=0,"",CHMTCmTm!R200)</f>
        <v/>
      </c>
      <c r="S201" s="382"/>
      <c r="T201" s="381" t="str">
        <f>IF(CHMTCmTm!T200=0,"",CHMTCmTm!T200)</f>
        <v/>
      </c>
      <c r="U201" s="382"/>
      <c r="V201" s="381" t="str">
        <f>IF(CHMTCmTm!V200=0,"",CHMTCmTm!V200)</f>
        <v/>
      </c>
      <c r="W201" s="396"/>
      <c r="X201" s="396"/>
      <c r="Y201" s="382"/>
      <c r="Z201" s="215">
        <f>CHMTCmTm!Z200</f>
        <v>0</v>
      </c>
      <c r="AA201" s="381" t="str">
        <f>IF(CHMTCmTm!AA200=0,"",CHMTCmTm!AA200)</f>
        <v/>
      </c>
      <c r="AB201" s="396"/>
      <c r="AC201" s="382"/>
      <c r="AD201" s="215">
        <f>CHMTCmTm!AD200</f>
        <v>0</v>
      </c>
      <c r="AE201" s="381" t="str">
        <f>IF(CHMTCmTm!AE200=0,"",CHMTCmTm!AE200)</f>
        <v/>
      </c>
      <c r="AF201" s="396"/>
      <c r="AG201" s="382"/>
      <c r="AH201" s="215">
        <f>CHMTCmTm!AH200</f>
        <v>0</v>
      </c>
      <c r="AI201" s="381" t="str">
        <f>IF(CHMTCmTm!AI200=0,"",CHMTCmTm!AI200)</f>
        <v/>
      </c>
      <c r="AJ201" s="396"/>
      <c r="AK201" s="382"/>
      <c r="AL201" s="215">
        <f>CHMTCmTm!AL200</f>
        <v>0</v>
      </c>
      <c r="AM201" s="381" t="str">
        <f>IF(CHMTCmTm!AM200=0,"",CHMTCmTm!AM200)</f>
        <v/>
      </c>
      <c r="AN201" s="396"/>
      <c r="AO201" s="382"/>
      <c r="AP201" s="381" t="str">
        <f>IF(CHMTCmTm!AP200=0,"",CHMTCmTm!AP200)</f>
        <v/>
      </c>
      <c r="AQ201" s="382"/>
      <c r="AR201" s="381" t="str">
        <f>IF(CHMTCmTm!AR200=0,"",CHMTCmTm!AR200)</f>
        <v/>
      </c>
      <c r="AS201" s="382"/>
      <c r="AT201" s="381" t="str">
        <f>IF(CHMTCmTm!AT200=0,"",CHMTCmTm!AT200)</f>
        <v/>
      </c>
      <c r="AU201" s="396"/>
      <c r="AV201" s="382"/>
      <c r="AW201" s="381" t="str">
        <f>IF(CHMTCmTm!AW200=0,"",CHMTCmTm!AW200)</f>
        <v/>
      </c>
      <c r="AX201" s="396"/>
      <c r="AY201" s="382"/>
      <c r="AZ201" s="24">
        <f>CHMTCmTm!AZ200</f>
        <v>0</v>
      </c>
      <c r="BC201" s="24">
        <f>COUNTIF(CHMTCmTm!O200, "Outreach Session")</f>
        <v>0</v>
      </c>
      <c r="BD201" s="24">
        <f>COUNTIF(CHMTCmTm!O200, "Mobile Clinic")</f>
        <v>0</v>
      </c>
      <c r="BE201" s="24">
        <f>COUNTIF(CHMTCmTm!O200, "Health Facility")</f>
        <v>0</v>
      </c>
    </row>
    <row r="202" spans="2:57" s="24" customFormat="1" ht="21.95" customHeight="1" x14ac:dyDescent="0.25">
      <c r="B202" s="397" t="str">
        <f>IF(CHMTCmTm!B201=0,"",CHMTCmTm!B201)</f>
        <v/>
      </c>
      <c r="C202" s="398"/>
      <c r="D202" s="399"/>
      <c r="E202" s="216">
        <f t="shared" si="5"/>
        <v>0</v>
      </c>
      <c r="F202" s="397" t="str">
        <f>IF(CHMTCmTm!F201=0,"",CHMTCmTm!F201)</f>
        <v/>
      </c>
      <c r="G202" s="398"/>
      <c r="H202" s="399"/>
      <c r="I202" s="381" t="str">
        <f>IF(CHMTCmTm!I201=0,"",CHMTCmTm!I201)</f>
        <v/>
      </c>
      <c r="J202" s="382"/>
      <c r="K202" s="381" t="str">
        <f>IF(CHMTCmTm!K201=0,"",CHMTCmTm!K201)</f>
        <v/>
      </c>
      <c r="L202" s="382"/>
      <c r="M202" s="381" t="str">
        <f>IF(CHMTCmTm!M201=0,"",CHMTCmTm!M201)</f>
        <v/>
      </c>
      <c r="N202" s="382"/>
      <c r="O202" s="381" t="str">
        <f>IF(CHMTCmTm!O201=0,"",CHMTCmTm!O201)</f>
        <v/>
      </c>
      <c r="P202" s="382"/>
      <c r="Q202" s="215" t="b">
        <f t="shared" ref="Q202:Q265" si="6">IF(O202="Health Facility",3,IF(O202="Outreach Session",1,IF(O202="Mobile Clinic",2)))</f>
        <v>0</v>
      </c>
      <c r="R202" s="381" t="str">
        <f>IF(CHMTCmTm!R201=0,"",CHMTCmTm!R201)</f>
        <v/>
      </c>
      <c r="S202" s="382"/>
      <c r="T202" s="381" t="str">
        <f>IF(CHMTCmTm!T201=0,"",CHMTCmTm!T201)</f>
        <v/>
      </c>
      <c r="U202" s="382"/>
      <c r="V202" s="381" t="str">
        <f>IF(CHMTCmTm!V201=0,"",CHMTCmTm!V201)</f>
        <v/>
      </c>
      <c r="W202" s="396"/>
      <c r="X202" s="396"/>
      <c r="Y202" s="382"/>
      <c r="Z202" s="215">
        <f>CHMTCmTm!Z201</f>
        <v>0</v>
      </c>
      <c r="AA202" s="381" t="str">
        <f>IF(CHMTCmTm!AA201=0,"",CHMTCmTm!AA201)</f>
        <v/>
      </c>
      <c r="AB202" s="396"/>
      <c r="AC202" s="382"/>
      <c r="AD202" s="215">
        <f>CHMTCmTm!AD201</f>
        <v>0</v>
      </c>
      <c r="AE202" s="381" t="str">
        <f>IF(CHMTCmTm!AE201=0,"",CHMTCmTm!AE201)</f>
        <v/>
      </c>
      <c r="AF202" s="396"/>
      <c r="AG202" s="382"/>
      <c r="AH202" s="215">
        <f>CHMTCmTm!AH201</f>
        <v>0</v>
      </c>
      <c r="AI202" s="381" t="str">
        <f>IF(CHMTCmTm!AI201=0,"",CHMTCmTm!AI201)</f>
        <v/>
      </c>
      <c r="AJ202" s="396"/>
      <c r="AK202" s="382"/>
      <c r="AL202" s="215">
        <f>CHMTCmTm!AL201</f>
        <v>0</v>
      </c>
      <c r="AM202" s="381" t="str">
        <f>IF(CHMTCmTm!AM201=0,"",CHMTCmTm!AM201)</f>
        <v/>
      </c>
      <c r="AN202" s="396"/>
      <c r="AO202" s="382"/>
      <c r="AP202" s="381" t="str">
        <f>IF(CHMTCmTm!AP201=0,"",CHMTCmTm!AP201)</f>
        <v/>
      </c>
      <c r="AQ202" s="382"/>
      <c r="AR202" s="381" t="str">
        <f>IF(CHMTCmTm!AR201=0,"",CHMTCmTm!AR201)</f>
        <v/>
      </c>
      <c r="AS202" s="382"/>
      <c r="AT202" s="381" t="str">
        <f>IF(CHMTCmTm!AT201=0,"",CHMTCmTm!AT201)</f>
        <v/>
      </c>
      <c r="AU202" s="396"/>
      <c r="AV202" s="382"/>
      <c r="AW202" s="381" t="str">
        <f>IF(CHMTCmTm!AW201=0,"",CHMTCmTm!AW201)</f>
        <v/>
      </c>
      <c r="AX202" s="396"/>
      <c r="AY202" s="382"/>
      <c r="AZ202" s="24">
        <f>CHMTCmTm!AZ201</f>
        <v>0</v>
      </c>
      <c r="BC202" s="24">
        <f>COUNTIF(CHMTCmTm!O201, "Outreach Session")</f>
        <v>0</v>
      </c>
      <c r="BD202" s="24">
        <f>COUNTIF(CHMTCmTm!O201, "Mobile Clinic")</f>
        <v>0</v>
      </c>
      <c r="BE202" s="24">
        <f>COUNTIF(CHMTCmTm!O201, "Health Facility")</f>
        <v>0</v>
      </c>
    </row>
    <row r="203" spans="2:57" s="24" customFormat="1" ht="21.95" customHeight="1" x14ac:dyDescent="0.25">
      <c r="B203" s="397" t="str">
        <f>IF(CHMTCmTm!B202=0,"",CHMTCmTm!B202)</f>
        <v/>
      </c>
      <c r="C203" s="398"/>
      <c r="D203" s="399"/>
      <c r="E203" s="216">
        <f t="shared" ref="E203:E265" si="7">IF(F203="",0,1)</f>
        <v>0</v>
      </c>
      <c r="F203" s="397" t="str">
        <f>IF(CHMTCmTm!F202=0,"",CHMTCmTm!F202)</f>
        <v/>
      </c>
      <c r="G203" s="398"/>
      <c r="H203" s="399"/>
      <c r="I203" s="381" t="str">
        <f>IF(CHMTCmTm!I202=0,"",CHMTCmTm!I202)</f>
        <v/>
      </c>
      <c r="J203" s="382"/>
      <c r="K203" s="381" t="str">
        <f>IF(CHMTCmTm!K202=0,"",CHMTCmTm!K202)</f>
        <v/>
      </c>
      <c r="L203" s="382"/>
      <c r="M203" s="381" t="str">
        <f>IF(CHMTCmTm!M202=0,"",CHMTCmTm!M202)</f>
        <v/>
      </c>
      <c r="N203" s="382"/>
      <c r="O203" s="381" t="str">
        <f>IF(CHMTCmTm!O202=0,"",CHMTCmTm!O202)</f>
        <v/>
      </c>
      <c r="P203" s="382"/>
      <c r="Q203" s="215" t="b">
        <f t="shared" si="6"/>
        <v>0</v>
      </c>
      <c r="R203" s="381" t="str">
        <f>IF(CHMTCmTm!R202=0,"",CHMTCmTm!R202)</f>
        <v/>
      </c>
      <c r="S203" s="382"/>
      <c r="T203" s="381" t="str">
        <f>IF(CHMTCmTm!T202=0,"",CHMTCmTm!T202)</f>
        <v/>
      </c>
      <c r="U203" s="382"/>
      <c r="V203" s="381" t="str">
        <f>IF(CHMTCmTm!V202=0,"",CHMTCmTm!V202)</f>
        <v/>
      </c>
      <c r="W203" s="396"/>
      <c r="X203" s="396"/>
      <c r="Y203" s="382"/>
      <c r="Z203" s="215">
        <f>CHMTCmTm!Z202</f>
        <v>0</v>
      </c>
      <c r="AA203" s="381" t="str">
        <f>IF(CHMTCmTm!AA202=0,"",CHMTCmTm!AA202)</f>
        <v/>
      </c>
      <c r="AB203" s="396"/>
      <c r="AC203" s="382"/>
      <c r="AD203" s="215">
        <f>CHMTCmTm!AD202</f>
        <v>0</v>
      </c>
      <c r="AE203" s="381" t="str">
        <f>IF(CHMTCmTm!AE202=0,"",CHMTCmTm!AE202)</f>
        <v/>
      </c>
      <c r="AF203" s="396"/>
      <c r="AG203" s="382"/>
      <c r="AH203" s="215">
        <f>CHMTCmTm!AH202</f>
        <v>0</v>
      </c>
      <c r="AI203" s="381" t="str">
        <f>IF(CHMTCmTm!AI202=0,"",CHMTCmTm!AI202)</f>
        <v/>
      </c>
      <c r="AJ203" s="396"/>
      <c r="AK203" s="382"/>
      <c r="AL203" s="215">
        <f>CHMTCmTm!AL202</f>
        <v>0</v>
      </c>
      <c r="AM203" s="381" t="str">
        <f>IF(CHMTCmTm!AM202=0,"",CHMTCmTm!AM202)</f>
        <v/>
      </c>
      <c r="AN203" s="396"/>
      <c r="AO203" s="382"/>
      <c r="AP203" s="381" t="str">
        <f>IF(CHMTCmTm!AP202=0,"",CHMTCmTm!AP202)</f>
        <v/>
      </c>
      <c r="AQ203" s="382"/>
      <c r="AR203" s="381" t="str">
        <f>IF(CHMTCmTm!AR202=0,"",CHMTCmTm!AR202)</f>
        <v/>
      </c>
      <c r="AS203" s="382"/>
      <c r="AT203" s="381" t="str">
        <f>IF(CHMTCmTm!AT202=0,"",CHMTCmTm!AT202)</f>
        <v/>
      </c>
      <c r="AU203" s="396"/>
      <c r="AV203" s="382"/>
      <c r="AW203" s="381" t="str">
        <f>IF(CHMTCmTm!AW202=0,"",CHMTCmTm!AW202)</f>
        <v/>
      </c>
      <c r="AX203" s="396"/>
      <c r="AY203" s="382"/>
      <c r="AZ203" s="24">
        <f>CHMTCmTm!AZ202</f>
        <v>0</v>
      </c>
      <c r="BC203" s="24">
        <f>COUNTIF(CHMTCmTm!O202, "Outreach Session")</f>
        <v>0</v>
      </c>
      <c r="BD203" s="24">
        <f>COUNTIF(CHMTCmTm!O202, "Mobile Clinic")</f>
        <v>0</v>
      </c>
      <c r="BE203" s="24">
        <f>COUNTIF(CHMTCmTm!O202, "Health Facility")</f>
        <v>0</v>
      </c>
    </row>
    <row r="204" spans="2:57" s="24" customFormat="1" ht="21.95" customHeight="1" x14ac:dyDescent="0.25">
      <c r="B204" s="397" t="str">
        <f>IF(CHMTCmTm!B203=0,"",CHMTCmTm!B203)</f>
        <v/>
      </c>
      <c r="C204" s="398"/>
      <c r="D204" s="399"/>
      <c r="E204" s="216">
        <f t="shared" si="7"/>
        <v>0</v>
      </c>
      <c r="F204" s="397" t="str">
        <f>IF(CHMTCmTm!F203=0,"",CHMTCmTm!F203)</f>
        <v/>
      </c>
      <c r="G204" s="398"/>
      <c r="H204" s="399"/>
      <c r="I204" s="381" t="str">
        <f>IF(CHMTCmTm!I203=0,"",CHMTCmTm!I203)</f>
        <v/>
      </c>
      <c r="J204" s="382"/>
      <c r="K204" s="381" t="str">
        <f>IF(CHMTCmTm!K203=0,"",CHMTCmTm!K203)</f>
        <v/>
      </c>
      <c r="L204" s="382"/>
      <c r="M204" s="381" t="str">
        <f>IF(CHMTCmTm!M203=0,"",CHMTCmTm!M203)</f>
        <v/>
      </c>
      <c r="N204" s="382"/>
      <c r="O204" s="381" t="str">
        <f>IF(CHMTCmTm!O203=0,"",CHMTCmTm!O203)</f>
        <v/>
      </c>
      <c r="P204" s="382"/>
      <c r="Q204" s="215" t="b">
        <f t="shared" si="6"/>
        <v>0</v>
      </c>
      <c r="R204" s="381" t="str">
        <f>IF(CHMTCmTm!R203=0,"",CHMTCmTm!R203)</f>
        <v/>
      </c>
      <c r="S204" s="382"/>
      <c r="T204" s="381" t="str">
        <f>IF(CHMTCmTm!T203=0,"",CHMTCmTm!T203)</f>
        <v/>
      </c>
      <c r="U204" s="382"/>
      <c r="V204" s="381" t="str">
        <f>IF(CHMTCmTm!V203=0,"",CHMTCmTm!V203)</f>
        <v/>
      </c>
      <c r="W204" s="396"/>
      <c r="X204" s="396"/>
      <c r="Y204" s="382"/>
      <c r="Z204" s="215">
        <f>CHMTCmTm!Z203</f>
        <v>0</v>
      </c>
      <c r="AA204" s="381" t="str">
        <f>IF(CHMTCmTm!AA203=0,"",CHMTCmTm!AA203)</f>
        <v/>
      </c>
      <c r="AB204" s="396"/>
      <c r="AC204" s="382"/>
      <c r="AD204" s="215">
        <f>CHMTCmTm!AD203</f>
        <v>0</v>
      </c>
      <c r="AE204" s="381" t="str">
        <f>IF(CHMTCmTm!AE203=0,"",CHMTCmTm!AE203)</f>
        <v/>
      </c>
      <c r="AF204" s="396"/>
      <c r="AG204" s="382"/>
      <c r="AH204" s="215">
        <f>CHMTCmTm!AH203</f>
        <v>0</v>
      </c>
      <c r="AI204" s="381" t="str">
        <f>IF(CHMTCmTm!AI203=0,"",CHMTCmTm!AI203)</f>
        <v/>
      </c>
      <c r="AJ204" s="396"/>
      <c r="AK204" s="382"/>
      <c r="AL204" s="215">
        <f>CHMTCmTm!AL203</f>
        <v>0</v>
      </c>
      <c r="AM204" s="381" t="str">
        <f>IF(CHMTCmTm!AM203=0,"",CHMTCmTm!AM203)</f>
        <v/>
      </c>
      <c r="AN204" s="396"/>
      <c r="AO204" s="382"/>
      <c r="AP204" s="381" t="str">
        <f>IF(CHMTCmTm!AP203=0,"",CHMTCmTm!AP203)</f>
        <v/>
      </c>
      <c r="AQ204" s="382"/>
      <c r="AR204" s="381" t="str">
        <f>IF(CHMTCmTm!AR203=0,"",CHMTCmTm!AR203)</f>
        <v/>
      </c>
      <c r="AS204" s="382"/>
      <c r="AT204" s="381" t="str">
        <f>IF(CHMTCmTm!AT203=0,"",CHMTCmTm!AT203)</f>
        <v/>
      </c>
      <c r="AU204" s="396"/>
      <c r="AV204" s="382"/>
      <c r="AW204" s="381" t="str">
        <f>IF(CHMTCmTm!AW203=0,"",CHMTCmTm!AW203)</f>
        <v/>
      </c>
      <c r="AX204" s="396"/>
      <c r="AY204" s="382"/>
      <c r="AZ204" s="24">
        <f>CHMTCmTm!AZ203</f>
        <v>0</v>
      </c>
      <c r="BC204" s="24">
        <f>COUNTIF(CHMTCmTm!O203, "Outreach Session")</f>
        <v>0</v>
      </c>
      <c r="BD204" s="24">
        <f>COUNTIF(CHMTCmTm!O203, "Mobile Clinic")</f>
        <v>0</v>
      </c>
      <c r="BE204" s="24">
        <f>COUNTIF(CHMTCmTm!O203, "Health Facility")</f>
        <v>0</v>
      </c>
    </row>
    <row r="205" spans="2:57" s="24" customFormat="1" ht="21.95" customHeight="1" x14ac:dyDescent="0.25">
      <c r="B205" s="397" t="str">
        <f>IF(CHMTCmTm!B204=0,"",CHMTCmTm!B204)</f>
        <v/>
      </c>
      <c r="C205" s="398"/>
      <c r="D205" s="399"/>
      <c r="E205" s="216">
        <f t="shared" si="7"/>
        <v>0</v>
      </c>
      <c r="F205" s="397" t="str">
        <f>IF(CHMTCmTm!F204=0,"",CHMTCmTm!F204)</f>
        <v/>
      </c>
      <c r="G205" s="398"/>
      <c r="H205" s="399"/>
      <c r="I205" s="381" t="str">
        <f>IF(CHMTCmTm!I204=0,"",CHMTCmTm!I204)</f>
        <v/>
      </c>
      <c r="J205" s="382"/>
      <c r="K205" s="381" t="str">
        <f>IF(CHMTCmTm!K204=0,"",CHMTCmTm!K204)</f>
        <v/>
      </c>
      <c r="L205" s="382"/>
      <c r="M205" s="381" t="str">
        <f>IF(CHMTCmTm!M204=0,"",CHMTCmTm!M204)</f>
        <v/>
      </c>
      <c r="N205" s="382"/>
      <c r="O205" s="381" t="str">
        <f>IF(CHMTCmTm!O204=0,"",CHMTCmTm!O204)</f>
        <v/>
      </c>
      <c r="P205" s="382"/>
      <c r="Q205" s="215" t="b">
        <f t="shared" si="6"/>
        <v>0</v>
      </c>
      <c r="R205" s="381" t="str">
        <f>IF(CHMTCmTm!R204=0,"",CHMTCmTm!R204)</f>
        <v/>
      </c>
      <c r="S205" s="382"/>
      <c r="T205" s="381" t="str">
        <f>IF(CHMTCmTm!T204=0,"",CHMTCmTm!T204)</f>
        <v/>
      </c>
      <c r="U205" s="382"/>
      <c r="V205" s="381" t="str">
        <f>IF(CHMTCmTm!V204=0,"",CHMTCmTm!V204)</f>
        <v/>
      </c>
      <c r="W205" s="396"/>
      <c r="X205" s="396"/>
      <c r="Y205" s="382"/>
      <c r="Z205" s="215">
        <f>CHMTCmTm!Z204</f>
        <v>0</v>
      </c>
      <c r="AA205" s="381" t="str">
        <f>IF(CHMTCmTm!AA204=0,"",CHMTCmTm!AA204)</f>
        <v/>
      </c>
      <c r="AB205" s="396"/>
      <c r="AC205" s="382"/>
      <c r="AD205" s="215">
        <f>CHMTCmTm!AD204</f>
        <v>0</v>
      </c>
      <c r="AE205" s="381" t="str">
        <f>IF(CHMTCmTm!AE204=0,"",CHMTCmTm!AE204)</f>
        <v/>
      </c>
      <c r="AF205" s="396"/>
      <c r="AG205" s="382"/>
      <c r="AH205" s="215">
        <f>CHMTCmTm!AH204</f>
        <v>0</v>
      </c>
      <c r="AI205" s="381" t="str">
        <f>IF(CHMTCmTm!AI204=0,"",CHMTCmTm!AI204)</f>
        <v/>
      </c>
      <c r="AJ205" s="396"/>
      <c r="AK205" s="382"/>
      <c r="AL205" s="215">
        <f>CHMTCmTm!AL204</f>
        <v>0</v>
      </c>
      <c r="AM205" s="381" t="str">
        <f>IF(CHMTCmTm!AM204=0,"",CHMTCmTm!AM204)</f>
        <v/>
      </c>
      <c r="AN205" s="396"/>
      <c r="AO205" s="382"/>
      <c r="AP205" s="381" t="str">
        <f>IF(CHMTCmTm!AP204=0,"",CHMTCmTm!AP204)</f>
        <v/>
      </c>
      <c r="AQ205" s="382"/>
      <c r="AR205" s="381" t="str">
        <f>IF(CHMTCmTm!AR204=0,"",CHMTCmTm!AR204)</f>
        <v/>
      </c>
      <c r="AS205" s="382"/>
      <c r="AT205" s="381" t="str">
        <f>IF(CHMTCmTm!AT204=0,"",CHMTCmTm!AT204)</f>
        <v/>
      </c>
      <c r="AU205" s="396"/>
      <c r="AV205" s="382"/>
      <c r="AW205" s="381" t="str">
        <f>IF(CHMTCmTm!AW204=0,"",CHMTCmTm!AW204)</f>
        <v/>
      </c>
      <c r="AX205" s="396"/>
      <c r="AY205" s="382"/>
      <c r="AZ205" s="24">
        <f>CHMTCmTm!AZ204</f>
        <v>0</v>
      </c>
      <c r="BC205" s="24">
        <f>COUNTIF(CHMTCmTm!O204, "Outreach Session")</f>
        <v>0</v>
      </c>
      <c r="BD205" s="24">
        <f>COUNTIF(CHMTCmTm!O204, "Mobile Clinic")</f>
        <v>0</v>
      </c>
      <c r="BE205" s="24">
        <f>COUNTIF(CHMTCmTm!O204, "Health Facility")</f>
        <v>0</v>
      </c>
    </row>
    <row r="206" spans="2:57" s="24" customFormat="1" ht="21.95" customHeight="1" x14ac:dyDescent="0.25">
      <c r="B206" s="397" t="str">
        <f>IF(CHMTCmTm!B205=0,"",CHMTCmTm!B205)</f>
        <v/>
      </c>
      <c r="C206" s="398"/>
      <c r="D206" s="399"/>
      <c r="E206" s="216">
        <f t="shared" si="7"/>
        <v>0</v>
      </c>
      <c r="F206" s="397" t="str">
        <f>IF(CHMTCmTm!F205=0,"",CHMTCmTm!F205)</f>
        <v/>
      </c>
      <c r="G206" s="398"/>
      <c r="H206" s="399"/>
      <c r="I206" s="381" t="str">
        <f>IF(CHMTCmTm!I205=0,"",CHMTCmTm!I205)</f>
        <v/>
      </c>
      <c r="J206" s="382"/>
      <c r="K206" s="381" t="str">
        <f>IF(CHMTCmTm!K205=0,"",CHMTCmTm!K205)</f>
        <v/>
      </c>
      <c r="L206" s="382"/>
      <c r="M206" s="381" t="str">
        <f>IF(CHMTCmTm!M205=0,"",CHMTCmTm!M205)</f>
        <v/>
      </c>
      <c r="N206" s="382"/>
      <c r="O206" s="381" t="str">
        <f>IF(CHMTCmTm!O205=0,"",CHMTCmTm!O205)</f>
        <v/>
      </c>
      <c r="P206" s="382"/>
      <c r="Q206" s="215" t="b">
        <f t="shared" si="6"/>
        <v>0</v>
      </c>
      <c r="R206" s="381" t="str">
        <f>IF(CHMTCmTm!R205=0,"",CHMTCmTm!R205)</f>
        <v/>
      </c>
      <c r="S206" s="382"/>
      <c r="T206" s="381" t="str">
        <f>IF(CHMTCmTm!T205=0,"",CHMTCmTm!T205)</f>
        <v/>
      </c>
      <c r="U206" s="382"/>
      <c r="V206" s="381" t="str">
        <f>IF(CHMTCmTm!V205=0,"",CHMTCmTm!V205)</f>
        <v/>
      </c>
      <c r="W206" s="396"/>
      <c r="X206" s="396"/>
      <c r="Y206" s="382"/>
      <c r="Z206" s="215">
        <f>CHMTCmTm!Z205</f>
        <v>0</v>
      </c>
      <c r="AA206" s="381" t="str">
        <f>IF(CHMTCmTm!AA205=0,"",CHMTCmTm!AA205)</f>
        <v/>
      </c>
      <c r="AB206" s="396"/>
      <c r="AC206" s="382"/>
      <c r="AD206" s="215">
        <f>CHMTCmTm!AD205</f>
        <v>0</v>
      </c>
      <c r="AE206" s="381" t="str">
        <f>IF(CHMTCmTm!AE205=0,"",CHMTCmTm!AE205)</f>
        <v/>
      </c>
      <c r="AF206" s="396"/>
      <c r="AG206" s="382"/>
      <c r="AH206" s="215">
        <f>CHMTCmTm!AH205</f>
        <v>0</v>
      </c>
      <c r="AI206" s="381" t="str">
        <f>IF(CHMTCmTm!AI205=0,"",CHMTCmTm!AI205)</f>
        <v/>
      </c>
      <c r="AJ206" s="396"/>
      <c r="AK206" s="382"/>
      <c r="AL206" s="215">
        <f>CHMTCmTm!AL205</f>
        <v>0</v>
      </c>
      <c r="AM206" s="381" t="str">
        <f>IF(CHMTCmTm!AM205=0,"",CHMTCmTm!AM205)</f>
        <v/>
      </c>
      <c r="AN206" s="396"/>
      <c r="AO206" s="382"/>
      <c r="AP206" s="381" t="str">
        <f>IF(CHMTCmTm!AP205=0,"",CHMTCmTm!AP205)</f>
        <v/>
      </c>
      <c r="AQ206" s="382"/>
      <c r="AR206" s="381" t="str">
        <f>IF(CHMTCmTm!AR205=0,"",CHMTCmTm!AR205)</f>
        <v/>
      </c>
      <c r="AS206" s="382"/>
      <c r="AT206" s="381" t="str">
        <f>IF(CHMTCmTm!AT205=0,"",CHMTCmTm!AT205)</f>
        <v/>
      </c>
      <c r="AU206" s="396"/>
      <c r="AV206" s="382"/>
      <c r="AW206" s="381" t="str">
        <f>IF(CHMTCmTm!AW205=0,"",CHMTCmTm!AW205)</f>
        <v/>
      </c>
      <c r="AX206" s="396"/>
      <c r="AY206" s="382"/>
      <c r="AZ206" s="24">
        <f>CHMTCmTm!AZ205</f>
        <v>0</v>
      </c>
      <c r="BC206" s="24">
        <f>COUNTIF(CHMTCmTm!O205, "Outreach Session")</f>
        <v>0</v>
      </c>
      <c r="BD206" s="24">
        <f>COUNTIF(CHMTCmTm!O205, "Mobile Clinic")</f>
        <v>0</v>
      </c>
      <c r="BE206" s="24">
        <f>COUNTIF(CHMTCmTm!O205, "Health Facility")</f>
        <v>0</v>
      </c>
    </row>
    <row r="207" spans="2:57" s="24" customFormat="1" ht="21.95" customHeight="1" x14ac:dyDescent="0.25">
      <c r="B207" s="397" t="str">
        <f>IF(CHMTCmTm!B206=0,"",CHMTCmTm!B206)</f>
        <v/>
      </c>
      <c r="C207" s="398"/>
      <c r="D207" s="399"/>
      <c r="E207" s="216">
        <f t="shared" si="7"/>
        <v>0</v>
      </c>
      <c r="F207" s="397" t="str">
        <f>IF(CHMTCmTm!F206=0,"",CHMTCmTm!F206)</f>
        <v/>
      </c>
      <c r="G207" s="398"/>
      <c r="H207" s="399"/>
      <c r="I207" s="381" t="str">
        <f>IF(CHMTCmTm!I206=0,"",CHMTCmTm!I206)</f>
        <v/>
      </c>
      <c r="J207" s="382"/>
      <c r="K207" s="381" t="str">
        <f>IF(CHMTCmTm!K206=0,"",CHMTCmTm!K206)</f>
        <v/>
      </c>
      <c r="L207" s="382"/>
      <c r="M207" s="381" t="str">
        <f>IF(CHMTCmTm!M206=0,"",CHMTCmTm!M206)</f>
        <v/>
      </c>
      <c r="N207" s="382"/>
      <c r="O207" s="381" t="str">
        <f>IF(CHMTCmTm!O206=0,"",CHMTCmTm!O206)</f>
        <v/>
      </c>
      <c r="P207" s="382"/>
      <c r="Q207" s="215" t="b">
        <f t="shared" si="6"/>
        <v>0</v>
      </c>
      <c r="R207" s="381" t="str">
        <f>IF(CHMTCmTm!R206=0,"",CHMTCmTm!R206)</f>
        <v/>
      </c>
      <c r="S207" s="382"/>
      <c r="T207" s="381" t="str">
        <f>IF(CHMTCmTm!T206=0,"",CHMTCmTm!T206)</f>
        <v/>
      </c>
      <c r="U207" s="382"/>
      <c r="V207" s="381" t="str">
        <f>IF(CHMTCmTm!V206=0,"",CHMTCmTm!V206)</f>
        <v/>
      </c>
      <c r="W207" s="396"/>
      <c r="X207" s="396"/>
      <c r="Y207" s="382"/>
      <c r="Z207" s="215">
        <f>CHMTCmTm!Z206</f>
        <v>0</v>
      </c>
      <c r="AA207" s="381" t="str">
        <f>IF(CHMTCmTm!AA206=0,"",CHMTCmTm!AA206)</f>
        <v/>
      </c>
      <c r="AB207" s="396"/>
      <c r="AC207" s="382"/>
      <c r="AD207" s="215">
        <f>CHMTCmTm!AD206</f>
        <v>0</v>
      </c>
      <c r="AE207" s="381" t="str">
        <f>IF(CHMTCmTm!AE206=0,"",CHMTCmTm!AE206)</f>
        <v/>
      </c>
      <c r="AF207" s="396"/>
      <c r="AG207" s="382"/>
      <c r="AH207" s="215">
        <f>CHMTCmTm!AH206</f>
        <v>0</v>
      </c>
      <c r="AI207" s="381" t="str">
        <f>IF(CHMTCmTm!AI206=0,"",CHMTCmTm!AI206)</f>
        <v/>
      </c>
      <c r="AJ207" s="396"/>
      <c r="AK207" s="382"/>
      <c r="AL207" s="215">
        <f>CHMTCmTm!AL206</f>
        <v>0</v>
      </c>
      <c r="AM207" s="381" t="str">
        <f>IF(CHMTCmTm!AM206=0,"",CHMTCmTm!AM206)</f>
        <v/>
      </c>
      <c r="AN207" s="396"/>
      <c r="AO207" s="382"/>
      <c r="AP207" s="381" t="str">
        <f>IF(CHMTCmTm!AP206=0,"",CHMTCmTm!AP206)</f>
        <v/>
      </c>
      <c r="AQ207" s="382"/>
      <c r="AR207" s="381" t="str">
        <f>IF(CHMTCmTm!AR206=0,"",CHMTCmTm!AR206)</f>
        <v/>
      </c>
      <c r="AS207" s="382"/>
      <c r="AT207" s="381" t="str">
        <f>IF(CHMTCmTm!AT206=0,"",CHMTCmTm!AT206)</f>
        <v/>
      </c>
      <c r="AU207" s="396"/>
      <c r="AV207" s="382"/>
      <c r="AW207" s="381" t="str">
        <f>IF(CHMTCmTm!AW206=0,"",CHMTCmTm!AW206)</f>
        <v/>
      </c>
      <c r="AX207" s="396"/>
      <c r="AY207" s="382"/>
      <c r="AZ207" s="24">
        <f>CHMTCmTm!AZ206</f>
        <v>0</v>
      </c>
      <c r="BC207" s="24">
        <f>COUNTIF(CHMTCmTm!O206, "Outreach Session")</f>
        <v>0</v>
      </c>
      <c r="BD207" s="24">
        <f>COUNTIF(CHMTCmTm!O206, "Mobile Clinic")</f>
        <v>0</v>
      </c>
      <c r="BE207" s="24">
        <f>COUNTIF(CHMTCmTm!O206, "Health Facility")</f>
        <v>0</v>
      </c>
    </row>
    <row r="208" spans="2:57" s="24" customFormat="1" ht="21.95" customHeight="1" x14ac:dyDescent="0.25">
      <c r="B208" s="397" t="str">
        <f>IF(CHMTCmTm!B207=0,"",CHMTCmTm!B207)</f>
        <v/>
      </c>
      <c r="C208" s="398"/>
      <c r="D208" s="399"/>
      <c r="E208" s="216">
        <f t="shared" si="7"/>
        <v>0</v>
      </c>
      <c r="F208" s="397" t="str">
        <f>IF(CHMTCmTm!F207=0,"",CHMTCmTm!F207)</f>
        <v/>
      </c>
      <c r="G208" s="398"/>
      <c r="H208" s="399"/>
      <c r="I208" s="381" t="str">
        <f>IF(CHMTCmTm!I207=0,"",CHMTCmTm!I207)</f>
        <v/>
      </c>
      <c r="J208" s="382"/>
      <c r="K208" s="381" t="str">
        <f>IF(CHMTCmTm!K207=0,"",CHMTCmTm!K207)</f>
        <v/>
      </c>
      <c r="L208" s="382"/>
      <c r="M208" s="381" t="str">
        <f>IF(CHMTCmTm!M207=0,"",CHMTCmTm!M207)</f>
        <v/>
      </c>
      <c r="N208" s="382"/>
      <c r="O208" s="381" t="str">
        <f>IF(CHMTCmTm!O207=0,"",CHMTCmTm!O207)</f>
        <v/>
      </c>
      <c r="P208" s="382"/>
      <c r="Q208" s="215" t="b">
        <f t="shared" si="6"/>
        <v>0</v>
      </c>
      <c r="R208" s="381" t="str">
        <f>IF(CHMTCmTm!R207=0,"",CHMTCmTm!R207)</f>
        <v/>
      </c>
      <c r="S208" s="382"/>
      <c r="T208" s="381" t="str">
        <f>IF(CHMTCmTm!T207=0,"",CHMTCmTm!T207)</f>
        <v/>
      </c>
      <c r="U208" s="382"/>
      <c r="V208" s="381" t="str">
        <f>IF(CHMTCmTm!V207=0,"",CHMTCmTm!V207)</f>
        <v/>
      </c>
      <c r="W208" s="396"/>
      <c r="X208" s="396"/>
      <c r="Y208" s="382"/>
      <c r="Z208" s="215">
        <f>CHMTCmTm!Z207</f>
        <v>0</v>
      </c>
      <c r="AA208" s="381" t="str">
        <f>IF(CHMTCmTm!AA207=0,"",CHMTCmTm!AA207)</f>
        <v/>
      </c>
      <c r="AB208" s="396"/>
      <c r="AC208" s="382"/>
      <c r="AD208" s="215">
        <f>CHMTCmTm!AD207</f>
        <v>0</v>
      </c>
      <c r="AE208" s="381" t="str">
        <f>IF(CHMTCmTm!AE207=0,"",CHMTCmTm!AE207)</f>
        <v/>
      </c>
      <c r="AF208" s="396"/>
      <c r="AG208" s="382"/>
      <c r="AH208" s="215">
        <f>CHMTCmTm!AH207</f>
        <v>0</v>
      </c>
      <c r="AI208" s="381" t="str">
        <f>IF(CHMTCmTm!AI207=0,"",CHMTCmTm!AI207)</f>
        <v/>
      </c>
      <c r="AJ208" s="396"/>
      <c r="AK208" s="382"/>
      <c r="AL208" s="215">
        <f>CHMTCmTm!AL207</f>
        <v>0</v>
      </c>
      <c r="AM208" s="381" t="str">
        <f>IF(CHMTCmTm!AM207=0,"",CHMTCmTm!AM207)</f>
        <v/>
      </c>
      <c r="AN208" s="396"/>
      <c r="AO208" s="382"/>
      <c r="AP208" s="381" t="str">
        <f>IF(CHMTCmTm!AP207=0,"",CHMTCmTm!AP207)</f>
        <v/>
      </c>
      <c r="AQ208" s="382"/>
      <c r="AR208" s="381" t="str">
        <f>IF(CHMTCmTm!AR207=0,"",CHMTCmTm!AR207)</f>
        <v/>
      </c>
      <c r="AS208" s="382"/>
      <c r="AT208" s="381" t="str">
        <f>IF(CHMTCmTm!AT207=0,"",CHMTCmTm!AT207)</f>
        <v/>
      </c>
      <c r="AU208" s="396"/>
      <c r="AV208" s="382"/>
      <c r="AW208" s="381" t="str">
        <f>IF(CHMTCmTm!AW207=0,"",CHMTCmTm!AW207)</f>
        <v/>
      </c>
      <c r="AX208" s="396"/>
      <c r="AY208" s="382"/>
      <c r="AZ208" s="24">
        <f>CHMTCmTm!AZ207</f>
        <v>0</v>
      </c>
      <c r="BC208" s="24">
        <f>COUNTIF(CHMTCmTm!O207, "Outreach Session")</f>
        <v>0</v>
      </c>
      <c r="BD208" s="24">
        <f>COUNTIF(CHMTCmTm!O207, "Mobile Clinic")</f>
        <v>0</v>
      </c>
      <c r="BE208" s="24">
        <f>COUNTIF(CHMTCmTm!O207, "Health Facility")</f>
        <v>0</v>
      </c>
    </row>
    <row r="209" spans="2:57" s="24" customFormat="1" ht="21.95" customHeight="1" x14ac:dyDescent="0.25">
      <c r="B209" s="397" t="str">
        <f>IF(CHMTCmTm!B208=0,"",CHMTCmTm!B208)</f>
        <v/>
      </c>
      <c r="C209" s="398"/>
      <c r="D209" s="399"/>
      <c r="E209" s="216">
        <f t="shared" si="7"/>
        <v>0</v>
      </c>
      <c r="F209" s="397" t="str">
        <f>IF(CHMTCmTm!F208=0,"",CHMTCmTm!F208)</f>
        <v/>
      </c>
      <c r="G209" s="398"/>
      <c r="H209" s="399"/>
      <c r="I209" s="381" t="str">
        <f>IF(CHMTCmTm!I208=0,"",CHMTCmTm!I208)</f>
        <v/>
      </c>
      <c r="J209" s="382"/>
      <c r="K209" s="381" t="str">
        <f>IF(CHMTCmTm!K208=0,"",CHMTCmTm!K208)</f>
        <v/>
      </c>
      <c r="L209" s="382"/>
      <c r="M209" s="381" t="str">
        <f>IF(CHMTCmTm!M208=0,"",CHMTCmTm!M208)</f>
        <v/>
      </c>
      <c r="N209" s="382"/>
      <c r="O209" s="381" t="str">
        <f>IF(CHMTCmTm!O208=0,"",CHMTCmTm!O208)</f>
        <v/>
      </c>
      <c r="P209" s="382"/>
      <c r="Q209" s="215" t="b">
        <f t="shared" si="6"/>
        <v>0</v>
      </c>
      <c r="R209" s="381" t="str">
        <f>IF(CHMTCmTm!R208=0,"",CHMTCmTm!R208)</f>
        <v/>
      </c>
      <c r="S209" s="382"/>
      <c r="T209" s="381" t="str">
        <f>IF(CHMTCmTm!T208=0,"",CHMTCmTm!T208)</f>
        <v/>
      </c>
      <c r="U209" s="382"/>
      <c r="V209" s="381" t="str">
        <f>IF(CHMTCmTm!V208=0,"",CHMTCmTm!V208)</f>
        <v/>
      </c>
      <c r="W209" s="396"/>
      <c r="X209" s="396"/>
      <c r="Y209" s="382"/>
      <c r="Z209" s="215">
        <f>CHMTCmTm!Z208</f>
        <v>0</v>
      </c>
      <c r="AA209" s="381" t="str">
        <f>IF(CHMTCmTm!AA208=0,"",CHMTCmTm!AA208)</f>
        <v/>
      </c>
      <c r="AB209" s="396"/>
      <c r="AC209" s="382"/>
      <c r="AD209" s="215">
        <f>CHMTCmTm!AD208</f>
        <v>0</v>
      </c>
      <c r="AE209" s="381" t="str">
        <f>IF(CHMTCmTm!AE208=0,"",CHMTCmTm!AE208)</f>
        <v/>
      </c>
      <c r="AF209" s="396"/>
      <c r="AG209" s="382"/>
      <c r="AH209" s="215">
        <f>CHMTCmTm!AH208</f>
        <v>0</v>
      </c>
      <c r="AI209" s="381" t="str">
        <f>IF(CHMTCmTm!AI208=0,"",CHMTCmTm!AI208)</f>
        <v/>
      </c>
      <c r="AJ209" s="396"/>
      <c r="AK209" s="382"/>
      <c r="AL209" s="215">
        <f>CHMTCmTm!AL208</f>
        <v>0</v>
      </c>
      <c r="AM209" s="381" t="str">
        <f>IF(CHMTCmTm!AM208=0,"",CHMTCmTm!AM208)</f>
        <v/>
      </c>
      <c r="AN209" s="396"/>
      <c r="AO209" s="382"/>
      <c r="AP209" s="381" t="str">
        <f>IF(CHMTCmTm!AP208=0,"",CHMTCmTm!AP208)</f>
        <v/>
      </c>
      <c r="AQ209" s="382"/>
      <c r="AR209" s="381" t="str">
        <f>IF(CHMTCmTm!AR208=0,"",CHMTCmTm!AR208)</f>
        <v/>
      </c>
      <c r="AS209" s="382"/>
      <c r="AT209" s="381" t="str">
        <f>IF(CHMTCmTm!AT208=0,"",CHMTCmTm!AT208)</f>
        <v/>
      </c>
      <c r="AU209" s="396"/>
      <c r="AV209" s="382"/>
      <c r="AW209" s="381" t="str">
        <f>IF(CHMTCmTm!AW208=0,"",CHMTCmTm!AW208)</f>
        <v/>
      </c>
      <c r="AX209" s="396"/>
      <c r="AY209" s="382"/>
      <c r="AZ209" s="24">
        <f>CHMTCmTm!AZ208</f>
        <v>0</v>
      </c>
      <c r="BC209" s="24">
        <f>COUNTIF(CHMTCmTm!O208, "Outreach Session")</f>
        <v>0</v>
      </c>
      <c r="BD209" s="24">
        <f>COUNTIF(CHMTCmTm!O208, "Mobile Clinic")</f>
        <v>0</v>
      </c>
      <c r="BE209" s="24">
        <f>COUNTIF(CHMTCmTm!O208, "Health Facility")</f>
        <v>0</v>
      </c>
    </row>
    <row r="210" spans="2:57" s="24" customFormat="1" ht="21.95" customHeight="1" x14ac:dyDescent="0.25">
      <c r="B210" s="397" t="str">
        <f>IF(CHMTCmTm!B209=0,"",CHMTCmTm!B209)</f>
        <v/>
      </c>
      <c r="C210" s="398"/>
      <c r="D210" s="399"/>
      <c r="E210" s="216">
        <f t="shared" si="7"/>
        <v>0</v>
      </c>
      <c r="F210" s="397" t="str">
        <f>IF(CHMTCmTm!F209=0,"",CHMTCmTm!F209)</f>
        <v/>
      </c>
      <c r="G210" s="398"/>
      <c r="H210" s="399"/>
      <c r="I210" s="381" t="str">
        <f>IF(CHMTCmTm!I209=0,"",CHMTCmTm!I209)</f>
        <v/>
      </c>
      <c r="J210" s="382"/>
      <c r="K210" s="381" t="str">
        <f>IF(CHMTCmTm!K209=0,"",CHMTCmTm!K209)</f>
        <v/>
      </c>
      <c r="L210" s="382"/>
      <c r="M210" s="381" t="str">
        <f>IF(CHMTCmTm!M209=0,"",CHMTCmTm!M209)</f>
        <v/>
      </c>
      <c r="N210" s="382"/>
      <c r="O210" s="381" t="str">
        <f>IF(CHMTCmTm!O209=0,"",CHMTCmTm!O209)</f>
        <v/>
      </c>
      <c r="P210" s="382"/>
      <c r="Q210" s="215" t="b">
        <f t="shared" si="6"/>
        <v>0</v>
      </c>
      <c r="R210" s="381" t="str">
        <f>IF(CHMTCmTm!R209=0,"",CHMTCmTm!R209)</f>
        <v/>
      </c>
      <c r="S210" s="382"/>
      <c r="T210" s="381" t="str">
        <f>IF(CHMTCmTm!T209=0,"",CHMTCmTm!T209)</f>
        <v/>
      </c>
      <c r="U210" s="382"/>
      <c r="V210" s="381" t="str">
        <f>IF(CHMTCmTm!V209=0,"",CHMTCmTm!V209)</f>
        <v/>
      </c>
      <c r="W210" s="396"/>
      <c r="X210" s="396"/>
      <c r="Y210" s="382"/>
      <c r="Z210" s="215">
        <f>CHMTCmTm!Z209</f>
        <v>0</v>
      </c>
      <c r="AA210" s="381" t="str">
        <f>IF(CHMTCmTm!AA209=0,"",CHMTCmTm!AA209)</f>
        <v/>
      </c>
      <c r="AB210" s="396"/>
      <c r="AC210" s="382"/>
      <c r="AD210" s="215">
        <f>CHMTCmTm!AD209</f>
        <v>0</v>
      </c>
      <c r="AE210" s="381" t="str">
        <f>IF(CHMTCmTm!AE209=0,"",CHMTCmTm!AE209)</f>
        <v/>
      </c>
      <c r="AF210" s="396"/>
      <c r="AG210" s="382"/>
      <c r="AH210" s="215">
        <f>CHMTCmTm!AH209</f>
        <v>0</v>
      </c>
      <c r="AI210" s="381" t="str">
        <f>IF(CHMTCmTm!AI209=0,"",CHMTCmTm!AI209)</f>
        <v/>
      </c>
      <c r="AJ210" s="396"/>
      <c r="AK210" s="382"/>
      <c r="AL210" s="215">
        <f>CHMTCmTm!AL209</f>
        <v>0</v>
      </c>
      <c r="AM210" s="381" t="str">
        <f>IF(CHMTCmTm!AM209=0,"",CHMTCmTm!AM209)</f>
        <v/>
      </c>
      <c r="AN210" s="396"/>
      <c r="AO210" s="382"/>
      <c r="AP210" s="381" t="str">
        <f>IF(CHMTCmTm!AP209=0,"",CHMTCmTm!AP209)</f>
        <v/>
      </c>
      <c r="AQ210" s="382"/>
      <c r="AR210" s="381" t="str">
        <f>IF(CHMTCmTm!AR209=0,"",CHMTCmTm!AR209)</f>
        <v/>
      </c>
      <c r="AS210" s="382"/>
      <c r="AT210" s="381" t="str">
        <f>IF(CHMTCmTm!AT209=0,"",CHMTCmTm!AT209)</f>
        <v/>
      </c>
      <c r="AU210" s="396"/>
      <c r="AV210" s="382"/>
      <c r="AW210" s="381" t="str">
        <f>IF(CHMTCmTm!AW209=0,"",CHMTCmTm!AW209)</f>
        <v/>
      </c>
      <c r="AX210" s="396"/>
      <c r="AY210" s="382"/>
      <c r="AZ210" s="24">
        <f>CHMTCmTm!AZ209</f>
        <v>0</v>
      </c>
      <c r="BC210" s="24">
        <f>COUNTIF(CHMTCmTm!O209, "Outreach Session")</f>
        <v>0</v>
      </c>
      <c r="BD210" s="24">
        <f>COUNTIF(CHMTCmTm!O209, "Mobile Clinic")</f>
        <v>0</v>
      </c>
      <c r="BE210" s="24">
        <f>COUNTIF(CHMTCmTm!O209, "Health Facility")</f>
        <v>0</v>
      </c>
    </row>
    <row r="211" spans="2:57" s="24" customFormat="1" ht="21.95" customHeight="1" x14ac:dyDescent="0.25">
      <c r="B211" s="397" t="str">
        <f>IF(CHMTCmTm!B210=0,"",CHMTCmTm!B210)</f>
        <v/>
      </c>
      <c r="C211" s="398"/>
      <c r="D211" s="399"/>
      <c r="E211" s="216">
        <f t="shared" si="7"/>
        <v>0</v>
      </c>
      <c r="F211" s="397" t="str">
        <f>IF(CHMTCmTm!F210=0,"",CHMTCmTm!F210)</f>
        <v/>
      </c>
      <c r="G211" s="398"/>
      <c r="H211" s="399"/>
      <c r="I211" s="381" t="str">
        <f>IF(CHMTCmTm!I210=0,"",CHMTCmTm!I210)</f>
        <v/>
      </c>
      <c r="J211" s="382"/>
      <c r="K211" s="381" t="str">
        <f>IF(CHMTCmTm!K210=0,"",CHMTCmTm!K210)</f>
        <v/>
      </c>
      <c r="L211" s="382"/>
      <c r="M211" s="381" t="str">
        <f>IF(CHMTCmTm!M210=0,"",CHMTCmTm!M210)</f>
        <v/>
      </c>
      <c r="N211" s="382"/>
      <c r="O211" s="381" t="str">
        <f>IF(CHMTCmTm!O210=0,"",CHMTCmTm!O210)</f>
        <v/>
      </c>
      <c r="P211" s="382"/>
      <c r="Q211" s="215" t="b">
        <f t="shared" si="6"/>
        <v>0</v>
      </c>
      <c r="R211" s="381" t="str">
        <f>IF(CHMTCmTm!R210=0,"",CHMTCmTm!R210)</f>
        <v/>
      </c>
      <c r="S211" s="382"/>
      <c r="T211" s="381" t="str">
        <f>IF(CHMTCmTm!T210=0,"",CHMTCmTm!T210)</f>
        <v/>
      </c>
      <c r="U211" s="382"/>
      <c r="V211" s="381" t="str">
        <f>IF(CHMTCmTm!V210=0,"",CHMTCmTm!V210)</f>
        <v/>
      </c>
      <c r="W211" s="396"/>
      <c r="X211" s="396"/>
      <c r="Y211" s="382"/>
      <c r="Z211" s="215">
        <f>CHMTCmTm!Z210</f>
        <v>0</v>
      </c>
      <c r="AA211" s="381" t="str">
        <f>IF(CHMTCmTm!AA210=0,"",CHMTCmTm!AA210)</f>
        <v/>
      </c>
      <c r="AB211" s="396"/>
      <c r="AC211" s="382"/>
      <c r="AD211" s="215">
        <f>CHMTCmTm!AD210</f>
        <v>0</v>
      </c>
      <c r="AE211" s="381" t="str">
        <f>IF(CHMTCmTm!AE210=0,"",CHMTCmTm!AE210)</f>
        <v/>
      </c>
      <c r="AF211" s="396"/>
      <c r="AG211" s="382"/>
      <c r="AH211" s="215">
        <f>CHMTCmTm!AH210</f>
        <v>0</v>
      </c>
      <c r="AI211" s="381" t="str">
        <f>IF(CHMTCmTm!AI210=0,"",CHMTCmTm!AI210)</f>
        <v/>
      </c>
      <c r="AJ211" s="396"/>
      <c r="AK211" s="382"/>
      <c r="AL211" s="215">
        <f>CHMTCmTm!AL210</f>
        <v>0</v>
      </c>
      <c r="AM211" s="381" t="str">
        <f>IF(CHMTCmTm!AM210=0,"",CHMTCmTm!AM210)</f>
        <v/>
      </c>
      <c r="AN211" s="396"/>
      <c r="AO211" s="382"/>
      <c r="AP211" s="381" t="str">
        <f>IF(CHMTCmTm!AP210=0,"",CHMTCmTm!AP210)</f>
        <v/>
      </c>
      <c r="AQ211" s="382"/>
      <c r="AR211" s="381" t="str">
        <f>IF(CHMTCmTm!AR210=0,"",CHMTCmTm!AR210)</f>
        <v/>
      </c>
      <c r="AS211" s="382"/>
      <c r="AT211" s="381" t="str">
        <f>IF(CHMTCmTm!AT210=0,"",CHMTCmTm!AT210)</f>
        <v/>
      </c>
      <c r="AU211" s="396"/>
      <c r="AV211" s="382"/>
      <c r="AW211" s="381" t="str">
        <f>IF(CHMTCmTm!AW210=0,"",CHMTCmTm!AW210)</f>
        <v/>
      </c>
      <c r="AX211" s="396"/>
      <c r="AY211" s="382"/>
      <c r="AZ211" s="24">
        <f>CHMTCmTm!AZ210</f>
        <v>0</v>
      </c>
      <c r="BC211" s="24">
        <f>COUNTIF(CHMTCmTm!O210, "Outreach Session")</f>
        <v>0</v>
      </c>
      <c r="BD211" s="24">
        <f>COUNTIF(CHMTCmTm!O210, "Mobile Clinic")</f>
        <v>0</v>
      </c>
      <c r="BE211" s="24">
        <f>COUNTIF(CHMTCmTm!O210, "Health Facility")</f>
        <v>0</v>
      </c>
    </row>
    <row r="212" spans="2:57" s="24" customFormat="1" ht="21.95" customHeight="1" x14ac:dyDescent="0.25">
      <c r="B212" s="397" t="str">
        <f>IF(CHMTCmTm!B211=0,"",CHMTCmTm!B211)</f>
        <v/>
      </c>
      <c r="C212" s="398"/>
      <c r="D212" s="399"/>
      <c r="E212" s="216">
        <f t="shared" si="7"/>
        <v>0</v>
      </c>
      <c r="F212" s="397" t="str">
        <f>IF(CHMTCmTm!F211=0,"",CHMTCmTm!F211)</f>
        <v/>
      </c>
      <c r="G212" s="398"/>
      <c r="H212" s="399"/>
      <c r="I212" s="381" t="str">
        <f>IF(CHMTCmTm!I211=0,"",CHMTCmTm!I211)</f>
        <v/>
      </c>
      <c r="J212" s="382"/>
      <c r="K212" s="381" t="str">
        <f>IF(CHMTCmTm!K211=0,"",CHMTCmTm!K211)</f>
        <v/>
      </c>
      <c r="L212" s="382"/>
      <c r="M212" s="381" t="str">
        <f>IF(CHMTCmTm!M211=0,"",CHMTCmTm!M211)</f>
        <v/>
      </c>
      <c r="N212" s="382"/>
      <c r="O212" s="381" t="str">
        <f>IF(CHMTCmTm!O211=0,"",CHMTCmTm!O211)</f>
        <v/>
      </c>
      <c r="P212" s="382"/>
      <c r="Q212" s="215" t="b">
        <f t="shared" si="6"/>
        <v>0</v>
      </c>
      <c r="R212" s="381" t="str">
        <f>IF(CHMTCmTm!R211=0,"",CHMTCmTm!R211)</f>
        <v/>
      </c>
      <c r="S212" s="382"/>
      <c r="T212" s="381" t="str">
        <f>IF(CHMTCmTm!T211=0,"",CHMTCmTm!T211)</f>
        <v/>
      </c>
      <c r="U212" s="382"/>
      <c r="V212" s="381" t="str">
        <f>IF(CHMTCmTm!V211=0,"",CHMTCmTm!V211)</f>
        <v/>
      </c>
      <c r="W212" s="396"/>
      <c r="X212" s="396"/>
      <c r="Y212" s="382"/>
      <c r="Z212" s="215">
        <f>CHMTCmTm!Z211</f>
        <v>0</v>
      </c>
      <c r="AA212" s="381" t="str">
        <f>IF(CHMTCmTm!AA211=0,"",CHMTCmTm!AA211)</f>
        <v/>
      </c>
      <c r="AB212" s="396"/>
      <c r="AC212" s="382"/>
      <c r="AD212" s="215">
        <f>CHMTCmTm!AD211</f>
        <v>0</v>
      </c>
      <c r="AE212" s="381" t="str">
        <f>IF(CHMTCmTm!AE211=0,"",CHMTCmTm!AE211)</f>
        <v/>
      </c>
      <c r="AF212" s="396"/>
      <c r="AG212" s="382"/>
      <c r="AH212" s="215">
        <f>CHMTCmTm!AH211</f>
        <v>0</v>
      </c>
      <c r="AI212" s="381" t="str">
        <f>IF(CHMTCmTm!AI211=0,"",CHMTCmTm!AI211)</f>
        <v/>
      </c>
      <c r="AJ212" s="396"/>
      <c r="AK212" s="382"/>
      <c r="AL212" s="215">
        <f>CHMTCmTm!AL211</f>
        <v>0</v>
      </c>
      <c r="AM212" s="381" t="str">
        <f>IF(CHMTCmTm!AM211=0,"",CHMTCmTm!AM211)</f>
        <v/>
      </c>
      <c r="AN212" s="396"/>
      <c r="AO212" s="382"/>
      <c r="AP212" s="381" t="str">
        <f>IF(CHMTCmTm!AP211=0,"",CHMTCmTm!AP211)</f>
        <v/>
      </c>
      <c r="AQ212" s="382"/>
      <c r="AR212" s="381" t="str">
        <f>IF(CHMTCmTm!AR211=0,"",CHMTCmTm!AR211)</f>
        <v/>
      </c>
      <c r="AS212" s="382"/>
      <c r="AT212" s="381" t="str">
        <f>IF(CHMTCmTm!AT211=0,"",CHMTCmTm!AT211)</f>
        <v/>
      </c>
      <c r="AU212" s="396"/>
      <c r="AV212" s="382"/>
      <c r="AW212" s="381" t="str">
        <f>IF(CHMTCmTm!AW211=0,"",CHMTCmTm!AW211)</f>
        <v/>
      </c>
      <c r="AX212" s="396"/>
      <c r="AY212" s="382"/>
      <c r="AZ212" s="24">
        <f>CHMTCmTm!AZ211</f>
        <v>0</v>
      </c>
      <c r="BC212" s="24">
        <f>COUNTIF(CHMTCmTm!O211, "Outreach Session")</f>
        <v>0</v>
      </c>
      <c r="BD212" s="24">
        <f>COUNTIF(CHMTCmTm!O211, "Mobile Clinic")</f>
        <v>0</v>
      </c>
      <c r="BE212" s="24">
        <f>COUNTIF(CHMTCmTm!O211, "Health Facility")</f>
        <v>0</v>
      </c>
    </row>
    <row r="213" spans="2:57" s="24" customFormat="1" ht="21.95" customHeight="1" x14ac:dyDescent="0.25">
      <c r="B213" s="397" t="str">
        <f>IF(CHMTCmTm!B212=0,"",CHMTCmTm!B212)</f>
        <v/>
      </c>
      <c r="C213" s="398"/>
      <c r="D213" s="399"/>
      <c r="E213" s="216">
        <f t="shared" si="7"/>
        <v>0</v>
      </c>
      <c r="F213" s="397" t="str">
        <f>IF(CHMTCmTm!F212=0,"",CHMTCmTm!F212)</f>
        <v/>
      </c>
      <c r="G213" s="398"/>
      <c r="H213" s="399"/>
      <c r="I213" s="381" t="str">
        <f>IF(CHMTCmTm!I212=0,"",CHMTCmTm!I212)</f>
        <v/>
      </c>
      <c r="J213" s="382"/>
      <c r="K213" s="381" t="str">
        <f>IF(CHMTCmTm!K212=0,"",CHMTCmTm!K212)</f>
        <v/>
      </c>
      <c r="L213" s="382"/>
      <c r="M213" s="381" t="str">
        <f>IF(CHMTCmTm!M212=0,"",CHMTCmTm!M212)</f>
        <v/>
      </c>
      <c r="N213" s="382"/>
      <c r="O213" s="381" t="str">
        <f>IF(CHMTCmTm!O212=0,"",CHMTCmTm!O212)</f>
        <v/>
      </c>
      <c r="P213" s="382"/>
      <c r="Q213" s="215" t="b">
        <f t="shared" si="6"/>
        <v>0</v>
      </c>
      <c r="R213" s="381" t="str">
        <f>IF(CHMTCmTm!R212=0,"",CHMTCmTm!R212)</f>
        <v/>
      </c>
      <c r="S213" s="382"/>
      <c r="T213" s="381" t="str">
        <f>IF(CHMTCmTm!T212=0,"",CHMTCmTm!T212)</f>
        <v/>
      </c>
      <c r="U213" s="382"/>
      <c r="V213" s="381" t="str">
        <f>IF(CHMTCmTm!V212=0,"",CHMTCmTm!V212)</f>
        <v/>
      </c>
      <c r="W213" s="396"/>
      <c r="X213" s="396"/>
      <c r="Y213" s="382"/>
      <c r="Z213" s="215">
        <f>CHMTCmTm!Z212</f>
        <v>0</v>
      </c>
      <c r="AA213" s="381" t="str">
        <f>IF(CHMTCmTm!AA212=0,"",CHMTCmTm!AA212)</f>
        <v/>
      </c>
      <c r="AB213" s="396"/>
      <c r="AC213" s="382"/>
      <c r="AD213" s="215">
        <f>CHMTCmTm!AD212</f>
        <v>0</v>
      </c>
      <c r="AE213" s="381" t="str">
        <f>IF(CHMTCmTm!AE212=0,"",CHMTCmTm!AE212)</f>
        <v/>
      </c>
      <c r="AF213" s="396"/>
      <c r="AG213" s="382"/>
      <c r="AH213" s="215">
        <f>CHMTCmTm!AH212</f>
        <v>0</v>
      </c>
      <c r="AI213" s="381" t="str">
        <f>IF(CHMTCmTm!AI212=0,"",CHMTCmTm!AI212)</f>
        <v/>
      </c>
      <c r="AJ213" s="396"/>
      <c r="AK213" s="382"/>
      <c r="AL213" s="215">
        <f>CHMTCmTm!AL212</f>
        <v>0</v>
      </c>
      <c r="AM213" s="381" t="str">
        <f>IF(CHMTCmTm!AM212=0,"",CHMTCmTm!AM212)</f>
        <v/>
      </c>
      <c r="AN213" s="396"/>
      <c r="AO213" s="382"/>
      <c r="AP213" s="381" t="str">
        <f>IF(CHMTCmTm!AP212=0,"",CHMTCmTm!AP212)</f>
        <v/>
      </c>
      <c r="AQ213" s="382"/>
      <c r="AR213" s="381" t="str">
        <f>IF(CHMTCmTm!AR212=0,"",CHMTCmTm!AR212)</f>
        <v/>
      </c>
      <c r="AS213" s="382"/>
      <c r="AT213" s="381" t="str">
        <f>IF(CHMTCmTm!AT212=0,"",CHMTCmTm!AT212)</f>
        <v/>
      </c>
      <c r="AU213" s="396"/>
      <c r="AV213" s="382"/>
      <c r="AW213" s="381" t="str">
        <f>IF(CHMTCmTm!AW212=0,"",CHMTCmTm!AW212)</f>
        <v/>
      </c>
      <c r="AX213" s="396"/>
      <c r="AY213" s="382"/>
      <c r="AZ213" s="24">
        <f>CHMTCmTm!AZ212</f>
        <v>0</v>
      </c>
      <c r="BC213" s="24">
        <f>COUNTIF(CHMTCmTm!O212, "Outreach Session")</f>
        <v>0</v>
      </c>
      <c r="BD213" s="24">
        <f>COUNTIF(CHMTCmTm!O212, "Mobile Clinic")</f>
        <v>0</v>
      </c>
      <c r="BE213" s="24">
        <f>COUNTIF(CHMTCmTm!O212, "Health Facility")</f>
        <v>0</v>
      </c>
    </row>
    <row r="214" spans="2:57" s="24" customFormat="1" ht="21.95" customHeight="1" x14ac:dyDescent="0.25">
      <c r="B214" s="397" t="str">
        <f>IF(CHMTCmTm!B213=0,"",CHMTCmTm!B213)</f>
        <v/>
      </c>
      <c r="C214" s="398"/>
      <c r="D214" s="399"/>
      <c r="E214" s="216">
        <f t="shared" si="7"/>
        <v>0</v>
      </c>
      <c r="F214" s="397" t="str">
        <f>IF(CHMTCmTm!F213=0,"",CHMTCmTm!F213)</f>
        <v/>
      </c>
      <c r="G214" s="398"/>
      <c r="H214" s="399"/>
      <c r="I214" s="381" t="str">
        <f>IF(CHMTCmTm!I213=0,"",CHMTCmTm!I213)</f>
        <v/>
      </c>
      <c r="J214" s="382"/>
      <c r="K214" s="381" t="str">
        <f>IF(CHMTCmTm!K213=0,"",CHMTCmTm!K213)</f>
        <v/>
      </c>
      <c r="L214" s="382"/>
      <c r="M214" s="381" t="str">
        <f>IF(CHMTCmTm!M213=0,"",CHMTCmTm!M213)</f>
        <v/>
      </c>
      <c r="N214" s="382"/>
      <c r="O214" s="381" t="str">
        <f>IF(CHMTCmTm!O213=0,"",CHMTCmTm!O213)</f>
        <v/>
      </c>
      <c r="P214" s="382"/>
      <c r="Q214" s="215" t="b">
        <f t="shared" si="6"/>
        <v>0</v>
      </c>
      <c r="R214" s="381" t="str">
        <f>IF(CHMTCmTm!R213=0,"",CHMTCmTm!R213)</f>
        <v/>
      </c>
      <c r="S214" s="382"/>
      <c r="T214" s="381" t="str">
        <f>IF(CHMTCmTm!T213=0,"",CHMTCmTm!T213)</f>
        <v/>
      </c>
      <c r="U214" s="382"/>
      <c r="V214" s="381" t="str">
        <f>IF(CHMTCmTm!V213=0,"",CHMTCmTm!V213)</f>
        <v/>
      </c>
      <c r="W214" s="396"/>
      <c r="X214" s="396"/>
      <c r="Y214" s="382"/>
      <c r="Z214" s="215">
        <f>CHMTCmTm!Z213</f>
        <v>0</v>
      </c>
      <c r="AA214" s="381" t="str">
        <f>IF(CHMTCmTm!AA213=0,"",CHMTCmTm!AA213)</f>
        <v/>
      </c>
      <c r="AB214" s="396"/>
      <c r="AC214" s="382"/>
      <c r="AD214" s="215">
        <f>CHMTCmTm!AD213</f>
        <v>0</v>
      </c>
      <c r="AE214" s="381" t="str">
        <f>IF(CHMTCmTm!AE213=0,"",CHMTCmTm!AE213)</f>
        <v/>
      </c>
      <c r="AF214" s="396"/>
      <c r="AG214" s="382"/>
      <c r="AH214" s="215">
        <f>CHMTCmTm!AH213</f>
        <v>0</v>
      </c>
      <c r="AI214" s="381" t="str">
        <f>IF(CHMTCmTm!AI213=0,"",CHMTCmTm!AI213)</f>
        <v/>
      </c>
      <c r="AJ214" s="396"/>
      <c r="AK214" s="382"/>
      <c r="AL214" s="215">
        <f>CHMTCmTm!AL213</f>
        <v>0</v>
      </c>
      <c r="AM214" s="381" t="str">
        <f>IF(CHMTCmTm!AM213=0,"",CHMTCmTm!AM213)</f>
        <v/>
      </c>
      <c r="AN214" s="396"/>
      <c r="AO214" s="382"/>
      <c r="AP214" s="381" t="str">
        <f>IF(CHMTCmTm!AP213=0,"",CHMTCmTm!AP213)</f>
        <v/>
      </c>
      <c r="AQ214" s="382"/>
      <c r="AR214" s="381" t="str">
        <f>IF(CHMTCmTm!AR213=0,"",CHMTCmTm!AR213)</f>
        <v/>
      </c>
      <c r="AS214" s="382"/>
      <c r="AT214" s="381" t="str">
        <f>IF(CHMTCmTm!AT213=0,"",CHMTCmTm!AT213)</f>
        <v/>
      </c>
      <c r="AU214" s="396"/>
      <c r="AV214" s="382"/>
      <c r="AW214" s="381" t="str">
        <f>IF(CHMTCmTm!AW213=0,"",CHMTCmTm!AW213)</f>
        <v/>
      </c>
      <c r="AX214" s="396"/>
      <c r="AY214" s="382"/>
      <c r="AZ214" s="24">
        <f>CHMTCmTm!AZ213</f>
        <v>0</v>
      </c>
      <c r="BC214" s="24">
        <f>COUNTIF(CHMTCmTm!O213, "Outreach Session")</f>
        <v>0</v>
      </c>
      <c r="BD214" s="24">
        <f>COUNTIF(CHMTCmTm!O213, "Mobile Clinic")</f>
        <v>0</v>
      </c>
      <c r="BE214" s="24">
        <f>COUNTIF(CHMTCmTm!O213, "Health Facility")</f>
        <v>0</v>
      </c>
    </row>
    <row r="215" spans="2:57" s="24" customFormat="1" ht="21.95" customHeight="1" x14ac:dyDescent="0.25">
      <c r="B215" s="397" t="str">
        <f>IF(CHMTCmTm!B214=0,"",CHMTCmTm!B214)</f>
        <v/>
      </c>
      <c r="C215" s="398"/>
      <c r="D215" s="399"/>
      <c r="E215" s="216">
        <f t="shared" si="7"/>
        <v>0</v>
      </c>
      <c r="F215" s="397" t="str">
        <f>IF(CHMTCmTm!F214=0,"",CHMTCmTm!F214)</f>
        <v/>
      </c>
      <c r="G215" s="398"/>
      <c r="H215" s="399"/>
      <c r="I215" s="381" t="str">
        <f>IF(CHMTCmTm!I214=0,"",CHMTCmTm!I214)</f>
        <v/>
      </c>
      <c r="J215" s="382"/>
      <c r="K215" s="381" t="str">
        <f>IF(CHMTCmTm!K214=0,"",CHMTCmTm!K214)</f>
        <v/>
      </c>
      <c r="L215" s="382"/>
      <c r="M215" s="381" t="str">
        <f>IF(CHMTCmTm!M214=0,"",CHMTCmTm!M214)</f>
        <v/>
      </c>
      <c r="N215" s="382"/>
      <c r="O215" s="381" t="str">
        <f>IF(CHMTCmTm!O214=0,"",CHMTCmTm!O214)</f>
        <v/>
      </c>
      <c r="P215" s="382"/>
      <c r="Q215" s="215" t="b">
        <f t="shared" si="6"/>
        <v>0</v>
      </c>
      <c r="R215" s="381" t="str">
        <f>IF(CHMTCmTm!R214=0,"",CHMTCmTm!R214)</f>
        <v/>
      </c>
      <c r="S215" s="382"/>
      <c r="T215" s="381" t="str">
        <f>IF(CHMTCmTm!T214=0,"",CHMTCmTm!T214)</f>
        <v/>
      </c>
      <c r="U215" s="382"/>
      <c r="V215" s="381" t="str">
        <f>IF(CHMTCmTm!V214=0,"",CHMTCmTm!V214)</f>
        <v/>
      </c>
      <c r="W215" s="396"/>
      <c r="X215" s="396"/>
      <c r="Y215" s="382"/>
      <c r="Z215" s="215">
        <f>CHMTCmTm!Z214</f>
        <v>0</v>
      </c>
      <c r="AA215" s="381" t="str">
        <f>IF(CHMTCmTm!AA214=0,"",CHMTCmTm!AA214)</f>
        <v/>
      </c>
      <c r="AB215" s="396"/>
      <c r="AC215" s="382"/>
      <c r="AD215" s="215">
        <f>CHMTCmTm!AD214</f>
        <v>0</v>
      </c>
      <c r="AE215" s="381" t="str">
        <f>IF(CHMTCmTm!AE214=0,"",CHMTCmTm!AE214)</f>
        <v/>
      </c>
      <c r="AF215" s="396"/>
      <c r="AG215" s="382"/>
      <c r="AH215" s="215">
        <f>CHMTCmTm!AH214</f>
        <v>0</v>
      </c>
      <c r="AI215" s="381" t="str">
        <f>IF(CHMTCmTm!AI214=0,"",CHMTCmTm!AI214)</f>
        <v/>
      </c>
      <c r="AJ215" s="396"/>
      <c r="AK215" s="382"/>
      <c r="AL215" s="215">
        <f>CHMTCmTm!AL214</f>
        <v>0</v>
      </c>
      <c r="AM215" s="381" t="str">
        <f>IF(CHMTCmTm!AM214=0,"",CHMTCmTm!AM214)</f>
        <v/>
      </c>
      <c r="AN215" s="396"/>
      <c r="AO215" s="382"/>
      <c r="AP215" s="381" t="str">
        <f>IF(CHMTCmTm!AP214=0,"",CHMTCmTm!AP214)</f>
        <v/>
      </c>
      <c r="AQ215" s="382"/>
      <c r="AR215" s="381" t="str">
        <f>IF(CHMTCmTm!AR214=0,"",CHMTCmTm!AR214)</f>
        <v/>
      </c>
      <c r="AS215" s="382"/>
      <c r="AT215" s="381" t="str">
        <f>IF(CHMTCmTm!AT214=0,"",CHMTCmTm!AT214)</f>
        <v/>
      </c>
      <c r="AU215" s="396"/>
      <c r="AV215" s="382"/>
      <c r="AW215" s="381" t="str">
        <f>IF(CHMTCmTm!AW214=0,"",CHMTCmTm!AW214)</f>
        <v/>
      </c>
      <c r="AX215" s="396"/>
      <c r="AY215" s="382"/>
      <c r="AZ215" s="24">
        <f>CHMTCmTm!AZ214</f>
        <v>0</v>
      </c>
      <c r="BC215" s="24">
        <f>COUNTIF(CHMTCmTm!O214, "Outreach Session")</f>
        <v>0</v>
      </c>
      <c r="BD215" s="24">
        <f>COUNTIF(CHMTCmTm!O214, "Mobile Clinic")</f>
        <v>0</v>
      </c>
      <c r="BE215" s="24">
        <f>COUNTIF(CHMTCmTm!O214, "Health Facility")</f>
        <v>0</v>
      </c>
    </row>
    <row r="216" spans="2:57" s="24" customFormat="1" ht="21.95" customHeight="1" x14ac:dyDescent="0.25">
      <c r="B216" s="397" t="str">
        <f>IF(CHMTCmTm!B215=0,"",CHMTCmTm!B215)</f>
        <v/>
      </c>
      <c r="C216" s="398"/>
      <c r="D216" s="399"/>
      <c r="E216" s="216">
        <f t="shared" si="7"/>
        <v>0</v>
      </c>
      <c r="F216" s="397" t="str">
        <f>IF(CHMTCmTm!F215=0,"",CHMTCmTm!F215)</f>
        <v/>
      </c>
      <c r="G216" s="398"/>
      <c r="H216" s="399"/>
      <c r="I216" s="381" t="str">
        <f>IF(CHMTCmTm!I215=0,"",CHMTCmTm!I215)</f>
        <v/>
      </c>
      <c r="J216" s="382"/>
      <c r="K216" s="381" t="str">
        <f>IF(CHMTCmTm!K215=0,"",CHMTCmTm!K215)</f>
        <v/>
      </c>
      <c r="L216" s="382"/>
      <c r="M216" s="381" t="str">
        <f>IF(CHMTCmTm!M215=0,"",CHMTCmTm!M215)</f>
        <v/>
      </c>
      <c r="N216" s="382"/>
      <c r="O216" s="381" t="str">
        <f>IF(CHMTCmTm!O215=0,"",CHMTCmTm!O215)</f>
        <v/>
      </c>
      <c r="P216" s="382"/>
      <c r="Q216" s="215" t="b">
        <f t="shared" si="6"/>
        <v>0</v>
      </c>
      <c r="R216" s="381" t="str">
        <f>IF(CHMTCmTm!R215=0,"",CHMTCmTm!R215)</f>
        <v/>
      </c>
      <c r="S216" s="382"/>
      <c r="T216" s="381" t="str">
        <f>IF(CHMTCmTm!T215=0,"",CHMTCmTm!T215)</f>
        <v/>
      </c>
      <c r="U216" s="382"/>
      <c r="V216" s="381" t="str">
        <f>IF(CHMTCmTm!V215=0,"",CHMTCmTm!V215)</f>
        <v/>
      </c>
      <c r="W216" s="396"/>
      <c r="X216" s="396"/>
      <c r="Y216" s="382"/>
      <c r="Z216" s="215">
        <f>CHMTCmTm!Z215</f>
        <v>0</v>
      </c>
      <c r="AA216" s="381" t="str">
        <f>IF(CHMTCmTm!AA215=0,"",CHMTCmTm!AA215)</f>
        <v/>
      </c>
      <c r="AB216" s="396"/>
      <c r="AC216" s="382"/>
      <c r="AD216" s="215">
        <f>CHMTCmTm!AD215</f>
        <v>0</v>
      </c>
      <c r="AE216" s="381" t="str">
        <f>IF(CHMTCmTm!AE215=0,"",CHMTCmTm!AE215)</f>
        <v/>
      </c>
      <c r="AF216" s="396"/>
      <c r="AG216" s="382"/>
      <c r="AH216" s="215">
        <f>CHMTCmTm!AH215</f>
        <v>0</v>
      </c>
      <c r="AI216" s="381" t="str">
        <f>IF(CHMTCmTm!AI215=0,"",CHMTCmTm!AI215)</f>
        <v/>
      </c>
      <c r="AJ216" s="396"/>
      <c r="AK216" s="382"/>
      <c r="AL216" s="215">
        <f>CHMTCmTm!AL215</f>
        <v>0</v>
      </c>
      <c r="AM216" s="381" t="str">
        <f>IF(CHMTCmTm!AM215=0,"",CHMTCmTm!AM215)</f>
        <v/>
      </c>
      <c r="AN216" s="396"/>
      <c r="AO216" s="382"/>
      <c r="AP216" s="381" t="str">
        <f>IF(CHMTCmTm!AP215=0,"",CHMTCmTm!AP215)</f>
        <v/>
      </c>
      <c r="AQ216" s="382"/>
      <c r="AR216" s="381" t="str">
        <f>IF(CHMTCmTm!AR215=0,"",CHMTCmTm!AR215)</f>
        <v/>
      </c>
      <c r="AS216" s="382"/>
      <c r="AT216" s="381" t="str">
        <f>IF(CHMTCmTm!AT215=0,"",CHMTCmTm!AT215)</f>
        <v/>
      </c>
      <c r="AU216" s="396"/>
      <c r="AV216" s="382"/>
      <c r="AW216" s="381" t="str">
        <f>IF(CHMTCmTm!AW215=0,"",CHMTCmTm!AW215)</f>
        <v/>
      </c>
      <c r="AX216" s="396"/>
      <c r="AY216" s="382"/>
      <c r="AZ216" s="24">
        <f>CHMTCmTm!AZ215</f>
        <v>0</v>
      </c>
      <c r="BC216" s="24">
        <f>COUNTIF(CHMTCmTm!O215, "Outreach Session")</f>
        <v>0</v>
      </c>
      <c r="BD216" s="24">
        <f>COUNTIF(CHMTCmTm!O215, "Mobile Clinic")</f>
        <v>0</v>
      </c>
      <c r="BE216" s="24">
        <f>COUNTIF(CHMTCmTm!O215, "Health Facility")</f>
        <v>0</v>
      </c>
    </row>
    <row r="217" spans="2:57" s="24" customFormat="1" ht="21.95" customHeight="1" x14ac:dyDescent="0.25">
      <c r="B217" s="397" t="str">
        <f>IF(CHMTCmTm!B216=0,"",CHMTCmTm!B216)</f>
        <v/>
      </c>
      <c r="C217" s="398"/>
      <c r="D217" s="399"/>
      <c r="E217" s="216">
        <f t="shared" si="7"/>
        <v>0</v>
      </c>
      <c r="F217" s="397" t="str">
        <f>IF(CHMTCmTm!F216=0,"",CHMTCmTm!F216)</f>
        <v/>
      </c>
      <c r="G217" s="398"/>
      <c r="H217" s="399"/>
      <c r="I217" s="381" t="str">
        <f>IF(CHMTCmTm!I216=0,"",CHMTCmTm!I216)</f>
        <v/>
      </c>
      <c r="J217" s="382"/>
      <c r="K217" s="381" t="str">
        <f>IF(CHMTCmTm!K216=0,"",CHMTCmTm!K216)</f>
        <v/>
      </c>
      <c r="L217" s="382"/>
      <c r="M217" s="381" t="str">
        <f>IF(CHMTCmTm!M216=0,"",CHMTCmTm!M216)</f>
        <v/>
      </c>
      <c r="N217" s="382"/>
      <c r="O217" s="381" t="str">
        <f>IF(CHMTCmTm!O216=0,"",CHMTCmTm!O216)</f>
        <v/>
      </c>
      <c r="P217" s="382"/>
      <c r="Q217" s="215" t="b">
        <f t="shared" si="6"/>
        <v>0</v>
      </c>
      <c r="R217" s="381" t="str">
        <f>IF(CHMTCmTm!R216=0,"",CHMTCmTm!R216)</f>
        <v/>
      </c>
      <c r="S217" s="382"/>
      <c r="T217" s="381" t="str">
        <f>IF(CHMTCmTm!T216=0,"",CHMTCmTm!T216)</f>
        <v/>
      </c>
      <c r="U217" s="382"/>
      <c r="V217" s="381" t="str">
        <f>IF(CHMTCmTm!V216=0,"",CHMTCmTm!V216)</f>
        <v/>
      </c>
      <c r="W217" s="396"/>
      <c r="X217" s="396"/>
      <c r="Y217" s="382"/>
      <c r="Z217" s="215">
        <f>CHMTCmTm!Z216</f>
        <v>0</v>
      </c>
      <c r="AA217" s="381" t="str">
        <f>IF(CHMTCmTm!AA216=0,"",CHMTCmTm!AA216)</f>
        <v/>
      </c>
      <c r="AB217" s="396"/>
      <c r="AC217" s="382"/>
      <c r="AD217" s="215">
        <f>CHMTCmTm!AD216</f>
        <v>0</v>
      </c>
      <c r="AE217" s="381" t="str">
        <f>IF(CHMTCmTm!AE216=0,"",CHMTCmTm!AE216)</f>
        <v/>
      </c>
      <c r="AF217" s="396"/>
      <c r="AG217" s="382"/>
      <c r="AH217" s="215">
        <f>CHMTCmTm!AH216</f>
        <v>0</v>
      </c>
      <c r="AI217" s="381" t="str">
        <f>IF(CHMTCmTm!AI216=0,"",CHMTCmTm!AI216)</f>
        <v/>
      </c>
      <c r="AJ217" s="396"/>
      <c r="AK217" s="382"/>
      <c r="AL217" s="215">
        <f>CHMTCmTm!AL216</f>
        <v>0</v>
      </c>
      <c r="AM217" s="381" t="str">
        <f>IF(CHMTCmTm!AM216=0,"",CHMTCmTm!AM216)</f>
        <v/>
      </c>
      <c r="AN217" s="396"/>
      <c r="AO217" s="382"/>
      <c r="AP217" s="381" t="str">
        <f>IF(CHMTCmTm!AP216=0,"",CHMTCmTm!AP216)</f>
        <v/>
      </c>
      <c r="AQ217" s="382"/>
      <c r="AR217" s="381" t="str">
        <f>IF(CHMTCmTm!AR216=0,"",CHMTCmTm!AR216)</f>
        <v/>
      </c>
      <c r="AS217" s="382"/>
      <c r="AT217" s="381" t="str">
        <f>IF(CHMTCmTm!AT216=0,"",CHMTCmTm!AT216)</f>
        <v/>
      </c>
      <c r="AU217" s="396"/>
      <c r="AV217" s="382"/>
      <c r="AW217" s="381" t="str">
        <f>IF(CHMTCmTm!AW216=0,"",CHMTCmTm!AW216)</f>
        <v/>
      </c>
      <c r="AX217" s="396"/>
      <c r="AY217" s="382"/>
      <c r="AZ217" s="24">
        <f>CHMTCmTm!AZ216</f>
        <v>0</v>
      </c>
      <c r="BC217" s="24">
        <f>COUNTIF(CHMTCmTm!O216, "Outreach Session")</f>
        <v>0</v>
      </c>
      <c r="BD217" s="24">
        <f>COUNTIF(CHMTCmTm!O216, "Mobile Clinic")</f>
        <v>0</v>
      </c>
      <c r="BE217" s="24">
        <f>COUNTIF(CHMTCmTm!O216, "Health Facility")</f>
        <v>0</v>
      </c>
    </row>
    <row r="218" spans="2:57" s="24" customFormat="1" ht="21.95" customHeight="1" x14ac:dyDescent="0.25">
      <c r="B218" s="397" t="str">
        <f>IF(CHMTCmTm!B217=0,"",CHMTCmTm!B217)</f>
        <v/>
      </c>
      <c r="C218" s="398"/>
      <c r="D218" s="399"/>
      <c r="E218" s="216">
        <f t="shared" si="7"/>
        <v>0</v>
      </c>
      <c r="F218" s="397" t="str">
        <f>IF(CHMTCmTm!F217=0,"",CHMTCmTm!F217)</f>
        <v/>
      </c>
      <c r="G218" s="398"/>
      <c r="H218" s="399"/>
      <c r="I218" s="381" t="str">
        <f>IF(CHMTCmTm!I217=0,"",CHMTCmTm!I217)</f>
        <v/>
      </c>
      <c r="J218" s="382"/>
      <c r="K218" s="381" t="str">
        <f>IF(CHMTCmTm!K217=0,"",CHMTCmTm!K217)</f>
        <v/>
      </c>
      <c r="L218" s="382"/>
      <c r="M218" s="381" t="str">
        <f>IF(CHMTCmTm!M217=0,"",CHMTCmTm!M217)</f>
        <v/>
      </c>
      <c r="N218" s="382"/>
      <c r="O218" s="381" t="str">
        <f>IF(CHMTCmTm!O217=0,"",CHMTCmTm!O217)</f>
        <v/>
      </c>
      <c r="P218" s="382"/>
      <c r="Q218" s="215" t="b">
        <f t="shared" si="6"/>
        <v>0</v>
      </c>
      <c r="R218" s="381" t="str">
        <f>IF(CHMTCmTm!R217=0,"",CHMTCmTm!R217)</f>
        <v/>
      </c>
      <c r="S218" s="382"/>
      <c r="T218" s="381" t="str">
        <f>IF(CHMTCmTm!T217=0,"",CHMTCmTm!T217)</f>
        <v/>
      </c>
      <c r="U218" s="382"/>
      <c r="V218" s="381" t="str">
        <f>IF(CHMTCmTm!V217=0,"",CHMTCmTm!V217)</f>
        <v/>
      </c>
      <c r="W218" s="396"/>
      <c r="X218" s="396"/>
      <c r="Y218" s="382"/>
      <c r="Z218" s="215">
        <f>CHMTCmTm!Z217</f>
        <v>0</v>
      </c>
      <c r="AA218" s="381" t="str">
        <f>IF(CHMTCmTm!AA217=0,"",CHMTCmTm!AA217)</f>
        <v/>
      </c>
      <c r="AB218" s="396"/>
      <c r="AC218" s="382"/>
      <c r="AD218" s="215">
        <f>CHMTCmTm!AD217</f>
        <v>0</v>
      </c>
      <c r="AE218" s="381" t="str">
        <f>IF(CHMTCmTm!AE217=0,"",CHMTCmTm!AE217)</f>
        <v/>
      </c>
      <c r="AF218" s="396"/>
      <c r="AG218" s="382"/>
      <c r="AH218" s="215">
        <f>CHMTCmTm!AH217</f>
        <v>0</v>
      </c>
      <c r="AI218" s="381" t="str">
        <f>IF(CHMTCmTm!AI217=0,"",CHMTCmTm!AI217)</f>
        <v/>
      </c>
      <c r="AJ218" s="396"/>
      <c r="AK218" s="382"/>
      <c r="AL218" s="215">
        <f>CHMTCmTm!AL217</f>
        <v>0</v>
      </c>
      <c r="AM218" s="381" t="str">
        <f>IF(CHMTCmTm!AM217=0,"",CHMTCmTm!AM217)</f>
        <v/>
      </c>
      <c r="AN218" s="396"/>
      <c r="AO218" s="382"/>
      <c r="AP218" s="381" t="str">
        <f>IF(CHMTCmTm!AP217=0,"",CHMTCmTm!AP217)</f>
        <v/>
      </c>
      <c r="AQ218" s="382"/>
      <c r="AR218" s="381" t="str">
        <f>IF(CHMTCmTm!AR217=0,"",CHMTCmTm!AR217)</f>
        <v/>
      </c>
      <c r="AS218" s="382"/>
      <c r="AT218" s="381" t="str">
        <f>IF(CHMTCmTm!AT217=0,"",CHMTCmTm!AT217)</f>
        <v/>
      </c>
      <c r="AU218" s="396"/>
      <c r="AV218" s="382"/>
      <c r="AW218" s="381" t="str">
        <f>IF(CHMTCmTm!AW217=0,"",CHMTCmTm!AW217)</f>
        <v/>
      </c>
      <c r="AX218" s="396"/>
      <c r="AY218" s="382"/>
      <c r="AZ218" s="24">
        <f>CHMTCmTm!AZ217</f>
        <v>0</v>
      </c>
      <c r="BC218" s="24">
        <f>COUNTIF(CHMTCmTm!O217, "Outreach Session")</f>
        <v>0</v>
      </c>
      <c r="BD218" s="24">
        <f>COUNTIF(CHMTCmTm!O217, "Mobile Clinic")</f>
        <v>0</v>
      </c>
      <c r="BE218" s="24">
        <f>COUNTIF(CHMTCmTm!O217, "Health Facility")</f>
        <v>0</v>
      </c>
    </row>
    <row r="219" spans="2:57" s="24" customFormat="1" ht="21.95" customHeight="1" x14ac:dyDescent="0.25">
      <c r="B219" s="397" t="str">
        <f>IF(CHMTCmTm!B218=0,"",CHMTCmTm!B218)</f>
        <v/>
      </c>
      <c r="C219" s="398"/>
      <c r="D219" s="399"/>
      <c r="E219" s="216">
        <f t="shared" si="7"/>
        <v>0</v>
      </c>
      <c r="F219" s="397" t="str">
        <f>IF(CHMTCmTm!F218=0,"",CHMTCmTm!F218)</f>
        <v/>
      </c>
      <c r="G219" s="398"/>
      <c r="H219" s="399"/>
      <c r="I219" s="381" t="str">
        <f>IF(CHMTCmTm!I218=0,"",CHMTCmTm!I218)</f>
        <v/>
      </c>
      <c r="J219" s="382"/>
      <c r="K219" s="381" t="str">
        <f>IF(CHMTCmTm!K218=0,"",CHMTCmTm!K218)</f>
        <v/>
      </c>
      <c r="L219" s="382"/>
      <c r="M219" s="381" t="str">
        <f>IF(CHMTCmTm!M218=0,"",CHMTCmTm!M218)</f>
        <v/>
      </c>
      <c r="N219" s="382"/>
      <c r="O219" s="381" t="str">
        <f>IF(CHMTCmTm!O218=0,"",CHMTCmTm!O218)</f>
        <v/>
      </c>
      <c r="P219" s="382"/>
      <c r="Q219" s="215" t="b">
        <f t="shared" si="6"/>
        <v>0</v>
      </c>
      <c r="R219" s="381" t="str">
        <f>IF(CHMTCmTm!R218=0,"",CHMTCmTm!R218)</f>
        <v/>
      </c>
      <c r="S219" s="382"/>
      <c r="T219" s="381" t="str">
        <f>IF(CHMTCmTm!T218=0,"",CHMTCmTm!T218)</f>
        <v/>
      </c>
      <c r="U219" s="382"/>
      <c r="V219" s="381" t="str">
        <f>IF(CHMTCmTm!V218=0,"",CHMTCmTm!V218)</f>
        <v/>
      </c>
      <c r="W219" s="396"/>
      <c r="X219" s="396"/>
      <c r="Y219" s="382"/>
      <c r="Z219" s="215">
        <f>CHMTCmTm!Z218</f>
        <v>0</v>
      </c>
      <c r="AA219" s="381" t="str">
        <f>IF(CHMTCmTm!AA218=0,"",CHMTCmTm!AA218)</f>
        <v/>
      </c>
      <c r="AB219" s="396"/>
      <c r="AC219" s="382"/>
      <c r="AD219" s="215">
        <f>CHMTCmTm!AD218</f>
        <v>0</v>
      </c>
      <c r="AE219" s="381" t="str">
        <f>IF(CHMTCmTm!AE218=0,"",CHMTCmTm!AE218)</f>
        <v/>
      </c>
      <c r="AF219" s="396"/>
      <c r="AG219" s="382"/>
      <c r="AH219" s="215">
        <f>CHMTCmTm!AH218</f>
        <v>0</v>
      </c>
      <c r="AI219" s="381" t="str">
        <f>IF(CHMTCmTm!AI218=0,"",CHMTCmTm!AI218)</f>
        <v/>
      </c>
      <c r="AJ219" s="396"/>
      <c r="AK219" s="382"/>
      <c r="AL219" s="215">
        <f>CHMTCmTm!AL218</f>
        <v>0</v>
      </c>
      <c r="AM219" s="381" t="str">
        <f>IF(CHMTCmTm!AM218=0,"",CHMTCmTm!AM218)</f>
        <v/>
      </c>
      <c r="AN219" s="396"/>
      <c r="AO219" s="382"/>
      <c r="AP219" s="381" t="str">
        <f>IF(CHMTCmTm!AP218=0,"",CHMTCmTm!AP218)</f>
        <v/>
      </c>
      <c r="AQ219" s="382"/>
      <c r="AR219" s="381" t="str">
        <f>IF(CHMTCmTm!AR218=0,"",CHMTCmTm!AR218)</f>
        <v/>
      </c>
      <c r="AS219" s="382"/>
      <c r="AT219" s="381" t="str">
        <f>IF(CHMTCmTm!AT218=0,"",CHMTCmTm!AT218)</f>
        <v/>
      </c>
      <c r="AU219" s="396"/>
      <c r="AV219" s="382"/>
      <c r="AW219" s="381" t="str">
        <f>IF(CHMTCmTm!AW218=0,"",CHMTCmTm!AW218)</f>
        <v/>
      </c>
      <c r="AX219" s="396"/>
      <c r="AY219" s="382"/>
      <c r="AZ219" s="24">
        <f>CHMTCmTm!AZ218</f>
        <v>0</v>
      </c>
      <c r="BC219" s="24">
        <f>COUNTIF(CHMTCmTm!O218, "Outreach Session")</f>
        <v>0</v>
      </c>
      <c r="BD219" s="24">
        <f>COUNTIF(CHMTCmTm!O218, "Mobile Clinic")</f>
        <v>0</v>
      </c>
      <c r="BE219" s="24">
        <f>COUNTIF(CHMTCmTm!O218, "Health Facility")</f>
        <v>0</v>
      </c>
    </row>
    <row r="220" spans="2:57" s="24" customFormat="1" ht="21.95" customHeight="1" x14ac:dyDescent="0.25">
      <c r="B220" s="397" t="str">
        <f>IF(CHMTCmTm!B219=0,"",CHMTCmTm!B219)</f>
        <v/>
      </c>
      <c r="C220" s="398"/>
      <c r="D220" s="399"/>
      <c r="E220" s="216">
        <f t="shared" si="7"/>
        <v>0</v>
      </c>
      <c r="F220" s="397" t="str">
        <f>IF(CHMTCmTm!F219=0,"",CHMTCmTm!F219)</f>
        <v/>
      </c>
      <c r="G220" s="398"/>
      <c r="H220" s="399"/>
      <c r="I220" s="381" t="str">
        <f>IF(CHMTCmTm!I219=0,"",CHMTCmTm!I219)</f>
        <v/>
      </c>
      <c r="J220" s="382"/>
      <c r="K220" s="381" t="str">
        <f>IF(CHMTCmTm!K219=0,"",CHMTCmTm!K219)</f>
        <v/>
      </c>
      <c r="L220" s="382"/>
      <c r="M220" s="381" t="str">
        <f>IF(CHMTCmTm!M219=0,"",CHMTCmTm!M219)</f>
        <v/>
      </c>
      <c r="N220" s="382"/>
      <c r="O220" s="381" t="str">
        <f>IF(CHMTCmTm!O219=0,"",CHMTCmTm!O219)</f>
        <v/>
      </c>
      <c r="P220" s="382"/>
      <c r="Q220" s="215" t="b">
        <f t="shared" si="6"/>
        <v>0</v>
      </c>
      <c r="R220" s="381" t="str">
        <f>IF(CHMTCmTm!R219=0,"",CHMTCmTm!R219)</f>
        <v/>
      </c>
      <c r="S220" s="382"/>
      <c r="T220" s="381" t="str">
        <f>IF(CHMTCmTm!T219=0,"",CHMTCmTm!T219)</f>
        <v/>
      </c>
      <c r="U220" s="382"/>
      <c r="V220" s="381" t="str">
        <f>IF(CHMTCmTm!V219=0,"",CHMTCmTm!V219)</f>
        <v/>
      </c>
      <c r="W220" s="396"/>
      <c r="X220" s="396"/>
      <c r="Y220" s="382"/>
      <c r="Z220" s="215">
        <f>CHMTCmTm!Z219</f>
        <v>0</v>
      </c>
      <c r="AA220" s="381" t="str">
        <f>IF(CHMTCmTm!AA219=0,"",CHMTCmTm!AA219)</f>
        <v/>
      </c>
      <c r="AB220" s="396"/>
      <c r="AC220" s="382"/>
      <c r="AD220" s="215">
        <f>CHMTCmTm!AD219</f>
        <v>0</v>
      </c>
      <c r="AE220" s="381" t="str">
        <f>IF(CHMTCmTm!AE219=0,"",CHMTCmTm!AE219)</f>
        <v/>
      </c>
      <c r="AF220" s="396"/>
      <c r="AG220" s="382"/>
      <c r="AH220" s="215">
        <f>CHMTCmTm!AH219</f>
        <v>0</v>
      </c>
      <c r="AI220" s="381" t="str">
        <f>IF(CHMTCmTm!AI219=0,"",CHMTCmTm!AI219)</f>
        <v/>
      </c>
      <c r="AJ220" s="396"/>
      <c r="AK220" s="382"/>
      <c r="AL220" s="215">
        <f>CHMTCmTm!AL219</f>
        <v>0</v>
      </c>
      <c r="AM220" s="381" t="str">
        <f>IF(CHMTCmTm!AM219=0,"",CHMTCmTm!AM219)</f>
        <v/>
      </c>
      <c r="AN220" s="396"/>
      <c r="AO220" s="382"/>
      <c r="AP220" s="381" t="str">
        <f>IF(CHMTCmTm!AP219=0,"",CHMTCmTm!AP219)</f>
        <v/>
      </c>
      <c r="AQ220" s="382"/>
      <c r="AR220" s="381" t="str">
        <f>IF(CHMTCmTm!AR219=0,"",CHMTCmTm!AR219)</f>
        <v/>
      </c>
      <c r="AS220" s="382"/>
      <c r="AT220" s="381" t="str">
        <f>IF(CHMTCmTm!AT219=0,"",CHMTCmTm!AT219)</f>
        <v/>
      </c>
      <c r="AU220" s="396"/>
      <c r="AV220" s="382"/>
      <c r="AW220" s="381" t="str">
        <f>IF(CHMTCmTm!AW219=0,"",CHMTCmTm!AW219)</f>
        <v/>
      </c>
      <c r="AX220" s="396"/>
      <c r="AY220" s="382"/>
      <c r="AZ220" s="24">
        <f>CHMTCmTm!AZ219</f>
        <v>0</v>
      </c>
      <c r="BC220" s="24">
        <f>COUNTIF(CHMTCmTm!O219, "Outreach Session")</f>
        <v>0</v>
      </c>
      <c r="BD220" s="24">
        <f>COUNTIF(CHMTCmTm!O219, "Mobile Clinic")</f>
        <v>0</v>
      </c>
      <c r="BE220" s="24">
        <f>COUNTIF(CHMTCmTm!O219, "Health Facility")</f>
        <v>0</v>
      </c>
    </row>
    <row r="221" spans="2:57" s="24" customFormat="1" ht="21.95" customHeight="1" x14ac:dyDescent="0.25">
      <c r="B221" s="397" t="str">
        <f>IF(CHMTCmTm!B220=0,"",CHMTCmTm!B220)</f>
        <v/>
      </c>
      <c r="C221" s="398"/>
      <c r="D221" s="399"/>
      <c r="E221" s="216">
        <f t="shared" si="7"/>
        <v>0</v>
      </c>
      <c r="F221" s="397" t="str">
        <f>IF(CHMTCmTm!F220=0,"",CHMTCmTm!F220)</f>
        <v/>
      </c>
      <c r="G221" s="398"/>
      <c r="H221" s="399"/>
      <c r="I221" s="381" t="str">
        <f>IF(CHMTCmTm!I220=0,"",CHMTCmTm!I220)</f>
        <v/>
      </c>
      <c r="J221" s="382"/>
      <c r="K221" s="381" t="str">
        <f>IF(CHMTCmTm!K220=0,"",CHMTCmTm!K220)</f>
        <v/>
      </c>
      <c r="L221" s="382"/>
      <c r="M221" s="381" t="str">
        <f>IF(CHMTCmTm!M220=0,"",CHMTCmTm!M220)</f>
        <v/>
      </c>
      <c r="N221" s="382"/>
      <c r="O221" s="381" t="str">
        <f>IF(CHMTCmTm!O220=0,"",CHMTCmTm!O220)</f>
        <v/>
      </c>
      <c r="P221" s="382"/>
      <c r="Q221" s="215" t="b">
        <f t="shared" si="6"/>
        <v>0</v>
      </c>
      <c r="R221" s="381" t="str">
        <f>IF(CHMTCmTm!R220=0,"",CHMTCmTm!R220)</f>
        <v/>
      </c>
      <c r="S221" s="382"/>
      <c r="T221" s="381" t="str">
        <f>IF(CHMTCmTm!T220=0,"",CHMTCmTm!T220)</f>
        <v/>
      </c>
      <c r="U221" s="382"/>
      <c r="V221" s="381" t="str">
        <f>IF(CHMTCmTm!V220=0,"",CHMTCmTm!V220)</f>
        <v/>
      </c>
      <c r="W221" s="396"/>
      <c r="X221" s="396"/>
      <c r="Y221" s="382"/>
      <c r="Z221" s="215">
        <f>CHMTCmTm!Z220</f>
        <v>0</v>
      </c>
      <c r="AA221" s="381" t="str">
        <f>IF(CHMTCmTm!AA220=0,"",CHMTCmTm!AA220)</f>
        <v/>
      </c>
      <c r="AB221" s="396"/>
      <c r="AC221" s="382"/>
      <c r="AD221" s="215">
        <f>CHMTCmTm!AD220</f>
        <v>0</v>
      </c>
      <c r="AE221" s="381" t="str">
        <f>IF(CHMTCmTm!AE220=0,"",CHMTCmTm!AE220)</f>
        <v/>
      </c>
      <c r="AF221" s="396"/>
      <c r="AG221" s="382"/>
      <c r="AH221" s="215">
        <f>CHMTCmTm!AH220</f>
        <v>0</v>
      </c>
      <c r="AI221" s="381" t="str">
        <f>IF(CHMTCmTm!AI220=0,"",CHMTCmTm!AI220)</f>
        <v/>
      </c>
      <c r="AJ221" s="396"/>
      <c r="AK221" s="382"/>
      <c r="AL221" s="215">
        <f>CHMTCmTm!AL220</f>
        <v>0</v>
      </c>
      <c r="AM221" s="381" t="str">
        <f>IF(CHMTCmTm!AM220=0,"",CHMTCmTm!AM220)</f>
        <v/>
      </c>
      <c r="AN221" s="396"/>
      <c r="AO221" s="382"/>
      <c r="AP221" s="381" t="str">
        <f>IF(CHMTCmTm!AP220=0,"",CHMTCmTm!AP220)</f>
        <v/>
      </c>
      <c r="AQ221" s="382"/>
      <c r="AR221" s="381" t="str">
        <f>IF(CHMTCmTm!AR220=0,"",CHMTCmTm!AR220)</f>
        <v/>
      </c>
      <c r="AS221" s="382"/>
      <c r="AT221" s="381" t="str">
        <f>IF(CHMTCmTm!AT220=0,"",CHMTCmTm!AT220)</f>
        <v/>
      </c>
      <c r="AU221" s="396"/>
      <c r="AV221" s="382"/>
      <c r="AW221" s="381" t="str">
        <f>IF(CHMTCmTm!AW220=0,"",CHMTCmTm!AW220)</f>
        <v/>
      </c>
      <c r="AX221" s="396"/>
      <c r="AY221" s="382"/>
      <c r="AZ221" s="24">
        <f>CHMTCmTm!AZ220</f>
        <v>0</v>
      </c>
      <c r="BC221" s="24">
        <f>COUNTIF(CHMTCmTm!O220, "Outreach Session")</f>
        <v>0</v>
      </c>
      <c r="BD221" s="24">
        <f>COUNTIF(CHMTCmTm!O220, "Mobile Clinic")</f>
        <v>0</v>
      </c>
      <c r="BE221" s="24">
        <f>COUNTIF(CHMTCmTm!O220, "Health Facility")</f>
        <v>0</v>
      </c>
    </row>
    <row r="222" spans="2:57" s="24" customFormat="1" ht="21.95" customHeight="1" x14ac:dyDescent="0.25">
      <c r="B222" s="397" t="str">
        <f>IF(CHMTCmTm!B221=0,"",CHMTCmTm!B221)</f>
        <v/>
      </c>
      <c r="C222" s="398"/>
      <c r="D222" s="399"/>
      <c r="E222" s="216">
        <f t="shared" si="7"/>
        <v>0</v>
      </c>
      <c r="F222" s="397" t="str">
        <f>IF(CHMTCmTm!F221=0,"",CHMTCmTm!F221)</f>
        <v/>
      </c>
      <c r="G222" s="398"/>
      <c r="H222" s="399"/>
      <c r="I222" s="381" t="str">
        <f>IF(CHMTCmTm!I221=0,"",CHMTCmTm!I221)</f>
        <v/>
      </c>
      <c r="J222" s="382"/>
      <c r="K222" s="381" t="str">
        <f>IF(CHMTCmTm!K221=0,"",CHMTCmTm!K221)</f>
        <v/>
      </c>
      <c r="L222" s="382"/>
      <c r="M222" s="381" t="str">
        <f>IF(CHMTCmTm!M221=0,"",CHMTCmTm!M221)</f>
        <v/>
      </c>
      <c r="N222" s="382"/>
      <c r="O222" s="381" t="str">
        <f>IF(CHMTCmTm!O221=0,"",CHMTCmTm!O221)</f>
        <v/>
      </c>
      <c r="P222" s="382"/>
      <c r="Q222" s="215" t="b">
        <f t="shared" si="6"/>
        <v>0</v>
      </c>
      <c r="R222" s="381" t="str">
        <f>IF(CHMTCmTm!R221=0,"",CHMTCmTm!R221)</f>
        <v/>
      </c>
      <c r="S222" s="382"/>
      <c r="T222" s="381" t="str">
        <f>IF(CHMTCmTm!T221=0,"",CHMTCmTm!T221)</f>
        <v/>
      </c>
      <c r="U222" s="382"/>
      <c r="V222" s="381" t="str">
        <f>IF(CHMTCmTm!V221=0,"",CHMTCmTm!V221)</f>
        <v/>
      </c>
      <c r="W222" s="396"/>
      <c r="X222" s="396"/>
      <c r="Y222" s="382"/>
      <c r="Z222" s="215">
        <f>CHMTCmTm!Z221</f>
        <v>0</v>
      </c>
      <c r="AA222" s="381" t="str">
        <f>IF(CHMTCmTm!AA221=0,"",CHMTCmTm!AA221)</f>
        <v/>
      </c>
      <c r="AB222" s="396"/>
      <c r="AC222" s="382"/>
      <c r="AD222" s="215">
        <f>CHMTCmTm!AD221</f>
        <v>0</v>
      </c>
      <c r="AE222" s="381" t="str">
        <f>IF(CHMTCmTm!AE221=0,"",CHMTCmTm!AE221)</f>
        <v/>
      </c>
      <c r="AF222" s="396"/>
      <c r="AG222" s="382"/>
      <c r="AH222" s="215">
        <f>CHMTCmTm!AH221</f>
        <v>0</v>
      </c>
      <c r="AI222" s="381" t="str">
        <f>IF(CHMTCmTm!AI221=0,"",CHMTCmTm!AI221)</f>
        <v/>
      </c>
      <c r="AJ222" s="396"/>
      <c r="AK222" s="382"/>
      <c r="AL222" s="215">
        <f>CHMTCmTm!AL221</f>
        <v>0</v>
      </c>
      <c r="AM222" s="381" t="str">
        <f>IF(CHMTCmTm!AM221=0,"",CHMTCmTm!AM221)</f>
        <v/>
      </c>
      <c r="AN222" s="396"/>
      <c r="AO222" s="382"/>
      <c r="AP222" s="381" t="str">
        <f>IF(CHMTCmTm!AP221=0,"",CHMTCmTm!AP221)</f>
        <v/>
      </c>
      <c r="AQ222" s="382"/>
      <c r="AR222" s="381" t="str">
        <f>IF(CHMTCmTm!AR221=0,"",CHMTCmTm!AR221)</f>
        <v/>
      </c>
      <c r="AS222" s="382"/>
      <c r="AT222" s="381" t="str">
        <f>IF(CHMTCmTm!AT221=0,"",CHMTCmTm!AT221)</f>
        <v/>
      </c>
      <c r="AU222" s="396"/>
      <c r="AV222" s="382"/>
      <c r="AW222" s="381" t="str">
        <f>IF(CHMTCmTm!AW221=0,"",CHMTCmTm!AW221)</f>
        <v/>
      </c>
      <c r="AX222" s="396"/>
      <c r="AY222" s="382"/>
      <c r="AZ222" s="24">
        <f>CHMTCmTm!AZ221</f>
        <v>0</v>
      </c>
      <c r="BC222" s="24">
        <f>COUNTIF(CHMTCmTm!O221, "Outreach Session")</f>
        <v>0</v>
      </c>
      <c r="BD222" s="24">
        <f>COUNTIF(CHMTCmTm!O221, "Mobile Clinic")</f>
        <v>0</v>
      </c>
      <c r="BE222" s="24">
        <f>COUNTIF(CHMTCmTm!O221, "Health Facility")</f>
        <v>0</v>
      </c>
    </row>
    <row r="223" spans="2:57" s="24" customFormat="1" ht="21.95" customHeight="1" x14ac:dyDescent="0.25">
      <c r="B223" s="397" t="str">
        <f>IF(CHMTCmTm!B222=0,"",CHMTCmTm!B222)</f>
        <v/>
      </c>
      <c r="C223" s="398"/>
      <c r="D223" s="399"/>
      <c r="E223" s="216">
        <f t="shared" si="7"/>
        <v>0</v>
      </c>
      <c r="F223" s="397" t="str">
        <f>IF(CHMTCmTm!F222=0,"",CHMTCmTm!F222)</f>
        <v/>
      </c>
      <c r="G223" s="398"/>
      <c r="H223" s="399"/>
      <c r="I223" s="381" t="str">
        <f>IF(CHMTCmTm!I222=0,"",CHMTCmTm!I222)</f>
        <v/>
      </c>
      <c r="J223" s="382"/>
      <c r="K223" s="381" t="str">
        <f>IF(CHMTCmTm!K222=0,"",CHMTCmTm!K222)</f>
        <v/>
      </c>
      <c r="L223" s="382"/>
      <c r="M223" s="381" t="str">
        <f>IF(CHMTCmTm!M222=0,"",CHMTCmTm!M222)</f>
        <v/>
      </c>
      <c r="N223" s="382"/>
      <c r="O223" s="381" t="str">
        <f>IF(CHMTCmTm!O222=0,"",CHMTCmTm!O222)</f>
        <v/>
      </c>
      <c r="P223" s="382"/>
      <c r="Q223" s="215" t="b">
        <f t="shared" si="6"/>
        <v>0</v>
      </c>
      <c r="R223" s="381" t="str">
        <f>IF(CHMTCmTm!R222=0,"",CHMTCmTm!R222)</f>
        <v/>
      </c>
      <c r="S223" s="382"/>
      <c r="T223" s="381" t="str">
        <f>IF(CHMTCmTm!T222=0,"",CHMTCmTm!T222)</f>
        <v/>
      </c>
      <c r="U223" s="382"/>
      <c r="V223" s="381" t="str">
        <f>IF(CHMTCmTm!V222=0,"",CHMTCmTm!V222)</f>
        <v/>
      </c>
      <c r="W223" s="396"/>
      <c r="X223" s="396"/>
      <c r="Y223" s="382"/>
      <c r="Z223" s="215">
        <f>CHMTCmTm!Z222</f>
        <v>0</v>
      </c>
      <c r="AA223" s="381" t="str">
        <f>IF(CHMTCmTm!AA222=0,"",CHMTCmTm!AA222)</f>
        <v/>
      </c>
      <c r="AB223" s="396"/>
      <c r="AC223" s="382"/>
      <c r="AD223" s="215">
        <f>CHMTCmTm!AD222</f>
        <v>0</v>
      </c>
      <c r="AE223" s="381" t="str">
        <f>IF(CHMTCmTm!AE222=0,"",CHMTCmTm!AE222)</f>
        <v/>
      </c>
      <c r="AF223" s="396"/>
      <c r="AG223" s="382"/>
      <c r="AH223" s="215">
        <f>CHMTCmTm!AH222</f>
        <v>0</v>
      </c>
      <c r="AI223" s="381" t="str">
        <f>IF(CHMTCmTm!AI222=0,"",CHMTCmTm!AI222)</f>
        <v/>
      </c>
      <c r="AJ223" s="396"/>
      <c r="AK223" s="382"/>
      <c r="AL223" s="215">
        <f>CHMTCmTm!AL222</f>
        <v>0</v>
      </c>
      <c r="AM223" s="381" t="str">
        <f>IF(CHMTCmTm!AM222=0,"",CHMTCmTm!AM222)</f>
        <v/>
      </c>
      <c r="AN223" s="396"/>
      <c r="AO223" s="382"/>
      <c r="AP223" s="381" t="str">
        <f>IF(CHMTCmTm!AP222=0,"",CHMTCmTm!AP222)</f>
        <v/>
      </c>
      <c r="AQ223" s="382"/>
      <c r="AR223" s="381" t="str">
        <f>IF(CHMTCmTm!AR222=0,"",CHMTCmTm!AR222)</f>
        <v/>
      </c>
      <c r="AS223" s="382"/>
      <c r="AT223" s="381" t="str">
        <f>IF(CHMTCmTm!AT222=0,"",CHMTCmTm!AT222)</f>
        <v/>
      </c>
      <c r="AU223" s="396"/>
      <c r="AV223" s="382"/>
      <c r="AW223" s="381" t="str">
        <f>IF(CHMTCmTm!AW222=0,"",CHMTCmTm!AW222)</f>
        <v/>
      </c>
      <c r="AX223" s="396"/>
      <c r="AY223" s="382"/>
      <c r="AZ223" s="24">
        <f>CHMTCmTm!AZ222</f>
        <v>0</v>
      </c>
      <c r="BC223" s="24">
        <f>COUNTIF(CHMTCmTm!O222, "Outreach Session")</f>
        <v>0</v>
      </c>
      <c r="BD223" s="24">
        <f>COUNTIF(CHMTCmTm!O222, "Mobile Clinic")</f>
        <v>0</v>
      </c>
      <c r="BE223" s="24">
        <f>COUNTIF(CHMTCmTm!O222, "Health Facility")</f>
        <v>0</v>
      </c>
    </row>
    <row r="224" spans="2:57" s="24" customFormat="1" ht="21.95" customHeight="1" x14ac:dyDescent="0.25">
      <c r="B224" s="397" t="str">
        <f>IF(CHMTCmTm!B223=0,"",CHMTCmTm!B223)</f>
        <v/>
      </c>
      <c r="C224" s="398"/>
      <c r="D224" s="399"/>
      <c r="E224" s="216">
        <f t="shared" si="7"/>
        <v>0</v>
      </c>
      <c r="F224" s="397" t="str">
        <f>IF(CHMTCmTm!F223=0,"",CHMTCmTm!F223)</f>
        <v/>
      </c>
      <c r="G224" s="398"/>
      <c r="H224" s="399"/>
      <c r="I224" s="381" t="str">
        <f>IF(CHMTCmTm!I223=0,"",CHMTCmTm!I223)</f>
        <v/>
      </c>
      <c r="J224" s="382"/>
      <c r="K224" s="381" t="str">
        <f>IF(CHMTCmTm!K223=0,"",CHMTCmTm!K223)</f>
        <v/>
      </c>
      <c r="L224" s="382"/>
      <c r="M224" s="381" t="str">
        <f>IF(CHMTCmTm!M223=0,"",CHMTCmTm!M223)</f>
        <v/>
      </c>
      <c r="N224" s="382"/>
      <c r="O224" s="381" t="str">
        <f>IF(CHMTCmTm!O223=0,"",CHMTCmTm!O223)</f>
        <v/>
      </c>
      <c r="P224" s="382"/>
      <c r="Q224" s="215" t="b">
        <f t="shared" si="6"/>
        <v>0</v>
      </c>
      <c r="R224" s="381" t="str">
        <f>IF(CHMTCmTm!R223=0,"",CHMTCmTm!R223)</f>
        <v/>
      </c>
      <c r="S224" s="382"/>
      <c r="T224" s="381" t="str">
        <f>IF(CHMTCmTm!T223=0,"",CHMTCmTm!T223)</f>
        <v/>
      </c>
      <c r="U224" s="382"/>
      <c r="V224" s="381" t="str">
        <f>IF(CHMTCmTm!V223=0,"",CHMTCmTm!V223)</f>
        <v/>
      </c>
      <c r="W224" s="396"/>
      <c r="X224" s="396"/>
      <c r="Y224" s="382"/>
      <c r="Z224" s="215">
        <f>CHMTCmTm!Z223</f>
        <v>0</v>
      </c>
      <c r="AA224" s="381" t="str">
        <f>IF(CHMTCmTm!AA223=0,"",CHMTCmTm!AA223)</f>
        <v/>
      </c>
      <c r="AB224" s="396"/>
      <c r="AC224" s="382"/>
      <c r="AD224" s="215">
        <f>CHMTCmTm!AD223</f>
        <v>0</v>
      </c>
      <c r="AE224" s="381" t="str">
        <f>IF(CHMTCmTm!AE223=0,"",CHMTCmTm!AE223)</f>
        <v/>
      </c>
      <c r="AF224" s="396"/>
      <c r="AG224" s="382"/>
      <c r="AH224" s="215">
        <f>CHMTCmTm!AH223</f>
        <v>0</v>
      </c>
      <c r="AI224" s="381" t="str">
        <f>IF(CHMTCmTm!AI223=0,"",CHMTCmTm!AI223)</f>
        <v/>
      </c>
      <c r="AJ224" s="396"/>
      <c r="AK224" s="382"/>
      <c r="AL224" s="215">
        <f>CHMTCmTm!AL223</f>
        <v>0</v>
      </c>
      <c r="AM224" s="381" t="str">
        <f>IF(CHMTCmTm!AM223=0,"",CHMTCmTm!AM223)</f>
        <v/>
      </c>
      <c r="AN224" s="396"/>
      <c r="AO224" s="382"/>
      <c r="AP224" s="381" t="str">
        <f>IF(CHMTCmTm!AP223=0,"",CHMTCmTm!AP223)</f>
        <v/>
      </c>
      <c r="AQ224" s="382"/>
      <c r="AR224" s="381" t="str">
        <f>IF(CHMTCmTm!AR223=0,"",CHMTCmTm!AR223)</f>
        <v/>
      </c>
      <c r="AS224" s="382"/>
      <c r="AT224" s="381" t="str">
        <f>IF(CHMTCmTm!AT223=0,"",CHMTCmTm!AT223)</f>
        <v/>
      </c>
      <c r="AU224" s="396"/>
      <c r="AV224" s="382"/>
      <c r="AW224" s="381" t="str">
        <f>IF(CHMTCmTm!AW223=0,"",CHMTCmTm!AW223)</f>
        <v/>
      </c>
      <c r="AX224" s="396"/>
      <c r="AY224" s="382"/>
      <c r="AZ224" s="24">
        <f>CHMTCmTm!AZ223</f>
        <v>0</v>
      </c>
      <c r="BC224" s="24">
        <f>COUNTIF(CHMTCmTm!O223, "Outreach Session")</f>
        <v>0</v>
      </c>
      <c r="BD224" s="24">
        <f>COUNTIF(CHMTCmTm!O223, "Mobile Clinic")</f>
        <v>0</v>
      </c>
      <c r="BE224" s="24">
        <f>COUNTIF(CHMTCmTm!O223, "Health Facility")</f>
        <v>0</v>
      </c>
    </row>
    <row r="225" spans="2:57" s="24" customFormat="1" ht="21.95" customHeight="1" x14ac:dyDescent="0.25">
      <c r="B225" s="397" t="str">
        <f>IF(CHMTCmTm!B224=0,"",CHMTCmTm!B224)</f>
        <v/>
      </c>
      <c r="C225" s="398"/>
      <c r="D225" s="399"/>
      <c r="E225" s="216">
        <f t="shared" si="7"/>
        <v>0</v>
      </c>
      <c r="F225" s="397" t="str">
        <f>IF(CHMTCmTm!F224=0,"",CHMTCmTm!F224)</f>
        <v/>
      </c>
      <c r="G225" s="398"/>
      <c r="H225" s="399"/>
      <c r="I225" s="381" t="str">
        <f>IF(CHMTCmTm!I224=0,"",CHMTCmTm!I224)</f>
        <v/>
      </c>
      <c r="J225" s="382"/>
      <c r="K225" s="381" t="str">
        <f>IF(CHMTCmTm!K224=0,"",CHMTCmTm!K224)</f>
        <v/>
      </c>
      <c r="L225" s="382"/>
      <c r="M225" s="381" t="str">
        <f>IF(CHMTCmTm!M224=0,"",CHMTCmTm!M224)</f>
        <v/>
      </c>
      <c r="N225" s="382"/>
      <c r="O225" s="381" t="str">
        <f>IF(CHMTCmTm!O224=0,"",CHMTCmTm!O224)</f>
        <v/>
      </c>
      <c r="P225" s="382"/>
      <c r="Q225" s="215" t="b">
        <f t="shared" si="6"/>
        <v>0</v>
      </c>
      <c r="R225" s="381" t="str">
        <f>IF(CHMTCmTm!R224=0,"",CHMTCmTm!R224)</f>
        <v/>
      </c>
      <c r="S225" s="382"/>
      <c r="T225" s="381" t="str">
        <f>IF(CHMTCmTm!T224=0,"",CHMTCmTm!T224)</f>
        <v/>
      </c>
      <c r="U225" s="382"/>
      <c r="V225" s="381" t="str">
        <f>IF(CHMTCmTm!V224=0,"",CHMTCmTm!V224)</f>
        <v/>
      </c>
      <c r="W225" s="396"/>
      <c r="X225" s="396"/>
      <c r="Y225" s="382"/>
      <c r="Z225" s="215">
        <f>CHMTCmTm!Z224</f>
        <v>0</v>
      </c>
      <c r="AA225" s="381" t="str">
        <f>IF(CHMTCmTm!AA224=0,"",CHMTCmTm!AA224)</f>
        <v/>
      </c>
      <c r="AB225" s="396"/>
      <c r="AC225" s="382"/>
      <c r="AD225" s="215">
        <f>CHMTCmTm!AD224</f>
        <v>0</v>
      </c>
      <c r="AE225" s="381" t="str">
        <f>IF(CHMTCmTm!AE224=0,"",CHMTCmTm!AE224)</f>
        <v/>
      </c>
      <c r="AF225" s="396"/>
      <c r="AG225" s="382"/>
      <c r="AH225" s="215">
        <f>CHMTCmTm!AH224</f>
        <v>0</v>
      </c>
      <c r="AI225" s="381" t="str">
        <f>IF(CHMTCmTm!AI224=0,"",CHMTCmTm!AI224)</f>
        <v/>
      </c>
      <c r="AJ225" s="396"/>
      <c r="AK225" s="382"/>
      <c r="AL225" s="215">
        <f>CHMTCmTm!AL224</f>
        <v>0</v>
      </c>
      <c r="AM225" s="381" t="str">
        <f>IF(CHMTCmTm!AM224=0,"",CHMTCmTm!AM224)</f>
        <v/>
      </c>
      <c r="AN225" s="396"/>
      <c r="AO225" s="382"/>
      <c r="AP225" s="381" t="str">
        <f>IF(CHMTCmTm!AP224=0,"",CHMTCmTm!AP224)</f>
        <v/>
      </c>
      <c r="AQ225" s="382"/>
      <c r="AR225" s="381" t="str">
        <f>IF(CHMTCmTm!AR224=0,"",CHMTCmTm!AR224)</f>
        <v/>
      </c>
      <c r="AS225" s="382"/>
      <c r="AT225" s="381" t="str">
        <f>IF(CHMTCmTm!AT224=0,"",CHMTCmTm!AT224)</f>
        <v/>
      </c>
      <c r="AU225" s="396"/>
      <c r="AV225" s="382"/>
      <c r="AW225" s="381" t="str">
        <f>IF(CHMTCmTm!AW224=0,"",CHMTCmTm!AW224)</f>
        <v/>
      </c>
      <c r="AX225" s="396"/>
      <c r="AY225" s="382"/>
      <c r="AZ225" s="24">
        <f>CHMTCmTm!AZ224</f>
        <v>0</v>
      </c>
      <c r="BC225" s="24">
        <f>COUNTIF(CHMTCmTm!O224, "Outreach Session")</f>
        <v>0</v>
      </c>
      <c r="BD225" s="24">
        <f>COUNTIF(CHMTCmTm!O224, "Mobile Clinic")</f>
        <v>0</v>
      </c>
      <c r="BE225" s="24">
        <f>COUNTIF(CHMTCmTm!O224, "Health Facility")</f>
        <v>0</v>
      </c>
    </row>
    <row r="226" spans="2:57" s="24" customFormat="1" ht="21.95" customHeight="1" x14ac:dyDescent="0.25">
      <c r="B226" s="397" t="str">
        <f>IF(CHMTCmTm!B225=0,"",CHMTCmTm!B225)</f>
        <v/>
      </c>
      <c r="C226" s="398"/>
      <c r="D226" s="399"/>
      <c r="E226" s="216">
        <f t="shared" si="7"/>
        <v>0</v>
      </c>
      <c r="F226" s="397" t="str">
        <f>IF(CHMTCmTm!F225=0,"",CHMTCmTm!F225)</f>
        <v/>
      </c>
      <c r="G226" s="398"/>
      <c r="H226" s="399"/>
      <c r="I226" s="381" t="str">
        <f>IF(CHMTCmTm!I225=0,"",CHMTCmTm!I225)</f>
        <v/>
      </c>
      <c r="J226" s="382"/>
      <c r="K226" s="381" t="str">
        <f>IF(CHMTCmTm!K225=0,"",CHMTCmTm!K225)</f>
        <v/>
      </c>
      <c r="L226" s="382"/>
      <c r="M226" s="381" t="str">
        <f>IF(CHMTCmTm!M225=0,"",CHMTCmTm!M225)</f>
        <v/>
      </c>
      <c r="N226" s="382"/>
      <c r="O226" s="381" t="str">
        <f>IF(CHMTCmTm!O225=0,"",CHMTCmTm!O225)</f>
        <v/>
      </c>
      <c r="P226" s="382"/>
      <c r="Q226" s="215" t="b">
        <f t="shared" si="6"/>
        <v>0</v>
      </c>
      <c r="R226" s="381" t="str">
        <f>IF(CHMTCmTm!R225=0,"",CHMTCmTm!R225)</f>
        <v/>
      </c>
      <c r="S226" s="382"/>
      <c r="T226" s="381" t="str">
        <f>IF(CHMTCmTm!T225=0,"",CHMTCmTm!T225)</f>
        <v/>
      </c>
      <c r="U226" s="382"/>
      <c r="V226" s="381" t="str">
        <f>IF(CHMTCmTm!V225=0,"",CHMTCmTm!V225)</f>
        <v/>
      </c>
      <c r="W226" s="396"/>
      <c r="X226" s="396"/>
      <c r="Y226" s="382"/>
      <c r="Z226" s="215">
        <f>CHMTCmTm!Z225</f>
        <v>0</v>
      </c>
      <c r="AA226" s="381" t="str">
        <f>IF(CHMTCmTm!AA225=0,"",CHMTCmTm!AA225)</f>
        <v/>
      </c>
      <c r="AB226" s="396"/>
      <c r="AC226" s="382"/>
      <c r="AD226" s="215">
        <f>CHMTCmTm!AD225</f>
        <v>0</v>
      </c>
      <c r="AE226" s="381" t="str">
        <f>IF(CHMTCmTm!AE225=0,"",CHMTCmTm!AE225)</f>
        <v/>
      </c>
      <c r="AF226" s="396"/>
      <c r="AG226" s="382"/>
      <c r="AH226" s="215">
        <f>CHMTCmTm!AH225</f>
        <v>0</v>
      </c>
      <c r="AI226" s="381" t="str">
        <f>IF(CHMTCmTm!AI225=0,"",CHMTCmTm!AI225)</f>
        <v/>
      </c>
      <c r="AJ226" s="396"/>
      <c r="AK226" s="382"/>
      <c r="AL226" s="215">
        <f>CHMTCmTm!AL225</f>
        <v>0</v>
      </c>
      <c r="AM226" s="381" t="str">
        <f>IF(CHMTCmTm!AM225=0,"",CHMTCmTm!AM225)</f>
        <v/>
      </c>
      <c r="AN226" s="396"/>
      <c r="AO226" s="382"/>
      <c r="AP226" s="381" t="str">
        <f>IF(CHMTCmTm!AP225=0,"",CHMTCmTm!AP225)</f>
        <v/>
      </c>
      <c r="AQ226" s="382"/>
      <c r="AR226" s="381" t="str">
        <f>IF(CHMTCmTm!AR225=0,"",CHMTCmTm!AR225)</f>
        <v/>
      </c>
      <c r="AS226" s="382"/>
      <c r="AT226" s="381" t="str">
        <f>IF(CHMTCmTm!AT225=0,"",CHMTCmTm!AT225)</f>
        <v/>
      </c>
      <c r="AU226" s="396"/>
      <c r="AV226" s="382"/>
      <c r="AW226" s="381" t="str">
        <f>IF(CHMTCmTm!AW225=0,"",CHMTCmTm!AW225)</f>
        <v/>
      </c>
      <c r="AX226" s="396"/>
      <c r="AY226" s="382"/>
      <c r="AZ226" s="24">
        <f>CHMTCmTm!AZ225</f>
        <v>0</v>
      </c>
      <c r="BC226" s="24">
        <f>COUNTIF(CHMTCmTm!O225, "Outreach Session")</f>
        <v>0</v>
      </c>
      <c r="BD226" s="24">
        <f>COUNTIF(CHMTCmTm!O225, "Mobile Clinic")</f>
        <v>0</v>
      </c>
      <c r="BE226" s="24">
        <f>COUNTIF(CHMTCmTm!O225, "Health Facility")</f>
        <v>0</v>
      </c>
    </row>
    <row r="227" spans="2:57" s="24" customFormat="1" ht="21.95" customHeight="1" x14ac:dyDescent="0.25">
      <c r="B227" s="397" t="str">
        <f>IF(CHMTCmTm!B226=0,"",CHMTCmTm!B226)</f>
        <v/>
      </c>
      <c r="C227" s="398"/>
      <c r="D227" s="399"/>
      <c r="E227" s="216">
        <f t="shared" si="7"/>
        <v>0</v>
      </c>
      <c r="F227" s="397" t="str">
        <f>IF(CHMTCmTm!F226=0,"",CHMTCmTm!F226)</f>
        <v/>
      </c>
      <c r="G227" s="398"/>
      <c r="H227" s="399"/>
      <c r="I227" s="381" t="str">
        <f>IF(CHMTCmTm!I226=0,"",CHMTCmTm!I226)</f>
        <v/>
      </c>
      <c r="J227" s="382"/>
      <c r="K227" s="381" t="str">
        <f>IF(CHMTCmTm!K226=0,"",CHMTCmTm!K226)</f>
        <v/>
      </c>
      <c r="L227" s="382"/>
      <c r="M227" s="381" t="str">
        <f>IF(CHMTCmTm!M226=0,"",CHMTCmTm!M226)</f>
        <v/>
      </c>
      <c r="N227" s="382"/>
      <c r="O227" s="381" t="str">
        <f>IF(CHMTCmTm!O226=0,"",CHMTCmTm!O226)</f>
        <v/>
      </c>
      <c r="P227" s="382"/>
      <c r="Q227" s="215" t="b">
        <f t="shared" si="6"/>
        <v>0</v>
      </c>
      <c r="R227" s="381" t="str">
        <f>IF(CHMTCmTm!R226=0,"",CHMTCmTm!R226)</f>
        <v/>
      </c>
      <c r="S227" s="382"/>
      <c r="T227" s="381" t="str">
        <f>IF(CHMTCmTm!T226=0,"",CHMTCmTm!T226)</f>
        <v/>
      </c>
      <c r="U227" s="382"/>
      <c r="V227" s="381" t="str">
        <f>IF(CHMTCmTm!V226=0,"",CHMTCmTm!V226)</f>
        <v/>
      </c>
      <c r="W227" s="396"/>
      <c r="X227" s="396"/>
      <c r="Y227" s="382"/>
      <c r="Z227" s="215">
        <f>CHMTCmTm!Z226</f>
        <v>0</v>
      </c>
      <c r="AA227" s="381" t="str">
        <f>IF(CHMTCmTm!AA226=0,"",CHMTCmTm!AA226)</f>
        <v/>
      </c>
      <c r="AB227" s="396"/>
      <c r="AC227" s="382"/>
      <c r="AD227" s="215">
        <f>CHMTCmTm!AD226</f>
        <v>0</v>
      </c>
      <c r="AE227" s="381" t="str">
        <f>IF(CHMTCmTm!AE226=0,"",CHMTCmTm!AE226)</f>
        <v/>
      </c>
      <c r="AF227" s="396"/>
      <c r="AG227" s="382"/>
      <c r="AH227" s="215">
        <f>CHMTCmTm!AH226</f>
        <v>0</v>
      </c>
      <c r="AI227" s="381" t="str">
        <f>IF(CHMTCmTm!AI226=0,"",CHMTCmTm!AI226)</f>
        <v/>
      </c>
      <c r="AJ227" s="396"/>
      <c r="AK227" s="382"/>
      <c r="AL227" s="215">
        <f>CHMTCmTm!AL226</f>
        <v>0</v>
      </c>
      <c r="AM227" s="381" t="str">
        <f>IF(CHMTCmTm!AM226=0,"",CHMTCmTm!AM226)</f>
        <v/>
      </c>
      <c r="AN227" s="396"/>
      <c r="AO227" s="382"/>
      <c r="AP227" s="381" t="str">
        <f>IF(CHMTCmTm!AP226=0,"",CHMTCmTm!AP226)</f>
        <v/>
      </c>
      <c r="AQ227" s="382"/>
      <c r="AR227" s="381" t="str">
        <f>IF(CHMTCmTm!AR226=0,"",CHMTCmTm!AR226)</f>
        <v/>
      </c>
      <c r="AS227" s="382"/>
      <c r="AT227" s="381" t="str">
        <f>IF(CHMTCmTm!AT226=0,"",CHMTCmTm!AT226)</f>
        <v/>
      </c>
      <c r="AU227" s="396"/>
      <c r="AV227" s="382"/>
      <c r="AW227" s="381" t="str">
        <f>IF(CHMTCmTm!AW226=0,"",CHMTCmTm!AW226)</f>
        <v/>
      </c>
      <c r="AX227" s="396"/>
      <c r="AY227" s="382"/>
      <c r="AZ227" s="24">
        <f>CHMTCmTm!AZ226</f>
        <v>0</v>
      </c>
      <c r="BC227" s="24">
        <f>COUNTIF(CHMTCmTm!O226, "Outreach Session")</f>
        <v>0</v>
      </c>
      <c r="BD227" s="24">
        <f>COUNTIF(CHMTCmTm!O226, "Mobile Clinic")</f>
        <v>0</v>
      </c>
      <c r="BE227" s="24">
        <f>COUNTIF(CHMTCmTm!O226, "Health Facility")</f>
        <v>0</v>
      </c>
    </row>
    <row r="228" spans="2:57" s="24" customFormat="1" ht="21.95" customHeight="1" x14ac:dyDescent="0.25">
      <c r="B228" s="397" t="str">
        <f>IF(CHMTCmTm!B227=0,"",CHMTCmTm!B227)</f>
        <v/>
      </c>
      <c r="C228" s="398"/>
      <c r="D228" s="399"/>
      <c r="E228" s="216">
        <f t="shared" si="7"/>
        <v>0</v>
      </c>
      <c r="F228" s="397" t="str">
        <f>IF(CHMTCmTm!F227=0,"",CHMTCmTm!F227)</f>
        <v/>
      </c>
      <c r="G228" s="398"/>
      <c r="H228" s="399"/>
      <c r="I228" s="381" t="str">
        <f>IF(CHMTCmTm!I227=0,"",CHMTCmTm!I227)</f>
        <v/>
      </c>
      <c r="J228" s="382"/>
      <c r="K228" s="381" t="str">
        <f>IF(CHMTCmTm!K227=0,"",CHMTCmTm!K227)</f>
        <v/>
      </c>
      <c r="L228" s="382"/>
      <c r="M228" s="381" t="str">
        <f>IF(CHMTCmTm!M227=0,"",CHMTCmTm!M227)</f>
        <v/>
      </c>
      <c r="N228" s="382"/>
      <c r="O228" s="381" t="str">
        <f>IF(CHMTCmTm!O227=0,"",CHMTCmTm!O227)</f>
        <v/>
      </c>
      <c r="P228" s="382"/>
      <c r="Q228" s="215" t="b">
        <f t="shared" si="6"/>
        <v>0</v>
      </c>
      <c r="R228" s="381" t="str">
        <f>IF(CHMTCmTm!R227=0,"",CHMTCmTm!R227)</f>
        <v/>
      </c>
      <c r="S228" s="382"/>
      <c r="T228" s="381" t="str">
        <f>IF(CHMTCmTm!T227=0,"",CHMTCmTm!T227)</f>
        <v/>
      </c>
      <c r="U228" s="382"/>
      <c r="V228" s="381" t="str">
        <f>IF(CHMTCmTm!V227=0,"",CHMTCmTm!V227)</f>
        <v/>
      </c>
      <c r="W228" s="396"/>
      <c r="X228" s="396"/>
      <c r="Y228" s="382"/>
      <c r="Z228" s="215">
        <f>CHMTCmTm!Z227</f>
        <v>0</v>
      </c>
      <c r="AA228" s="381" t="str">
        <f>IF(CHMTCmTm!AA227=0,"",CHMTCmTm!AA227)</f>
        <v/>
      </c>
      <c r="AB228" s="396"/>
      <c r="AC228" s="382"/>
      <c r="AD228" s="215">
        <f>CHMTCmTm!AD227</f>
        <v>0</v>
      </c>
      <c r="AE228" s="381" t="str">
        <f>IF(CHMTCmTm!AE227=0,"",CHMTCmTm!AE227)</f>
        <v/>
      </c>
      <c r="AF228" s="396"/>
      <c r="AG228" s="382"/>
      <c r="AH228" s="215">
        <f>CHMTCmTm!AH227</f>
        <v>0</v>
      </c>
      <c r="AI228" s="381" t="str">
        <f>IF(CHMTCmTm!AI227=0,"",CHMTCmTm!AI227)</f>
        <v/>
      </c>
      <c r="AJ228" s="396"/>
      <c r="AK228" s="382"/>
      <c r="AL228" s="215">
        <f>CHMTCmTm!AL227</f>
        <v>0</v>
      </c>
      <c r="AM228" s="381" t="str">
        <f>IF(CHMTCmTm!AM227=0,"",CHMTCmTm!AM227)</f>
        <v/>
      </c>
      <c r="AN228" s="396"/>
      <c r="AO228" s="382"/>
      <c r="AP228" s="381" t="str">
        <f>IF(CHMTCmTm!AP227=0,"",CHMTCmTm!AP227)</f>
        <v/>
      </c>
      <c r="AQ228" s="382"/>
      <c r="AR228" s="381" t="str">
        <f>IF(CHMTCmTm!AR227=0,"",CHMTCmTm!AR227)</f>
        <v/>
      </c>
      <c r="AS228" s="382"/>
      <c r="AT228" s="381" t="str">
        <f>IF(CHMTCmTm!AT227=0,"",CHMTCmTm!AT227)</f>
        <v/>
      </c>
      <c r="AU228" s="396"/>
      <c r="AV228" s="382"/>
      <c r="AW228" s="381" t="str">
        <f>IF(CHMTCmTm!AW227=0,"",CHMTCmTm!AW227)</f>
        <v/>
      </c>
      <c r="AX228" s="396"/>
      <c r="AY228" s="382"/>
      <c r="AZ228" s="24">
        <f>CHMTCmTm!AZ227</f>
        <v>0</v>
      </c>
      <c r="BC228" s="24">
        <f>COUNTIF(CHMTCmTm!O227, "Outreach Session")</f>
        <v>0</v>
      </c>
      <c r="BD228" s="24">
        <f>COUNTIF(CHMTCmTm!O227, "Mobile Clinic")</f>
        <v>0</v>
      </c>
      <c r="BE228" s="24">
        <f>COUNTIF(CHMTCmTm!O227, "Health Facility")</f>
        <v>0</v>
      </c>
    </row>
    <row r="229" spans="2:57" s="24" customFormat="1" ht="21.95" customHeight="1" x14ac:dyDescent="0.25">
      <c r="B229" s="397" t="str">
        <f>IF(CHMTCmTm!B228=0,"",CHMTCmTm!B228)</f>
        <v/>
      </c>
      <c r="C229" s="398"/>
      <c r="D229" s="399"/>
      <c r="E229" s="216">
        <f t="shared" si="7"/>
        <v>0</v>
      </c>
      <c r="F229" s="397" t="str">
        <f>IF(CHMTCmTm!F228=0,"",CHMTCmTm!F228)</f>
        <v/>
      </c>
      <c r="G229" s="398"/>
      <c r="H229" s="399"/>
      <c r="I229" s="381" t="str">
        <f>IF(CHMTCmTm!I228=0,"",CHMTCmTm!I228)</f>
        <v/>
      </c>
      <c r="J229" s="382"/>
      <c r="K229" s="381" t="str">
        <f>IF(CHMTCmTm!K228=0,"",CHMTCmTm!K228)</f>
        <v/>
      </c>
      <c r="L229" s="382"/>
      <c r="M229" s="381" t="str">
        <f>IF(CHMTCmTm!M228=0,"",CHMTCmTm!M228)</f>
        <v/>
      </c>
      <c r="N229" s="382"/>
      <c r="O229" s="381" t="str">
        <f>IF(CHMTCmTm!O228=0,"",CHMTCmTm!O228)</f>
        <v/>
      </c>
      <c r="P229" s="382"/>
      <c r="Q229" s="215" t="b">
        <f t="shared" si="6"/>
        <v>0</v>
      </c>
      <c r="R229" s="381" t="str">
        <f>IF(CHMTCmTm!R228=0,"",CHMTCmTm!R228)</f>
        <v/>
      </c>
      <c r="S229" s="382"/>
      <c r="T229" s="381" t="str">
        <f>IF(CHMTCmTm!T228=0,"",CHMTCmTm!T228)</f>
        <v/>
      </c>
      <c r="U229" s="382"/>
      <c r="V229" s="381" t="str">
        <f>IF(CHMTCmTm!V228=0,"",CHMTCmTm!V228)</f>
        <v/>
      </c>
      <c r="W229" s="396"/>
      <c r="X229" s="396"/>
      <c r="Y229" s="382"/>
      <c r="Z229" s="215">
        <f>CHMTCmTm!Z228</f>
        <v>0</v>
      </c>
      <c r="AA229" s="381" t="str">
        <f>IF(CHMTCmTm!AA228=0,"",CHMTCmTm!AA228)</f>
        <v/>
      </c>
      <c r="AB229" s="396"/>
      <c r="AC229" s="382"/>
      <c r="AD229" s="215">
        <f>CHMTCmTm!AD228</f>
        <v>0</v>
      </c>
      <c r="AE229" s="381" t="str">
        <f>IF(CHMTCmTm!AE228=0,"",CHMTCmTm!AE228)</f>
        <v/>
      </c>
      <c r="AF229" s="396"/>
      <c r="AG229" s="382"/>
      <c r="AH229" s="215">
        <f>CHMTCmTm!AH228</f>
        <v>0</v>
      </c>
      <c r="AI229" s="381" t="str">
        <f>IF(CHMTCmTm!AI228=0,"",CHMTCmTm!AI228)</f>
        <v/>
      </c>
      <c r="AJ229" s="396"/>
      <c r="AK229" s="382"/>
      <c r="AL229" s="215">
        <f>CHMTCmTm!AL228</f>
        <v>0</v>
      </c>
      <c r="AM229" s="381" t="str">
        <f>IF(CHMTCmTm!AM228=0,"",CHMTCmTm!AM228)</f>
        <v/>
      </c>
      <c r="AN229" s="396"/>
      <c r="AO229" s="382"/>
      <c r="AP229" s="381" t="str">
        <f>IF(CHMTCmTm!AP228=0,"",CHMTCmTm!AP228)</f>
        <v/>
      </c>
      <c r="AQ229" s="382"/>
      <c r="AR229" s="381" t="str">
        <f>IF(CHMTCmTm!AR228=0,"",CHMTCmTm!AR228)</f>
        <v/>
      </c>
      <c r="AS229" s="382"/>
      <c r="AT229" s="381" t="str">
        <f>IF(CHMTCmTm!AT228=0,"",CHMTCmTm!AT228)</f>
        <v/>
      </c>
      <c r="AU229" s="396"/>
      <c r="AV229" s="382"/>
      <c r="AW229" s="381" t="str">
        <f>IF(CHMTCmTm!AW228=0,"",CHMTCmTm!AW228)</f>
        <v/>
      </c>
      <c r="AX229" s="396"/>
      <c r="AY229" s="382"/>
      <c r="AZ229" s="24">
        <f>CHMTCmTm!AZ228</f>
        <v>0</v>
      </c>
      <c r="BC229" s="24">
        <f>COUNTIF(CHMTCmTm!O228, "Outreach Session")</f>
        <v>0</v>
      </c>
      <c r="BD229" s="24">
        <f>COUNTIF(CHMTCmTm!O228, "Mobile Clinic")</f>
        <v>0</v>
      </c>
      <c r="BE229" s="24">
        <f>COUNTIF(CHMTCmTm!O228, "Health Facility")</f>
        <v>0</v>
      </c>
    </row>
    <row r="230" spans="2:57" s="24" customFormat="1" ht="21.95" customHeight="1" x14ac:dyDescent="0.25">
      <c r="B230" s="397" t="str">
        <f>IF(CHMTCmTm!B229=0,"",CHMTCmTm!B229)</f>
        <v/>
      </c>
      <c r="C230" s="398"/>
      <c r="D230" s="399"/>
      <c r="E230" s="216">
        <f t="shared" si="7"/>
        <v>0</v>
      </c>
      <c r="F230" s="397" t="str">
        <f>IF(CHMTCmTm!F229=0,"",CHMTCmTm!F229)</f>
        <v/>
      </c>
      <c r="G230" s="398"/>
      <c r="H230" s="399"/>
      <c r="I230" s="381" t="str">
        <f>IF(CHMTCmTm!I229=0,"",CHMTCmTm!I229)</f>
        <v/>
      </c>
      <c r="J230" s="382"/>
      <c r="K230" s="381" t="str">
        <f>IF(CHMTCmTm!K229=0,"",CHMTCmTm!K229)</f>
        <v/>
      </c>
      <c r="L230" s="382"/>
      <c r="M230" s="381" t="str">
        <f>IF(CHMTCmTm!M229=0,"",CHMTCmTm!M229)</f>
        <v/>
      </c>
      <c r="N230" s="382"/>
      <c r="O230" s="381" t="str">
        <f>IF(CHMTCmTm!O229=0,"",CHMTCmTm!O229)</f>
        <v/>
      </c>
      <c r="P230" s="382"/>
      <c r="Q230" s="215" t="b">
        <f t="shared" si="6"/>
        <v>0</v>
      </c>
      <c r="R230" s="381" t="str">
        <f>IF(CHMTCmTm!R229=0,"",CHMTCmTm!R229)</f>
        <v/>
      </c>
      <c r="S230" s="382"/>
      <c r="T230" s="381" t="str">
        <f>IF(CHMTCmTm!T229=0,"",CHMTCmTm!T229)</f>
        <v/>
      </c>
      <c r="U230" s="382"/>
      <c r="V230" s="381" t="str">
        <f>IF(CHMTCmTm!V229=0,"",CHMTCmTm!V229)</f>
        <v/>
      </c>
      <c r="W230" s="396"/>
      <c r="X230" s="396"/>
      <c r="Y230" s="382"/>
      <c r="Z230" s="215">
        <f>CHMTCmTm!Z229</f>
        <v>0</v>
      </c>
      <c r="AA230" s="381" t="str">
        <f>IF(CHMTCmTm!AA229=0,"",CHMTCmTm!AA229)</f>
        <v/>
      </c>
      <c r="AB230" s="396"/>
      <c r="AC230" s="382"/>
      <c r="AD230" s="215">
        <f>CHMTCmTm!AD229</f>
        <v>0</v>
      </c>
      <c r="AE230" s="381" t="str">
        <f>IF(CHMTCmTm!AE229=0,"",CHMTCmTm!AE229)</f>
        <v/>
      </c>
      <c r="AF230" s="396"/>
      <c r="AG230" s="382"/>
      <c r="AH230" s="215">
        <f>CHMTCmTm!AH229</f>
        <v>0</v>
      </c>
      <c r="AI230" s="381" t="str">
        <f>IF(CHMTCmTm!AI229=0,"",CHMTCmTm!AI229)</f>
        <v/>
      </c>
      <c r="AJ230" s="396"/>
      <c r="AK230" s="382"/>
      <c r="AL230" s="215">
        <f>CHMTCmTm!AL229</f>
        <v>0</v>
      </c>
      <c r="AM230" s="381" t="str">
        <f>IF(CHMTCmTm!AM229=0,"",CHMTCmTm!AM229)</f>
        <v/>
      </c>
      <c r="AN230" s="396"/>
      <c r="AO230" s="382"/>
      <c r="AP230" s="381" t="str">
        <f>IF(CHMTCmTm!AP229=0,"",CHMTCmTm!AP229)</f>
        <v/>
      </c>
      <c r="AQ230" s="382"/>
      <c r="AR230" s="381" t="str">
        <f>IF(CHMTCmTm!AR229=0,"",CHMTCmTm!AR229)</f>
        <v/>
      </c>
      <c r="AS230" s="382"/>
      <c r="AT230" s="381" t="str">
        <f>IF(CHMTCmTm!AT229=0,"",CHMTCmTm!AT229)</f>
        <v/>
      </c>
      <c r="AU230" s="396"/>
      <c r="AV230" s="382"/>
      <c r="AW230" s="381" t="str">
        <f>IF(CHMTCmTm!AW229=0,"",CHMTCmTm!AW229)</f>
        <v/>
      </c>
      <c r="AX230" s="396"/>
      <c r="AY230" s="382"/>
      <c r="AZ230" s="24">
        <f>CHMTCmTm!AZ229</f>
        <v>0</v>
      </c>
      <c r="BC230" s="24">
        <f>COUNTIF(CHMTCmTm!O229, "Outreach Session")</f>
        <v>0</v>
      </c>
      <c r="BD230" s="24">
        <f>COUNTIF(CHMTCmTm!O229, "Mobile Clinic")</f>
        <v>0</v>
      </c>
      <c r="BE230" s="24">
        <f>COUNTIF(CHMTCmTm!O229, "Health Facility")</f>
        <v>0</v>
      </c>
    </row>
    <row r="231" spans="2:57" s="24" customFormat="1" ht="21.95" customHeight="1" x14ac:dyDescent="0.25">
      <c r="B231" s="397" t="str">
        <f>IF(CHMTCmTm!B230=0,"",CHMTCmTm!B230)</f>
        <v/>
      </c>
      <c r="C231" s="398"/>
      <c r="D231" s="399"/>
      <c r="E231" s="216">
        <f t="shared" si="7"/>
        <v>0</v>
      </c>
      <c r="F231" s="397" t="str">
        <f>IF(CHMTCmTm!F230=0,"",CHMTCmTm!F230)</f>
        <v/>
      </c>
      <c r="G231" s="398"/>
      <c r="H231" s="399"/>
      <c r="I231" s="381" t="str">
        <f>IF(CHMTCmTm!I230=0,"",CHMTCmTm!I230)</f>
        <v/>
      </c>
      <c r="J231" s="382"/>
      <c r="K231" s="381" t="str">
        <f>IF(CHMTCmTm!K230=0,"",CHMTCmTm!K230)</f>
        <v/>
      </c>
      <c r="L231" s="382"/>
      <c r="M231" s="381" t="str">
        <f>IF(CHMTCmTm!M230=0,"",CHMTCmTm!M230)</f>
        <v/>
      </c>
      <c r="N231" s="382"/>
      <c r="O231" s="381" t="str">
        <f>IF(CHMTCmTm!O230=0,"",CHMTCmTm!O230)</f>
        <v/>
      </c>
      <c r="P231" s="382"/>
      <c r="Q231" s="215" t="b">
        <f t="shared" si="6"/>
        <v>0</v>
      </c>
      <c r="R231" s="381" t="str">
        <f>IF(CHMTCmTm!R230=0,"",CHMTCmTm!R230)</f>
        <v/>
      </c>
      <c r="S231" s="382"/>
      <c r="T231" s="381" t="str">
        <f>IF(CHMTCmTm!T230=0,"",CHMTCmTm!T230)</f>
        <v/>
      </c>
      <c r="U231" s="382"/>
      <c r="V231" s="381" t="str">
        <f>IF(CHMTCmTm!V230=0,"",CHMTCmTm!V230)</f>
        <v/>
      </c>
      <c r="W231" s="396"/>
      <c r="X231" s="396"/>
      <c r="Y231" s="382"/>
      <c r="Z231" s="215">
        <f>CHMTCmTm!Z230</f>
        <v>0</v>
      </c>
      <c r="AA231" s="381" t="str">
        <f>IF(CHMTCmTm!AA230=0,"",CHMTCmTm!AA230)</f>
        <v/>
      </c>
      <c r="AB231" s="396"/>
      <c r="AC231" s="382"/>
      <c r="AD231" s="215">
        <f>CHMTCmTm!AD230</f>
        <v>0</v>
      </c>
      <c r="AE231" s="381" t="str">
        <f>IF(CHMTCmTm!AE230=0,"",CHMTCmTm!AE230)</f>
        <v/>
      </c>
      <c r="AF231" s="396"/>
      <c r="AG231" s="382"/>
      <c r="AH231" s="215">
        <f>CHMTCmTm!AH230</f>
        <v>0</v>
      </c>
      <c r="AI231" s="381" t="str">
        <f>IF(CHMTCmTm!AI230=0,"",CHMTCmTm!AI230)</f>
        <v/>
      </c>
      <c r="AJ231" s="396"/>
      <c r="AK231" s="382"/>
      <c r="AL231" s="215">
        <f>CHMTCmTm!AL230</f>
        <v>0</v>
      </c>
      <c r="AM231" s="381" t="str">
        <f>IF(CHMTCmTm!AM230=0,"",CHMTCmTm!AM230)</f>
        <v/>
      </c>
      <c r="AN231" s="396"/>
      <c r="AO231" s="382"/>
      <c r="AP231" s="381" t="str">
        <f>IF(CHMTCmTm!AP230=0,"",CHMTCmTm!AP230)</f>
        <v/>
      </c>
      <c r="AQ231" s="382"/>
      <c r="AR231" s="381" t="str">
        <f>IF(CHMTCmTm!AR230=0,"",CHMTCmTm!AR230)</f>
        <v/>
      </c>
      <c r="AS231" s="382"/>
      <c r="AT231" s="381" t="str">
        <f>IF(CHMTCmTm!AT230=0,"",CHMTCmTm!AT230)</f>
        <v/>
      </c>
      <c r="AU231" s="396"/>
      <c r="AV231" s="382"/>
      <c r="AW231" s="381" t="str">
        <f>IF(CHMTCmTm!AW230=0,"",CHMTCmTm!AW230)</f>
        <v/>
      </c>
      <c r="AX231" s="396"/>
      <c r="AY231" s="382"/>
      <c r="AZ231" s="24">
        <f>CHMTCmTm!AZ230</f>
        <v>0</v>
      </c>
      <c r="BC231" s="24">
        <f>COUNTIF(CHMTCmTm!O230, "Outreach Session")</f>
        <v>0</v>
      </c>
      <c r="BD231" s="24">
        <f>COUNTIF(CHMTCmTm!O230, "Mobile Clinic")</f>
        <v>0</v>
      </c>
      <c r="BE231" s="24">
        <f>COUNTIF(CHMTCmTm!O230, "Health Facility")</f>
        <v>0</v>
      </c>
    </row>
    <row r="232" spans="2:57" s="24" customFormat="1" ht="21.95" customHeight="1" x14ac:dyDescent="0.25">
      <c r="B232" s="397" t="str">
        <f>IF(CHMTCmTm!B231=0,"",CHMTCmTm!B231)</f>
        <v/>
      </c>
      <c r="C232" s="398"/>
      <c r="D232" s="399"/>
      <c r="E232" s="216">
        <f t="shared" si="7"/>
        <v>0</v>
      </c>
      <c r="F232" s="397" t="str">
        <f>IF(CHMTCmTm!F231=0,"",CHMTCmTm!F231)</f>
        <v/>
      </c>
      <c r="G232" s="398"/>
      <c r="H232" s="399"/>
      <c r="I232" s="381" t="str">
        <f>IF(CHMTCmTm!I231=0,"",CHMTCmTm!I231)</f>
        <v/>
      </c>
      <c r="J232" s="382"/>
      <c r="K232" s="381" t="str">
        <f>IF(CHMTCmTm!K231=0,"",CHMTCmTm!K231)</f>
        <v/>
      </c>
      <c r="L232" s="382"/>
      <c r="M232" s="381" t="str">
        <f>IF(CHMTCmTm!M231=0,"",CHMTCmTm!M231)</f>
        <v/>
      </c>
      <c r="N232" s="382"/>
      <c r="O232" s="381" t="str">
        <f>IF(CHMTCmTm!O231=0,"",CHMTCmTm!O231)</f>
        <v/>
      </c>
      <c r="P232" s="382"/>
      <c r="Q232" s="215" t="b">
        <f t="shared" si="6"/>
        <v>0</v>
      </c>
      <c r="R232" s="381" t="str">
        <f>IF(CHMTCmTm!R231=0,"",CHMTCmTm!R231)</f>
        <v/>
      </c>
      <c r="S232" s="382"/>
      <c r="T232" s="381" t="str">
        <f>IF(CHMTCmTm!T231=0,"",CHMTCmTm!T231)</f>
        <v/>
      </c>
      <c r="U232" s="382"/>
      <c r="V232" s="381" t="str">
        <f>IF(CHMTCmTm!V231=0,"",CHMTCmTm!V231)</f>
        <v/>
      </c>
      <c r="W232" s="396"/>
      <c r="X232" s="396"/>
      <c r="Y232" s="382"/>
      <c r="Z232" s="215">
        <f>CHMTCmTm!Z231</f>
        <v>0</v>
      </c>
      <c r="AA232" s="381" t="str">
        <f>IF(CHMTCmTm!AA231=0,"",CHMTCmTm!AA231)</f>
        <v/>
      </c>
      <c r="AB232" s="396"/>
      <c r="AC232" s="382"/>
      <c r="AD232" s="215">
        <f>CHMTCmTm!AD231</f>
        <v>0</v>
      </c>
      <c r="AE232" s="381" t="str">
        <f>IF(CHMTCmTm!AE231=0,"",CHMTCmTm!AE231)</f>
        <v/>
      </c>
      <c r="AF232" s="396"/>
      <c r="AG232" s="382"/>
      <c r="AH232" s="215">
        <f>CHMTCmTm!AH231</f>
        <v>0</v>
      </c>
      <c r="AI232" s="381" t="str">
        <f>IF(CHMTCmTm!AI231=0,"",CHMTCmTm!AI231)</f>
        <v/>
      </c>
      <c r="AJ232" s="396"/>
      <c r="AK232" s="382"/>
      <c r="AL232" s="215">
        <f>CHMTCmTm!AL231</f>
        <v>0</v>
      </c>
      <c r="AM232" s="381" t="str">
        <f>IF(CHMTCmTm!AM231=0,"",CHMTCmTm!AM231)</f>
        <v/>
      </c>
      <c r="AN232" s="396"/>
      <c r="AO232" s="382"/>
      <c r="AP232" s="381" t="str">
        <f>IF(CHMTCmTm!AP231=0,"",CHMTCmTm!AP231)</f>
        <v/>
      </c>
      <c r="AQ232" s="382"/>
      <c r="AR232" s="381" t="str">
        <f>IF(CHMTCmTm!AR231=0,"",CHMTCmTm!AR231)</f>
        <v/>
      </c>
      <c r="AS232" s="382"/>
      <c r="AT232" s="381" t="str">
        <f>IF(CHMTCmTm!AT231=0,"",CHMTCmTm!AT231)</f>
        <v/>
      </c>
      <c r="AU232" s="396"/>
      <c r="AV232" s="382"/>
      <c r="AW232" s="381" t="str">
        <f>IF(CHMTCmTm!AW231=0,"",CHMTCmTm!AW231)</f>
        <v/>
      </c>
      <c r="AX232" s="396"/>
      <c r="AY232" s="382"/>
      <c r="AZ232" s="24">
        <f>CHMTCmTm!AZ231</f>
        <v>0</v>
      </c>
      <c r="BC232" s="24">
        <f>COUNTIF(CHMTCmTm!O231, "Outreach Session")</f>
        <v>0</v>
      </c>
      <c r="BD232" s="24">
        <f>COUNTIF(CHMTCmTm!O231, "Mobile Clinic")</f>
        <v>0</v>
      </c>
      <c r="BE232" s="24">
        <f>COUNTIF(CHMTCmTm!O231, "Health Facility")</f>
        <v>0</v>
      </c>
    </row>
    <row r="233" spans="2:57" s="24" customFormat="1" ht="21.95" customHeight="1" x14ac:dyDescent="0.25">
      <c r="B233" s="397" t="str">
        <f>IF(CHMTCmTm!B232=0,"",CHMTCmTm!B232)</f>
        <v/>
      </c>
      <c r="C233" s="398"/>
      <c r="D233" s="399"/>
      <c r="E233" s="216">
        <f t="shared" si="7"/>
        <v>0</v>
      </c>
      <c r="F233" s="397" t="str">
        <f>IF(CHMTCmTm!F232=0,"",CHMTCmTm!F232)</f>
        <v/>
      </c>
      <c r="G233" s="398"/>
      <c r="H233" s="399"/>
      <c r="I233" s="381" t="str">
        <f>IF(CHMTCmTm!I232=0,"",CHMTCmTm!I232)</f>
        <v/>
      </c>
      <c r="J233" s="382"/>
      <c r="K233" s="381" t="str">
        <f>IF(CHMTCmTm!K232=0,"",CHMTCmTm!K232)</f>
        <v/>
      </c>
      <c r="L233" s="382"/>
      <c r="M233" s="381" t="str">
        <f>IF(CHMTCmTm!M232=0,"",CHMTCmTm!M232)</f>
        <v/>
      </c>
      <c r="N233" s="382"/>
      <c r="O233" s="381" t="str">
        <f>IF(CHMTCmTm!O232=0,"",CHMTCmTm!O232)</f>
        <v/>
      </c>
      <c r="P233" s="382"/>
      <c r="Q233" s="215" t="b">
        <f t="shared" si="6"/>
        <v>0</v>
      </c>
      <c r="R233" s="381" t="str">
        <f>IF(CHMTCmTm!R232=0,"",CHMTCmTm!R232)</f>
        <v/>
      </c>
      <c r="S233" s="382"/>
      <c r="T233" s="381" t="str">
        <f>IF(CHMTCmTm!T232=0,"",CHMTCmTm!T232)</f>
        <v/>
      </c>
      <c r="U233" s="382"/>
      <c r="V233" s="381" t="str">
        <f>IF(CHMTCmTm!V232=0,"",CHMTCmTm!V232)</f>
        <v/>
      </c>
      <c r="W233" s="396"/>
      <c r="X233" s="396"/>
      <c r="Y233" s="382"/>
      <c r="Z233" s="215">
        <f>CHMTCmTm!Z232</f>
        <v>0</v>
      </c>
      <c r="AA233" s="381" t="str">
        <f>IF(CHMTCmTm!AA232=0,"",CHMTCmTm!AA232)</f>
        <v/>
      </c>
      <c r="AB233" s="396"/>
      <c r="AC233" s="382"/>
      <c r="AD233" s="215">
        <f>CHMTCmTm!AD232</f>
        <v>0</v>
      </c>
      <c r="AE233" s="381" t="str">
        <f>IF(CHMTCmTm!AE232=0,"",CHMTCmTm!AE232)</f>
        <v/>
      </c>
      <c r="AF233" s="396"/>
      <c r="AG233" s="382"/>
      <c r="AH233" s="215">
        <f>CHMTCmTm!AH232</f>
        <v>0</v>
      </c>
      <c r="AI233" s="381" t="str">
        <f>IF(CHMTCmTm!AI232=0,"",CHMTCmTm!AI232)</f>
        <v/>
      </c>
      <c r="AJ233" s="396"/>
      <c r="AK233" s="382"/>
      <c r="AL233" s="215">
        <f>CHMTCmTm!AL232</f>
        <v>0</v>
      </c>
      <c r="AM233" s="381" t="str">
        <f>IF(CHMTCmTm!AM232=0,"",CHMTCmTm!AM232)</f>
        <v/>
      </c>
      <c r="AN233" s="396"/>
      <c r="AO233" s="382"/>
      <c r="AP233" s="381" t="str">
        <f>IF(CHMTCmTm!AP232=0,"",CHMTCmTm!AP232)</f>
        <v/>
      </c>
      <c r="AQ233" s="382"/>
      <c r="AR233" s="381" t="str">
        <f>IF(CHMTCmTm!AR232=0,"",CHMTCmTm!AR232)</f>
        <v/>
      </c>
      <c r="AS233" s="382"/>
      <c r="AT233" s="381" t="str">
        <f>IF(CHMTCmTm!AT232=0,"",CHMTCmTm!AT232)</f>
        <v/>
      </c>
      <c r="AU233" s="396"/>
      <c r="AV233" s="382"/>
      <c r="AW233" s="381" t="str">
        <f>IF(CHMTCmTm!AW232=0,"",CHMTCmTm!AW232)</f>
        <v/>
      </c>
      <c r="AX233" s="396"/>
      <c r="AY233" s="382"/>
      <c r="AZ233" s="24">
        <f>CHMTCmTm!AZ232</f>
        <v>0</v>
      </c>
      <c r="BC233" s="24">
        <f>COUNTIF(CHMTCmTm!O232, "Outreach Session")</f>
        <v>0</v>
      </c>
      <c r="BD233" s="24">
        <f>COUNTIF(CHMTCmTm!O232, "Mobile Clinic")</f>
        <v>0</v>
      </c>
      <c r="BE233" s="24">
        <f>COUNTIF(CHMTCmTm!O232, "Health Facility")</f>
        <v>0</v>
      </c>
    </row>
    <row r="234" spans="2:57" s="24" customFormat="1" ht="21.95" customHeight="1" x14ac:dyDescent="0.25">
      <c r="B234" s="397" t="str">
        <f>IF(CHMTCmTm!B233=0,"",CHMTCmTm!B233)</f>
        <v/>
      </c>
      <c r="C234" s="398"/>
      <c r="D234" s="399"/>
      <c r="E234" s="216">
        <f t="shared" si="7"/>
        <v>0</v>
      </c>
      <c r="F234" s="397" t="str">
        <f>IF(CHMTCmTm!F233=0,"",CHMTCmTm!F233)</f>
        <v/>
      </c>
      <c r="G234" s="398"/>
      <c r="H234" s="399"/>
      <c r="I234" s="381" t="str">
        <f>IF(CHMTCmTm!I233=0,"",CHMTCmTm!I233)</f>
        <v/>
      </c>
      <c r="J234" s="382"/>
      <c r="K234" s="381" t="str">
        <f>IF(CHMTCmTm!K233=0,"",CHMTCmTm!K233)</f>
        <v/>
      </c>
      <c r="L234" s="382"/>
      <c r="M234" s="381" t="str">
        <f>IF(CHMTCmTm!M233=0,"",CHMTCmTm!M233)</f>
        <v/>
      </c>
      <c r="N234" s="382"/>
      <c r="O234" s="381" t="str">
        <f>IF(CHMTCmTm!O233=0,"",CHMTCmTm!O233)</f>
        <v/>
      </c>
      <c r="P234" s="382"/>
      <c r="Q234" s="215" t="b">
        <f t="shared" si="6"/>
        <v>0</v>
      </c>
      <c r="R234" s="381" t="str">
        <f>IF(CHMTCmTm!R233=0,"",CHMTCmTm!R233)</f>
        <v/>
      </c>
      <c r="S234" s="382"/>
      <c r="T234" s="381" t="str">
        <f>IF(CHMTCmTm!T233=0,"",CHMTCmTm!T233)</f>
        <v/>
      </c>
      <c r="U234" s="382"/>
      <c r="V234" s="381" t="str">
        <f>IF(CHMTCmTm!V233=0,"",CHMTCmTm!V233)</f>
        <v/>
      </c>
      <c r="W234" s="396"/>
      <c r="X234" s="396"/>
      <c r="Y234" s="382"/>
      <c r="Z234" s="215">
        <f>CHMTCmTm!Z233</f>
        <v>0</v>
      </c>
      <c r="AA234" s="381" t="str">
        <f>IF(CHMTCmTm!AA233=0,"",CHMTCmTm!AA233)</f>
        <v/>
      </c>
      <c r="AB234" s="396"/>
      <c r="AC234" s="382"/>
      <c r="AD234" s="215">
        <f>CHMTCmTm!AD233</f>
        <v>0</v>
      </c>
      <c r="AE234" s="381" t="str">
        <f>IF(CHMTCmTm!AE233=0,"",CHMTCmTm!AE233)</f>
        <v/>
      </c>
      <c r="AF234" s="396"/>
      <c r="AG234" s="382"/>
      <c r="AH234" s="215">
        <f>CHMTCmTm!AH233</f>
        <v>0</v>
      </c>
      <c r="AI234" s="381" t="str">
        <f>IF(CHMTCmTm!AI233=0,"",CHMTCmTm!AI233)</f>
        <v/>
      </c>
      <c r="AJ234" s="396"/>
      <c r="AK234" s="382"/>
      <c r="AL234" s="215">
        <f>CHMTCmTm!AL233</f>
        <v>0</v>
      </c>
      <c r="AM234" s="381" t="str">
        <f>IF(CHMTCmTm!AM233=0,"",CHMTCmTm!AM233)</f>
        <v/>
      </c>
      <c r="AN234" s="396"/>
      <c r="AO234" s="382"/>
      <c r="AP234" s="381" t="str">
        <f>IF(CHMTCmTm!AP233=0,"",CHMTCmTm!AP233)</f>
        <v/>
      </c>
      <c r="AQ234" s="382"/>
      <c r="AR234" s="381" t="str">
        <f>IF(CHMTCmTm!AR233=0,"",CHMTCmTm!AR233)</f>
        <v/>
      </c>
      <c r="AS234" s="382"/>
      <c r="AT234" s="381" t="str">
        <f>IF(CHMTCmTm!AT233=0,"",CHMTCmTm!AT233)</f>
        <v/>
      </c>
      <c r="AU234" s="396"/>
      <c r="AV234" s="382"/>
      <c r="AW234" s="381" t="str">
        <f>IF(CHMTCmTm!AW233=0,"",CHMTCmTm!AW233)</f>
        <v/>
      </c>
      <c r="AX234" s="396"/>
      <c r="AY234" s="382"/>
      <c r="AZ234" s="24">
        <f>CHMTCmTm!AZ233</f>
        <v>0</v>
      </c>
      <c r="BC234" s="24">
        <f>COUNTIF(CHMTCmTm!O233, "Outreach Session")</f>
        <v>0</v>
      </c>
      <c r="BD234" s="24">
        <f>COUNTIF(CHMTCmTm!O233, "Mobile Clinic")</f>
        <v>0</v>
      </c>
      <c r="BE234" s="24">
        <f>COUNTIF(CHMTCmTm!O233, "Health Facility")</f>
        <v>0</v>
      </c>
    </row>
    <row r="235" spans="2:57" s="24" customFormat="1" ht="21.95" customHeight="1" x14ac:dyDescent="0.25">
      <c r="B235" s="397" t="str">
        <f>IF(CHMTCmTm!B234=0,"",CHMTCmTm!B234)</f>
        <v/>
      </c>
      <c r="C235" s="398"/>
      <c r="D235" s="399"/>
      <c r="E235" s="216">
        <f t="shared" si="7"/>
        <v>0</v>
      </c>
      <c r="F235" s="397" t="str">
        <f>IF(CHMTCmTm!F234=0,"",CHMTCmTm!F234)</f>
        <v/>
      </c>
      <c r="G235" s="398"/>
      <c r="H235" s="399"/>
      <c r="I235" s="381" t="str">
        <f>IF(CHMTCmTm!I234=0,"",CHMTCmTm!I234)</f>
        <v/>
      </c>
      <c r="J235" s="382"/>
      <c r="K235" s="381" t="str">
        <f>IF(CHMTCmTm!K234=0,"",CHMTCmTm!K234)</f>
        <v/>
      </c>
      <c r="L235" s="382"/>
      <c r="M235" s="381" t="str">
        <f>IF(CHMTCmTm!M234=0,"",CHMTCmTm!M234)</f>
        <v/>
      </c>
      <c r="N235" s="382"/>
      <c r="O235" s="381" t="str">
        <f>IF(CHMTCmTm!O234=0,"",CHMTCmTm!O234)</f>
        <v/>
      </c>
      <c r="P235" s="382"/>
      <c r="Q235" s="215" t="b">
        <f t="shared" si="6"/>
        <v>0</v>
      </c>
      <c r="R235" s="381" t="str">
        <f>IF(CHMTCmTm!R234=0,"",CHMTCmTm!R234)</f>
        <v/>
      </c>
      <c r="S235" s="382"/>
      <c r="T235" s="381" t="str">
        <f>IF(CHMTCmTm!T234=0,"",CHMTCmTm!T234)</f>
        <v/>
      </c>
      <c r="U235" s="382"/>
      <c r="V235" s="381" t="str">
        <f>IF(CHMTCmTm!V234=0,"",CHMTCmTm!V234)</f>
        <v/>
      </c>
      <c r="W235" s="396"/>
      <c r="X235" s="396"/>
      <c r="Y235" s="382"/>
      <c r="Z235" s="215">
        <f>CHMTCmTm!Z234</f>
        <v>0</v>
      </c>
      <c r="AA235" s="381" t="str">
        <f>IF(CHMTCmTm!AA234=0,"",CHMTCmTm!AA234)</f>
        <v/>
      </c>
      <c r="AB235" s="396"/>
      <c r="AC235" s="382"/>
      <c r="AD235" s="215">
        <f>CHMTCmTm!AD234</f>
        <v>0</v>
      </c>
      <c r="AE235" s="381" t="str">
        <f>IF(CHMTCmTm!AE234=0,"",CHMTCmTm!AE234)</f>
        <v/>
      </c>
      <c r="AF235" s="396"/>
      <c r="AG235" s="382"/>
      <c r="AH235" s="215">
        <f>CHMTCmTm!AH234</f>
        <v>0</v>
      </c>
      <c r="AI235" s="381" t="str">
        <f>IF(CHMTCmTm!AI234=0,"",CHMTCmTm!AI234)</f>
        <v/>
      </c>
      <c r="AJ235" s="396"/>
      <c r="AK235" s="382"/>
      <c r="AL235" s="215">
        <f>CHMTCmTm!AL234</f>
        <v>0</v>
      </c>
      <c r="AM235" s="381" t="str">
        <f>IF(CHMTCmTm!AM234=0,"",CHMTCmTm!AM234)</f>
        <v/>
      </c>
      <c r="AN235" s="396"/>
      <c r="AO235" s="382"/>
      <c r="AP235" s="381" t="str">
        <f>IF(CHMTCmTm!AP234=0,"",CHMTCmTm!AP234)</f>
        <v/>
      </c>
      <c r="AQ235" s="382"/>
      <c r="AR235" s="381" t="str">
        <f>IF(CHMTCmTm!AR234=0,"",CHMTCmTm!AR234)</f>
        <v/>
      </c>
      <c r="AS235" s="382"/>
      <c r="AT235" s="381" t="str">
        <f>IF(CHMTCmTm!AT234=0,"",CHMTCmTm!AT234)</f>
        <v/>
      </c>
      <c r="AU235" s="396"/>
      <c r="AV235" s="382"/>
      <c r="AW235" s="381" t="str">
        <f>IF(CHMTCmTm!AW234=0,"",CHMTCmTm!AW234)</f>
        <v/>
      </c>
      <c r="AX235" s="396"/>
      <c r="AY235" s="382"/>
      <c r="AZ235" s="24">
        <f>CHMTCmTm!AZ234</f>
        <v>0</v>
      </c>
      <c r="BC235" s="24">
        <f>COUNTIF(CHMTCmTm!O234, "Outreach Session")</f>
        <v>0</v>
      </c>
      <c r="BD235" s="24">
        <f>COUNTIF(CHMTCmTm!O234, "Mobile Clinic")</f>
        <v>0</v>
      </c>
      <c r="BE235" s="24">
        <f>COUNTIF(CHMTCmTm!O234, "Health Facility")</f>
        <v>0</v>
      </c>
    </row>
    <row r="236" spans="2:57" s="24" customFormat="1" ht="21.95" customHeight="1" x14ac:dyDescent="0.25">
      <c r="B236" s="397" t="str">
        <f>IF(CHMTCmTm!B235=0,"",CHMTCmTm!B235)</f>
        <v/>
      </c>
      <c r="C236" s="398"/>
      <c r="D236" s="399"/>
      <c r="E236" s="216">
        <f t="shared" si="7"/>
        <v>0</v>
      </c>
      <c r="F236" s="397" t="str">
        <f>IF(CHMTCmTm!F235=0,"",CHMTCmTm!F235)</f>
        <v/>
      </c>
      <c r="G236" s="398"/>
      <c r="H236" s="399"/>
      <c r="I236" s="381" t="str">
        <f>IF(CHMTCmTm!I235=0,"",CHMTCmTm!I235)</f>
        <v/>
      </c>
      <c r="J236" s="382"/>
      <c r="K236" s="381" t="str">
        <f>IF(CHMTCmTm!K235=0,"",CHMTCmTm!K235)</f>
        <v/>
      </c>
      <c r="L236" s="382"/>
      <c r="M236" s="381" t="str">
        <f>IF(CHMTCmTm!M235=0,"",CHMTCmTm!M235)</f>
        <v/>
      </c>
      <c r="N236" s="382"/>
      <c r="O236" s="381" t="str">
        <f>IF(CHMTCmTm!O235=0,"",CHMTCmTm!O235)</f>
        <v/>
      </c>
      <c r="P236" s="382"/>
      <c r="Q236" s="215" t="b">
        <f t="shared" si="6"/>
        <v>0</v>
      </c>
      <c r="R236" s="381" t="str">
        <f>IF(CHMTCmTm!R235=0,"",CHMTCmTm!R235)</f>
        <v/>
      </c>
      <c r="S236" s="382"/>
      <c r="T236" s="381" t="str">
        <f>IF(CHMTCmTm!T235=0,"",CHMTCmTm!T235)</f>
        <v/>
      </c>
      <c r="U236" s="382"/>
      <c r="V236" s="381" t="str">
        <f>IF(CHMTCmTm!V235=0,"",CHMTCmTm!V235)</f>
        <v/>
      </c>
      <c r="W236" s="396"/>
      <c r="X236" s="396"/>
      <c r="Y236" s="382"/>
      <c r="Z236" s="215">
        <f>CHMTCmTm!Z235</f>
        <v>0</v>
      </c>
      <c r="AA236" s="381" t="str">
        <f>IF(CHMTCmTm!AA235=0,"",CHMTCmTm!AA235)</f>
        <v/>
      </c>
      <c r="AB236" s="396"/>
      <c r="AC236" s="382"/>
      <c r="AD236" s="215">
        <f>CHMTCmTm!AD235</f>
        <v>0</v>
      </c>
      <c r="AE236" s="381" t="str">
        <f>IF(CHMTCmTm!AE235=0,"",CHMTCmTm!AE235)</f>
        <v/>
      </c>
      <c r="AF236" s="396"/>
      <c r="AG236" s="382"/>
      <c r="AH236" s="215">
        <f>CHMTCmTm!AH235</f>
        <v>0</v>
      </c>
      <c r="AI236" s="381" t="str">
        <f>IF(CHMTCmTm!AI235=0,"",CHMTCmTm!AI235)</f>
        <v/>
      </c>
      <c r="AJ236" s="396"/>
      <c r="AK236" s="382"/>
      <c r="AL236" s="215">
        <f>CHMTCmTm!AL235</f>
        <v>0</v>
      </c>
      <c r="AM236" s="381" t="str">
        <f>IF(CHMTCmTm!AM235=0,"",CHMTCmTm!AM235)</f>
        <v/>
      </c>
      <c r="AN236" s="396"/>
      <c r="AO236" s="382"/>
      <c r="AP236" s="381" t="str">
        <f>IF(CHMTCmTm!AP235=0,"",CHMTCmTm!AP235)</f>
        <v/>
      </c>
      <c r="AQ236" s="382"/>
      <c r="AR236" s="381" t="str">
        <f>IF(CHMTCmTm!AR235=0,"",CHMTCmTm!AR235)</f>
        <v/>
      </c>
      <c r="AS236" s="382"/>
      <c r="AT236" s="381" t="str">
        <f>IF(CHMTCmTm!AT235=0,"",CHMTCmTm!AT235)</f>
        <v/>
      </c>
      <c r="AU236" s="396"/>
      <c r="AV236" s="382"/>
      <c r="AW236" s="381" t="str">
        <f>IF(CHMTCmTm!AW235=0,"",CHMTCmTm!AW235)</f>
        <v/>
      </c>
      <c r="AX236" s="396"/>
      <c r="AY236" s="382"/>
      <c r="AZ236" s="24">
        <f>CHMTCmTm!AZ235</f>
        <v>0</v>
      </c>
      <c r="BC236" s="24">
        <f>COUNTIF(CHMTCmTm!O235, "Outreach Session")</f>
        <v>0</v>
      </c>
      <c r="BD236" s="24">
        <f>COUNTIF(CHMTCmTm!O235, "Mobile Clinic")</f>
        <v>0</v>
      </c>
      <c r="BE236" s="24">
        <f>COUNTIF(CHMTCmTm!O235, "Health Facility")</f>
        <v>0</v>
      </c>
    </row>
    <row r="237" spans="2:57" s="24" customFormat="1" ht="21.95" customHeight="1" x14ac:dyDescent="0.25">
      <c r="B237" s="397" t="str">
        <f>IF(CHMTCmTm!B236=0,"",CHMTCmTm!B236)</f>
        <v/>
      </c>
      <c r="C237" s="398"/>
      <c r="D237" s="399"/>
      <c r="E237" s="216">
        <f t="shared" si="7"/>
        <v>0</v>
      </c>
      <c r="F237" s="397" t="str">
        <f>IF(CHMTCmTm!F236=0,"",CHMTCmTm!F236)</f>
        <v/>
      </c>
      <c r="G237" s="398"/>
      <c r="H237" s="399"/>
      <c r="I237" s="381" t="str">
        <f>IF(CHMTCmTm!I236=0,"",CHMTCmTm!I236)</f>
        <v/>
      </c>
      <c r="J237" s="382"/>
      <c r="K237" s="381" t="str">
        <f>IF(CHMTCmTm!K236=0,"",CHMTCmTm!K236)</f>
        <v/>
      </c>
      <c r="L237" s="382"/>
      <c r="M237" s="381" t="str">
        <f>IF(CHMTCmTm!M236=0,"",CHMTCmTm!M236)</f>
        <v/>
      </c>
      <c r="N237" s="382"/>
      <c r="O237" s="381" t="str">
        <f>IF(CHMTCmTm!O236=0,"",CHMTCmTm!O236)</f>
        <v/>
      </c>
      <c r="P237" s="382"/>
      <c r="Q237" s="215" t="b">
        <f t="shared" si="6"/>
        <v>0</v>
      </c>
      <c r="R237" s="381" t="str">
        <f>IF(CHMTCmTm!R236=0,"",CHMTCmTm!R236)</f>
        <v/>
      </c>
      <c r="S237" s="382"/>
      <c r="T237" s="381" t="str">
        <f>IF(CHMTCmTm!T236=0,"",CHMTCmTm!T236)</f>
        <v/>
      </c>
      <c r="U237" s="382"/>
      <c r="V237" s="381" t="str">
        <f>IF(CHMTCmTm!V236=0,"",CHMTCmTm!V236)</f>
        <v/>
      </c>
      <c r="W237" s="396"/>
      <c r="X237" s="396"/>
      <c r="Y237" s="382"/>
      <c r="Z237" s="215">
        <f>CHMTCmTm!Z236</f>
        <v>0</v>
      </c>
      <c r="AA237" s="381" t="str">
        <f>IF(CHMTCmTm!AA236=0,"",CHMTCmTm!AA236)</f>
        <v/>
      </c>
      <c r="AB237" s="396"/>
      <c r="AC237" s="382"/>
      <c r="AD237" s="215">
        <f>CHMTCmTm!AD236</f>
        <v>0</v>
      </c>
      <c r="AE237" s="381" t="str">
        <f>IF(CHMTCmTm!AE236=0,"",CHMTCmTm!AE236)</f>
        <v/>
      </c>
      <c r="AF237" s="396"/>
      <c r="AG237" s="382"/>
      <c r="AH237" s="215">
        <f>CHMTCmTm!AH236</f>
        <v>0</v>
      </c>
      <c r="AI237" s="381" t="str">
        <f>IF(CHMTCmTm!AI236=0,"",CHMTCmTm!AI236)</f>
        <v/>
      </c>
      <c r="AJ237" s="396"/>
      <c r="AK237" s="382"/>
      <c r="AL237" s="215">
        <f>CHMTCmTm!AL236</f>
        <v>0</v>
      </c>
      <c r="AM237" s="381" t="str">
        <f>IF(CHMTCmTm!AM236=0,"",CHMTCmTm!AM236)</f>
        <v/>
      </c>
      <c r="AN237" s="396"/>
      <c r="AO237" s="382"/>
      <c r="AP237" s="381" t="str">
        <f>IF(CHMTCmTm!AP236=0,"",CHMTCmTm!AP236)</f>
        <v/>
      </c>
      <c r="AQ237" s="382"/>
      <c r="AR237" s="381" t="str">
        <f>IF(CHMTCmTm!AR236=0,"",CHMTCmTm!AR236)</f>
        <v/>
      </c>
      <c r="AS237" s="382"/>
      <c r="AT237" s="381" t="str">
        <f>IF(CHMTCmTm!AT236=0,"",CHMTCmTm!AT236)</f>
        <v/>
      </c>
      <c r="AU237" s="396"/>
      <c r="AV237" s="382"/>
      <c r="AW237" s="381" t="str">
        <f>IF(CHMTCmTm!AW236=0,"",CHMTCmTm!AW236)</f>
        <v/>
      </c>
      <c r="AX237" s="396"/>
      <c r="AY237" s="382"/>
      <c r="AZ237" s="24">
        <f>CHMTCmTm!AZ236</f>
        <v>0</v>
      </c>
      <c r="BC237" s="24">
        <f>COUNTIF(CHMTCmTm!O236, "Outreach Session")</f>
        <v>0</v>
      </c>
      <c r="BD237" s="24">
        <f>COUNTIF(CHMTCmTm!O236, "Mobile Clinic")</f>
        <v>0</v>
      </c>
      <c r="BE237" s="24">
        <f>COUNTIF(CHMTCmTm!O236, "Health Facility")</f>
        <v>0</v>
      </c>
    </row>
    <row r="238" spans="2:57" s="24" customFormat="1" ht="21.95" customHeight="1" x14ac:dyDescent="0.25">
      <c r="B238" s="397" t="str">
        <f>IF(CHMTCmTm!B237=0,"",CHMTCmTm!B237)</f>
        <v/>
      </c>
      <c r="C238" s="398"/>
      <c r="D238" s="399"/>
      <c r="E238" s="216">
        <f t="shared" si="7"/>
        <v>0</v>
      </c>
      <c r="F238" s="397" t="str">
        <f>IF(CHMTCmTm!F237=0,"",CHMTCmTm!F237)</f>
        <v/>
      </c>
      <c r="G238" s="398"/>
      <c r="H238" s="399"/>
      <c r="I238" s="381" t="str">
        <f>IF(CHMTCmTm!I237=0,"",CHMTCmTm!I237)</f>
        <v/>
      </c>
      <c r="J238" s="382"/>
      <c r="K238" s="381" t="str">
        <f>IF(CHMTCmTm!K237=0,"",CHMTCmTm!K237)</f>
        <v/>
      </c>
      <c r="L238" s="382"/>
      <c r="M238" s="381" t="str">
        <f>IF(CHMTCmTm!M237=0,"",CHMTCmTm!M237)</f>
        <v/>
      </c>
      <c r="N238" s="382"/>
      <c r="O238" s="381" t="str">
        <f>IF(CHMTCmTm!O237=0,"",CHMTCmTm!O237)</f>
        <v/>
      </c>
      <c r="P238" s="382"/>
      <c r="Q238" s="215" t="b">
        <f t="shared" si="6"/>
        <v>0</v>
      </c>
      <c r="R238" s="381" t="str">
        <f>IF(CHMTCmTm!R237=0,"",CHMTCmTm!R237)</f>
        <v/>
      </c>
      <c r="S238" s="382"/>
      <c r="T238" s="381" t="str">
        <f>IF(CHMTCmTm!T237=0,"",CHMTCmTm!T237)</f>
        <v/>
      </c>
      <c r="U238" s="382"/>
      <c r="V238" s="381" t="str">
        <f>IF(CHMTCmTm!V237=0,"",CHMTCmTm!V237)</f>
        <v/>
      </c>
      <c r="W238" s="396"/>
      <c r="X238" s="396"/>
      <c r="Y238" s="382"/>
      <c r="Z238" s="215">
        <f>CHMTCmTm!Z237</f>
        <v>0</v>
      </c>
      <c r="AA238" s="381" t="str">
        <f>IF(CHMTCmTm!AA237=0,"",CHMTCmTm!AA237)</f>
        <v/>
      </c>
      <c r="AB238" s="396"/>
      <c r="AC238" s="382"/>
      <c r="AD238" s="215">
        <f>CHMTCmTm!AD237</f>
        <v>0</v>
      </c>
      <c r="AE238" s="381" t="str">
        <f>IF(CHMTCmTm!AE237=0,"",CHMTCmTm!AE237)</f>
        <v/>
      </c>
      <c r="AF238" s="396"/>
      <c r="AG238" s="382"/>
      <c r="AH238" s="215">
        <f>CHMTCmTm!AH237</f>
        <v>0</v>
      </c>
      <c r="AI238" s="381" t="str">
        <f>IF(CHMTCmTm!AI237=0,"",CHMTCmTm!AI237)</f>
        <v/>
      </c>
      <c r="AJ238" s="396"/>
      <c r="AK238" s="382"/>
      <c r="AL238" s="215">
        <f>CHMTCmTm!AL237</f>
        <v>0</v>
      </c>
      <c r="AM238" s="381" t="str">
        <f>IF(CHMTCmTm!AM237=0,"",CHMTCmTm!AM237)</f>
        <v/>
      </c>
      <c r="AN238" s="396"/>
      <c r="AO238" s="382"/>
      <c r="AP238" s="381" t="str">
        <f>IF(CHMTCmTm!AP237=0,"",CHMTCmTm!AP237)</f>
        <v/>
      </c>
      <c r="AQ238" s="382"/>
      <c r="AR238" s="381" t="str">
        <f>IF(CHMTCmTm!AR237=0,"",CHMTCmTm!AR237)</f>
        <v/>
      </c>
      <c r="AS238" s="382"/>
      <c r="AT238" s="381" t="str">
        <f>IF(CHMTCmTm!AT237=0,"",CHMTCmTm!AT237)</f>
        <v/>
      </c>
      <c r="AU238" s="396"/>
      <c r="AV238" s="382"/>
      <c r="AW238" s="381" t="str">
        <f>IF(CHMTCmTm!AW237=0,"",CHMTCmTm!AW237)</f>
        <v/>
      </c>
      <c r="AX238" s="396"/>
      <c r="AY238" s="382"/>
      <c r="AZ238" s="24">
        <f>CHMTCmTm!AZ237</f>
        <v>0</v>
      </c>
      <c r="BC238" s="24">
        <f>COUNTIF(CHMTCmTm!O237, "Outreach Session")</f>
        <v>0</v>
      </c>
      <c r="BD238" s="24">
        <f>COUNTIF(CHMTCmTm!O237, "Mobile Clinic")</f>
        <v>0</v>
      </c>
      <c r="BE238" s="24">
        <f>COUNTIF(CHMTCmTm!O237, "Health Facility")</f>
        <v>0</v>
      </c>
    </row>
    <row r="239" spans="2:57" s="24" customFormat="1" ht="21.95" customHeight="1" x14ac:dyDescent="0.25">
      <c r="B239" s="397" t="str">
        <f>IF(CHMTCmTm!B238=0,"",CHMTCmTm!B238)</f>
        <v/>
      </c>
      <c r="C239" s="398"/>
      <c r="D239" s="399"/>
      <c r="E239" s="216">
        <f t="shared" si="7"/>
        <v>0</v>
      </c>
      <c r="F239" s="397" t="str">
        <f>IF(CHMTCmTm!F238=0,"",CHMTCmTm!F238)</f>
        <v/>
      </c>
      <c r="G239" s="398"/>
      <c r="H239" s="399"/>
      <c r="I239" s="381" t="str">
        <f>IF(CHMTCmTm!I238=0,"",CHMTCmTm!I238)</f>
        <v/>
      </c>
      <c r="J239" s="382"/>
      <c r="K239" s="381" t="str">
        <f>IF(CHMTCmTm!K238=0,"",CHMTCmTm!K238)</f>
        <v/>
      </c>
      <c r="L239" s="382"/>
      <c r="M239" s="381" t="str">
        <f>IF(CHMTCmTm!M238=0,"",CHMTCmTm!M238)</f>
        <v/>
      </c>
      <c r="N239" s="382"/>
      <c r="O239" s="381" t="str">
        <f>IF(CHMTCmTm!O238=0,"",CHMTCmTm!O238)</f>
        <v/>
      </c>
      <c r="P239" s="382"/>
      <c r="Q239" s="215" t="b">
        <f t="shared" si="6"/>
        <v>0</v>
      </c>
      <c r="R239" s="381" t="str">
        <f>IF(CHMTCmTm!R238=0,"",CHMTCmTm!R238)</f>
        <v/>
      </c>
      <c r="S239" s="382"/>
      <c r="T239" s="381" t="str">
        <f>IF(CHMTCmTm!T238=0,"",CHMTCmTm!T238)</f>
        <v/>
      </c>
      <c r="U239" s="382"/>
      <c r="V239" s="381" t="str">
        <f>IF(CHMTCmTm!V238=0,"",CHMTCmTm!V238)</f>
        <v/>
      </c>
      <c r="W239" s="396"/>
      <c r="X239" s="396"/>
      <c r="Y239" s="382"/>
      <c r="Z239" s="215">
        <f>CHMTCmTm!Z238</f>
        <v>0</v>
      </c>
      <c r="AA239" s="381" t="str">
        <f>IF(CHMTCmTm!AA238=0,"",CHMTCmTm!AA238)</f>
        <v/>
      </c>
      <c r="AB239" s="396"/>
      <c r="AC239" s="382"/>
      <c r="AD239" s="215">
        <f>CHMTCmTm!AD238</f>
        <v>0</v>
      </c>
      <c r="AE239" s="381" t="str">
        <f>IF(CHMTCmTm!AE238=0,"",CHMTCmTm!AE238)</f>
        <v/>
      </c>
      <c r="AF239" s="396"/>
      <c r="AG239" s="382"/>
      <c r="AH239" s="215">
        <f>CHMTCmTm!AH238</f>
        <v>0</v>
      </c>
      <c r="AI239" s="381" t="str">
        <f>IF(CHMTCmTm!AI238=0,"",CHMTCmTm!AI238)</f>
        <v/>
      </c>
      <c r="AJ239" s="396"/>
      <c r="AK239" s="382"/>
      <c r="AL239" s="215">
        <f>CHMTCmTm!AL238</f>
        <v>0</v>
      </c>
      <c r="AM239" s="381" t="str">
        <f>IF(CHMTCmTm!AM238=0,"",CHMTCmTm!AM238)</f>
        <v/>
      </c>
      <c r="AN239" s="396"/>
      <c r="AO239" s="382"/>
      <c r="AP239" s="381" t="str">
        <f>IF(CHMTCmTm!AP238=0,"",CHMTCmTm!AP238)</f>
        <v/>
      </c>
      <c r="AQ239" s="382"/>
      <c r="AR239" s="381" t="str">
        <f>IF(CHMTCmTm!AR238=0,"",CHMTCmTm!AR238)</f>
        <v/>
      </c>
      <c r="AS239" s="382"/>
      <c r="AT239" s="381" t="str">
        <f>IF(CHMTCmTm!AT238=0,"",CHMTCmTm!AT238)</f>
        <v/>
      </c>
      <c r="AU239" s="396"/>
      <c r="AV239" s="382"/>
      <c r="AW239" s="381" t="str">
        <f>IF(CHMTCmTm!AW238=0,"",CHMTCmTm!AW238)</f>
        <v/>
      </c>
      <c r="AX239" s="396"/>
      <c r="AY239" s="382"/>
      <c r="AZ239" s="24">
        <f>CHMTCmTm!AZ238</f>
        <v>0</v>
      </c>
      <c r="BC239" s="24">
        <f>COUNTIF(CHMTCmTm!O238, "Outreach Session")</f>
        <v>0</v>
      </c>
      <c r="BD239" s="24">
        <f>COUNTIF(CHMTCmTm!O238, "Mobile Clinic")</f>
        <v>0</v>
      </c>
      <c r="BE239" s="24">
        <f>COUNTIF(CHMTCmTm!O238, "Health Facility")</f>
        <v>0</v>
      </c>
    </row>
    <row r="240" spans="2:57" s="24" customFormat="1" ht="21.95" customHeight="1" x14ac:dyDescent="0.25">
      <c r="B240" s="397" t="str">
        <f>IF(CHMTCmTm!B239=0,"",CHMTCmTm!B239)</f>
        <v/>
      </c>
      <c r="C240" s="398"/>
      <c r="D240" s="399"/>
      <c r="E240" s="216">
        <f t="shared" si="7"/>
        <v>0</v>
      </c>
      <c r="F240" s="397" t="str">
        <f>IF(CHMTCmTm!F239=0,"",CHMTCmTm!F239)</f>
        <v/>
      </c>
      <c r="G240" s="398"/>
      <c r="H240" s="399"/>
      <c r="I240" s="381" t="str">
        <f>IF(CHMTCmTm!I239=0,"",CHMTCmTm!I239)</f>
        <v/>
      </c>
      <c r="J240" s="382"/>
      <c r="K240" s="381" t="str">
        <f>IF(CHMTCmTm!K239=0,"",CHMTCmTm!K239)</f>
        <v/>
      </c>
      <c r="L240" s="382"/>
      <c r="M240" s="381" t="str">
        <f>IF(CHMTCmTm!M239=0,"",CHMTCmTm!M239)</f>
        <v/>
      </c>
      <c r="N240" s="382"/>
      <c r="O240" s="381" t="str">
        <f>IF(CHMTCmTm!O239=0,"",CHMTCmTm!O239)</f>
        <v/>
      </c>
      <c r="P240" s="382"/>
      <c r="Q240" s="215" t="b">
        <f t="shared" si="6"/>
        <v>0</v>
      </c>
      <c r="R240" s="381" t="str">
        <f>IF(CHMTCmTm!R239=0,"",CHMTCmTm!R239)</f>
        <v/>
      </c>
      <c r="S240" s="382"/>
      <c r="T240" s="381" t="str">
        <f>IF(CHMTCmTm!T239=0,"",CHMTCmTm!T239)</f>
        <v/>
      </c>
      <c r="U240" s="382"/>
      <c r="V240" s="381" t="str">
        <f>IF(CHMTCmTm!V239=0,"",CHMTCmTm!V239)</f>
        <v/>
      </c>
      <c r="W240" s="396"/>
      <c r="X240" s="396"/>
      <c r="Y240" s="382"/>
      <c r="Z240" s="215">
        <f>CHMTCmTm!Z239</f>
        <v>0</v>
      </c>
      <c r="AA240" s="381" t="str">
        <f>IF(CHMTCmTm!AA239=0,"",CHMTCmTm!AA239)</f>
        <v/>
      </c>
      <c r="AB240" s="396"/>
      <c r="AC240" s="382"/>
      <c r="AD240" s="215">
        <f>CHMTCmTm!AD239</f>
        <v>0</v>
      </c>
      <c r="AE240" s="381" t="str">
        <f>IF(CHMTCmTm!AE239=0,"",CHMTCmTm!AE239)</f>
        <v/>
      </c>
      <c r="AF240" s="396"/>
      <c r="AG240" s="382"/>
      <c r="AH240" s="215">
        <f>CHMTCmTm!AH239</f>
        <v>0</v>
      </c>
      <c r="AI240" s="381" t="str">
        <f>IF(CHMTCmTm!AI239=0,"",CHMTCmTm!AI239)</f>
        <v/>
      </c>
      <c r="AJ240" s="396"/>
      <c r="AK240" s="382"/>
      <c r="AL240" s="215">
        <f>CHMTCmTm!AL239</f>
        <v>0</v>
      </c>
      <c r="AM240" s="381" t="str">
        <f>IF(CHMTCmTm!AM239=0,"",CHMTCmTm!AM239)</f>
        <v/>
      </c>
      <c r="AN240" s="396"/>
      <c r="AO240" s="382"/>
      <c r="AP240" s="381" t="str">
        <f>IF(CHMTCmTm!AP239=0,"",CHMTCmTm!AP239)</f>
        <v/>
      </c>
      <c r="AQ240" s="382"/>
      <c r="AR240" s="381" t="str">
        <f>IF(CHMTCmTm!AR239=0,"",CHMTCmTm!AR239)</f>
        <v/>
      </c>
      <c r="AS240" s="382"/>
      <c r="AT240" s="381" t="str">
        <f>IF(CHMTCmTm!AT239=0,"",CHMTCmTm!AT239)</f>
        <v/>
      </c>
      <c r="AU240" s="396"/>
      <c r="AV240" s="382"/>
      <c r="AW240" s="381" t="str">
        <f>IF(CHMTCmTm!AW239=0,"",CHMTCmTm!AW239)</f>
        <v/>
      </c>
      <c r="AX240" s="396"/>
      <c r="AY240" s="382"/>
      <c r="AZ240" s="24">
        <f>CHMTCmTm!AZ239</f>
        <v>0</v>
      </c>
      <c r="BC240" s="24">
        <f>COUNTIF(CHMTCmTm!O239, "Outreach Session")</f>
        <v>0</v>
      </c>
      <c r="BD240" s="24">
        <f>COUNTIF(CHMTCmTm!O239, "Mobile Clinic")</f>
        <v>0</v>
      </c>
      <c r="BE240" s="24">
        <f>COUNTIF(CHMTCmTm!O239, "Health Facility")</f>
        <v>0</v>
      </c>
    </row>
    <row r="241" spans="2:57" s="24" customFormat="1" ht="21.95" customHeight="1" x14ac:dyDescent="0.25">
      <c r="B241" s="397" t="str">
        <f>IF(CHMTCmTm!B240=0,"",CHMTCmTm!B240)</f>
        <v/>
      </c>
      <c r="C241" s="398"/>
      <c r="D241" s="399"/>
      <c r="E241" s="216">
        <f t="shared" si="7"/>
        <v>0</v>
      </c>
      <c r="F241" s="397" t="str">
        <f>IF(CHMTCmTm!F240=0,"",CHMTCmTm!F240)</f>
        <v/>
      </c>
      <c r="G241" s="398"/>
      <c r="H241" s="399"/>
      <c r="I241" s="381" t="str">
        <f>IF(CHMTCmTm!I240=0,"",CHMTCmTm!I240)</f>
        <v/>
      </c>
      <c r="J241" s="382"/>
      <c r="K241" s="381" t="str">
        <f>IF(CHMTCmTm!K240=0,"",CHMTCmTm!K240)</f>
        <v/>
      </c>
      <c r="L241" s="382"/>
      <c r="M241" s="381" t="str">
        <f>IF(CHMTCmTm!M240=0,"",CHMTCmTm!M240)</f>
        <v/>
      </c>
      <c r="N241" s="382"/>
      <c r="O241" s="381" t="str">
        <f>IF(CHMTCmTm!O240=0,"",CHMTCmTm!O240)</f>
        <v/>
      </c>
      <c r="P241" s="382"/>
      <c r="Q241" s="215" t="b">
        <f t="shared" si="6"/>
        <v>0</v>
      </c>
      <c r="R241" s="381" t="str">
        <f>IF(CHMTCmTm!R240=0,"",CHMTCmTm!R240)</f>
        <v/>
      </c>
      <c r="S241" s="382"/>
      <c r="T241" s="381" t="str">
        <f>IF(CHMTCmTm!T240=0,"",CHMTCmTm!T240)</f>
        <v/>
      </c>
      <c r="U241" s="382"/>
      <c r="V241" s="381" t="str">
        <f>IF(CHMTCmTm!V240=0,"",CHMTCmTm!V240)</f>
        <v/>
      </c>
      <c r="W241" s="396"/>
      <c r="X241" s="396"/>
      <c r="Y241" s="382"/>
      <c r="Z241" s="215">
        <f>CHMTCmTm!Z240</f>
        <v>0</v>
      </c>
      <c r="AA241" s="381" t="str">
        <f>IF(CHMTCmTm!AA240=0,"",CHMTCmTm!AA240)</f>
        <v/>
      </c>
      <c r="AB241" s="396"/>
      <c r="AC241" s="382"/>
      <c r="AD241" s="215">
        <f>CHMTCmTm!AD240</f>
        <v>0</v>
      </c>
      <c r="AE241" s="381" t="str">
        <f>IF(CHMTCmTm!AE240=0,"",CHMTCmTm!AE240)</f>
        <v/>
      </c>
      <c r="AF241" s="396"/>
      <c r="AG241" s="382"/>
      <c r="AH241" s="215">
        <f>CHMTCmTm!AH240</f>
        <v>0</v>
      </c>
      <c r="AI241" s="381" t="str">
        <f>IF(CHMTCmTm!AI240=0,"",CHMTCmTm!AI240)</f>
        <v/>
      </c>
      <c r="AJ241" s="396"/>
      <c r="AK241" s="382"/>
      <c r="AL241" s="215">
        <f>CHMTCmTm!AL240</f>
        <v>0</v>
      </c>
      <c r="AM241" s="381" t="str">
        <f>IF(CHMTCmTm!AM240=0,"",CHMTCmTm!AM240)</f>
        <v/>
      </c>
      <c r="AN241" s="396"/>
      <c r="AO241" s="382"/>
      <c r="AP241" s="381" t="str">
        <f>IF(CHMTCmTm!AP240=0,"",CHMTCmTm!AP240)</f>
        <v/>
      </c>
      <c r="AQ241" s="382"/>
      <c r="AR241" s="381" t="str">
        <f>IF(CHMTCmTm!AR240=0,"",CHMTCmTm!AR240)</f>
        <v/>
      </c>
      <c r="AS241" s="382"/>
      <c r="AT241" s="381" t="str">
        <f>IF(CHMTCmTm!AT240=0,"",CHMTCmTm!AT240)</f>
        <v/>
      </c>
      <c r="AU241" s="396"/>
      <c r="AV241" s="382"/>
      <c r="AW241" s="381" t="str">
        <f>IF(CHMTCmTm!AW240=0,"",CHMTCmTm!AW240)</f>
        <v/>
      </c>
      <c r="AX241" s="396"/>
      <c r="AY241" s="382"/>
      <c r="AZ241" s="24">
        <f>CHMTCmTm!AZ240</f>
        <v>0</v>
      </c>
      <c r="BC241" s="24">
        <f>COUNTIF(CHMTCmTm!O240, "Outreach Session")</f>
        <v>0</v>
      </c>
      <c r="BD241" s="24">
        <f>COUNTIF(CHMTCmTm!O240, "Mobile Clinic")</f>
        <v>0</v>
      </c>
      <c r="BE241" s="24">
        <f>COUNTIF(CHMTCmTm!O240, "Health Facility")</f>
        <v>0</v>
      </c>
    </row>
    <row r="242" spans="2:57" s="24" customFormat="1" ht="21.95" customHeight="1" x14ac:dyDescent="0.25">
      <c r="B242" s="397" t="str">
        <f>IF(CHMTCmTm!B241=0,"",CHMTCmTm!B241)</f>
        <v/>
      </c>
      <c r="C242" s="398"/>
      <c r="D242" s="399"/>
      <c r="E242" s="216">
        <f t="shared" si="7"/>
        <v>0</v>
      </c>
      <c r="F242" s="397" t="str">
        <f>IF(CHMTCmTm!F241=0,"",CHMTCmTm!F241)</f>
        <v/>
      </c>
      <c r="G242" s="398"/>
      <c r="H242" s="399"/>
      <c r="I242" s="381" t="str">
        <f>IF(CHMTCmTm!I241=0,"",CHMTCmTm!I241)</f>
        <v/>
      </c>
      <c r="J242" s="382"/>
      <c r="K242" s="381" t="str">
        <f>IF(CHMTCmTm!K241=0,"",CHMTCmTm!K241)</f>
        <v/>
      </c>
      <c r="L242" s="382"/>
      <c r="M242" s="381" t="str">
        <f>IF(CHMTCmTm!M241=0,"",CHMTCmTm!M241)</f>
        <v/>
      </c>
      <c r="N242" s="382"/>
      <c r="O242" s="381" t="str">
        <f>IF(CHMTCmTm!O241=0,"",CHMTCmTm!O241)</f>
        <v/>
      </c>
      <c r="P242" s="382"/>
      <c r="Q242" s="215" t="b">
        <f t="shared" si="6"/>
        <v>0</v>
      </c>
      <c r="R242" s="381" t="str">
        <f>IF(CHMTCmTm!R241=0,"",CHMTCmTm!R241)</f>
        <v/>
      </c>
      <c r="S242" s="382"/>
      <c r="T242" s="381" t="str">
        <f>IF(CHMTCmTm!T241=0,"",CHMTCmTm!T241)</f>
        <v/>
      </c>
      <c r="U242" s="382"/>
      <c r="V242" s="381" t="str">
        <f>IF(CHMTCmTm!V241=0,"",CHMTCmTm!V241)</f>
        <v/>
      </c>
      <c r="W242" s="396"/>
      <c r="X242" s="396"/>
      <c r="Y242" s="382"/>
      <c r="Z242" s="215">
        <f>CHMTCmTm!Z241</f>
        <v>0</v>
      </c>
      <c r="AA242" s="381" t="str">
        <f>IF(CHMTCmTm!AA241=0,"",CHMTCmTm!AA241)</f>
        <v/>
      </c>
      <c r="AB242" s="396"/>
      <c r="AC242" s="382"/>
      <c r="AD242" s="215">
        <f>CHMTCmTm!AD241</f>
        <v>0</v>
      </c>
      <c r="AE242" s="381" t="str">
        <f>IF(CHMTCmTm!AE241=0,"",CHMTCmTm!AE241)</f>
        <v/>
      </c>
      <c r="AF242" s="396"/>
      <c r="AG242" s="382"/>
      <c r="AH242" s="215">
        <f>CHMTCmTm!AH241</f>
        <v>0</v>
      </c>
      <c r="AI242" s="381" t="str">
        <f>IF(CHMTCmTm!AI241=0,"",CHMTCmTm!AI241)</f>
        <v/>
      </c>
      <c r="AJ242" s="396"/>
      <c r="AK242" s="382"/>
      <c r="AL242" s="215">
        <f>CHMTCmTm!AL241</f>
        <v>0</v>
      </c>
      <c r="AM242" s="381" t="str">
        <f>IF(CHMTCmTm!AM241=0,"",CHMTCmTm!AM241)</f>
        <v/>
      </c>
      <c r="AN242" s="396"/>
      <c r="AO242" s="382"/>
      <c r="AP242" s="381" t="str">
        <f>IF(CHMTCmTm!AP241=0,"",CHMTCmTm!AP241)</f>
        <v/>
      </c>
      <c r="AQ242" s="382"/>
      <c r="AR242" s="381" t="str">
        <f>IF(CHMTCmTm!AR241=0,"",CHMTCmTm!AR241)</f>
        <v/>
      </c>
      <c r="AS242" s="382"/>
      <c r="AT242" s="381" t="str">
        <f>IF(CHMTCmTm!AT241=0,"",CHMTCmTm!AT241)</f>
        <v/>
      </c>
      <c r="AU242" s="396"/>
      <c r="AV242" s="382"/>
      <c r="AW242" s="381" t="str">
        <f>IF(CHMTCmTm!AW241=0,"",CHMTCmTm!AW241)</f>
        <v/>
      </c>
      <c r="AX242" s="396"/>
      <c r="AY242" s="382"/>
      <c r="AZ242" s="24">
        <f>CHMTCmTm!AZ241</f>
        <v>0</v>
      </c>
      <c r="BC242" s="24">
        <f>COUNTIF(CHMTCmTm!O241, "Outreach Session")</f>
        <v>0</v>
      </c>
      <c r="BD242" s="24">
        <f>COUNTIF(CHMTCmTm!O241, "Mobile Clinic")</f>
        <v>0</v>
      </c>
      <c r="BE242" s="24">
        <f>COUNTIF(CHMTCmTm!O241, "Health Facility")</f>
        <v>0</v>
      </c>
    </row>
    <row r="243" spans="2:57" s="24" customFormat="1" ht="21.95" customHeight="1" x14ac:dyDescent="0.25">
      <c r="B243" s="397" t="str">
        <f>IF(CHMTCmTm!B242=0,"",CHMTCmTm!B242)</f>
        <v/>
      </c>
      <c r="C243" s="398"/>
      <c r="D243" s="399"/>
      <c r="E243" s="216">
        <f t="shared" si="7"/>
        <v>0</v>
      </c>
      <c r="F243" s="397" t="str">
        <f>IF(CHMTCmTm!F242=0,"",CHMTCmTm!F242)</f>
        <v/>
      </c>
      <c r="G243" s="398"/>
      <c r="H243" s="399"/>
      <c r="I243" s="381" t="str">
        <f>IF(CHMTCmTm!I242=0,"",CHMTCmTm!I242)</f>
        <v/>
      </c>
      <c r="J243" s="382"/>
      <c r="K243" s="381" t="str">
        <f>IF(CHMTCmTm!K242=0,"",CHMTCmTm!K242)</f>
        <v/>
      </c>
      <c r="L243" s="382"/>
      <c r="M243" s="381" t="str">
        <f>IF(CHMTCmTm!M242=0,"",CHMTCmTm!M242)</f>
        <v/>
      </c>
      <c r="N243" s="382"/>
      <c r="O243" s="381" t="str">
        <f>IF(CHMTCmTm!O242=0,"",CHMTCmTm!O242)</f>
        <v/>
      </c>
      <c r="P243" s="382"/>
      <c r="Q243" s="215" t="b">
        <f t="shared" si="6"/>
        <v>0</v>
      </c>
      <c r="R243" s="381" t="str">
        <f>IF(CHMTCmTm!R242=0,"",CHMTCmTm!R242)</f>
        <v/>
      </c>
      <c r="S243" s="382"/>
      <c r="T243" s="381" t="str">
        <f>IF(CHMTCmTm!T242=0,"",CHMTCmTm!T242)</f>
        <v/>
      </c>
      <c r="U243" s="382"/>
      <c r="V243" s="381" t="str">
        <f>IF(CHMTCmTm!V242=0,"",CHMTCmTm!V242)</f>
        <v/>
      </c>
      <c r="W243" s="396"/>
      <c r="X243" s="396"/>
      <c r="Y243" s="382"/>
      <c r="Z243" s="215">
        <f>CHMTCmTm!Z242</f>
        <v>0</v>
      </c>
      <c r="AA243" s="381" t="str">
        <f>IF(CHMTCmTm!AA242=0,"",CHMTCmTm!AA242)</f>
        <v/>
      </c>
      <c r="AB243" s="396"/>
      <c r="AC243" s="382"/>
      <c r="AD243" s="215">
        <f>CHMTCmTm!AD242</f>
        <v>0</v>
      </c>
      <c r="AE243" s="381" t="str">
        <f>IF(CHMTCmTm!AE242=0,"",CHMTCmTm!AE242)</f>
        <v/>
      </c>
      <c r="AF243" s="396"/>
      <c r="AG243" s="382"/>
      <c r="AH243" s="215">
        <f>CHMTCmTm!AH242</f>
        <v>0</v>
      </c>
      <c r="AI243" s="381" t="str">
        <f>IF(CHMTCmTm!AI242=0,"",CHMTCmTm!AI242)</f>
        <v/>
      </c>
      <c r="AJ243" s="396"/>
      <c r="AK243" s="382"/>
      <c r="AL243" s="215">
        <f>CHMTCmTm!AL242</f>
        <v>0</v>
      </c>
      <c r="AM243" s="381" t="str">
        <f>IF(CHMTCmTm!AM242=0,"",CHMTCmTm!AM242)</f>
        <v/>
      </c>
      <c r="AN243" s="396"/>
      <c r="AO243" s="382"/>
      <c r="AP243" s="381" t="str">
        <f>IF(CHMTCmTm!AP242=0,"",CHMTCmTm!AP242)</f>
        <v/>
      </c>
      <c r="AQ243" s="382"/>
      <c r="AR243" s="381" t="str">
        <f>IF(CHMTCmTm!AR242=0,"",CHMTCmTm!AR242)</f>
        <v/>
      </c>
      <c r="AS243" s="382"/>
      <c r="AT243" s="381" t="str">
        <f>IF(CHMTCmTm!AT242=0,"",CHMTCmTm!AT242)</f>
        <v/>
      </c>
      <c r="AU243" s="396"/>
      <c r="AV243" s="382"/>
      <c r="AW243" s="381" t="str">
        <f>IF(CHMTCmTm!AW242=0,"",CHMTCmTm!AW242)</f>
        <v/>
      </c>
      <c r="AX243" s="396"/>
      <c r="AY243" s="382"/>
      <c r="AZ243" s="24">
        <f>CHMTCmTm!AZ242</f>
        <v>0</v>
      </c>
      <c r="BC243" s="24">
        <f>COUNTIF(CHMTCmTm!O242, "Outreach Session")</f>
        <v>0</v>
      </c>
      <c r="BD243" s="24">
        <f>COUNTIF(CHMTCmTm!O242, "Mobile Clinic")</f>
        <v>0</v>
      </c>
      <c r="BE243" s="24">
        <f>COUNTIF(CHMTCmTm!O242, "Health Facility")</f>
        <v>0</v>
      </c>
    </row>
    <row r="244" spans="2:57" s="24" customFormat="1" ht="21.95" customHeight="1" x14ac:dyDescent="0.25">
      <c r="B244" s="397" t="str">
        <f>IF(CHMTCmTm!B243=0,"",CHMTCmTm!B243)</f>
        <v/>
      </c>
      <c r="C244" s="398"/>
      <c r="D244" s="399"/>
      <c r="E244" s="216">
        <f t="shared" si="7"/>
        <v>0</v>
      </c>
      <c r="F244" s="397" t="str">
        <f>IF(CHMTCmTm!F243=0,"",CHMTCmTm!F243)</f>
        <v/>
      </c>
      <c r="G244" s="398"/>
      <c r="H244" s="399"/>
      <c r="I244" s="381" t="str">
        <f>IF(CHMTCmTm!I243=0,"",CHMTCmTm!I243)</f>
        <v/>
      </c>
      <c r="J244" s="382"/>
      <c r="K244" s="381" t="str">
        <f>IF(CHMTCmTm!K243=0,"",CHMTCmTm!K243)</f>
        <v/>
      </c>
      <c r="L244" s="382"/>
      <c r="M244" s="381" t="str">
        <f>IF(CHMTCmTm!M243=0,"",CHMTCmTm!M243)</f>
        <v/>
      </c>
      <c r="N244" s="382"/>
      <c r="O244" s="381" t="str">
        <f>IF(CHMTCmTm!O243=0,"",CHMTCmTm!O243)</f>
        <v/>
      </c>
      <c r="P244" s="382"/>
      <c r="Q244" s="215" t="b">
        <f t="shared" si="6"/>
        <v>0</v>
      </c>
      <c r="R244" s="381" t="str">
        <f>IF(CHMTCmTm!R243=0,"",CHMTCmTm!R243)</f>
        <v/>
      </c>
      <c r="S244" s="382"/>
      <c r="T244" s="381" t="str">
        <f>IF(CHMTCmTm!T243=0,"",CHMTCmTm!T243)</f>
        <v/>
      </c>
      <c r="U244" s="382"/>
      <c r="V244" s="381" t="str">
        <f>IF(CHMTCmTm!V243=0,"",CHMTCmTm!V243)</f>
        <v/>
      </c>
      <c r="W244" s="396"/>
      <c r="X244" s="396"/>
      <c r="Y244" s="382"/>
      <c r="Z244" s="215">
        <f>CHMTCmTm!Z243</f>
        <v>0</v>
      </c>
      <c r="AA244" s="381" t="str">
        <f>IF(CHMTCmTm!AA243=0,"",CHMTCmTm!AA243)</f>
        <v/>
      </c>
      <c r="AB244" s="396"/>
      <c r="AC244" s="382"/>
      <c r="AD244" s="215">
        <f>CHMTCmTm!AD243</f>
        <v>0</v>
      </c>
      <c r="AE244" s="381" t="str">
        <f>IF(CHMTCmTm!AE243=0,"",CHMTCmTm!AE243)</f>
        <v/>
      </c>
      <c r="AF244" s="396"/>
      <c r="AG244" s="382"/>
      <c r="AH244" s="215">
        <f>CHMTCmTm!AH243</f>
        <v>0</v>
      </c>
      <c r="AI244" s="381" t="str">
        <f>IF(CHMTCmTm!AI243=0,"",CHMTCmTm!AI243)</f>
        <v/>
      </c>
      <c r="AJ244" s="396"/>
      <c r="AK244" s="382"/>
      <c r="AL244" s="215">
        <f>CHMTCmTm!AL243</f>
        <v>0</v>
      </c>
      <c r="AM244" s="381" t="str">
        <f>IF(CHMTCmTm!AM243=0,"",CHMTCmTm!AM243)</f>
        <v/>
      </c>
      <c r="AN244" s="396"/>
      <c r="AO244" s="382"/>
      <c r="AP244" s="381" t="str">
        <f>IF(CHMTCmTm!AP243=0,"",CHMTCmTm!AP243)</f>
        <v/>
      </c>
      <c r="AQ244" s="382"/>
      <c r="AR244" s="381" t="str">
        <f>IF(CHMTCmTm!AR243=0,"",CHMTCmTm!AR243)</f>
        <v/>
      </c>
      <c r="AS244" s="382"/>
      <c r="AT244" s="381" t="str">
        <f>IF(CHMTCmTm!AT243=0,"",CHMTCmTm!AT243)</f>
        <v/>
      </c>
      <c r="AU244" s="396"/>
      <c r="AV244" s="382"/>
      <c r="AW244" s="381" t="str">
        <f>IF(CHMTCmTm!AW243=0,"",CHMTCmTm!AW243)</f>
        <v/>
      </c>
      <c r="AX244" s="396"/>
      <c r="AY244" s="382"/>
      <c r="AZ244" s="24">
        <f>CHMTCmTm!AZ243</f>
        <v>0</v>
      </c>
      <c r="BC244" s="24">
        <f>COUNTIF(CHMTCmTm!O243, "Outreach Session")</f>
        <v>0</v>
      </c>
      <c r="BD244" s="24">
        <f>COUNTIF(CHMTCmTm!O243, "Mobile Clinic")</f>
        <v>0</v>
      </c>
      <c r="BE244" s="24">
        <f>COUNTIF(CHMTCmTm!O243, "Health Facility")</f>
        <v>0</v>
      </c>
    </row>
    <row r="245" spans="2:57" s="24" customFormat="1" ht="21.95" customHeight="1" x14ac:dyDescent="0.25">
      <c r="B245" s="397" t="str">
        <f>IF(CHMTCmTm!B244=0,"",CHMTCmTm!B244)</f>
        <v/>
      </c>
      <c r="C245" s="398"/>
      <c r="D245" s="399"/>
      <c r="E245" s="216">
        <f t="shared" si="7"/>
        <v>0</v>
      </c>
      <c r="F245" s="397" t="str">
        <f>IF(CHMTCmTm!F244=0,"",CHMTCmTm!F244)</f>
        <v/>
      </c>
      <c r="G245" s="398"/>
      <c r="H245" s="399"/>
      <c r="I245" s="381" t="str">
        <f>IF(CHMTCmTm!I244=0,"",CHMTCmTm!I244)</f>
        <v/>
      </c>
      <c r="J245" s="382"/>
      <c r="K245" s="381" t="str">
        <f>IF(CHMTCmTm!K244=0,"",CHMTCmTm!K244)</f>
        <v/>
      </c>
      <c r="L245" s="382"/>
      <c r="M245" s="381" t="str">
        <f>IF(CHMTCmTm!M244=0,"",CHMTCmTm!M244)</f>
        <v/>
      </c>
      <c r="N245" s="382"/>
      <c r="O245" s="381" t="str">
        <f>IF(CHMTCmTm!O244=0,"",CHMTCmTm!O244)</f>
        <v/>
      </c>
      <c r="P245" s="382"/>
      <c r="Q245" s="215" t="b">
        <f t="shared" si="6"/>
        <v>0</v>
      </c>
      <c r="R245" s="381" t="str">
        <f>IF(CHMTCmTm!R244=0,"",CHMTCmTm!R244)</f>
        <v/>
      </c>
      <c r="S245" s="382"/>
      <c r="T245" s="381" t="str">
        <f>IF(CHMTCmTm!T244=0,"",CHMTCmTm!T244)</f>
        <v/>
      </c>
      <c r="U245" s="382"/>
      <c r="V245" s="381" t="str">
        <f>IF(CHMTCmTm!V244=0,"",CHMTCmTm!V244)</f>
        <v/>
      </c>
      <c r="W245" s="396"/>
      <c r="X245" s="396"/>
      <c r="Y245" s="382"/>
      <c r="Z245" s="215">
        <f>CHMTCmTm!Z244</f>
        <v>0</v>
      </c>
      <c r="AA245" s="381" t="str">
        <f>IF(CHMTCmTm!AA244=0,"",CHMTCmTm!AA244)</f>
        <v/>
      </c>
      <c r="AB245" s="396"/>
      <c r="AC245" s="382"/>
      <c r="AD245" s="215">
        <f>CHMTCmTm!AD244</f>
        <v>0</v>
      </c>
      <c r="AE245" s="381" t="str">
        <f>IF(CHMTCmTm!AE244=0,"",CHMTCmTm!AE244)</f>
        <v/>
      </c>
      <c r="AF245" s="396"/>
      <c r="AG245" s="382"/>
      <c r="AH245" s="215">
        <f>CHMTCmTm!AH244</f>
        <v>0</v>
      </c>
      <c r="AI245" s="381" t="str">
        <f>IF(CHMTCmTm!AI244=0,"",CHMTCmTm!AI244)</f>
        <v/>
      </c>
      <c r="AJ245" s="396"/>
      <c r="AK245" s="382"/>
      <c r="AL245" s="215">
        <f>CHMTCmTm!AL244</f>
        <v>0</v>
      </c>
      <c r="AM245" s="381" t="str">
        <f>IF(CHMTCmTm!AM244=0,"",CHMTCmTm!AM244)</f>
        <v/>
      </c>
      <c r="AN245" s="396"/>
      <c r="AO245" s="382"/>
      <c r="AP245" s="381" t="str">
        <f>IF(CHMTCmTm!AP244=0,"",CHMTCmTm!AP244)</f>
        <v/>
      </c>
      <c r="AQ245" s="382"/>
      <c r="AR245" s="381" t="str">
        <f>IF(CHMTCmTm!AR244=0,"",CHMTCmTm!AR244)</f>
        <v/>
      </c>
      <c r="AS245" s="382"/>
      <c r="AT245" s="381" t="str">
        <f>IF(CHMTCmTm!AT244=0,"",CHMTCmTm!AT244)</f>
        <v/>
      </c>
      <c r="AU245" s="396"/>
      <c r="AV245" s="382"/>
      <c r="AW245" s="381" t="str">
        <f>IF(CHMTCmTm!AW244=0,"",CHMTCmTm!AW244)</f>
        <v/>
      </c>
      <c r="AX245" s="396"/>
      <c r="AY245" s="382"/>
      <c r="AZ245" s="24">
        <f>CHMTCmTm!AZ244</f>
        <v>0</v>
      </c>
      <c r="BC245" s="24">
        <f>COUNTIF(CHMTCmTm!O244, "Outreach Session")</f>
        <v>0</v>
      </c>
      <c r="BD245" s="24">
        <f>COUNTIF(CHMTCmTm!O244, "Mobile Clinic")</f>
        <v>0</v>
      </c>
      <c r="BE245" s="24">
        <f>COUNTIF(CHMTCmTm!O244, "Health Facility")</f>
        <v>0</v>
      </c>
    </row>
    <row r="246" spans="2:57" s="24" customFormat="1" ht="21.95" customHeight="1" x14ac:dyDescent="0.25">
      <c r="B246" s="397" t="str">
        <f>IF(CHMTCmTm!B245=0,"",CHMTCmTm!B245)</f>
        <v/>
      </c>
      <c r="C246" s="398"/>
      <c r="D246" s="399"/>
      <c r="E246" s="216">
        <f t="shared" si="7"/>
        <v>0</v>
      </c>
      <c r="F246" s="397" t="str">
        <f>IF(CHMTCmTm!F245=0,"",CHMTCmTm!F245)</f>
        <v/>
      </c>
      <c r="G246" s="398"/>
      <c r="H246" s="399"/>
      <c r="I246" s="381" t="str">
        <f>IF(CHMTCmTm!I245=0,"",CHMTCmTm!I245)</f>
        <v/>
      </c>
      <c r="J246" s="382"/>
      <c r="K246" s="381" t="str">
        <f>IF(CHMTCmTm!K245=0,"",CHMTCmTm!K245)</f>
        <v/>
      </c>
      <c r="L246" s="382"/>
      <c r="M246" s="381" t="str">
        <f>IF(CHMTCmTm!M245=0,"",CHMTCmTm!M245)</f>
        <v/>
      </c>
      <c r="N246" s="382"/>
      <c r="O246" s="381" t="str">
        <f>IF(CHMTCmTm!O245=0,"",CHMTCmTm!O245)</f>
        <v/>
      </c>
      <c r="P246" s="382"/>
      <c r="Q246" s="215" t="b">
        <f t="shared" si="6"/>
        <v>0</v>
      </c>
      <c r="R246" s="381" t="str">
        <f>IF(CHMTCmTm!R245=0,"",CHMTCmTm!R245)</f>
        <v/>
      </c>
      <c r="S246" s="382"/>
      <c r="T246" s="381" t="str">
        <f>IF(CHMTCmTm!T245=0,"",CHMTCmTm!T245)</f>
        <v/>
      </c>
      <c r="U246" s="382"/>
      <c r="V246" s="381" t="str">
        <f>IF(CHMTCmTm!V245=0,"",CHMTCmTm!V245)</f>
        <v/>
      </c>
      <c r="W246" s="396"/>
      <c r="X246" s="396"/>
      <c r="Y246" s="382"/>
      <c r="Z246" s="215">
        <f>CHMTCmTm!Z245</f>
        <v>0</v>
      </c>
      <c r="AA246" s="381" t="str">
        <f>IF(CHMTCmTm!AA245=0,"",CHMTCmTm!AA245)</f>
        <v/>
      </c>
      <c r="AB246" s="396"/>
      <c r="AC246" s="382"/>
      <c r="AD246" s="215">
        <f>CHMTCmTm!AD245</f>
        <v>0</v>
      </c>
      <c r="AE246" s="381" t="str">
        <f>IF(CHMTCmTm!AE245=0,"",CHMTCmTm!AE245)</f>
        <v/>
      </c>
      <c r="AF246" s="396"/>
      <c r="AG246" s="382"/>
      <c r="AH246" s="215">
        <f>CHMTCmTm!AH245</f>
        <v>0</v>
      </c>
      <c r="AI246" s="381" t="str">
        <f>IF(CHMTCmTm!AI245=0,"",CHMTCmTm!AI245)</f>
        <v/>
      </c>
      <c r="AJ246" s="396"/>
      <c r="AK246" s="382"/>
      <c r="AL246" s="215">
        <f>CHMTCmTm!AL245</f>
        <v>0</v>
      </c>
      <c r="AM246" s="381" t="str">
        <f>IF(CHMTCmTm!AM245=0,"",CHMTCmTm!AM245)</f>
        <v/>
      </c>
      <c r="AN246" s="396"/>
      <c r="AO246" s="382"/>
      <c r="AP246" s="381" t="str">
        <f>IF(CHMTCmTm!AP245=0,"",CHMTCmTm!AP245)</f>
        <v/>
      </c>
      <c r="AQ246" s="382"/>
      <c r="AR246" s="381" t="str">
        <f>IF(CHMTCmTm!AR245=0,"",CHMTCmTm!AR245)</f>
        <v/>
      </c>
      <c r="AS246" s="382"/>
      <c r="AT246" s="381" t="str">
        <f>IF(CHMTCmTm!AT245=0,"",CHMTCmTm!AT245)</f>
        <v/>
      </c>
      <c r="AU246" s="396"/>
      <c r="AV246" s="382"/>
      <c r="AW246" s="381" t="str">
        <f>IF(CHMTCmTm!AW245=0,"",CHMTCmTm!AW245)</f>
        <v/>
      </c>
      <c r="AX246" s="396"/>
      <c r="AY246" s="382"/>
      <c r="AZ246" s="24">
        <f>CHMTCmTm!AZ245</f>
        <v>0</v>
      </c>
      <c r="BC246" s="24">
        <f>COUNTIF(CHMTCmTm!O245, "Outreach Session")</f>
        <v>0</v>
      </c>
      <c r="BD246" s="24">
        <f>COUNTIF(CHMTCmTm!O245, "Mobile Clinic")</f>
        <v>0</v>
      </c>
      <c r="BE246" s="24">
        <f>COUNTIF(CHMTCmTm!O245, "Health Facility")</f>
        <v>0</v>
      </c>
    </row>
    <row r="247" spans="2:57" s="24" customFormat="1" ht="21.95" customHeight="1" x14ac:dyDescent="0.25">
      <c r="B247" s="397" t="str">
        <f>IF(CHMTCmTm!B246=0,"",CHMTCmTm!B246)</f>
        <v/>
      </c>
      <c r="C247" s="398"/>
      <c r="D247" s="399"/>
      <c r="E247" s="216">
        <f t="shared" si="7"/>
        <v>0</v>
      </c>
      <c r="F247" s="397" t="str">
        <f>IF(CHMTCmTm!F246=0,"",CHMTCmTm!F246)</f>
        <v/>
      </c>
      <c r="G247" s="398"/>
      <c r="H247" s="399"/>
      <c r="I247" s="381" t="str">
        <f>IF(CHMTCmTm!I246=0,"",CHMTCmTm!I246)</f>
        <v/>
      </c>
      <c r="J247" s="382"/>
      <c r="K247" s="381" t="str">
        <f>IF(CHMTCmTm!K246=0,"",CHMTCmTm!K246)</f>
        <v/>
      </c>
      <c r="L247" s="382"/>
      <c r="M247" s="381" t="str">
        <f>IF(CHMTCmTm!M246=0,"",CHMTCmTm!M246)</f>
        <v/>
      </c>
      <c r="N247" s="382"/>
      <c r="O247" s="381" t="str">
        <f>IF(CHMTCmTm!O246=0,"",CHMTCmTm!O246)</f>
        <v/>
      </c>
      <c r="P247" s="382"/>
      <c r="Q247" s="215" t="b">
        <f t="shared" si="6"/>
        <v>0</v>
      </c>
      <c r="R247" s="381" t="str">
        <f>IF(CHMTCmTm!R246=0,"",CHMTCmTm!R246)</f>
        <v/>
      </c>
      <c r="S247" s="382"/>
      <c r="T247" s="381" t="str">
        <f>IF(CHMTCmTm!T246=0,"",CHMTCmTm!T246)</f>
        <v/>
      </c>
      <c r="U247" s="382"/>
      <c r="V247" s="381" t="str">
        <f>IF(CHMTCmTm!V246=0,"",CHMTCmTm!V246)</f>
        <v/>
      </c>
      <c r="W247" s="396"/>
      <c r="X247" s="396"/>
      <c r="Y247" s="382"/>
      <c r="Z247" s="215">
        <f>CHMTCmTm!Z246</f>
        <v>0</v>
      </c>
      <c r="AA247" s="381" t="str">
        <f>IF(CHMTCmTm!AA246=0,"",CHMTCmTm!AA246)</f>
        <v/>
      </c>
      <c r="AB247" s="396"/>
      <c r="AC247" s="382"/>
      <c r="AD247" s="215">
        <f>CHMTCmTm!AD246</f>
        <v>0</v>
      </c>
      <c r="AE247" s="381" t="str">
        <f>IF(CHMTCmTm!AE246=0,"",CHMTCmTm!AE246)</f>
        <v/>
      </c>
      <c r="AF247" s="396"/>
      <c r="AG247" s="382"/>
      <c r="AH247" s="215">
        <f>CHMTCmTm!AH246</f>
        <v>0</v>
      </c>
      <c r="AI247" s="381" t="str">
        <f>IF(CHMTCmTm!AI246=0,"",CHMTCmTm!AI246)</f>
        <v/>
      </c>
      <c r="AJ247" s="396"/>
      <c r="AK247" s="382"/>
      <c r="AL247" s="215">
        <f>CHMTCmTm!AL246</f>
        <v>0</v>
      </c>
      <c r="AM247" s="381" t="str">
        <f>IF(CHMTCmTm!AM246=0,"",CHMTCmTm!AM246)</f>
        <v/>
      </c>
      <c r="AN247" s="396"/>
      <c r="AO247" s="382"/>
      <c r="AP247" s="381" t="str">
        <f>IF(CHMTCmTm!AP246=0,"",CHMTCmTm!AP246)</f>
        <v/>
      </c>
      <c r="AQ247" s="382"/>
      <c r="AR247" s="381" t="str">
        <f>IF(CHMTCmTm!AR246=0,"",CHMTCmTm!AR246)</f>
        <v/>
      </c>
      <c r="AS247" s="382"/>
      <c r="AT247" s="381" t="str">
        <f>IF(CHMTCmTm!AT246=0,"",CHMTCmTm!AT246)</f>
        <v/>
      </c>
      <c r="AU247" s="396"/>
      <c r="AV247" s="382"/>
      <c r="AW247" s="381" t="str">
        <f>IF(CHMTCmTm!AW246=0,"",CHMTCmTm!AW246)</f>
        <v/>
      </c>
      <c r="AX247" s="396"/>
      <c r="AY247" s="382"/>
      <c r="AZ247" s="24">
        <f>CHMTCmTm!AZ246</f>
        <v>0</v>
      </c>
      <c r="BC247" s="24">
        <f>COUNTIF(CHMTCmTm!O246, "Outreach Session")</f>
        <v>0</v>
      </c>
      <c r="BD247" s="24">
        <f>COUNTIF(CHMTCmTm!O246, "Mobile Clinic")</f>
        <v>0</v>
      </c>
      <c r="BE247" s="24">
        <f>COUNTIF(CHMTCmTm!O246, "Health Facility")</f>
        <v>0</v>
      </c>
    </row>
    <row r="248" spans="2:57" s="24" customFormat="1" ht="21.95" customHeight="1" x14ac:dyDescent="0.25">
      <c r="B248" s="397" t="str">
        <f>IF(CHMTCmTm!B247=0,"",CHMTCmTm!B247)</f>
        <v/>
      </c>
      <c r="C248" s="398"/>
      <c r="D248" s="399"/>
      <c r="E248" s="216">
        <f t="shared" si="7"/>
        <v>0</v>
      </c>
      <c r="F248" s="397" t="str">
        <f>IF(CHMTCmTm!F247=0,"",CHMTCmTm!F247)</f>
        <v/>
      </c>
      <c r="G248" s="398"/>
      <c r="H248" s="399"/>
      <c r="I248" s="381" t="str">
        <f>IF(CHMTCmTm!I247=0,"",CHMTCmTm!I247)</f>
        <v/>
      </c>
      <c r="J248" s="382"/>
      <c r="K248" s="381" t="str">
        <f>IF(CHMTCmTm!K247=0,"",CHMTCmTm!K247)</f>
        <v/>
      </c>
      <c r="L248" s="382"/>
      <c r="M248" s="381" t="str">
        <f>IF(CHMTCmTm!M247=0,"",CHMTCmTm!M247)</f>
        <v/>
      </c>
      <c r="N248" s="382"/>
      <c r="O248" s="381" t="str">
        <f>IF(CHMTCmTm!O247=0,"",CHMTCmTm!O247)</f>
        <v/>
      </c>
      <c r="P248" s="382"/>
      <c r="Q248" s="215" t="b">
        <f t="shared" si="6"/>
        <v>0</v>
      </c>
      <c r="R248" s="381" t="str">
        <f>IF(CHMTCmTm!R247=0,"",CHMTCmTm!R247)</f>
        <v/>
      </c>
      <c r="S248" s="382"/>
      <c r="T248" s="381" t="str">
        <f>IF(CHMTCmTm!T247=0,"",CHMTCmTm!T247)</f>
        <v/>
      </c>
      <c r="U248" s="382"/>
      <c r="V248" s="381" t="str">
        <f>IF(CHMTCmTm!V247=0,"",CHMTCmTm!V247)</f>
        <v/>
      </c>
      <c r="W248" s="396"/>
      <c r="X248" s="396"/>
      <c r="Y248" s="382"/>
      <c r="Z248" s="215">
        <f>CHMTCmTm!Z247</f>
        <v>0</v>
      </c>
      <c r="AA248" s="381" t="str">
        <f>IF(CHMTCmTm!AA247=0,"",CHMTCmTm!AA247)</f>
        <v/>
      </c>
      <c r="AB248" s="396"/>
      <c r="AC248" s="382"/>
      <c r="AD248" s="215">
        <f>CHMTCmTm!AD247</f>
        <v>0</v>
      </c>
      <c r="AE248" s="381" t="str">
        <f>IF(CHMTCmTm!AE247=0,"",CHMTCmTm!AE247)</f>
        <v/>
      </c>
      <c r="AF248" s="396"/>
      <c r="AG248" s="382"/>
      <c r="AH248" s="215">
        <f>CHMTCmTm!AH247</f>
        <v>0</v>
      </c>
      <c r="AI248" s="381" t="str">
        <f>IF(CHMTCmTm!AI247=0,"",CHMTCmTm!AI247)</f>
        <v/>
      </c>
      <c r="AJ248" s="396"/>
      <c r="AK248" s="382"/>
      <c r="AL248" s="215">
        <f>CHMTCmTm!AL247</f>
        <v>0</v>
      </c>
      <c r="AM248" s="381" t="str">
        <f>IF(CHMTCmTm!AM247=0,"",CHMTCmTm!AM247)</f>
        <v/>
      </c>
      <c r="AN248" s="396"/>
      <c r="AO248" s="382"/>
      <c r="AP248" s="381" t="str">
        <f>IF(CHMTCmTm!AP247=0,"",CHMTCmTm!AP247)</f>
        <v/>
      </c>
      <c r="AQ248" s="382"/>
      <c r="AR248" s="381" t="str">
        <f>IF(CHMTCmTm!AR247=0,"",CHMTCmTm!AR247)</f>
        <v/>
      </c>
      <c r="AS248" s="382"/>
      <c r="AT248" s="381" t="str">
        <f>IF(CHMTCmTm!AT247=0,"",CHMTCmTm!AT247)</f>
        <v/>
      </c>
      <c r="AU248" s="396"/>
      <c r="AV248" s="382"/>
      <c r="AW248" s="381" t="str">
        <f>IF(CHMTCmTm!AW247=0,"",CHMTCmTm!AW247)</f>
        <v/>
      </c>
      <c r="AX248" s="396"/>
      <c r="AY248" s="382"/>
      <c r="AZ248" s="24">
        <f>CHMTCmTm!AZ247</f>
        <v>0</v>
      </c>
      <c r="BC248" s="24">
        <f>COUNTIF(CHMTCmTm!O247, "Outreach Session")</f>
        <v>0</v>
      </c>
      <c r="BD248" s="24">
        <f>COUNTIF(CHMTCmTm!O247, "Mobile Clinic")</f>
        <v>0</v>
      </c>
      <c r="BE248" s="24">
        <f>COUNTIF(CHMTCmTm!O247, "Health Facility")</f>
        <v>0</v>
      </c>
    </row>
    <row r="249" spans="2:57" s="24" customFormat="1" ht="21.95" customHeight="1" x14ac:dyDescent="0.25">
      <c r="B249" s="397" t="str">
        <f>IF(CHMTCmTm!B248=0,"",CHMTCmTm!B248)</f>
        <v/>
      </c>
      <c r="C249" s="398"/>
      <c r="D249" s="399"/>
      <c r="E249" s="216">
        <f t="shared" si="7"/>
        <v>0</v>
      </c>
      <c r="F249" s="397" t="str">
        <f>IF(CHMTCmTm!F248=0,"",CHMTCmTm!F248)</f>
        <v/>
      </c>
      <c r="G249" s="398"/>
      <c r="H249" s="399"/>
      <c r="I249" s="381" t="str">
        <f>IF(CHMTCmTm!I248=0,"",CHMTCmTm!I248)</f>
        <v/>
      </c>
      <c r="J249" s="382"/>
      <c r="K249" s="381" t="str">
        <f>IF(CHMTCmTm!K248=0,"",CHMTCmTm!K248)</f>
        <v/>
      </c>
      <c r="L249" s="382"/>
      <c r="M249" s="381" t="str">
        <f>IF(CHMTCmTm!M248=0,"",CHMTCmTm!M248)</f>
        <v/>
      </c>
      <c r="N249" s="382"/>
      <c r="O249" s="381" t="str">
        <f>IF(CHMTCmTm!O248=0,"",CHMTCmTm!O248)</f>
        <v/>
      </c>
      <c r="P249" s="382"/>
      <c r="Q249" s="215" t="b">
        <f t="shared" si="6"/>
        <v>0</v>
      </c>
      <c r="R249" s="381" t="str">
        <f>IF(CHMTCmTm!R248=0,"",CHMTCmTm!R248)</f>
        <v/>
      </c>
      <c r="S249" s="382"/>
      <c r="T249" s="381" t="str">
        <f>IF(CHMTCmTm!T248=0,"",CHMTCmTm!T248)</f>
        <v/>
      </c>
      <c r="U249" s="382"/>
      <c r="V249" s="381" t="str">
        <f>IF(CHMTCmTm!V248=0,"",CHMTCmTm!V248)</f>
        <v/>
      </c>
      <c r="W249" s="396"/>
      <c r="X249" s="396"/>
      <c r="Y249" s="382"/>
      <c r="Z249" s="215">
        <f>CHMTCmTm!Z248</f>
        <v>0</v>
      </c>
      <c r="AA249" s="381" t="str">
        <f>IF(CHMTCmTm!AA248=0,"",CHMTCmTm!AA248)</f>
        <v/>
      </c>
      <c r="AB249" s="396"/>
      <c r="AC249" s="382"/>
      <c r="AD249" s="215">
        <f>CHMTCmTm!AD248</f>
        <v>0</v>
      </c>
      <c r="AE249" s="381" t="str">
        <f>IF(CHMTCmTm!AE248=0,"",CHMTCmTm!AE248)</f>
        <v/>
      </c>
      <c r="AF249" s="396"/>
      <c r="AG249" s="382"/>
      <c r="AH249" s="215">
        <f>CHMTCmTm!AH248</f>
        <v>0</v>
      </c>
      <c r="AI249" s="381" t="str">
        <f>IF(CHMTCmTm!AI248=0,"",CHMTCmTm!AI248)</f>
        <v/>
      </c>
      <c r="AJ249" s="396"/>
      <c r="AK249" s="382"/>
      <c r="AL249" s="215">
        <f>CHMTCmTm!AL248</f>
        <v>0</v>
      </c>
      <c r="AM249" s="381" t="str">
        <f>IF(CHMTCmTm!AM248=0,"",CHMTCmTm!AM248)</f>
        <v/>
      </c>
      <c r="AN249" s="396"/>
      <c r="AO249" s="382"/>
      <c r="AP249" s="381" t="str">
        <f>IF(CHMTCmTm!AP248=0,"",CHMTCmTm!AP248)</f>
        <v/>
      </c>
      <c r="AQ249" s="382"/>
      <c r="AR249" s="381" t="str">
        <f>IF(CHMTCmTm!AR248=0,"",CHMTCmTm!AR248)</f>
        <v/>
      </c>
      <c r="AS249" s="382"/>
      <c r="AT249" s="381" t="str">
        <f>IF(CHMTCmTm!AT248=0,"",CHMTCmTm!AT248)</f>
        <v/>
      </c>
      <c r="AU249" s="396"/>
      <c r="AV249" s="382"/>
      <c r="AW249" s="381" t="str">
        <f>IF(CHMTCmTm!AW248=0,"",CHMTCmTm!AW248)</f>
        <v/>
      </c>
      <c r="AX249" s="396"/>
      <c r="AY249" s="382"/>
      <c r="AZ249" s="24">
        <f>CHMTCmTm!AZ248</f>
        <v>0</v>
      </c>
      <c r="BC249" s="24">
        <f>COUNTIF(CHMTCmTm!O248, "Outreach Session")</f>
        <v>0</v>
      </c>
      <c r="BD249" s="24">
        <f>COUNTIF(CHMTCmTm!O248, "Mobile Clinic")</f>
        <v>0</v>
      </c>
      <c r="BE249" s="24">
        <f>COUNTIF(CHMTCmTm!O248, "Health Facility")</f>
        <v>0</v>
      </c>
    </row>
    <row r="250" spans="2:57" s="24" customFormat="1" ht="21.95" customHeight="1" x14ac:dyDescent="0.25">
      <c r="B250" s="397" t="str">
        <f>IF(CHMTCmTm!B249=0,"",CHMTCmTm!B249)</f>
        <v/>
      </c>
      <c r="C250" s="398"/>
      <c r="D250" s="399"/>
      <c r="E250" s="216">
        <f t="shared" si="7"/>
        <v>0</v>
      </c>
      <c r="F250" s="397" t="str">
        <f>IF(CHMTCmTm!F249=0,"",CHMTCmTm!F249)</f>
        <v/>
      </c>
      <c r="G250" s="398"/>
      <c r="H250" s="399"/>
      <c r="I250" s="381" t="str">
        <f>IF(CHMTCmTm!I249=0,"",CHMTCmTm!I249)</f>
        <v/>
      </c>
      <c r="J250" s="382"/>
      <c r="K250" s="381" t="str">
        <f>IF(CHMTCmTm!K249=0,"",CHMTCmTm!K249)</f>
        <v/>
      </c>
      <c r="L250" s="382"/>
      <c r="M250" s="381" t="str">
        <f>IF(CHMTCmTm!M249=0,"",CHMTCmTm!M249)</f>
        <v/>
      </c>
      <c r="N250" s="382"/>
      <c r="O250" s="381" t="str">
        <f>IF(CHMTCmTm!O249=0,"",CHMTCmTm!O249)</f>
        <v/>
      </c>
      <c r="P250" s="382"/>
      <c r="Q250" s="215" t="b">
        <f t="shared" si="6"/>
        <v>0</v>
      </c>
      <c r="R250" s="381" t="str">
        <f>IF(CHMTCmTm!R249=0,"",CHMTCmTm!R249)</f>
        <v/>
      </c>
      <c r="S250" s="382"/>
      <c r="T250" s="381" t="str">
        <f>IF(CHMTCmTm!T249=0,"",CHMTCmTm!T249)</f>
        <v/>
      </c>
      <c r="U250" s="382"/>
      <c r="V250" s="381" t="str">
        <f>IF(CHMTCmTm!V249=0,"",CHMTCmTm!V249)</f>
        <v/>
      </c>
      <c r="W250" s="396"/>
      <c r="X250" s="396"/>
      <c r="Y250" s="382"/>
      <c r="Z250" s="215">
        <f>CHMTCmTm!Z249</f>
        <v>0</v>
      </c>
      <c r="AA250" s="381" t="str">
        <f>IF(CHMTCmTm!AA249=0,"",CHMTCmTm!AA249)</f>
        <v/>
      </c>
      <c r="AB250" s="396"/>
      <c r="AC250" s="382"/>
      <c r="AD250" s="215">
        <f>CHMTCmTm!AD249</f>
        <v>0</v>
      </c>
      <c r="AE250" s="381" t="str">
        <f>IF(CHMTCmTm!AE249=0,"",CHMTCmTm!AE249)</f>
        <v/>
      </c>
      <c r="AF250" s="396"/>
      <c r="AG250" s="382"/>
      <c r="AH250" s="215">
        <f>CHMTCmTm!AH249</f>
        <v>0</v>
      </c>
      <c r="AI250" s="381" t="str">
        <f>IF(CHMTCmTm!AI249=0,"",CHMTCmTm!AI249)</f>
        <v/>
      </c>
      <c r="AJ250" s="396"/>
      <c r="AK250" s="382"/>
      <c r="AL250" s="215">
        <f>CHMTCmTm!AL249</f>
        <v>0</v>
      </c>
      <c r="AM250" s="381" t="str">
        <f>IF(CHMTCmTm!AM249=0,"",CHMTCmTm!AM249)</f>
        <v/>
      </c>
      <c r="AN250" s="396"/>
      <c r="AO250" s="382"/>
      <c r="AP250" s="381" t="str">
        <f>IF(CHMTCmTm!AP249=0,"",CHMTCmTm!AP249)</f>
        <v/>
      </c>
      <c r="AQ250" s="382"/>
      <c r="AR250" s="381" t="str">
        <f>IF(CHMTCmTm!AR249=0,"",CHMTCmTm!AR249)</f>
        <v/>
      </c>
      <c r="AS250" s="382"/>
      <c r="AT250" s="381" t="str">
        <f>IF(CHMTCmTm!AT249=0,"",CHMTCmTm!AT249)</f>
        <v/>
      </c>
      <c r="AU250" s="396"/>
      <c r="AV250" s="382"/>
      <c r="AW250" s="381" t="str">
        <f>IF(CHMTCmTm!AW249=0,"",CHMTCmTm!AW249)</f>
        <v/>
      </c>
      <c r="AX250" s="396"/>
      <c r="AY250" s="382"/>
      <c r="AZ250" s="24">
        <f>CHMTCmTm!AZ249</f>
        <v>0</v>
      </c>
      <c r="BC250" s="24">
        <f>COUNTIF(CHMTCmTm!O249, "Outreach Session")</f>
        <v>0</v>
      </c>
      <c r="BD250" s="24">
        <f>COUNTIF(CHMTCmTm!O249, "Mobile Clinic")</f>
        <v>0</v>
      </c>
      <c r="BE250" s="24">
        <f>COUNTIF(CHMTCmTm!O249, "Health Facility")</f>
        <v>0</v>
      </c>
    </row>
    <row r="251" spans="2:57" s="24" customFormat="1" ht="21.95" customHeight="1" x14ac:dyDescent="0.25">
      <c r="B251" s="397" t="str">
        <f>IF(CHMTCmTm!B250=0,"",CHMTCmTm!B250)</f>
        <v/>
      </c>
      <c r="C251" s="398"/>
      <c r="D251" s="399"/>
      <c r="E251" s="216">
        <f t="shared" si="7"/>
        <v>0</v>
      </c>
      <c r="F251" s="397" t="str">
        <f>IF(CHMTCmTm!F250=0,"",CHMTCmTm!F250)</f>
        <v/>
      </c>
      <c r="G251" s="398"/>
      <c r="H251" s="399"/>
      <c r="I251" s="381" t="str">
        <f>IF(CHMTCmTm!I250=0,"",CHMTCmTm!I250)</f>
        <v/>
      </c>
      <c r="J251" s="382"/>
      <c r="K251" s="381" t="str">
        <f>IF(CHMTCmTm!K250=0,"",CHMTCmTm!K250)</f>
        <v/>
      </c>
      <c r="L251" s="382"/>
      <c r="M251" s="381" t="str">
        <f>IF(CHMTCmTm!M250=0,"",CHMTCmTm!M250)</f>
        <v/>
      </c>
      <c r="N251" s="382"/>
      <c r="O251" s="381" t="str">
        <f>IF(CHMTCmTm!O250=0,"",CHMTCmTm!O250)</f>
        <v/>
      </c>
      <c r="P251" s="382"/>
      <c r="Q251" s="215" t="b">
        <f t="shared" si="6"/>
        <v>0</v>
      </c>
      <c r="R251" s="381" t="str">
        <f>IF(CHMTCmTm!R250=0,"",CHMTCmTm!R250)</f>
        <v/>
      </c>
      <c r="S251" s="382"/>
      <c r="T251" s="381" t="str">
        <f>IF(CHMTCmTm!T250=0,"",CHMTCmTm!T250)</f>
        <v/>
      </c>
      <c r="U251" s="382"/>
      <c r="V251" s="381" t="str">
        <f>IF(CHMTCmTm!V250=0,"",CHMTCmTm!V250)</f>
        <v/>
      </c>
      <c r="W251" s="396"/>
      <c r="X251" s="396"/>
      <c r="Y251" s="382"/>
      <c r="Z251" s="215">
        <f>CHMTCmTm!Z250</f>
        <v>0</v>
      </c>
      <c r="AA251" s="381" t="str">
        <f>IF(CHMTCmTm!AA250=0,"",CHMTCmTm!AA250)</f>
        <v/>
      </c>
      <c r="AB251" s="396"/>
      <c r="AC251" s="382"/>
      <c r="AD251" s="215">
        <f>CHMTCmTm!AD250</f>
        <v>0</v>
      </c>
      <c r="AE251" s="381" t="str">
        <f>IF(CHMTCmTm!AE250=0,"",CHMTCmTm!AE250)</f>
        <v/>
      </c>
      <c r="AF251" s="396"/>
      <c r="AG251" s="382"/>
      <c r="AH251" s="215">
        <f>CHMTCmTm!AH250</f>
        <v>0</v>
      </c>
      <c r="AI251" s="381" t="str">
        <f>IF(CHMTCmTm!AI250=0,"",CHMTCmTm!AI250)</f>
        <v/>
      </c>
      <c r="AJ251" s="396"/>
      <c r="AK251" s="382"/>
      <c r="AL251" s="215">
        <f>CHMTCmTm!AL250</f>
        <v>0</v>
      </c>
      <c r="AM251" s="381" t="str">
        <f>IF(CHMTCmTm!AM250=0,"",CHMTCmTm!AM250)</f>
        <v/>
      </c>
      <c r="AN251" s="396"/>
      <c r="AO251" s="382"/>
      <c r="AP251" s="381" t="str">
        <f>IF(CHMTCmTm!AP250=0,"",CHMTCmTm!AP250)</f>
        <v/>
      </c>
      <c r="AQ251" s="382"/>
      <c r="AR251" s="381" t="str">
        <f>IF(CHMTCmTm!AR250=0,"",CHMTCmTm!AR250)</f>
        <v/>
      </c>
      <c r="AS251" s="382"/>
      <c r="AT251" s="381" t="str">
        <f>IF(CHMTCmTm!AT250=0,"",CHMTCmTm!AT250)</f>
        <v/>
      </c>
      <c r="AU251" s="396"/>
      <c r="AV251" s="382"/>
      <c r="AW251" s="381" t="str">
        <f>IF(CHMTCmTm!AW250=0,"",CHMTCmTm!AW250)</f>
        <v/>
      </c>
      <c r="AX251" s="396"/>
      <c r="AY251" s="382"/>
      <c r="AZ251" s="24">
        <f>CHMTCmTm!AZ250</f>
        <v>0</v>
      </c>
      <c r="BC251" s="24">
        <f>COUNTIF(CHMTCmTm!O250, "Outreach Session")</f>
        <v>0</v>
      </c>
      <c r="BD251" s="24">
        <f>COUNTIF(CHMTCmTm!O250, "Mobile Clinic")</f>
        <v>0</v>
      </c>
      <c r="BE251" s="24">
        <f>COUNTIF(CHMTCmTm!O250, "Health Facility")</f>
        <v>0</v>
      </c>
    </row>
    <row r="252" spans="2:57" s="24" customFormat="1" ht="21.95" customHeight="1" x14ac:dyDescent="0.25">
      <c r="B252" s="397" t="str">
        <f>IF(CHMTCmTm!B251=0,"",CHMTCmTm!B251)</f>
        <v/>
      </c>
      <c r="C252" s="398"/>
      <c r="D252" s="399"/>
      <c r="E252" s="216">
        <f t="shared" si="7"/>
        <v>0</v>
      </c>
      <c r="F252" s="397" t="str">
        <f>IF(CHMTCmTm!F251=0,"",CHMTCmTm!F251)</f>
        <v/>
      </c>
      <c r="G252" s="398"/>
      <c r="H252" s="399"/>
      <c r="I252" s="381" t="str">
        <f>IF(CHMTCmTm!I251=0,"",CHMTCmTm!I251)</f>
        <v/>
      </c>
      <c r="J252" s="382"/>
      <c r="K252" s="381" t="str">
        <f>IF(CHMTCmTm!K251=0,"",CHMTCmTm!K251)</f>
        <v/>
      </c>
      <c r="L252" s="382"/>
      <c r="M252" s="381" t="str">
        <f>IF(CHMTCmTm!M251=0,"",CHMTCmTm!M251)</f>
        <v/>
      </c>
      <c r="N252" s="382"/>
      <c r="O252" s="381" t="str">
        <f>IF(CHMTCmTm!O251=0,"",CHMTCmTm!O251)</f>
        <v/>
      </c>
      <c r="P252" s="382"/>
      <c r="Q252" s="215" t="b">
        <f t="shared" si="6"/>
        <v>0</v>
      </c>
      <c r="R252" s="381" t="str">
        <f>IF(CHMTCmTm!R251=0,"",CHMTCmTm!R251)</f>
        <v/>
      </c>
      <c r="S252" s="382"/>
      <c r="T252" s="381" t="str">
        <f>IF(CHMTCmTm!T251=0,"",CHMTCmTm!T251)</f>
        <v/>
      </c>
      <c r="U252" s="382"/>
      <c r="V252" s="381" t="str">
        <f>IF(CHMTCmTm!V251=0,"",CHMTCmTm!V251)</f>
        <v/>
      </c>
      <c r="W252" s="396"/>
      <c r="X252" s="396"/>
      <c r="Y252" s="382"/>
      <c r="Z252" s="215">
        <f>CHMTCmTm!Z251</f>
        <v>0</v>
      </c>
      <c r="AA252" s="381" t="str">
        <f>IF(CHMTCmTm!AA251=0,"",CHMTCmTm!AA251)</f>
        <v/>
      </c>
      <c r="AB252" s="396"/>
      <c r="AC252" s="382"/>
      <c r="AD252" s="215">
        <f>CHMTCmTm!AD251</f>
        <v>0</v>
      </c>
      <c r="AE252" s="381" t="str">
        <f>IF(CHMTCmTm!AE251=0,"",CHMTCmTm!AE251)</f>
        <v/>
      </c>
      <c r="AF252" s="396"/>
      <c r="AG252" s="382"/>
      <c r="AH252" s="215">
        <f>CHMTCmTm!AH251</f>
        <v>0</v>
      </c>
      <c r="AI252" s="381" t="str">
        <f>IF(CHMTCmTm!AI251=0,"",CHMTCmTm!AI251)</f>
        <v/>
      </c>
      <c r="AJ252" s="396"/>
      <c r="AK252" s="382"/>
      <c r="AL252" s="215">
        <f>CHMTCmTm!AL251</f>
        <v>0</v>
      </c>
      <c r="AM252" s="381" t="str">
        <f>IF(CHMTCmTm!AM251=0,"",CHMTCmTm!AM251)</f>
        <v/>
      </c>
      <c r="AN252" s="396"/>
      <c r="AO252" s="382"/>
      <c r="AP252" s="381" t="str">
        <f>IF(CHMTCmTm!AP251=0,"",CHMTCmTm!AP251)</f>
        <v/>
      </c>
      <c r="AQ252" s="382"/>
      <c r="AR252" s="381" t="str">
        <f>IF(CHMTCmTm!AR251=0,"",CHMTCmTm!AR251)</f>
        <v/>
      </c>
      <c r="AS252" s="382"/>
      <c r="AT252" s="381" t="str">
        <f>IF(CHMTCmTm!AT251=0,"",CHMTCmTm!AT251)</f>
        <v/>
      </c>
      <c r="AU252" s="396"/>
      <c r="AV252" s="382"/>
      <c r="AW252" s="381" t="str">
        <f>IF(CHMTCmTm!AW251=0,"",CHMTCmTm!AW251)</f>
        <v/>
      </c>
      <c r="AX252" s="396"/>
      <c r="AY252" s="382"/>
      <c r="AZ252" s="24">
        <f>CHMTCmTm!AZ251</f>
        <v>0</v>
      </c>
      <c r="BC252" s="24">
        <f>COUNTIF(CHMTCmTm!O251, "Outreach Session")</f>
        <v>0</v>
      </c>
      <c r="BD252" s="24">
        <f>COUNTIF(CHMTCmTm!O251, "Mobile Clinic")</f>
        <v>0</v>
      </c>
      <c r="BE252" s="24">
        <f>COUNTIF(CHMTCmTm!O251, "Health Facility")</f>
        <v>0</v>
      </c>
    </row>
    <row r="253" spans="2:57" s="24" customFormat="1" ht="21.95" customHeight="1" x14ac:dyDescent="0.25">
      <c r="B253" s="397" t="str">
        <f>IF(CHMTCmTm!B252=0,"",CHMTCmTm!B252)</f>
        <v/>
      </c>
      <c r="C253" s="398"/>
      <c r="D253" s="399"/>
      <c r="E253" s="216">
        <f t="shared" si="7"/>
        <v>0</v>
      </c>
      <c r="F253" s="397" t="str">
        <f>IF(CHMTCmTm!F252=0,"",CHMTCmTm!F252)</f>
        <v/>
      </c>
      <c r="G253" s="398"/>
      <c r="H253" s="399"/>
      <c r="I253" s="381" t="str">
        <f>IF(CHMTCmTm!I252=0,"",CHMTCmTm!I252)</f>
        <v/>
      </c>
      <c r="J253" s="382"/>
      <c r="K253" s="381" t="str">
        <f>IF(CHMTCmTm!K252=0,"",CHMTCmTm!K252)</f>
        <v/>
      </c>
      <c r="L253" s="382"/>
      <c r="M253" s="381" t="str">
        <f>IF(CHMTCmTm!M252=0,"",CHMTCmTm!M252)</f>
        <v/>
      </c>
      <c r="N253" s="382"/>
      <c r="O253" s="381" t="str">
        <f>IF(CHMTCmTm!O252=0,"",CHMTCmTm!O252)</f>
        <v/>
      </c>
      <c r="P253" s="382"/>
      <c r="Q253" s="215" t="b">
        <f t="shared" si="6"/>
        <v>0</v>
      </c>
      <c r="R253" s="381" t="str">
        <f>IF(CHMTCmTm!R252=0,"",CHMTCmTm!R252)</f>
        <v/>
      </c>
      <c r="S253" s="382"/>
      <c r="T253" s="381" t="str">
        <f>IF(CHMTCmTm!T252=0,"",CHMTCmTm!T252)</f>
        <v/>
      </c>
      <c r="U253" s="382"/>
      <c r="V253" s="381" t="str">
        <f>IF(CHMTCmTm!V252=0,"",CHMTCmTm!V252)</f>
        <v/>
      </c>
      <c r="W253" s="396"/>
      <c r="X253" s="396"/>
      <c r="Y253" s="382"/>
      <c r="Z253" s="215">
        <f>CHMTCmTm!Z252</f>
        <v>0</v>
      </c>
      <c r="AA253" s="381" t="str">
        <f>IF(CHMTCmTm!AA252=0,"",CHMTCmTm!AA252)</f>
        <v/>
      </c>
      <c r="AB253" s="396"/>
      <c r="AC253" s="382"/>
      <c r="AD253" s="215">
        <f>CHMTCmTm!AD252</f>
        <v>0</v>
      </c>
      <c r="AE253" s="381" t="str">
        <f>IF(CHMTCmTm!AE252=0,"",CHMTCmTm!AE252)</f>
        <v/>
      </c>
      <c r="AF253" s="396"/>
      <c r="AG253" s="382"/>
      <c r="AH253" s="215">
        <f>CHMTCmTm!AH252</f>
        <v>0</v>
      </c>
      <c r="AI253" s="381" t="str">
        <f>IF(CHMTCmTm!AI252=0,"",CHMTCmTm!AI252)</f>
        <v/>
      </c>
      <c r="AJ253" s="396"/>
      <c r="AK253" s="382"/>
      <c r="AL253" s="215">
        <f>CHMTCmTm!AL252</f>
        <v>0</v>
      </c>
      <c r="AM253" s="381" t="str">
        <f>IF(CHMTCmTm!AM252=0,"",CHMTCmTm!AM252)</f>
        <v/>
      </c>
      <c r="AN253" s="396"/>
      <c r="AO253" s="382"/>
      <c r="AP253" s="381" t="str">
        <f>IF(CHMTCmTm!AP252=0,"",CHMTCmTm!AP252)</f>
        <v/>
      </c>
      <c r="AQ253" s="382"/>
      <c r="AR253" s="381" t="str">
        <f>IF(CHMTCmTm!AR252=0,"",CHMTCmTm!AR252)</f>
        <v/>
      </c>
      <c r="AS253" s="382"/>
      <c r="AT253" s="381" t="str">
        <f>IF(CHMTCmTm!AT252=0,"",CHMTCmTm!AT252)</f>
        <v/>
      </c>
      <c r="AU253" s="396"/>
      <c r="AV253" s="382"/>
      <c r="AW253" s="381" t="str">
        <f>IF(CHMTCmTm!AW252=0,"",CHMTCmTm!AW252)</f>
        <v/>
      </c>
      <c r="AX253" s="396"/>
      <c r="AY253" s="382"/>
      <c r="AZ253" s="24">
        <f>CHMTCmTm!AZ252</f>
        <v>0</v>
      </c>
      <c r="BC253" s="24">
        <f>COUNTIF(CHMTCmTm!O252, "Outreach Session")</f>
        <v>0</v>
      </c>
      <c r="BD253" s="24">
        <f>COUNTIF(CHMTCmTm!O252, "Mobile Clinic")</f>
        <v>0</v>
      </c>
      <c r="BE253" s="24">
        <f>COUNTIF(CHMTCmTm!O252, "Health Facility")</f>
        <v>0</v>
      </c>
    </row>
    <row r="254" spans="2:57" s="24" customFormat="1" ht="21.95" customHeight="1" x14ac:dyDescent="0.25">
      <c r="B254" s="397" t="str">
        <f>IF(CHMTCmTm!B253=0,"",CHMTCmTm!B253)</f>
        <v/>
      </c>
      <c r="C254" s="398"/>
      <c r="D254" s="399"/>
      <c r="E254" s="216">
        <f t="shared" si="7"/>
        <v>0</v>
      </c>
      <c r="F254" s="397" t="str">
        <f>IF(CHMTCmTm!F253=0,"",CHMTCmTm!F253)</f>
        <v/>
      </c>
      <c r="G254" s="398"/>
      <c r="H254" s="399"/>
      <c r="I254" s="381" t="str">
        <f>IF(CHMTCmTm!I253=0,"",CHMTCmTm!I253)</f>
        <v/>
      </c>
      <c r="J254" s="382"/>
      <c r="K254" s="381" t="str">
        <f>IF(CHMTCmTm!K253=0,"",CHMTCmTm!K253)</f>
        <v/>
      </c>
      <c r="L254" s="382"/>
      <c r="M254" s="381" t="str">
        <f>IF(CHMTCmTm!M253=0,"",CHMTCmTm!M253)</f>
        <v/>
      </c>
      <c r="N254" s="382"/>
      <c r="O254" s="381" t="str">
        <f>IF(CHMTCmTm!O253=0,"",CHMTCmTm!O253)</f>
        <v/>
      </c>
      <c r="P254" s="382"/>
      <c r="Q254" s="215" t="b">
        <f t="shared" si="6"/>
        <v>0</v>
      </c>
      <c r="R254" s="381" t="str">
        <f>IF(CHMTCmTm!R253=0,"",CHMTCmTm!R253)</f>
        <v/>
      </c>
      <c r="S254" s="382"/>
      <c r="T254" s="381" t="str">
        <f>IF(CHMTCmTm!T253=0,"",CHMTCmTm!T253)</f>
        <v/>
      </c>
      <c r="U254" s="382"/>
      <c r="V254" s="381" t="str">
        <f>IF(CHMTCmTm!V253=0,"",CHMTCmTm!V253)</f>
        <v/>
      </c>
      <c r="W254" s="396"/>
      <c r="X254" s="396"/>
      <c r="Y254" s="382"/>
      <c r="Z254" s="215">
        <f>CHMTCmTm!Z253</f>
        <v>0</v>
      </c>
      <c r="AA254" s="381" t="str">
        <f>IF(CHMTCmTm!AA253=0,"",CHMTCmTm!AA253)</f>
        <v/>
      </c>
      <c r="AB254" s="396"/>
      <c r="AC254" s="382"/>
      <c r="AD254" s="215">
        <f>CHMTCmTm!AD253</f>
        <v>0</v>
      </c>
      <c r="AE254" s="381" t="str">
        <f>IF(CHMTCmTm!AE253=0,"",CHMTCmTm!AE253)</f>
        <v/>
      </c>
      <c r="AF254" s="396"/>
      <c r="AG254" s="382"/>
      <c r="AH254" s="215">
        <f>CHMTCmTm!AH253</f>
        <v>0</v>
      </c>
      <c r="AI254" s="381" t="str">
        <f>IF(CHMTCmTm!AI253=0,"",CHMTCmTm!AI253)</f>
        <v/>
      </c>
      <c r="AJ254" s="396"/>
      <c r="AK254" s="382"/>
      <c r="AL254" s="215">
        <f>CHMTCmTm!AL253</f>
        <v>0</v>
      </c>
      <c r="AM254" s="381" t="str">
        <f>IF(CHMTCmTm!AM253=0,"",CHMTCmTm!AM253)</f>
        <v/>
      </c>
      <c r="AN254" s="396"/>
      <c r="AO254" s="382"/>
      <c r="AP254" s="381" t="str">
        <f>IF(CHMTCmTm!AP253=0,"",CHMTCmTm!AP253)</f>
        <v/>
      </c>
      <c r="AQ254" s="382"/>
      <c r="AR254" s="381" t="str">
        <f>IF(CHMTCmTm!AR253=0,"",CHMTCmTm!AR253)</f>
        <v/>
      </c>
      <c r="AS254" s="382"/>
      <c r="AT254" s="381" t="str">
        <f>IF(CHMTCmTm!AT253=0,"",CHMTCmTm!AT253)</f>
        <v/>
      </c>
      <c r="AU254" s="396"/>
      <c r="AV254" s="382"/>
      <c r="AW254" s="381" t="str">
        <f>IF(CHMTCmTm!AW253=0,"",CHMTCmTm!AW253)</f>
        <v/>
      </c>
      <c r="AX254" s="396"/>
      <c r="AY254" s="382"/>
      <c r="AZ254" s="24">
        <f>CHMTCmTm!AZ253</f>
        <v>0</v>
      </c>
      <c r="BC254" s="24">
        <f>COUNTIF(CHMTCmTm!O253, "Outreach Session")</f>
        <v>0</v>
      </c>
      <c r="BD254" s="24">
        <f>COUNTIF(CHMTCmTm!O253, "Mobile Clinic")</f>
        <v>0</v>
      </c>
      <c r="BE254" s="24">
        <f>COUNTIF(CHMTCmTm!O253, "Health Facility")</f>
        <v>0</v>
      </c>
    </row>
    <row r="255" spans="2:57" s="24" customFormat="1" ht="21.95" customHeight="1" x14ac:dyDescent="0.25">
      <c r="B255" s="397" t="str">
        <f>IF(CHMTCmTm!B254=0,"",CHMTCmTm!B254)</f>
        <v/>
      </c>
      <c r="C255" s="398"/>
      <c r="D255" s="399"/>
      <c r="E255" s="216">
        <f t="shared" si="7"/>
        <v>0</v>
      </c>
      <c r="F255" s="397" t="str">
        <f>IF(CHMTCmTm!F254=0,"",CHMTCmTm!F254)</f>
        <v/>
      </c>
      <c r="G255" s="398"/>
      <c r="H255" s="399"/>
      <c r="I255" s="381" t="str">
        <f>IF(CHMTCmTm!I254=0,"",CHMTCmTm!I254)</f>
        <v/>
      </c>
      <c r="J255" s="382"/>
      <c r="K255" s="381" t="str">
        <f>IF(CHMTCmTm!K254=0,"",CHMTCmTm!K254)</f>
        <v/>
      </c>
      <c r="L255" s="382"/>
      <c r="M255" s="381" t="str">
        <f>IF(CHMTCmTm!M254=0,"",CHMTCmTm!M254)</f>
        <v/>
      </c>
      <c r="N255" s="382"/>
      <c r="O255" s="381" t="str">
        <f>IF(CHMTCmTm!O254=0,"",CHMTCmTm!O254)</f>
        <v/>
      </c>
      <c r="P255" s="382"/>
      <c r="Q255" s="215" t="b">
        <f t="shared" si="6"/>
        <v>0</v>
      </c>
      <c r="R255" s="381" t="str">
        <f>IF(CHMTCmTm!R254=0,"",CHMTCmTm!R254)</f>
        <v/>
      </c>
      <c r="S255" s="382"/>
      <c r="T255" s="381" t="str">
        <f>IF(CHMTCmTm!T254=0,"",CHMTCmTm!T254)</f>
        <v/>
      </c>
      <c r="U255" s="382"/>
      <c r="V255" s="381" t="str">
        <f>IF(CHMTCmTm!V254=0,"",CHMTCmTm!V254)</f>
        <v/>
      </c>
      <c r="W255" s="396"/>
      <c r="X255" s="396"/>
      <c r="Y255" s="382"/>
      <c r="Z255" s="215">
        <f>CHMTCmTm!Z254</f>
        <v>0</v>
      </c>
      <c r="AA255" s="381" t="str">
        <f>IF(CHMTCmTm!AA254=0,"",CHMTCmTm!AA254)</f>
        <v/>
      </c>
      <c r="AB255" s="396"/>
      <c r="AC255" s="382"/>
      <c r="AD255" s="215">
        <f>CHMTCmTm!AD254</f>
        <v>0</v>
      </c>
      <c r="AE255" s="381" t="str">
        <f>IF(CHMTCmTm!AE254=0,"",CHMTCmTm!AE254)</f>
        <v/>
      </c>
      <c r="AF255" s="396"/>
      <c r="AG255" s="382"/>
      <c r="AH255" s="215">
        <f>CHMTCmTm!AH254</f>
        <v>0</v>
      </c>
      <c r="AI255" s="381" t="str">
        <f>IF(CHMTCmTm!AI254=0,"",CHMTCmTm!AI254)</f>
        <v/>
      </c>
      <c r="AJ255" s="396"/>
      <c r="AK255" s="382"/>
      <c r="AL255" s="215">
        <f>CHMTCmTm!AL254</f>
        <v>0</v>
      </c>
      <c r="AM255" s="381" t="str">
        <f>IF(CHMTCmTm!AM254=0,"",CHMTCmTm!AM254)</f>
        <v/>
      </c>
      <c r="AN255" s="396"/>
      <c r="AO255" s="382"/>
      <c r="AP255" s="381" t="str">
        <f>IF(CHMTCmTm!AP254=0,"",CHMTCmTm!AP254)</f>
        <v/>
      </c>
      <c r="AQ255" s="382"/>
      <c r="AR255" s="381" t="str">
        <f>IF(CHMTCmTm!AR254=0,"",CHMTCmTm!AR254)</f>
        <v/>
      </c>
      <c r="AS255" s="382"/>
      <c r="AT255" s="381" t="str">
        <f>IF(CHMTCmTm!AT254=0,"",CHMTCmTm!AT254)</f>
        <v/>
      </c>
      <c r="AU255" s="396"/>
      <c r="AV255" s="382"/>
      <c r="AW255" s="381" t="str">
        <f>IF(CHMTCmTm!AW254=0,"",CHMTCmTm!AW254)</f>
        <v/>
      </c>
      <c r="AX255" s="396"/>
      <c r="AY255" s="382"/>
      <c r="AZ255" s="24">
        <f>CHMTCmTm!AZ254</f>
        <v>0</v>
      </c>
      <c r="BC255" s="24">
        <f>COUNTIF(CHMTCmTm!O254, "Outreach Session")</f>
        <v>0</v>
      </c>
      <c r="BD255" s="24">
        <f>COUNTIF(CHMTCmTm!O254, "Mobile Clinic")</f>
        <v>0</v>
      </c>
      <c r="BE255" s="24">
        <f>COUNTIF(CHMTCmTm!O254, "Health Facility")</f>
        <v>0</v>
      </c>
    </row>
    <row r="256" spans="2:57" s="24" customFormat="1" ht="21.95" customHeight="1" x14ac:dyDescent="0.25">
      <c r="B256" s="397" t="str">
        <f>IF(CHMTCmTm!B255=0,"",CHMTCmTm!B255)</f>
        <v/>
      </c>
      <c r="C256" s="398"/>
      <c r="D256" s="399"/>
      <c r="E256" s="216">
        <f t="shared" si="7"/>
        <v>0</v>
      </c>
      <c r="F256" s="397" t="str">
        <f>IF(CHMTCmTm!F255=0,"",CHMTCmTm!F255)</f>
        <v/>
      </c>
      <c r="G256" s="398"/>
      <c r="H256" s="399"/>
      <c r="I256" s="381" t="str">
        <f>IF(CHMTCmTm!I255=0,"",CHMTCmTm!I255)</f>
        <v/>
      </c>
      <c r="J256" s="382"/>
      <c r="K256" s="381" t="str">
        <f>IF(CHMTCmTm!K255=0,"",CHMTCmTm!K255)</f>
        <v/>
      </c>
      <c r="L256" s="382"/>
      <c r="M256" s="381" t="str">
        <f>IF(CHMTCmTm!M255=0,"",CHMTCmTm!M255)</f>
        <v/>
      </c>
      <c r="N256" s="382"/>
      <c r="O256" s="381" t="str">
        <f>IF(CHMTCmTm!O255=0,"",CHMTCmTm!O255)</f>
        <v/>
      </c>
      <c r="P256" s="382"/>
      <c r="Q256" s="215" t="b">
        <f t="shared" si="6"/>
        <v>0</v>
      </c>
      <c r="R256" s="381" t="str">
        <f>IF(CHMTCmTm!R255=0,"",CHMTCmTm!R255)</f>
        <v/>
      </c>
      <c r="S256" s="382"/>
      <c r="T256" s="381" t="str">
        <f>IF(CHMTCmTm!T255=0,"",CHMTCmTm!T255)</f>
        <v/>
      </c>
      <c r="U256" s="382"/>
      <c r="V256" s="381" t="str">
        <f>IF(CHMTCmTm!V255=0,"",CHMTCmTm!V255)</f>
        <v/>
      </c>
      <c r="W256" s="396"/>
      <c r="X256" s="396"/>
      <c r="Y256" s="382"/>
      <c r="Z256" s="215">
        <f>CHMTCmTm!Z255</f>
        <v>0</v>
      </c>
      <c r="AA256" s="381" t="str">
        <f>IF(CHMTCmTm!AA255=0,"",CHMTCmTm!AA255)</f>
        <v/>
      </c>
      <c r="AB256" s="396"/>
      <c r="AC256" s="382"/>
      <c r="AD256" s="215">
        <f>CHMTCmTm!AD255</f>
        <v>0</v>
      </c>
      <c r="AE256" s="381" t="str">
        <f>IF(CHMTCmTm!AE255=0,"",CHMTCmTm!AE255)</f>
        <v/>
      </c>
      <c r="AF256" s="396"/>
      <c r="AG256" s="382"/>
      <c r="AH256" s="215">
        <f>CHMTCmTm!AH255</f>
        <v>0</v>
      </c>
      <c r="AI256" s="381" t="str">
        <f>IF(CHMTCmTm!AI255=0,"",CHMTCmTm!AI255)</f>
        <v/>
      </c>
      <c r="AJ256" s="396"/>
      <c r="AK256" s="382"/>
      <c r="AL256" s="215">
        <f>CHMTCmTm!AL255</f>
        <v>0</v>
      </c>
      <c r="AM256" s="381" t="str">
        <f>IF(CHMTCmTm!AM255=0,"",CHMTCmTm!AM255)</f>
        <v/>
      </c>
      <c r="AN256" s="396"/>
      <c r="AO256" s="382"/>
      <c r="AP256" s="381" t="str">
        <f>IF(CHMTCmTm!AP255=0,"",CHMTCmTm!AP255)</f>
        <v/>
      </c>
      <c r="AQ256" s="382"/>
      <c r="AR256" s="381" t="str">
        <f>IF(CHMTCmTm!AR255=0,"",CHMTCmTm!AR255)</f>
        <v/>
      </c>
      <c r="AS256" s="382"/>
      <c r="AT256" s="381" t="str">
        <f>IF(CHMTCmTm!AT255=0,"",CHMTCmTm!AT255)</f>
        <v/>
      </c>
      <c r="AU256" s="396"/>
      <c r="AV256" s="382"/>
      <c r="AW256" s="381" t="str">
        <f>IF(CHMTCmTm!AW255=0,"",CHMTCmTm!AW255)</f>
        <v/>
      </c>
      <c r="AX256" s="396"/>
      <c r="AY256" s="382"/>
      <c r="AZ256" s="24">
        <f>CHMTCmTm!AZ255</f>
        <v>0</v>
      </c>
      <c r="BC256" s="24">
        <f>COUNTIF(CHMTCmTm!O255, "Outreach Session")</f>
        <v>0</v>
      </c>
      <c r="BD256" s="24">
        <f>COUNTIF(CHMTCmTm!O255, "Mobile Clinic")</f>
        <v>0</v>
      </c>
      <c r="BE256" s="24">
        <f>COUNTIF(CHMTCmTm!O255, "Health Facility")</f>
        <v>0</v>
      </c>
    </row>
    <row r="257" spans="2:57" s="24" customFormat="1" ht="21.95" customHeight="1" x14ac:dyDescent="0.25">
      <c r="B257" s="397" t="str">
        <f>IF(CHMTCmTm!B256=0,"",CHMTCmTm!B256)</f>
        <v/>
      </c>
      <c r="C257" s="398"/>
      <c r="D257" s="399"/>
      <c r="E257" s="216">
        <f t="shared" si="7"/>
        <v>0</v>
      </c>
      <c r="F257" s="397" t="str">
        <f>IF(CHMTCmTm!F256=0,"",CHMTCmTm!F256)</f>
        <v/>
      </c>
      <c r="G257" s="398"/>
      <c r="H257" s="399"/>
      <c r="I257" s="381" t="str">
        <f>IF(CHMTCmTm!I256=0,"",CHMTCmTm!I256)</f>
        <v/>
      </c>
      <c r="J257" s="382"/>
      <c r="K257" s="381" t="str">
        <f>IF(CHMTCmTm!K256=0,"",CHMTCmTm!K256)</f>
        <v/>
      </c>
      <c r="L257" s="382"/>
      <c r="M257" s="381" t="str">
        <f>IF(CHMTCmTm!M256=0,"",CHMTCmTm!M256)</f>
        <v/>
      </c>
      <c r="N257" s="382"/>
      <c r="O257" s="381" t="str">
        <f>IF(CHMTCmTm!O256=0,"",CHMTCmTm!O256)</f>
        <v/>
      </c>
      <c r="P257" s="382"/>
      <c r="Q257" s="215" t="b">
        <f t="shared" si="6"/>
        <v>0</v>
      </c>
      <c r="R257" s="381" t="str">
        <f>IF(CHMTCmTm!R256=0,"",CHMTCmTm!R256)</f>
        <v/>
      </c>
      <c r="S257" s="382"/>
      <c r="T257" s="381" t="str">
        <f>IF(CHMTCmTm!T256=0,"",CHMTCmTm!T256)</f>
        <v/>
      </c>
      <c r="U257" s="382"/>
      <c r="V257" s="381" t="str">
        <f>IF(CHMTCmTm!V256=0,"",CHMTCmTm!V256)</f>
        <v/>
      </c>
      <c r="W257" s="396"/>
      <c r="X257" s="396"/>
      <c r="Y257" s="382"/>
      <c r="Z257" s="215">
        <f>CHMTCmTm!Z256</f>
        <v>0</v>
      </c>
      <c r="AA257" s="381" t="str">
        <f>IF(CHMTCmTm!AA256=0,"",CHMTCmTm!AA256)</f>
        <v/>
      </c>
      <c r="AB257" s="396"/>
      <c r="AC257" s="382"/>
      <c r="AD257" s="215">
        <f>CHMTCmTm!AD256</f>
        <v>0</v>
      </c>
      <c r="AE257" s="381" t="str">
        <f>IF(CHMTCmTm!AE256=0,"",CHMTCmTm!AE256)</f>
        <v/>
      </c>
      <c r="AF257" s="396"/>
      <c r="AG257" s="382"/>
      <c r="AH257" s="215">
        <f>CHMTCmTm!AH256</f>
        <v>0</v>
      </c>
      <c r="AI257" s="381" t="str">
        <f>IF(CHMTCmTm!AI256=0,"",CHMTCmTm!AI256)</f>
        <v/>
      </c>
      <c r="AJ257" s="396"/>
      <c r="AK257" s="382"/>
      <c r="AL257" s="215">
        <f>CHMTCmTm!AL256</f>
        <v>0</v>
      </c>
      <c r="AM257" s="381" t="str">
        <f>IF(CHMTCmTm!AM256=0,"",CHMTCmTm!AM256)</f>
        <v/>
      </c>
      <c r="AN257" s="396"/>
      <c r="AO257" s="382"/>
      <c r="AP257" s="381" t="str">
        <f>IF(CHMTCmTm!AP256=0,"",CHMTCmTm!AP256)</f>
        <v/>
      </c>
      <c r="AQ257" s="382"/>
      <c r="AR257" s="381" t="str">
        <f>IF(CHMTCmTm!AR256=0,"",CHMTCmTm!AR256)</f>
        <v/>
      </c>
      <c r="AS257" s="382"/>
      <c r="AT257" s="381" t="str">
        <f>IF(CHMTCmTm!AT256=0,"",CHMTCmTm!AT256)</f>
        <v/>
      </c>
      <c r="AU257" s="396"/>
      <c r="AV257" s="382"/>
      <c r="AW257" s="381" t="str">
        <f>IF(CHMTCmTm!AW256=0,"",CHMTCmTm!AW256)</f>
        <v/>
      </c>
      <c r="AX257" s="396"/>
      <c r="AY257" s="382"/>
      <c r="AZ257" s="24">
        <f>CHMTCmTm!AZ256</f>
        <v>0</v>
      </c>
      <c r="BC257" s="24">
        <f>COUNTIF(CHMTCmTm!O256, "Outreach Session")</f>
        <v>0</v>
      </c>
      <c r="BD257" s="24">
        <f>COUNTIF(CHMTCmTm!O256, "Mobile Clinic")</f>
        <v>0</v>
      </c>
      <c r="BE257" s="24">
        <f>COUNTIF(CHMTCmTm!O256, "Health Facility")</f>
        <v>0</v>
      </c>
    </row>
    <row r="258" spans="2:57" s="24" customFormat="1" ht="21.95" customHeight="1" x14ac:dyDescent="0.25">
      <c r="B258" s="397" t="str">
        <f>IF(CHMTCmTm!B257=0,"",CHMTCmTm!B257)</f>
        <v/>
      </c>
      <c r="C258" s="398"/>
      <c r="D258" s="399"/>
      <c r="E258" s="216">
        <f t="shared" si="7"/>
        <v>0</v>
      </c>
      <c r="F258" s="397" t="str">
        <f>IF(CHMTCmTm!F257=0,"",CHMTCmTm!F257)</f>
        <v/>
      </c>
      <c r="G258" s="398"/>
      <c r="H258" s="399"/>
      <c r="I258" s="381" t="str">
        <f>IF(CHMTCmTm!I257=0,"",CHMTCmTm!I257)</f>
        <v/>
      </c>
      <c r="J258" s="382"/>
      <c r="K258" s="381" t="str">
        <f>IF(CHMTCmTm!K257=0,"",CHMTCmTm!K257)</f>
        <v/>
      </c>
      <c r="L258" s="382"/>
      <c r="M258" s="381" t="str">
        <f>IF(CHMTCmTm!M257=0,"",CHMTCmTm!M257)</f>
        <v/>
      </c>
      <c r="N258" s="382"/>
      <c r="O258" s="381" t="str">
        <f>IF(CHMTCmTm!O257=0,"",CHMTCmTm!O257)</f>
        <v/>
      </c>
      <c r="P258" s="382"/>
      <c r="Q258" s="215" t="b">
        <f t="shared" si="6"/>
        <v>0</v>
      </c>
      <c r="R258" s="381" t="str">
        <f>IF(CHMTCmTm!R257=0,"",CHMTCmTm!R257)</f>
        <v/>
      </c>
      <c r="S258" s="382"/>
      <c r="T258" s="381" t="str">
        <f>IF(CHMTCmTm!T257=0,"",CHMTCmTm!T257)</f>
        <v/>
      </c>
      <c r="U258" s="382"/>
      <c r="V258" s="381" t="str">
        <f>IF(CHMTCmTm!V257=0,"",CHMTCmTm!V257)</f>
        <v/>
      </c>
      <c r="W258" s="396"/>
      <c r="X258" s="396"/>
      <c r="Y258" s="382"/>
      <c r="Z258" s="215">
        <f>CHMTCmTm!Z257</f>
        <v>0</v>
      </c>
      <c r="AA258" s="381" t="str">
        <f>IF(CHMTCmTm!AA257=0,"",CHMTCmTm!AA257)</f>
        <v/>
      </c>
      <c r="AB258" s="396"/>
      <c r="AC258" s="382"/>
      <c r="AD258" s="215">
        <f>CHMTCmTm!AD257</f>
        <v>0</v>
      </c>
      <c r="AE258" s="381" t="str">
        <f>IF(CHMTCmTm!AE257=0,"",CHMTCmTm!AE257)</f>
        <v/>
      </c>
      <c r="AF258" s="396"/>
      <c r="AG258" s="382"/>
      <c r="AH258" s="215">
        <f>CHMTCmTm!AH257</f>
        <v>0</v>
      </c>
      <c r="AI258" s="381" t="str">
        <f>IF(CHMTCmTm!AI257=0,"",CHMTCmTm!AI257)</f>
        <v/>
      </c>
      <c r="AJ258" s="396"/>
      <c r="AK258" s="382"/>
      <c r="AL258" s="215">
        <f>CHMTCmTm!AL257</f>
        <v>0</v>
      </c>
      <c r="AM258" s="381" t="str">
        <f>IF(CHMTCmTm!AM257=0,"",CHMTCmTm!AM257)</f>
        <v/>
      </c>
      <c r="AN258" s="396"/>
      <c r="AO258" s="382"/>
      <c r="AP258" s="381" t="str">
        <f>IF(CHMTCmTm!AP257=0,"",CHMTCmTm!AP257)</f>
        <v/>
      </c>
      <c r="AQ258" s="382"/>
      <c r="AR258" s="381" t="str">
        <f>IF(CHMTCmTm!AR257=0,"",CHMTCmTm!AR257)</f>
        <v/>
      </c>
      <c r="AS258" s="382"/>
      <c r="AT258" s="381" t="str">
        <f>IF(CHMTCmTm!AT257=0,"",CHMTCmTm!AT257)</f>
        <v/>
      </c>
      <c r="AU258" s="396"/>
      <c r="AV258" s="382"/>
      <c r="AW258" s="381" t="str">
        <f>IF(CHMTCmTm!AW257=0,"",CHMTCmTm!AW257)</f>
        <v/>
      </c>
      <c r="AX258" s="396"/>
      <c r="AY258" s="382"/>
      <c r="AZ258" s="24">
        <f>CHMTCmTm!AZ257</f>
        <v>0</v>
      </c>
      <c r="BC258" s="24">
        <f>COUNTIF(CHMTCmTm!O257, "Outreach Session")</f>
        <v>0</v>
      </c>
      <c r="BD258" s="24">
        <f>COUNTIF(CHMTCmTm!O257, "Mobile Clinic")</f>
        <v>0</v>
      </c>
      <c r="BE258" s="24">
        <f>COUNTIF(CHMTCmTm!O257, "Health Facility")</f>
        <v>0</v>
      </c>
    </row>
    <row r="259" spans="2:57" s="24" customFormat="1" ht="21.95" customHeight="1" x14ac:dyDescent="0.25">
      <c r="B259" s="397" t="str">
        <f>IF(CHMTCmTm!B258=0,"",CHMTCmTm!B258)</f>
        <v/>
      </c>
      <c r="C259" s="398"/>
      <c r="D259" s="399"/>
      <c r="E259" s="216">
        <f t="shared" si="7"/>
        <v>0</v>
      </c>
      <c r="F259" s="397" t="str">
        <f>IF(CHMTCmTm!F258=0,"",CHMTCmTm!F258)</f>
        <v/>
      </c>
      <c r="G259" s="398"/>
      <c r="H259" s="399"/>
      <c r="I259" s="381" t="str">
        <f>IF(CHMTCmTm!I258=0,"",CHMTCmTm!I258)</f>
        <v/>
      </c>
      <c r="J259" s="382"/>
      <c r="K259" s="381" t="str">
        <f>IF(CHMTCmTm!K258=0,"",CHMTCmTm!K258)</f>
        <v/>
      </c>
      <c r="L259" s="382"/>
      <c r="M259" s="381" t="str">
        <f>IF(CHMTCmTm!M258=0,"",CHMTCmTm!M258)</f>
        <v/>
      </c>
      <c r="N259" s="382"/>
      <c r="O259" s="381" t="str">
        <f>IF(CHMTCmTm!O258=0,"",CHMTCmTm!O258)</f>
        <v/>
      </c>
      <c r="P259" s="382"/>
      <c r="Q259" s="215" t="b">
        <f t="shared" si="6"/>
        <v>0</v>
      </c>
      <c r="R259" s="381" t="str">
        <f>IF(CHMTCmTm!R258=0,"",CHMTCmTm!R258)</f>
        <v/>
      </c>
      <c r="S259" s="382"/>
      <c r="T259" s="381" t="str">
        <f>IF(CHMTCmTm!T258=0,"",CHMTCmTm!T258)</f>
        <v/>
      </c>
      <c r="U259" s="382"/>
      <c r="V259" s="381" t="str">
        <f>IF(CHMTCmTm!V258=0,"",CHMTCmTm!V258)</f>
        <v/>
      </c>
      <c r="W259" s="396"/>
      <c r="X259" s="396"/>
      <c r="Y259" s="382"/>
      <c r="Z259" s="215">
        <f>CHMTCmTm!Z258</f>
        <v>0</v>
      </c>
      <c r="AA259" s="381" t="str">
        <f>IF(CHMTCmTm!AA258=0,"",CHMTCmTm!AA258)</f>
        <v/>
      </c>
      <c r="AB259" s="396"/>
      <c r="AC259" s="382"/>
      <c r="AD259" s="215">
        <f>CHMTCmTm!AD258</f>
        <v>0</v>
      </c>
      <c r="AE259" s="381" t="str">
        <f>IF(CHMTCmTm!AE258=0,"",CHMTCmTm!AE258)</f>
        <v/>
      </c>
      <c r="AF259" s="396"/>
      <c r="AG259" s="382"/>
      <c r="AH259" s="215">
        <f>CHMTCmTm!AH258</f>
        <v>0</v>
      </c>
      <c r="AI259" s="381" t="str">
        <f>IF(CHMTCmTm!AI258=0,"",CHMTCmTm!AI258)</f>
        <v/>
      </c>
      <c r="AJ259" s="396"/>
      <c r="AK259" s="382"/>
      <c r="AL259" s="215">
        <f>CHMTCmTm!AL258</f>
        <v>0</v>
      </c>
      <c r="AM259" s="381" t="str">
        <f>IF(CHMTCmTm!AM258=0,"",CHMTCmTm!AM258)</f>
        <v/>
      </c>
      <c r="AN259" s="396"/>
      <c r="AO259" s="382"/>
      <c r="AP259" s="381" t="str">
        <f>IF(CHMTCmTm!AP258=0,"",CHMTCmTm!AP258)</f>
        <v/>
      </c>
      <c r="AQ259" s="382"/>
      <c r="AR259" s="381" t="str">
        <f>IF(CHMTCmTm!AR258=0,"",CHMTCmTm!AR258)</f>
        <v/>
      </c>
      <c r="AS259" s="382"/>
      <c r="AT259" s="381" t="str">
        <f>IF(CHMTCmTm!AT258=0,"",CHMTCmTm!AT258)</f>
        <v/>
      </c>
      <c r="AU259" s="396"/>
      <c r="AV259" s="382"/>
      <c r="AW259" s="381" t="str">
        <f>IF(CHMTCmTm!AW258=0,"",CHMTCmTm!AW258)</f>
        <v/>
      </c>
      <c r="AX259" s="396"/>
      <c r="AY259" s="382"/>
      <c r="AZ259" s="24">
        <f>CHMTCmTm!AZ258</f>
        <v>0</v>
      </c>
      <c r="BC259" s="24">
        <f>COUNTIF(CHMTCmTm!O258, "Outreach Session")</f>
        <v>0</v>
      </c>
      <c r="BD259" s="24">
        <f>COUNTIF(CHMTCmTm!O258, "Mobile Clinic")</f>
        <v>0</v>
      </c>
      <c r="BE259" s="24">
        <f>COUNTIF(CHMTCmTm!O258, "Health Facility")</f>
        <v>0</v>
      </c>
    </row>
    <row r="260" spans="2:57" s="24" customFormat="1" ht="21.95" customHeight="1" x14ac:dyDescent="0.25">
      <c r="B260" s="397" t="str">
        <f>IF(CHMTCmTm!B259=0,"",CHMTCmTm!B259)</f>
        <v/>
      </c>
      <c r="C260" s="398"/>
      <c r="D260" s="399"/>
      <c r="E260" s="216">
        <f t="shared" si="7"/>
        <v>0</v>
      </c>
      <c r="F260" s="397" t="str">
        <f>IF(CHMTCmTm!F259=0,"",CHMTCmTm!F259)</f>
        <v/>
      </c>
      <c r="G260" s="398"/>
      <c r="H260" s="399"/>
      <c r="I260" s="381" t="str">
        <f>IF(CHMTCmTm!I259=0,"",CHMTCmTm!I259)</f>
        <v/>
      </c>
      <c r="J260" s="382"/>
      <c r="K260" s="381" t="str">
        <f>IF(CHMTCmTm!K259=0,"",CHMTCmTm!K259)</f>
        <v/>
      </c>
      <c r="L260" s="382"/>
      <c r="M260" s="381" t="str">
        <f>IF(CHMTCmTm!M259=0,"",CHMTCmTm!M259)</f>
        <v/>
      </c>
      <c r="N260" s="382"/>
      <c r="O260" s="381" t="str">
        <f>IF(CHMTCmTm!O259=0,"",CHMTCmTm!O259)</f>
        <v/>
      </c>
      <c r="P260" s="382"/>
      <c r="Q260" s="215" t="b">
        <f t="shared" si="6"/>
        <v>0</v>
      </c>
      <c r="R260" s="381" t="str">
        <f>IF(CHMTCmTm!R259=0,"",CHMTCmTm!R259)</f>
        <v/>
      </c>
      <c r="S260" s="382"/>
      <c r="T260" s="381" t="str">
        <f>IF(CHMTCmTm!T259=0,"",CHMTCmTm!T259)</f>
        <v/>
      </c>
      <c r="U260" s="382"/>
      <c r="V260" s="381" t="str">
        <f>IF(CHMTCmTm!V259=0,"",CHMTCmTm!V259)</f>
        <v/>
      </c>
      <c r="W260" s="396"/>
      <c r="X260" s="396"/>
      <c r="Y260" s="382"/>
      <c r="Z260" s="215">
        <f>CHMTCmTm!Z259</f>
        <v>0</v>
      </c>
      <c r="AA260" s="381" t="str">
        <f>IF(CHMTCmTm!AA259=0,"",CHMTCmTm!AA259)</f>
        <v/>
      </c>
      <c r="AB260" s="396"/>
      <c r="AC260" s="382"/>
      <c r="AD260" s="215">
        <f>CHMTCmTm!AD259</f>
        <v>0</v>
      </c>
      <c r="AE260" s="381" t="str">
        <f>IF(CHMTCmTm!AE259=0,"",CHMTCmTm!AE259)</f>
        <v/>
      </c>
      <c r="AF260" s="396"/>
      <c r="AG260" s="382"/>
      <c r="AH260" s="215">
        <f>CHMTCmTm!AH259</f>
        <v>0</v>
      </c>
      <c r="AI260" s="381" t="str">
        <f>IF(CHMTCmTm!AI259=0,"",CHMTCmTm!AI259)</f>
        <v/>
      </c>
      <c r="AJ260" s="396"/>
      <c r="AK260" s="382"/>
      <c r="AL260" s="215">
        <f>CHMTCmTm!AL259</f>
        <v>0</v>
      </c>
      <c r="AM260" s="381" t="str">
        <f>IF(CHMTCmTm!AM259=0,"",CHMTCmTm!AM259)</f>
        <v/>
      </c>
      <c r="AN260" s="396"/>
      <c r="AO260" s="382"/>
      <c r="AP260" s="381" t="str">
        <f>IF(CHMTCmTm!AP259=0,"",CHMTCmTm!AP259)</f>
        <v/>
      </c>
      <c r="AQ260" s="382"/>
      <c r="AR260" s="381" t="str">
        <f>IF(CHMTCmTm!AR259=0,"",CHMTCmTm!AR259)</f>
        <v/>
      </c>
      <c r="AS260" s="382"/>
      <c r="AT260" s="381" t="str">
        <f>IF(CHMTCmTm!AT259=0,"",CHMTCmTm!AT259)</f>
        <v/>
      </c>
      <c r="AU260" s="396"/>
      <c r="AV260" s="382"/>
      <c r="AW260" s="381" t="str">
        <f>IF(CHMTCmTm!AW259=0,"",CHMTCmTm!AW259)</f>
        <v/>
      </c>
      <c r="AX260" s="396"/>
      <c r="AY260" s="382"/>
      <c r="AZ260" s="24">
        <f>CHMTCmTm!AZ259</f>
        <v>0</v>
      </c>
      <c r="BC260" s="24">
        <f>COUNTIF(CHMTCmTm!O259, "Outreach Session")</f>
        <v>0</v>
      </c>
      <c r="BD260" s="24">
        <f>COUNTIF(CHMTCmTm!O259, "Mobile Clinic")</f>
        <v>0</v>
      </c>
      <c r="BE260" s="24">
        <f>COUNTIF(CHMTCmTm!O259, "Health Facility")</f>
        <v>0</v>
      </c>
    </row>
    <row r="261" spans="2:57" s="24" customFormat="1" ht="21.95" customHeight="1" x14ac:dyDescent="0.25">
      <c r="B261" s="397" t="str">
        <f>IF(CHMTCmTm!B260=0,"",CHMTCmTm!B260)</f>
        <v/>
      </c>
      <c r="C261" s="398"/>
      <c r="D261" s="399"/>
      <c r="E261" s="216">
        <f t="shared" si="7"/>
        <v>0</v>
      </c>
      <c r="F261" s="397" t="str">
        <f>IF(CHMTCmTm!F260=0,"",CHMTCmTm!F260)</f>
        <v/>
      </c>
      <c r="G261" s="398"/>
      <c r="H261" s="399"/>
      <c r="I261" s="381" t="str">
        <f>IF(CHMTCmTm!I260=0,"",CHMTCmTm!I260)</f>
        <v/>
      </c>
      <c r="J261" s="382"/>
      <c r="K261" s="381" t="str">
        <f>IF(CHMTCmTm!K260=0,"",CHMTCmTm!K260)</f>
        <v/>
      </c>
      <c r="L261" s="382"/>
      <c r="M261" s="381" t="str">
        <f>IF(CHMTCmTm!M260=0,"",CHMTCmTm!M260)</f>
        <v/>
      </c>
      <c r="N261" s="382"/>
      <c r="O261" s="381" t="str">
        <f>IF(CHMTCmTm!O260=0,"",CHMTCmTm!O260)</f>
        <v/>
      </c>
      <c r="P261" s="382"/>
      <c r="Q261" s="215" t="b">
        <f t="shared" si="6"/>
        <v>0</v>
      </c>
      <c r="R261" s="381" t="str">
        <f>IF(CHMTCmTm!R260=0,"",CHMTCmTm!R260)</f>
        <v/>
      </c>
      <c r="S261" s="382"/>
      <c r="T261" s="381" t="str">
        <f>IF(CHMTCmTm!T260=0,"",CHMTCmTm!T260)</f>
        <v/>
      </c>
      <c r="U261" s="382"/>
      <c r="V261" s="381" t="str">
        <f>IF(CHMTCmTm!V260=0,"",CHMTCmTm!V260)</f>
        <v/>
      </c>
      <c r="W261" s="396"/>
      <c r="X261" s="396"/>
      <c r="Y261" s="382"/>
      <c r="Z261" s="215">
        <f>CHMTCmTm!Z260</f>
        <v>0</v>
      </c>
      <c r="AA261" s="381" t="str">
        <f>IF(CHMTCmTm!AA260=0,"",CHMTCmTm!AA260)</f>
        <v/>
      </c>
      <c r="AB261" s="396"/>
      <c r="AC261" s="382"/>
      <c r="AD261" s="215">
        <f>CHMTCmTm!AD260</f>
        <v>0</v>
      </c>
      <c r="AE261" s="381" t="str">
        <f>IF(CHMTCmTm!AE260=0,"",CHMTCmTm!AE260)</f>
        <v/>
      </c>
      <c r="AF261" s="396"/>
      <c r="AG261" s="382"/>
      <c r="AH261" s="215">
        <f>CHMTCmTm!AH260</f>
        <v>0</v>
      </c>
      <c r="AI261" s="381" t="str">
        <f>IF(CHMTCmTm!AI260=0,"",CHMTCmTm!AI260)</f>
        <v/>
      </c>
      <c r="AJ261" s="396"/>
      <c r="AK261" s="382"/>
      <c r="AL261" s="215">
        <f>CHMTCmTm!AL260</f>
        <v>0</v>
      </c>
      <c r="AM261" s="381" t="str">
        <f>IF(CHMTCmTm!AM260=0,"",CHMTCmTm!AM260)</f>
        <v/>
      </c>
      <c r="AN261" s="396"/>
      <c r="AO261" s="382"/>
      <c r="AP261" s="381" t="str">
        <f>IF(CHMTCmTm!AP260=0,"",CHMTCmTm!AP260)</f>
        <v/>
      </c>
      <c r="AQ261" s="382"/>
      <c r="AR261" s="381" t="str">
        <f>IF(CHMTCmTm!AR260=0,"",CHMTCmTm!AR260)</f>
        <v/>
      </c>
      <c r="AS261" s="382"/>
      <c r="AT261" s="381" t="str">
        <f>IF(CHMTCmTm!AT260=0,"",CHMTCmTm!AT260)</f>
        <v/>
      </c>
      <c r="AU261" s="396"/>
      <c r="AV261" s="382"/>
      <c r="AW261" s="381" t="str">
        <f>IF(CHMTCmTm!AW260=0,"",CHMTCmTm!AW260)</f>
        <v/>
      </c>
      <c r="AX261" s="396"/>
      <c r="AY261" s="382"/>
      <c r="AZ261" s="24">
        <f>CHMTCmTm!AZ260</f>
        <v>0</v>
      </c>
      <c r="BC261" s="24">
        <f>COUNTIF(CHMTCmTm!O260, "Outreach Session")</f>
        <v>0</v>
      </c>
      <c r="BD261" s="24">
        <f>COUNTIF(CHMTCmTm!O260, "Mobile Clinic")</f>
        <v>0</v>
      </c>
      <c r="BE261" s="24">
        <f>COUNTIF(CHMTCmTm!O260, "Health Facility")</f>
        <v>0</v>
      </c>
    </row>
    <row r="262" spans="2:57" s="24" customFormat="1" ht="21.95" customHeight="1" x14ac:dyDescent="0.25">
      <c r="B262" s="397" t="str">
        <f>IF(CHMTCmTm!B261=0,"",CHMTCmTm!B261)</f>
        <v/>
      </c>
      <c r="C262" s="398"/>
      <c r="D262" s="399"/>
      <c r="E262" s="216">
        <f t="shared" si="7"/>
        <v>0</v>
      </c>
      <c r="F262" s="397" t="str">
        <f>IF(CHMTCmTm!F261=0,"",CHMTCmTm!F261)</f>
        <v/>
      </c>
      <c r="G262" s="398"/>
      <c r="H262" s="399"/>
      <c r="I262" s="381" t="str">
        <f>IF(CHMTCmTm!I261=0,"",CHMTCmTm!I261)</f>
        <v/>
      </c>
      <c r="J262" s="382"/>
      <c r="K262" s="381" t="str">
        <f>IF(CHMTCmTm!K261=0,"",CHMTCmTm!K261)</f>
        <v/>
      </c>
      <c r="L262" s="382"/>
      <c r="M262" s="381" t="str">
        <f>IF(CHMTCmTm!M261=0,"",CHMTCmTm!M261)</f>
        <v/>
      </c>
      <c r="N262" s="382"/>
      <c r="O262" s="381" t="str">
        <f>IF(CHMTCmTm!O261=0,"",CHMTCmTm!O261)</f>
        <v/>
      </c>
      <c r="P262" s="382"/>
      <c r="Q262" s="215" t="b">
        <f t="shared" si="6"/>
        <v>0</v>
      </c>
      <c r="R262" s="381" t="str">
        <f>IF(CHMTCmTm!R261=0,"",CHMTCmTm!R261)</f>
        <v/>
      </c>
      <c r="S262" s="382"/>
      <c r="T262" s="381" t="str">
        <f>IF(CHMTCmTm!T261=0,"",CHMTCmTm!T261)</f>
        <v/>
      </c>
      <c r="U262" s="382"/>
      <c r="V262" s="381" t="str">
        <f>IF(CHMTCmTm!V261=0,"",CHMTCmTm!V261)</f>
        <v/>
      </c>
      <c r="W262" s="396"/>
      <c r="X262" s="396"/>
      <c r="Y262" s="382"/>
      <c r="Z262" s="215">
        <f>CHMTCmTm!Z261</f>
        <v>0</v>
      </c>
      <c r="AA262" s="381" t="str">
        <f>IF(CHMTCmTm!AA261=0,"",CHMTCmTm!AA261)</f>
        <v/>
      </c>
      <c r="AB262" s="396"/>
      <c r="AC262" s="382"/>
      <c r="AD262" s="215">
        <f>CHMTCmTm!AD261</f>
        <v>0</v>
      </c>
      <c r="AE262" s="381" t="str">
        <f>IF(CHMTCmTm!AE261=0,"",CHMTCmTm!AE261)</f>
        <v/>
      </c>
      <c r="AF262" s="396"/>
      <c r="AG262" s="382"/>
      <c r="AH262" s="215">
        <f>CHMTCmTm!AH261</f>
        <v>0</v>
      </c>
      <c r="AI262" s="381" t="str">
        <f>IF(CHMTCmTm!AI261=0,"",CHMTCmTm!AI261)</f>
        <v/>
      </c>
      <c r="AJ262" s="396"/>
      <c r="AK262" s="382"/>
      <c r="AL262" s="215">
        <f>CHMTCmTm!AL261</f>
        <v>0</v>
      </c>
      <c r="AM262" s="381" t="str">
        <f>IF(CHMTCmTm!AM261=0,"",CHMTCmTm!AM261)</f>
        <v/>
      </c>
      <c r="AN262" s="396"/>
      <c r="AO262" s="382"/>
      <c r="AP262" s="381" t="str">
        <f>IF(CHMTCmTm!AP261=0,"",CHMTCmTm!AP261)</f>
        <v/>
      </c>
      <c r="AQ262" s="382"/>
      <c r="AR262" s="381" t="str">
        <f>IF(CHMTCmTm!AR261=0,"",CHMTCmTm!AR261)</f>
        <v/>
      </c>
      <c r="AS262" s="382"/>
      <c r="AT262" s="381" t="str">
        <f>IF(CHMTCmTm!AT261=0,"",CHMTCmTm!AT261)</f>
        <v/>
      </c>
      <c r="AU262" s="396"/>
      <c r="AV262" s="382"/>
      <c r="AW262" s="381" t="str">
        <f>IF(CHMTCmTm!AW261=0,"",CHMTCmTm!AW261)</f>
        <v/>
      </c>
      <c r="AX262" s="396"/>
      <c r="AY262" s="382"/>
      <c r="AZ262" s="24">
        <f>CHMTCmTm!AZ261</f>
        <v>0</v>
      </c>
      <c r="BC262" s="24">
        <f>COUNTIF(CHMTCmTm!O261, "Outreach Session")</f>
        <v>0</v>
      </c>
      <c r="BD262" s="24">
        <f>COUNTIF(CHMTCmTm!O261, "Mobile Clinic")</f>
        <v>0</v>
      </c>
      <c r="BE262" s="24">
        <f>COUNTIF(CHMTCmTm!O261, "Health Facility")</f>
        <v>0</v>
      </c>
    </row>
    <row r="263" spans="2:57" s="24" customFormat="1" ht="21.95" customHeight="1" x14ac:dyDescent="0.25">
      <c r="B263" s="397" t="str">
        <f>IF(CHMTCmTm!B262=0,"",CHMTCmTm!B262)</f>
        <v/>
      </c>
      <c r="C263" s="398"/>
      <c r="D263" s="399"/>
      <c r="E263" s="216">
        <f t="shared" si="7"/>
        <v>0</v>
      </c>
      <c r="F263" s="397" t="str">
        <f>IF(CHMTCmTm!F262=0,"",CHMTCmTm!F262)</f>
        <v/>
      </c>
      <c r="G263" s="398"/>
      <c r="H263" s="399"/>
      <c r="I263" s="381" t="str">
        <f>IF(CHMTCmTm!I262=0,"",CHMTCmTm!I262)</f>
        <v/>
      </c>
      <c r="J263" s="382"/>
      <c r="K263" s="381" t="str">
        <f>IF(CHMTCmTm!K262=0,"",CHMTCmTm!K262)</f>
        <v/>
      </c>
      <c r="L263" s="382"/>
      <c r="M263" s="381" t="str">
        <f>IF(CHMTCmTm!M262=0,"",CHMTCmTm!M262)</f>
        <v/>
      </c>
      <c r="N263" s="382"/>
      <c r="O263" s="381" t="str">
        <f>IF(CHMTCmTm!O262=0,"",CHMTCmTm!O262)</f>
        <v/>
      </c>
      <c r="P263" s="382"/>
      <c r="Q263" s="215" t="b">
        <f t="shared" si="6"/>
        <v>0</v>
      </c>
      <c r="R263" s="381" t="str">
        <f>IF(CHMTCmTm!R262=0,"",CHMTCmTm!R262)</f>
        <v/>
      </c>
      <c r="S263" s="382"/>
      <c r="T263" s="381" t="str">
        <f>IF(CHMTCmTm!T262=0,"",CHMTCmTm!T262)</f>
        <v/>
      </c>
      <c r="U263" s="382"/>
      <c r="V263" s="381" t="str">
        <f>IF(CHMTCmTm!V262=0,"",CHMTCmTm!V262)</f>
        <v/>
      </c>
      <c r="W263" s="396"/>
      <c r="X263" s="396"/>
      <c r="Y263" s="382"/>
      <c r="Z263" s="215">
        <f>CHMTCmTm!Z262</f>
        <v>0</v>
      </c>
      <c r="AA263" s="381" t="str">
        <f>IF(CHMTCmTm!AA262=0,"",CHMTCmTm!AA262)</f>
        <v/>
      </c>
      <c r="AB263" s="396"/>
      <c r="AC263" s="382"/>
      <c r="AD263" s="215">
        <f>CHMTCmTm!AD262</f>
        <v>0</v>
      </c>
      <c r="AE263" s="381" t="str">
        <f>IF(CHMTCmTm!AE262=0,"",CHMTCmTm!AE262)</f>
        <v/>
      </c>
      <c r="AF263" s="396"/>
      <c r="AG263" s="382"/>
      <c r="AH263" s="215">
        <f>CHMTCmTm!AH262</f>
        <v>0</v>
      </c>
      <c r="AI263" s="381" t="str">
        <f>IF(CHMTCmTm!AI262=0,"",CHMTCmTm!AI262)</f>
        <v/>
      </c>
      <c r="AJ263" s="396"/>
      <c r="AK263" s="382"/>
      <c r="AL263" s="215">
        <f>CHMTCmTm!AL262</f>
        <v>0</v>
      </c>
      <c r="AM263" s="381" t="str">
        <f>IF(CHMTCmTm!AM262=0,"",CHMTCmTm!AM262)</f>
        <v/>
      </c>
      <c r="AN263" s="396"/>
      <c r="AO263" s="382"/>
      <c r="AP263" s="381" t="str">
        <f>IF(CHMTCmTm!AP262=0,"",CHMTCmTm!AP262)</f>
        <v/>
      </c>
      <c r="AQ263" s="382"/>
      <c r="AR263" s="381" t="str">
        <f>IF(CHMTCmTm!AR262=0,"",CHMTCmTm!AR262)</f>
        <v/>
      </c>
      <c r="AS263" s="382"/>
      <c r="AT263" s="381" t="str">
        <f>IF(CHMTCmTm!AT262=0,"",CHMTCmTm!AT262)</f>
        <v/>
      </c>
      <c r="AU263" s="396"/>
      <c r="AV263" s="382"/>
      <c r="AW263" s="381" t="str">
        <f>IF(CHMTCmTm!AW262=0,"",CHMTCmTm!AW262)</f>
        <v/>
      </c>
      <c r="AX263" s="396"/>
      <c r="AY263" s="382"/>
      <c r="AZ263" s="24">
        <f>CHMTCmTm!AZ262</f>
        <v>0</v>
      </c>
      <c r="BC263" s="24">
        <f>COUNTIF(CHMTCmTm!O262, "Outreach Session")</f>
        <v>0</v>
      </c>
      <c r="BD263" s="24">
        <f>COUNTIF(CHMTCmTm!O262, "Mobile Clinic")</f>
        <v>0</v>
      </c>
      <c r="BE263" s="24">
        <f>COUNTIF(CHMTCmTm!O262, "Health Facility")</f>
        <v>0</v>
      </c>
    </row>
    <row r="264" spans="2:57" s="24" customFormat="1" ht="21.95" customHeight="1" x14ac:dyDescent="0.25">
      <c r="B264" s="397" t="str">
        <f>IF(CHMTCmTm!B263=0,"",CHMTCmTm!B263)</f>
        <v/>
      </c>
      <c r="C264" s="398"/>
      <c r="D264" s="399"/>
      <c r="E264" s="216">
        <f t="shared" si="7"/>
        <v>0</v>
      </c>
      <c r="F264" s="397" t="str">
        <f>IF(CHMTCmTm!F263=0,"",CHMTCmTm!F263)</f>
        <v/>
      </c>
      <c r="G264" s="398"/>
      <c r="H264" s="399"/>
      <c r="I264" s="381" t="str">
        <f>IF(CHMTCmTm!I263=0,"",CHMTCmTm!I263)</f>
        <v/>
      </c>
      <c r="J264" s="382"/>
      <c r="K264" s="381" t="str">
        <f>IF(CHMTCmTm!K263=0,"",CHMTCmTm!K263)</f>
        <v/>
      </c>
      <c r="L264" s="382"/>
      <c r="M264" s="381" t="str">
        <f>IF(CHMTCmTm!M263=0,"",CHMTCmTm!M263)</f>
        <v/>
      </c>
      <c r="N264" s="382"/>
      <c r="O264" s="381" t="str">
        <f>IF(CHMTCmTm!O263=0,"",CHMTCmTm!O263)</f>
        <v/>
      </c>
      <c r="P264" s="382"/>
      <c r="Q264" s="215" t="b">
        <f t="shared" si="6"/>
        <v>0</v>
      </c>
      <c r="R264" s="381" t="str">
        <f>IF(CHMTCmTm!R263=0,"",CHMTCmTm!R263)</f>
        <v/>
      </c>
      <c r="S264" s="382"/>
      <c r="T264" s="381" t="str">
        <f>IF(CHMTCmTm!T263=0,"",CHMTCmTm!T263)</f>
        <v/>
      </c>
      <c r="U264" s="382"/>
      <c r="V264" s="381" t="str">
        <f>IF(CHMTCmTm!V263=0,"",CHMTCmTm!V263)</f>
        <v/>
      </c>
      <c r="W264" s="396"/>
      <c r="X264" s="396"/>
      <c r="Y264" s="382"/>
      <c r="Z264" s="215">
        <f>CHMTCmTm!Z263</f>
        <v>0</v>
      </c>
      <c r="AA264" s="381" t="str">
        <f>IF(CHMTCmTm!AA263=0,"",CHMTCmTm!AA263)</f>
        <v/>
      </c>
      <c r="AB264" s="396"/>
      <c r="AC264" s="382"/>
      <c r="AD264" s="215">
        <f>CHMTCmTm!AD263</f>
        <v>0</v>
      </c>
      <c r="AE264" s="381" t="str">
        <f>IF(CHMTCmTm!AE263=0,"",CHMTCmTm!AE263)</f>
        <v/>
      </c>
      <c r="AF264" s="396"/>
      <c r="AG264" s="382"/>
      <c r="AH264" s="215">
        <f>CHMTCmTm!AH263</f>
        <v>0</v>
      </c>
      <c r="AI264" s="381" t="str">
        <f>IF(CHMTCmTm!AI263=0,"",CHMTCmTm!AI263)</f>
        <v/>
      </c>
      <c r="AJ264" s="396"/>
      <c r="AK264" s="382"/>
      <c r="AL264" s="215">
        <f>CHMTCmTm!AL263</f>
        <v>0</v>
      </c>
      <c r="AM264" s="381" t="str">
        <f>IF(CHMTCmTm!AM263=0,"",CHMTCmTm!AM263)</f>
        <v/>
      </c>
      <c r="AN264" s="396"/>
      <c r="AO264" s="382"/>
      <c r="AP264" s="381" t="str">
        <f>IF(CHMTCmTm!AP263=0,"",CHMTCmTm!AP263)</f>
        <v/>
      </c>
      <c r="AQ264" s="382"/>
      <c r="AR264" s="381" t="str">
        <f>IF(CHMTCmTm!AR263=0,"",CHMTCmTm!AR263)</f>
        <v/>
      </c>
      <c r="AS264" s="382"/>
      <c r="AT264" s="381" t="str">
        <f>IF(CHMTCmTm!AT263=0,"",CHMTCmTm!AT263)</f>
        <v/>
      </c>
      <c r="AU264" s="396"/>
      <c r="AV264" s="382"/>
      <c r="AW264" s="381" t="str">
        <f>IF(CHMTCmTm!AW263=0,"",CHMTCmTm!AW263)</f>
        <v/>
      </c>
      <c r="AX264" s="396"/>
      <c r="AY264" s="382"/>
      <c r="AZ264" s="24">
        <f>CHMTCmTm!AZ263</f>
        <v>0</v>
      </c>
      <c r="BC264" s="24">
        <f>COUNTIF(CHMTCmTm!O263, "Outreach Session")</f>
        <v>0</v>
      </c>
      <c r="BD264" s="24">
        <f>COUNTIF(CHMTCmTm!O263, "Mobile Clinic")</f>
        <v>0</v>
      </c>
      <c r="BE264" s="24">
        <f>COUNTIF(CHMTCmTm!O263, "Health Facility")</f>
        <v>0</v>
      </c>
    </row>
    <row r="265" spans="2:57" s="24" customFormat="1" ht="21.95" customHeight="1" x14ac:dyDescent="0.25">
      <c r="B265" s="397" t="str">
        <f>IF(CHMTCmTm!B264=0,"",CHMTCmTm!B264)</f>
        <v/>
      </c>
      <c r="C265" s="398"/>
      <c r="D265" s="399"/>
      <c r="E265" s="216">
        <f t="shared" si="7"/>
        <v>0</v>
      </c>
      <c r="F265" s="397" t="str">
        <f>IF(CHMTCmTm!F264=0,"",CHMTCmTm!F264)</f>
        <v/>
      </c>
      <c r="G265" s="398"/>
      <c r="H265" s="399"/>
      <c r="I265" s="381" t="str">
        <f>IF(CHMTCmTm!I264=0,"",CHMTCmTm!I264)</f>
        <v/>
      </c>
      <c r="J265" s="382"/>
      <c r="K265" s="381" t="str">
        <f>IF(CHMTCmTm!K264=0,"",CHMTCmTm!K264)</f>
        <v/>
      </c>
      <c r="L265" s="382"/>
      <c r="M265" s="381" t="str">
        <f>IF(CHMTCmTm!M264=0,"",CHMTCmTm!M264)</f>
        <v/>
      </c>
      <c r="N265" s="382"/>
      <c r="O265" s="381" t="str">
        <f>IF(CHMTCmTm!O264=0,"",CHMTCmTm!O264)</f>
        <v/>
      </c>
      <c r="P265" s="382"/>
      <c r="Q265" s="215" t="b">
        <f t="shared" si="6"/>
        <v>0</v>
      </c>
      <c r="R265" s="381" t="str">
        <f>IF(CHMTCmTm!R264=0,"",CHMTCmTm!R264)</f>
        <v/>
      </c>
      <c r="S265" s="382"/>
      <c r="T265" s="381" t="str">
        <f>IF(CHMTCmTm!T264=0,"",CHMTCmTm!T264)</f>
        <v/>
      </c>
      <c r="U265" s="382"/>
      <c r="V265" s="381" t="str">
        <f>IF(CHMTCmTm!V264=0,"",CHMTCmTm!V264)</f>
        <v/>
      </c>
      <c r="W265" s="396"/>
      <c r="X265" s="396"/>
      <c r="Y265" s="382"/>
      <c r="Z265" s="215">
        <f>CHMTCmTm!Z264</f>
        <v>0</v>
      </c>
      <c r="AA265" s="381" t="str">
        <f>IF(CHMTCmTm!AA264=0,"",CHMTCmTm!AA264)</f>
        <v/>
      </c>
      <c r="AB265" s="396"/>
      <c r="AC265" s="382"/>
      <c r="AD265" s="215">
        <f>CHMTCmTm!AD264</f>
        <v>0</v>
      </c>
      <c r="AE265" s="381" t="str">
        <f>IF(CHMTCmTm!AE264=0,"",CHMTCmTm!AE264)</f>
        <v/>
      </c>
      <c r="AF265" s="396"/>
      <c r="AG265" s="382"/>
      <c r="AH265" s="215">
        <f>CHMTCmTm!AH264</f>
        <v>0</v>
      </c>
      <c r="AI265" s="381" t="str">
        <f>IF(CHMTCmTm!AI264=0,"",CHMTCmTm!AI264)</f>
        <v/>
      </c>
      <c r="AJ265" s="396"/>
      <c r="AK265" s="382"/>
      <c r="AL265" s="215">
        <f>CHMTCmTm!AL264</f>
        <v>0</v>
      </c>
      <c r="AM265" s="381" t="str">
        <f>IF(CHMTCmTm!AM264=0,"",CHMTCmTm!AM264)</f>
        <v/>
      </c>
      <c r="AN265" s="396"/>
      <c r="AO265" s="382"/>
      <c r="AP265" s="381" t="str">
        <f>IF(CHMTCmTm!AP264=0,"",CHMTCmTm!AP264)</f>
        <v/>
      </c>
      <c r="AQ265" s="382"/>
      <c r="AR265" s="381" t="str">
        <f>IF(CHMTCmTm!AR264=0,"",CHMTCmTm!AR264)</f>
        <v/>
      </c>
      <c r="AS265" s="382"/>
      <c r="AT265" s="381" t="str">
        <f>IF(CHMTCmTm!AT264=0,"",CHMTCmTm!AT264)</f>
        <v/>
      </c>
      <c r="AU265" s="396"/>
      <c r="AV265" s="382"/>
      <c r="AW265" s="381" t="str">
        <f>IF(CHMTCmTm!AW264=0,"",CHMTCmTm!AW264)</f>
        <v/>
      </c>
      <c r="AX265" s="396"/>
      <c r="AY265" s="382"/>
      <c r="AZ265" s="24">
        <f>CHMTCmTm!AZ264</f>
        <v>0</v>
      </c>
      <c r="BC265" s="24">
        <f>COUNTIF(CHMTCmTm!O264, "Outreach Session")</f>
        <v>0</v>
      </c>
      <c r="BD265" s="24">
        <f>COUNTIF(CHMTCmTm!O264, "Mobile Clinic")</f>
        <v>0</v>
      </c>
      <c r="BE265" s="24">
        <f>COUNTIF(CHMTCmTm!O264, "Health Facility")</f>
        <v>0</v>
      </c>
    </row>
    <row r="325" ht="15.75" customHeight="1" x14ac:dyDescent="0.25"/>
    <row r="339" ht="15.75" customHeight="1" x14ac:dyDescent="0.25"/>
  </sheetData>
  <autoFilter ref="B12:E265" xr:uid="{00000000-0009-0000-0000-000005000000}">
    <filterColumn colId="0" showButton="0"/>
    <filterColumn colId="1" showButton="0"/>
  </autoFilter>
  <mergeCells count="4365">
    <mergeCell ref="AP265:AQ265"/>
    <mergeCell ref="AR265:AS265"/>
    <mergeCell ref="AW265:AY265"/>
    <mergeCell ref="T265:U265"/>
    <mergeCell ref="V265:Y265"/>
    <mergeCell ref="AA265:AC265"/>
    <mergeCell ref="AE265:AG265"/>
    <mergeCell ref="AI265:AK265"/>
    <mergeCell ref="AM265:AO265"/>
    <mergeCell ref="AP264:AQ264"/>
    <mergeCell ref="AR264:AS264"/>
    <mergeCell ref="AT265:AV265"/>
    <mergeCell ref="AW264:AY264"/>
    <mergeCell ref="B265:D265"/>
    <mergeCell ref="F265:H265"/>
    <mergeCell ref="I265:J265"/>
    <mergeCell ref="K265:L265"/>
    <mergeCell ref="O265:P265"/>
    <mergeCell ref="R265:S265"/>
    <mergeCell ref="T264:U264"/>
    <mergeCell ref="V264:Y264"/>
    <mergeCell ref="AA264:AC264"/>
    <mergeCell ref="AE264:AG264"/>
    <mergeCell ref="AI264:AK264"/>
    <mergeCell ref="AM264:AO264"/>
    <mergeCell ref="AP263:AQ263"/>
    <mergeCell ref="AR263:AS263"/>
    <mergeCell ref="AT264:AV264"/>
    <mergeCell ref="AW263:AY263"/>
    <mergeCell ref="B264:D264"/>
    <mergeCell ref="F264:H264"/>
    <mergeCell ref="I264:J264"/>
    <mergeCell ref="K264:L264"/>
    <mergeCell ref="O264:P264"/>
    <mergeCell ref="R264:S264"/>
    <mergeCell ref="T263:U263"/>
    <mergeCell ref="V263:Y263"/>
    <mergeCell ref="AA263:AC263"/>
    <mergeCell ref="AE263:AG263"/>
    <mergeCell ref="AI263:AK263"/>
    <mergeCell ref="AM263:AO263"/>
    <mergeCell ref="AP262:AQ262"/>
    <mergeCell ref="AR262:AS262"/>
    <mergeCell ref="AT263:AV263"/>
    <mergeCell ref="AW262:AY262"/>
    <mergeCell ref="B263:D263"/>
    <mergeCell ref="F263:H263"/>
    <mergeCell ref="I263:J263"/>
    <mergeCell ref="K263:L263"/>
    <mergeCell ref="O263:P263"/>
    <mergeCell ref="R263:S263"/>
    <mergeCell ref="T262:U262"/>
    <mergeCell ref="V262:Y262"/>
    <mergeCell ref="AA262:AC262"/>
    <mergeCell ref="AE262:AG262"/>
    <mergeCell ref="AI262:AK262"/>
    <mergeCell ref="AM262:AO262"/>
    <mergeCell ref="AP261:AQ261"/>
    <mergeCell ref="AR261:AS261"/>
    <mergeCell ref="AT262:AV262"/>
    <mergeCell ref="AW261:AY261"/>
    <mergeCell ref="B262:D262"/>
    <mergeCell ref="F262:H262"/>
    <mergeCell ref="I262:J262"/>
    <mergeCell ref="K262:L262"/>
    <mergeCell ref="O262:P262"/>
    <mergeCell ref="R262:S262"/>
    <mergeCell ref="T261:U261"/>
    <mergeCell ref="V261:Y261"/>
    <mergeCell ref="AA261:AC261"/>
    <mergeCell ref="AE261:AG261"/>
    <mergeCell ref="AI261:AK261"/>
    <mergeCell ref="AM261:AO261"/>
    <mergeCell ref="AP260:AQ260"/>
    <mergeCell ref="AR260:AS260"/>
    <mergeCell ref="AT261:AV261"/>
    <mergeCell ref="AW260:AY260"/>
    <mergeCell ref="B261:D261"/>
    <mergeCell ref="F261:H261"/>
    <mergeCell ref="I261:J261"/>
    <mergeCell ref="K261:L261"/>
    <mergeCell ref="O261:P261"/>
    <mergeCell ref="R261:S261"/>
    <mergeCell ref="T260:U260"/>
    <mergeCell ref="V260:Y260"/>
    <mergeCell ref="AA260:AC260"/>
    <mergeCell ref="AE260:AG260"/>
    <mergeCell ref="AI260:AK260"/>
    <mergeCell ref="AM260:AO260"/>
    <mergeCell ref="AP259:AQ259"/>
    <mergeCell ref="AR259:AS259"/>
    <mergeCell ref="AT260:AV260"/>
    <mergeCell ref="AW259:AY259"/>
    <mergeCell ref="B260:D260"/>
    <mergeCell ref="F260:H260"/>
    <mergeCell ref="I260:J260"/>
    <mergeCell ref="K260:L260"/>
    <mergeCell ref="O260:P260"/>
    <mergeCell ref="R260:S260"/>
    <mergeCell ref="T259:U259"/>
    <mergeCell ref="V259:Y259"/>
    <mergeCell ref="AA259:AC259"/>
    <mergeCell ref="AE259:AG259"/>
    <mergeCell ref="AI259:AK259"/>
    <mergeCell ref="AM259:AO259"/>
    <mergeCell ref="AP258:AQ258"/>
    <mergeCell ref="AR258:AS258"/>
    <mergeCell ref="AT259:AV259"/>
    <mergeCell ref="AW258:AY258"/>
    <mergeCell ref="B259:D259"/>
    <mergeCell ref="F259:H259"/>
    <mergeCell ref="I259:J259"/>
    <mergeCell ref="K259:L259"/>
    <mergeCell ref="O259:P259"/>
    <mergeCell ref="R259:S259"/>
    <mergeCell ref="T258:U258"/>
    <mergeCell ref="V258:Y258"/>
    <mergeCell ref="AA258:AC258"/>
    <mergeCell ref="AE258:AG258"/>
    <mergeCell ref="AI258:AK258"/>
    <mergeCell ref="AM258:AO258"/>
    <mergeCell ref="AP257:AQ257"/>
    <mergeCell ref="AR257:AS257"/>
    <mergeCell ref="AT258:AV258"/>
    <mergeCell ref="AW257:AY257"/>
    <mergeCell ref="B258:D258"/>
    <mergeCell ref="F258:H258"/>
    <mergeCell ref="I258:J258"/>
    <mergeCell ref="K258:L258"/>
    <mergeCell ref="O258:P258"/>
    <mergeCell ref="R258:S258"/>
    <mergeCell ref="T257:U257"/>
    <mergeCell ref="V257:Y257"/>
    <mergeCell ref="AA257:AC257"/>
    <mergeCell ref="AE257:AG257"/>
    <mergeCell ref="AI257:AK257"/>
    <mergeCell ref="AM257:AO257"/>
    <mergeCell ref="AP256:AQ256"/>
    <mergeCell ref="AR256:AS256"/>
    <mergeCell ref="AT257:AV257"/>
    <mergeCell ref="AW256:AY256"/>
    <mergeCell ref="B257:D257"/>
    <mergeCell ref="F257:H257"/>
    <mergeCell ref="I257:J257"/>
    <mergeCell ref="K257:L257"/>
    <mergeCell ref="O257:P257"/>
    <mergeCell ref="R257:S257"/>
    <mergeCell ref="T256:U256"/>
    <mergeCell ref="V256:Y256"/>
    <mergeCell ref="AA256:AC256"/>
    <mergeCell ref="AE256:AG256"/>
    <mergeCell ref="AI256:AK256"/>
    <mergeCell ref="AM256:AO256"/>
    <mergeCell ref="AP255:AQ255"/>
    <mergeCell ref="AR255:AS255"/>
    <mergeCell ref="AT256:AV256"/>
    <mergeCell ref="AW255:AY255"/>
    <mergeCell ref="B256:D256"/>
    <mergeCell ref="F256:H256"/>
    <mergeCell ref="I256:J256"/>
    <mergeCell ref="K256:L256"/>
    <mergeCell ref="O256:P256"/>
    <mergeCell ref="R256:S256"/>
    <mergeCell ref="T255:U255"/>
    <mergeCell ref="V255:Y255"/>
    <mergeCell ref="AA255:AC255"/>
    <mergeCell ref="AE255:AG255"/>
    <mergeCell ref="AI255:AK255"/>
    <mergeCell ref="AM255:AO255"/>
    <mergeCell ref="AP254:AQ254"/>
    <mergeCell ref="AR254:AS254"/>
    <mergeCell ref="AT255:AV255"/>
    <mergeCell ref="AW254:AY254"/>
    <mergeCell ref="B255:D255"/>
    <mergeCell ref="F255:H255"/>
    <mergeCell ref="I255:J255"/>
    <mergeCell ref="K255:L255"/>
    <mergeCell ref="O255:P255"/>
    <mergeCell ref="R255:S255"/>
    <mergeCell ref="T254:U254"/>
    <mergeCell ref="V254:Y254"/>
    <mergeCell ref="AA254:AC254"/>
    <mergeCell ref="AE254:AG254"/>
    <mergeCell ref="AI254:AK254"/>
    <mergeCell ref="AM254:AO254"/>
    <mergeCell ref="AP253:AQ253"/>
    <mergeCell ref="AR253:AS253"/>
    <mergeCell ref="AT254:AV254"/>
    <mergeCell ref="AW253:AY253"/>
    <mergeCell ref="B254:D254"/>
    <mergeCell ref="F254:H254"/>
    <mergeCell ref="I254:J254"/>
    <mergeCell ref="K254:L254"/>
    <mergeCell ref="O254:P254"/>
    <mergeCell ref="R254:S254"/>
    <mergeCell ref="T253:U253"/>
    <mergeCell ref="V253:Y253"/>
    <mergeCell ref="AA253:AC253"/>
    <mergeCell ref="AE253:AG253"/>
    <mergeCell ref="AI253:AK253"/>
    <mergeCell ref="AM253:AO253"/>
    <mergeCell ref="AP252:AQ252"/>
    <mergeCell ref="AR252:AS252"/>
    <mergeCell ref="AT253:AV253"/>
    <mergeCell ref="AW252:AY252"/>
    <mergeCell ref="B253:D253"/>
    <mergeCell ref="F253:H253"/>
    <mergeCell ref="I253:J253"/>
    <mergeCell ref="K253:L253"/>
    <mergeCell ref="O253:P253"/>
    <mergeCell ref="R253:S253"/>
    <mergeCell ref="T252:U252"/>
    <mergeCell ref="V252:Y252"/>
    <mergeCell ref="AA252:AC252"/>
    <mergeCell ref="AE252:AG252"/>
    <mergeCell ref="AI252:AK252"/>
    <mergeCell ref="AM252:AO252"/>
    <mergeCell ref="AP251:AQ251"/>
    <mergeCell ref="AR251:AS251"/>
    <mergeCell ref="AT252:AV252"/>
    <mergeCell ref="AW251:AY251"/>
    <mergeCell ref="B252:D252"/>
    <mergeCell ref="F252:H252"/>
    <mergeCell ref="I252:J252"/>
    <mergeCell ref="K252:L252"/>
    <mergeCell ref="O252:P252"/>
    <mergeCell ref="R252:S252"/>
    <mergeCell ref="T251:U251"/>
    <mergeCell ref="V251:Y251"/>
    <mergeCell ref="AA251:AC251"/>
    <mergeCell ref="AE251:AG251"/>
    <mergeCell ref="AI251:AK251"/>
    <mergeCell ref="AM251:AO251"/>
    <mergeCell ref="AP250:AQ250"/>
    <mergeCell ref="AR250:AS250"/>
    <mergeCell ref="AT251:AV251"/>
    <mergeCell ref="AW250:AY250"/>
    <mergeCell ref="B251:D251"/>
    <mergeCell ref="F251:H251"/>
    <mergeCell ref="I251:J251"/>
    <mergeCell ref="K251:L251"/>
    <mergeCell ref="O251:P251"/>
    <mergeCell ref="R251:S251"/>
    <mergeCell ref="T250:U250"/>
    <mergeCell ref="V250:Y250"/>
    <mergeCell ref="AA250:AC250"/>
    <mergeCell ref="AE250:AG250"/>
    <mergeCell ref="AI250:AK250"/>
    <mergeCell ref="AM250:AO250"/>
    <mergeCell ref="AP249:AQ249"/>
    <mergeCell ref="AR249:AS249"/>
    <mergeCell ref="AT250:AV250"/>
    <mergeCell ref="AW249:AY249"/>
    <mergeCell ref="B250:D250"/>
    <mergeCell ref="F250:H250"/>
    <mergeCell ref="I250:J250"/>
    <mergeCell ref="K250:L250"/>
    <mergeCell ref="O250:P250"/>
    <mergeCell ref="R250:S250"/>
    <mergeCell ref="T249:U249"/>
    <mergeCell ref="V249:Y249"/>
    <mergeCell ref="AA249:AC249"/>
    <mergeCell ref="AE249:AG249"/>
    <mergeCell ref="AI249:AK249"/>
    <mergeCell ref="AM249:AO249"/>
    <mergeCell ref="AP248:AQ248"/>
    <mergeCell ref="AR248:AS248"/>
    <mergeCell ref="AT249:AV249"/>
    <mergeCell ref="AW248:AY248"/>
    <mergeCell ref="B249:D249"/>
    <mergeCell ref="F249:H249"/>
    <mergeCell ref="I249:J249"/>
    <mergeCell ref="K249:L249"/>
    <mergeCell ref="O249:P249"/>
    <mergeCell ref="R249:S249"/>
    <mergeCell ref="T248:U248"/>
    <mergeCell ref="V248:Y248"/>
    <mergeCell ref="AA248:AC248"/>
    <mergeCell ref="AE248:AG248"/>
    <mergeCell ref="AI248:AK248"/>
    <mergeCell ref="AM248:AO248"/>
    <mergeCell ref="AP247:AQ247"/>
    <mergeCell ref="AR247:AS247"/>
    <mergeCell ref="AT248:AV248"/>
    <mergeCell ref="AW247:AY247"/>
    <mergeCell ref="B248:D248"/>
    <mergeCell ref="F248:H248"/>
    <mergeCell ref="I248:J248"/>
    <mergeCell ref="K248:L248"/>
    <mergeCell ref="O248:P248"/>
    <mergeCell ref="R248:S248"/>
    <mergeCell ref="T247:U247"/>
    <mergeCell ref="V247:Y247"/>
    <mergeCell ref="AA247:AC247"/>
    <mergeCell ref="AE247:AG247"/>
    <mergeCell ref="AI247:AK247"/>
    <mergeCell ref="AM247:AO247"/>
    <mergeCell ref="AP246:AQ246"/>
    <mergeCell ref="AR246:AS246"/>
    <mergeCell ref="AT247:AV247"/>
    <mergeCell ref="AW246:AY246"/>
    <mergeCell ref="B247:D247"/>
    <mergeCell ref="F247:H247"/>
    <mergeCell ref="I247:J247"/>
    <mergeCell ref="K247:L247"/>
    <mergeCell ref="O247:P247"/>
    <mergeCell ref="R247:S247"/>
    <mergeCell ref="T246:U246"/>
    <mergeCell ref="V246:Y246"/>
    <mergeCell ref="AA246:AC246"/>
    <mergeCell ref="AE246:AG246"/>
    <mergeCell ref="AI246:AK246"/>
    <mergeCell ref="AM246:AO246"/>
    <mergeCell ref="AP245:AQ245"/>
    <mergeCell ref="AR245:AS245"/>
    <mergeCell ref="AT246:AV246"/>
    <mergeCell ref="AW245:AY245"/>
    <mergeCell ref="B246:D246"/>
    <mergeCell ref="F246:H246"/>
    <mergeCell ref="I246:J246"/>
    <mergeCell ref="K246:L246"/>
    <mergeCell ref="O246:P246"/>
    <mergeCell ref="R246:S246"/>
    <mergeCell ref="T245:U245"/>
    <mergeCell ref="V245:Y245"/>
    <mergeCell ref="AA245:AC245"/>
    <mergeCell ref="AE245:AG245"/>
    <mergeCell ref="AI245:AK245"/>
    <mergeCell ref="AM245:AO245"/>
    <mergeCell ref="AP244:AQ244"/>
    <mergeCell ref="AR244:AS244"/>
    <mergeCell ref="AT245:AV245"/>
    <mergeCell ref="AW244:AY244"/>
    <mergeCell ref="B245:D245"/>
    <mergeCell ref="F245:H245"/>
    <mergeCell ref="I245:J245"/>
    <mergeCell ref="K245:L245"/>
    <mergeCell ref="O245:P245"/>
    <mergeCell ref="R245:S245"/>
    <mergeCell ref="T244:U244"/>
    <mergeCell ref="V244:Y244"/>
    <mergeCell ref="AA244:AC244"/>
    <mergeCell ref="AE244:AG244"/>
    <mergeCell ref="AI244:AK244"/>
    <mergeCell ref="AM244:AO244"/>
    <mergeCell ref="AP243:AQ243"/>
    <mergeCell ref="AR243:AS243"/>
    <mergeCell ref="AT244:AV244"/>
    <mergeCell ref="AW243:AY243"/>
    <mergeCell ref="B244:D244"/>
    <mergeCell ref="F244:H244"/>
    <mergeCell ref="I244:J244"/>
    <mergeCell ref="K244:L244"/>
    <mergeCell ref="O244:P244"/>
    <mergeCell ref="R244:S244"/>
    <mergeCell ref="T243:U243"/>
    <mergeCell ref="V243:Y243"/>
    <mergeCell ref="AA243:AC243"/>
    <mergeCell ref="AE243:AG243"/>
    <mergeCell ref="AI243:AK243"/>
    <mergeCell ref="AM243:AO243"/>
    <mergeCell ref="AP242:AQ242"/>
    <mergeCell ref="AR242:AS242"/>
    <mergeCell ref="AT243:AV243"/>
    <mergeCell ref="AW242:AY242"/>
    <mergeCell ref="B243:D243"/>
    <mergeCell ref="F243:H243"/>
    <mergeCell ref="I243:J243"/>
    <mergeCell ref="K243:L243"/>
    <mergeCell ref="O243:P243"/>
    <mergeCell ref="R243:S243"/>
    <mergeCell ref="T242:U242"/>
    <mergeCell ref="V242:Y242"/>
    <mergeCell ref="AA242:AC242"/>
    <mergeCell ref="AE242:AG242"/>
    <mergeCell ref="AI242:AK242"/>
    <mergeCell ref="AM242:AO242"/>
    <mergeCell ref="AP241:AQ241"/>
    <mergeCell ref="AR241:AS241"/>
    <mergeCell ref="AT242:AV242"/>
    <mergeCell ref="AW241:AY241"/>
    <mergeCell ref="B242:D242"/>
    <mergeCell ref="F242:H242"/>
    <mergeCell ref="I242:J242"/>
    <mergeCell ref="K242:L242"/>
    <mergeCell ref="O242:P242"/>
    <mergeCell ref="R242:S242"/>
    <mergeCell ref="T241:U241"/>
    <mergeCell ref="V241:Y241"/>
    <mergeCell ref="AA241:AC241"/>
    <mergeCell ref="AE241:AG241"/>
    <mergeCell ref="AI241:AK241"/>
    <mergeCell ref="AM241:AO241"/>
    <mergeCell ref="AP240:AQ240"/>
    <mergeCell ref="AR240:AS240"/>
    <mergeCell ref="AT241:AV241"/>
    <mergeCell ref="AW240:AY240"/>
    <mergeCell ref="B241:D241"/>
    <mergeCell ref="F241:H241"/>
    <mergeCell ref="I241:J241"/>
    <mergeCell ref="K241:L241"/>
    <mergeCell ref="O241:P241"/>
    <mergeCell ref="R241:S241"/>
    <mergeCell ref="T240:U240"/>
    <mergeCell ref="V240:Y240"/>
    <mergeCell ref="AA240:AC240"/>
    <mergeCell ref="AE240:AG240"/>
    <mergeCell ref="AI240:AK240"/>
    <mergeCell ref="AM240:AO240"/>
    <mergeCell ref="AP239:AQ239"/>
    <mergeCell ref="AR239:AS239"/>
    <mergeCell ref="AT240:AV240"/>
    <mergeCell ref="AW239:AY239"/>
    <mergeCell ref="B240:D240"/>
    <mergeCell ref="F240:H240"/>
    <mergeCell ref="I240:J240"/>
    <mergeCell ref="K240:L240"/>
    <mergeCell ref="O240:P240"/>
    <mergeCell ref="R240:S240"/>
    <mergeCell ref="T239:U239"/>
    <mergeCell ref="V239:Y239"/>
    <mergeCell ref="AA239:AC239"/>
    <mergeCell ref="AE239:AG239"/>
    <mergeCell ref="AI239:AK239"/>
    <mergeCell ref="AM239:AO239"/>
    <mergeCell ref="AP238:AQ238"/>
    <mergeCell ref="AR238:AS238"/>
    <mergeCell ref="AT239:AV239"/>
    <mergeCell ref="AW238:AY238"/>
    <mergeCell ref="B239:D239"/>
    <mergeCell ref="F239:H239"/>
    <mergeCell ref="I239:J239"/>
    <mergeCell ref="K239:L239"/>
    <mergeCell ref="O239:P239"/>
    <mergeCell ref="R239:S239"/>
    <mergeCell ref="T238:U238"/>
    <mergeCell ref="V238:Y238"/>
    <mergeCell ref="AA238:AC238"/>
    <mergeCell ref="AE238:AG238"/>
    <mergeCell ref="AI238:AK238"/>
    <mergeCell ref="AM238:AO238"/>
    <mergeCell ref="AP237:AQ237"/>
    <mergeCell ref="AR237:AS237"/>
    <mergeCell ref="AT238:AV238"/>
    <mergeCell ref="AW237:AY237"/>
    <mergeCell ref="B238:D238"/>
    <mergeCell ref="F238:H238"/>
    <mergeCell ref="I238:J238"/>
    <mergeCell ref="K238:L238"/>
    <mergeCell ref="O238:P238"/>
    <mergeCell ref="R238:S238"/>
    <mergeCell ref="T237:U237"/>
    <mergeCell ref="V237:Y237"/>
    <mergeCell ref="AA237:AC237"/>
    <mergeCell ref="AE237:AG237"/>
    <mergeCell ref="AI237:AK237"/>
    <mergeCell ref="AM237:AO237"/>
    <mergeCell ref="AP236:AQ236"/>
    <mergeCell ref="AR236:AS236"/>
    <mergeCell ref="AT237:AV237"/>
    <mergeCell ref="AW236:AY236"/>
    <mergeCell ref="B237:D237"/>
    <mergeCell ref="F237:H237"/>
    <mergeCell ref="I237:J237"/>
    <mergeCell ref="K237:L237"/>
    <mergeCell ref="O237:P237"/>
    <mergeCell ref="R237:S237"/>
    <mergeCell ref="T236:U236"/>
    <mergeCell ref="V236:Y236"/>
    <mergeCell ref="AA236:AC236"/>
    <mergeCell ref="AE236:AG236"/>
    <mergeCell ref="AI236:AK236"/>
    <mergeCell ref="AM236:AO236"/>
    <mergeCell ref="AP235:AQ235"/>
    <mergeCell ref="AR235:AS235"/>
    <mergeCell ref="AT236:AV236"/>
    <mergeCell ref="AW235:AY235"/>
    <mergeCell ref="B236:D236"/>
    <mergeCell ref="F236:H236"/>
    <mergeCell ref="I236:J236"/>
    <mergeCell ref="K236:L236"/>
    <mergeCell ref="O236:P236"/>
    <mergeCell ref="R236:S236"/>
    <mergeCell ref="T235:U235"/>
    <mergeCell ref="V235:Y235"/>
    <mergeCell ref="AA235:AC235"/>
    <mergeCell ref="AE235:AG235"/>
    <mergeCell ref="AI235:AK235"/>
    <mergeCell ref="AM235:AO235"/>
    <mergeCell ref="AP234:AQ234"/>
    <mergeCell ref="AR234:AS234"/>
    <mergeCell ref="AT235:AV235"/>
    <mergeCell ref="AW234:AY234"/>
    <mergeCell ref="B235:D235"/>
    <mergeCell ref="F235:H235"/>
    <mergeCell ref="I235:J235"/>
    <mergeCell ref="K235:L235"/>
    <mergeCell ref="O235:P235"/>
    <mergeCell ref="R235:S235"/>
    <mergeCell ref="T234:U234"/>
    <mergeCell ref="V234:Y234"/>
    <mergeCell ref="AA234:AC234"/>
    <mergeCell ref="AE234:AG234"/>
    <mergeCell ref="AI234:AK234"/>
    <mergeCell ref="AM234:AO234"/>
    <mergeCell ref="AP233:AQ233"/>
    <mergeCell ref="AR233:AS233"/>
    <mergeCell ref="AT234:AV234"/>
    <mergeCell ref="AW233:AY233"/>
    <mergeCell ref="B234:D234"/>
    <mergeCell ref="F234:H234"/>
    <mergeCell ref="I234:J234"/>
    <mergeCell ref="K234:L234"/>
    <mergeCell ref="O234:P234"/>
    <mergeCell ref="R234:S234"/>
    <mergeCell ref="T233:U233"/>
    <mergeCell ref="V233:Y233"/>
    <mergeCell ref="AA233:AC233"/>
    <mergeCell ref="AE233:AG233"/>
    <mergeCell ref="AI233:AK233"/>
    <mergeCell ref="AM233:AO233"/>
    <mergeCell ref="AP232:AQ232"/>
    <mergeCell ref="AR232:AS232"/>
    <mergeCell ref="AT233:AV233"/>
    <mergeCell ref="AW232:AY232"/>
    <mergeCell ref="B233:D233"/>
    <mergeCell ref="F233:H233"/>
    <mergeCell ref="I233:J233"/>
    <mergeCell ref="K233:L233"/>
    <mergeCell ref="O233:P233"/>
    <mergeCell ref="R233:S233"/>
    <mergeCell ref="T232:U232"/>
    <mergeCell ref="V232:Y232"/>
    <mergeCell ref="AA232:AC232"/>
    <mergeCell ref="AE232:AG232"/>
    <mergeCell ref="AI232:AK232"/>
    <mergeCell ref="AM232:AO232"/>
    <mergeCell ref="AP231:AQ231"/>
    <mergeCell ref="AR231:AS231"/>
    <mergeCell ref="AT232:AV232"/>
    <mergeCell ref="AW231:AY231"/>
    <mergeCell ref="B232:D232"/>
    <mergeCell ref="F232:H232"/>
    <mergeCell ref="I232:J232"/>
    <mergeCell ref="K232:L232"/>
    <mergeCell ref="O232:P232"/>
    <mergeCell ref="R232:S232"/>
    <mergeCell ref="T231:U231"/>
    <mergeCell ref="V231:Y231"/>
    <mergeCell ref="AA231:AC231"/>
    <mergeCell ref="AE231:AG231"/>
    <mergeCell ref="AI231:AK231"/>
    <mergeCell ref="AM231:AO231"/>
    <mergeCell ref="AP230:AQ230"/>
    <mergeCell ref="AR230:AS230"/>
    <mergeCell ref="AT231:AV231"/>
    <mergeCell ref="AW230:AY230"/>
    <mergeCell ref="B231:D231"/>
    <mergeCell ref="F231:H231"/>
    <mergeCell ref="I231:J231"/>
    <mergeCell ref="K231:L231"/>
    <mergeCell ref="O231:P231"/>
    <mergeCell ref="R231:S231"/>
    <mergeCell ref="T230:U230"/>
    <mergeCell ref="V230:Y230"/>
    <mergeCell ref="AA230:AC230"/>
    <mergeCell ref="AE230:AG230"/>
    <mergeCell ref="AI230:AK230"/>
    <mergeCell ref="AM230:AO230"/>
    <mergeCell ref="AP229:AQ229"/>
    <mergeCell ref="AR229:AS229"/>
    <mergeCell ref="AT230:AV230"/>
    <mergeCell ref="AW229:AY229"/>
    <mergeCell ref="B230:D230"/>
    <mergeCell ref="F230:H230"/>
    <mergeCell ref="I230:J230"/>
    <mergeCell ref="K230:L230"/>
    <mergeCell ref="O230:P230"/>
    <mergeCell ref="R230:S230"/>
    <mergeCell ref="T229:U229"/>
    <mergeCell ref="V229:Y229"/>
    <mergeCell ref="AA229:AC229"/>
    <mergeCell ref="AE229:AG229"/>
    <mergeCell ref="AI229:AK229"/>
    <mergeCell ref="AM229:AO229"/>
    <mergeCell ref="AP228:AQ228"/>
    <mergeCell ref="AR228:AS228"/>
    <mergeCell ref="AT229:AV229"/>
    <mergeCell ref="AW228:AY228"/>
    <mergeCell ref="B229:D229"/>
    <mergeCell ref="F229:H229"/>
    <mergeCell ref="I229:J229"/>
    <mergeCell ref="K229:L229"/>
    <mergeCell ref="O229:P229"/>
    <mergeCell ref="R229:S229"/>
    <mergeCell ref="T228:U228"/>
    <mergeCell ref="V228:Y228"/>
    <mergeCell ref="AA228:AC228"/>
    <mergeCell ref="AE228:AG228"/>
    <mergeCell ref="AI228:AK228"/>
    <mergeCell ref="AM228:AO228"/>
    <mergeCell ref="AP227:AQ227"/>
    <mergeCell ref="AR227:AS227"/>
    <mergeCell ref="AT228:AV228"/>
    <mergeCell ref="AW227:AY227"/>
    <mergeCell ref="B228:D228"/>
    <mergeCell ref="F228:H228"/>
    <mergeCell ref="I228:J228"/>
    <mergeCell ref="K228:L228"/>
    <mergeCell ref="O228:P228"/>
    <mergeCell ref="R228:S228"/>
    <mergeCell ref="T227:U227"/>
    <mergeCell ref="V227:Y227"/>
    <mergeCell ref="AA227:AC227"/>
    <mergeCell ref="AE227:AG227"/>
    <mergeCell ref="AI227:AK227"/>
    <mergeCell ref="AM227:AO227"/>
    <mergeCell ref="AP226:AQ226"/>
    <mergeCell ref="AR226:AS226"/>
    <mergeCell ref="AT227:AV227"/>
    <mergeCell ref="AW226:AY226"/>
    <mergeCell ref="B227:D227"/>
    <mergeCell ref="F227:H227"/>
    <mergeCell ref="I227:J227"/>
    <mergeCell ref="K227:L227"/>
    <mergeCell ref="O227:P227"/>
    <mergeCell ref="R227:S227"/>
    <mergeCell ref="T226:U226"/>
    <mergeCell ref="V226:Y226"/>
    <mergeCell ref="AA226:AC226"/>
    <mergeCell ref="AE226:AG226"/>
    <mergeCell ref="AI226:AK226"/>
    <mergeCell ref="AM226:AO226"/>
    <mergeCell ref="AP225:AQ225"/>
    <mergeCell ref="AR225:AS225"/>
    <mergeCell ref="AT226:AV226"/>
    <mergeCell ref="AW225:AY225"/>
    <mergeCell ref="B226:D226"/>
    <mergeCell ref="F226:H226"/>
    <mergeCell ref="I226:J226"/>
    <mergeCell ref="K226:L226"/>
    <mergeCell ref="O226:P226"/>
    <mergeCell ref="R226:S226"/>
    <mergeCell ref="T225:U225"/>
    <mergeCell ref="V225:Y225"/>
    <mergeCell ref="AA225:AC225"/>
    <mergeCell ref="AE225:AG225"/>
    <mergeCell ref="AI225:AK225"/>
    <mergeCell ref="AM225:AO225"/>
    <mergeCell ref="AP224:AQ224"/>
    <mergeCell ref="AR224:AS224"/>
    <mergeCell ref="AT225:AV225"/>
    <mergeCell ref="AW224:AY224"/>
    <mergeCell ref="B225:D225"/>
    <mergeCell ref="F225:H225"/>
    <mergeCell ref="I225:J225"/>
    <mergeCell ref="K225:L225"/>
    <mergeCell ref="O225:P225"/>
    <mergeCell ref="R225:S225"/>
    <mergeCell ref="T224:U224"/>
    <mergeCell ref="V224:Y224"/>
    <mergeCell ref="AA224:AC224"/>
    <mergeCell ref="AE224:AG224"/>
    <mergeCell ref="AI224:AK224"/>
    <mergeCell ref="AM224:AO224"/>
    <mergeCell ref="AP223:AQ223"/>
    <mergeCell ref="AR223:AS223"/>
    <mergeCell ref="AT224:AV224"/>
    <mergeCell ref="AW223:AY223"/>
    <mergeCell ref="B224:D224"/>
    <mergeCell ref="F224:H224"/>
    <mergeCell ref="I224:J224"/>
    <mergeCell ref="K224:L224"/>
    <mergeCell ref="O224:P224"/>
    <mergeCell ref="R224:S224"/>
    <mergeCell ref="T223:U223"/>
    <mergeCell ref="V223:Y223"/>
    <mergeCell ref="AA223:AC223"/>
    <mergeCell ref="AE223:AG223"/>
    <mergeCell ref="AI223:AK223"/>
    <mergeCell ref="AM223:AO223"/>
    <mergeCell ref="AP222:AQ222"/>
    <mergeCell ref="AR222:AS222"/>
    <mergeCell ref="AT223:AV223"/>
    <mergeCell ref="AW222:AY222"/>
    <mergeCell ref="B223:D223"/>
    <mergeCell ref="F223:H223"/>
    <mergeCell ref="I223:J223"/>
    <mergeCell ref="K223:L223"/>
    <mergeCell ref="O223:P223"/>
    <mergeCell ref="R223:S223"/>
    <mergeCell ref="T222:U222"/>
    <mergeCell ref="V222:Y222"/>
    <mergeCell ref="AA222:AC222"/>
    <mergeCell ref="AE222:AG222"/>
    <mergeCell ref="AI222:AK222"/>
    <mergeCell ref="AM222:AO222"/>
    <mergeCell ref="AP221:AQ221"/>
    <mergeCell ref="AR221:AS221"/>
    <mergeCell ref="AT222:AV222"/>
    <mergeCell ref="AW221:AY221"/>
    <mergeCell ref="B222:D222"/>
    <mergeCell ref="F222:H222"/>
    <mergeCell ref="I222:J222"/>
    <mergeCell ref="K222:L222"/>
    <mergeCell ref="O222:P222"/>
    <mergeCell ref="R222:S222"/>
    <mergeCell ref="T221:U221"/>
    <mergeCell ref="V221:Y221"/>
    <mergeCell ref="AA221:AC221"/>
    <mergeCell ref="AE221:AG221"/>
    <mergeCell ref="AI221:AK221"/>
    <mergeCell ref="AM221:AO221"/>
    <mergeCell ref="AP220:AQ220"/>
    <mergeCell ref="AR220:AS220"/>
    <mergeCell ref="AT221:AV221"/>
    <mergeCell ref="AW220:AY220"/>
    <mergeCell ref="B221:D221"/>
    <mergeCell ref="F221:H221"/>
    <mergeCell ref="I221:J221"/>
    <mergeCell ref="K221:L221"/>
    <mergeCell ref="O221:P221"/>
    <mergeCell ref="R221:S221"/>
    <mergeCell ref="T220:U220"/>
    <mergeCell ref="V220:Y220"/>
    <mergeCell ref="AA220:AC220"/>
    <mergeCell ref="AE220:AG220"/>
    <mergeCell ref="AI220:AK220"/>
    <mergeCell ref="AM220:AO220"/>
    <mergeCell ref="AP219:AQ219"/>
    <mergeCell ref="AR219:AS219"/>
    <mergeCell ref="AT220:AV220"/>
    <mergeCell ref="AW219:AY219"/>
    <mergeCell ref="B220:D220"/>
    <mergeCell ref="F220:H220"/>
    <mergeCell ref="I220:J220"/>
    <mergeCell ref="K220:L220"/>
    <mergeCell ref="O220:P220"/>
    <mergeCell ref="R220:S220"/>
    <mergeCell ref="T219:U219"/>
    <mergeCell ref="V219:Y219"/>
    <mergeCell ref="AA219:AC219"/>
    <mergeCell ref="AE219:AG219"/>
    <mergeCell ref="AI219:AK219"/>
    <mergeCell ref="AM219:AO219"/>
    <mergeCell ref="AP218:AQ218"/>
    <mergeCell ref="AR218:AS218"/>
    <mergeCell ref="AT219:AV219"/>
    <mergeCell ref="AW218:AY218"/>
    <mergeCell ref="B219:D219"/>
    <mergeCell ref="F219:H219"/>
    <mergeCell ref="I219:J219"/>
    <mergeCell ref="K219:L219"/>
    <mergeCell ref="O219:P219"/>
    <mergeCell ref="R219:S219"/>
    <mergeCell ref="T218:U218"/>
    <mergeCell ref="V218:Y218"/>
    <mergeCell ref="AA218:AC218"/>
    <mergeCell ref="AE218:AG218"/>
    <mergeCell ref="AI218:AK218"/>
    <mergeCell ref="AM218:AO218"/>
    <mergeCell ref="AP217:AQ217"/>
    <mergeCell ref="AR217:AS217"/>
    <mergeCell ref="AT218:AV218"/>
    <mergeCell ref="AW217:AY217"/>
    <mergeCell ref="B218:D218"/>
    <mergeCell ref="F218:H218"/>
    <mergeCell ref="I218:J218"/>
    <mergeCell ref="K218:L218"/>
    <mergeCell ref="O218:P218"/>
    <mergeCell ref="R218:S218"/>
    <mergeCell ref="T217:U217"/>
    <mergeCell ref="V217:Y217"/>
    <mergeCell ref="AA217:AC217"/>
    <mergeCell ref="AE217:AG217"/>
    <mergeCell ref="AI217:AK217"/>
    <mergeCell ref="AM217:AO217"/>
    <mergeCell ref="AP216:AQ216"/>
    <mergeCell ref="AR216:AS216"/>
    <mergeCell ref="AT217:AV217"/>
    <mergeCell ref="AW216:AY216"/>
    <mergeCell ref="B217:D217"/>
    <mergeCell ref="F217:H217"/>
    <mergeCell ref="I217:J217"/>
    <mergeCell ref="K217:L217"/>
    <mergeCell ref="O217:P217"/>
    <mergeCell ref="R217:S217"/>
    <mergeCell ref="T216:U216"/>
    <mergeCell ref="V216:Y216"/>
    <mergeCell ref="AA216:AC216"/>
    <mergeCell ref="AE216:AG216"/>
    <mergeCell ref="AI216:AK216"/>
    <mergeCell ref="AM216:AO216"/>
    <mergeCell ref="AP215:AQ215"/>
    <mergeCell ref="AR215:AS215"/>
    <mergeCell ref="AT216:AV216"/>
    <mergeCell ref="AW215:AY215"/>
    <mergeCell ref="B216:D216"/>
    <mergeCell ref="F216:H216"/>
    <mergeCell ref="I216:J216"/>
    <mergeCell ref="K216:L216"/>
    <mergeCell ref="O216:P216"/>
    <mergeCell ref="R216:S216"/>
    <mergeCell ref="T215:U215"/>
    <mergeCell ref="V215:Y215"/>
    <mergeCell ref="AA215:AC215"/>
    <mergeCell ref="AE215:AG215"/>
    <mergeCell ref="AI215:AK215"/>
    <mergeCell ref="AM215:AO215"/>
    <mergeCell ref="AP214:AQ214"/>
    <mergeCell ref="AR214:AS214"/>
    <mergeCell ref="AT215:AV215"/>
    <mergeCell ref="AW214:AY214"/>
    <mergeCell ref="B215:D215"/>
    <mergeCell ref="F215:H215"/>
    <mergeCell ref="I215:J215"/>
    <mergeCell ref="K215:L215"/>
    <mergeCell ref="O215:P215"/>
    <mergeCell ref="R215:S215"/>
    <mergeCell ref="T214:U214"/>
    <mergeCell ref="V214:Y214"/>
    <mergeCell ref="AA214:AC214"/>
    <mergeCell ref="AE214:AG214"/>
    <mergeCell ref="AI214:AK214"/>
    <mergeCell ref="AM214:AO214"/>
    <mergeCell ref="AP213:AQ213"/>
    <mergeCell ref="AR213:AS213"/>
    <mergeCell ref="AT214:AV214"/>
    <mergeCell ref="AW213:AY213"/>
    <mergeCell ref="B214:D214"/>
    <mergeCell ref="F214:H214"/>
    <mergeCell ref="I214:J214"/>
    <mergeCell ref="K214:L214"/>
    <mergeCell ref="O214:P214"/>
    <mergeCell ref="R214:S214"/>
    <mergeCell ref="T213:U213"/>
    <mergeCell ref="V213:Y213"/>
    <mergeCell ref="AA213:AC213"/>
    <mergeCell ref="AE213:AG213"/>
    <mergeCell ref="AI213:AK213"/>
    <mergeCell ref="AM213:AO213"/>
    <mergeCell ref="AP212:AQ212"/>
    <mergeCell ref="AR212:AS212"/>
    <mergeCell ref="AT213:AV213"/>
    <mergeCell ref="AW212:AY212"/>
    <mergeCell ref="B213:D213"/>
    <mergeCell ref="F213:H213"/>
    <mergeCell ref="I213:J213"/>
    <mergeCell ref="K213:L213"/>
    <mergeCell ref="O213:P213"/>
    <mergeCell ref="R213:S213"/>
    <mergeCell ref="T212:U212"/>
    <mergeCell ref="V212:Y212"/>
    <mergeCell ref="AA212:AC212"/>
    <mergeCell ref="AE212:AG212"/>
    <mergeCell ref="AI212:AK212"/>
    <mergeCell ref="AM212:AO212"/>
    <mergeCell ref="AP211:AQ211"/>
    <mergeCell ref="AR211:AS211"/>
    <mergeCell ref="AT212:AV212"/>
    <mergeCell ref="AW211:AY211"/>
    <mergeCell ref="B212:D212"/>
    <mergeCell ref="F212:H212"/>
    <mergeCell ref="I212:J212"/>
    <mergeCell ref="K212:L212"/>
    <mergeCell ref="O212:P212"/>
    <mergeCell ref="R212:S212"/>
    <mergeCell ref="T211:U211"/>
    <mergeCell ref="V211:Y211"/>
    <mergeCell ref="AA211:AC211"/>
    <mergeCell ref="AE211:AG211"/>
    <mergeCell ref="AI211:AK211"/>
    <mergeCell ref="AM211:AO211"/>
    <mergeCell ref="AP210:AQ210"/>
    <mergeCell ref="AR210:AS210"/>
    <mergeCell ref="AT211:AV211"/>
    <mergeCell ref="AW210:AY210"/>
    <mergeCell ref="B211:D211"/>
    <mergeCell ref="F211:H211"/>
    <mergeCell ref="I211:J211"/>
    <mergeCell ref="K211:L211"/>
    <mergeCell ref="O211:P211"/>
    <mergeCell ref="R211:S211"/>
    <mergeCell ref="T210:U210"/>
    <mergeCell ref="V210:Y210"/>
    <mergeCell ref="AA210:AC210"/>
    <mergeCell ref="AE210:AG210"/>
    <mergeCell ref="AI210:AK210"/>
    <mergeCell ref="AM210:AO210"/>
    <mergeCell ref="AP209:AQ209"/>
    <mergeCell ref="AR209:AS209"/>
    <mergeCell ref="AT210:AV210"/>
    <mergeCell ref="AW209:AY209"/>
    <mergeCell ref="B210:D210"/>
    <mergeCell ref="F210:H210"/>
    <mergeCell ref="I210:J210"/>
    <mergeCell ref="K210:L210"/>
    <mergeCell ref="O210:P210"/>
    <mergeCell ref="R210:S210"/>
    <mergeCell ref="T209:U209"/>
    <mergeCell ref="V209:Y209"/>
    <mergeCell ref="AA209:AC209"/>
    <mergeCell ref="AE209:AG209"/>
    <mergeCell ref="AI209:AK209"/>
    <mergeCell ref="AM209:AO209"/>
    <mergeCell ref="AP208:AQ208"/>
    <mergeCell ref="AR208:AS208"/>
    <mergeCell ref="AT209:AV209"/>
    <mergeCell ref="AW208:AY208"/>
    <mergeCell ref="B209:D209"/>
    <mergeCell ref="F209:H209"/>
    <mergeCell ref="I209:J209"/>
    <mergeCell ref="K209:L209"/>
    <mergeCell ref="O209:P209"/>
    <mergeCell ref="R209:S209"/>
    <mergeCell ref="T208:U208"/>
    <mergeCell ref="V208:Y208"/>
    <mergeCell ref="AA208:AC208"/>
    <mergeCell ref="AE208:AG208"/>
    <mergeCell ref="AI208:AK208"/>
    <mergeCell ref="AM208:AO208"/>
    <mergeCell ref="AP207:AQ207"/>
    <mergeCell ref="AR207:AS207"/>
    <mergeCell ref="AT208:AV208"/>
    <mergeCell ref="AW207:AY207"/>
    <mergeCell ref="B208:D208"/>
    <mergeCell ref="F208:H208"/>
    <mergeCell ref="I208:J208"/>
    <mergeCell ref="K208:L208"/>
    <mergeCell ref="O208:P208"/>
    <mergeCell ref="R208:S208"/>
    <mergeCell ref="T207:U207"/>
    <mergeCell ref="V207:Y207"/>
    <mergeCell ref="AA207:AC207"/>
    <mergeCell ref="AE207:AG207"/>
    <mergeCell ref="AI207:AK207"/>
    <mergeCell ref="AM207:AO207"/>
    <mergeCell ref="AP206:AQ206"/>
    <mergeCell ref="AR206:AS206"/>
    <mergeCell ref="AT207:AV207"/>
    <mergeCell ref="AW206:AY206"/>
    <mergeCell ref="B207:D207"/>
    <mergeCell ref="F207:H207"/>
    <mergeCell ref="I207:J207"/>
    <mergeCell ref="K207:L207"/>
    <mergeCell ref="O207:P207"/>
    <mergeCell ref="R207:S207"/>
    <mergeCell ref="T206:U206"/>
    <mergeCell ref="V206:Y206"/>
    <mergeCell ref="AA206:AC206"/>
    <mergeCell ref="AE206:AG206"/>
    <mergeCell ref="AI206:AK206"/>
    <mergeCell ref="AM206:AO206"/>
    <mergeCell ref="AP205:AQ205"/>
    <mergeCell ref="AR205:AS205"/>
    <mergeCell ref="AT206:AV206"/>
    <mergeCell ref="AW205:AY205"/>
    <mergeCell ref="B206:D206"/>
    <mergeCell ref="F206:H206"/>
    <mergeCell ref="I206:J206"/>
    <mergeCell ref="K206:L206"/>
    <mergeCell ref="O206:P206"/>
    <mergeCell ref="R206:S206"/>
    <mergeCell ref="T205:U205"/>
    <mergeCell ref="V205:Y205"/>
    <mergeCell ref="AA205:AC205"/>
    <mergeCell ref="AE205:AG205"/>
    <mergeCell ref="AI205:AK205"/>
    <mergeCell ref="AM205:AO205"/>
    <mergeCell ref="AP204:AQ204"/>
    <mergeCell ref="AR204:AS204"/>
    <mergeCell ref="AT205:AV205"/>
    <mergeCell ref="AW204:AY204"/>
    <mergeCell ref="B205:D205"/>
    <mergeCell ref="F205:H205"/>
    <mergeCell ref="I205:J205"/>
    <mergeCell ref="K205:L205"/>
    <mergeCell ref="O205:P205"/>
    <mergeCell ref="R205:S205"/>
    <mergeCell ref="T204:U204"/>
    <mergeCell ref="V204:Y204"/>
    <mergeCell ref="AA204:AC204"/>
    <mergeCell ref="AE204:AG204"/>
    <mergeCell ref="AI204:AK204"/>
    <mergeCell ref="AM204:AO204"/>
    <mergeCell ref="AP203:AQ203"/>
    <mergeCell ref="AR203:AS203"/>
    <mergeCell ref="AT204:AV204"/>
    <mergeCell ref="AW203:AY203"/>
    <mergeCell ref="B204:D204"/>
    <mergeCell ref="F204:H204"/>
    <mergeCell ref="I204:J204"/>
    <mergeCell ref="K204:L204"/>
    <mergeCell ref="O204:P204"/>
    <mergeCell ref="R204:S204"/>
    <mergeCell ref="T203:U203"/>
    <mergeCell ref="V203:Y203"/>
    <mergeCell ref="AA203:AC203"/>
    <mergeCell ref="AE203:AG203"/>
    <mergeCell ref="AI203:AK203"/>
    <mergeCell ref="AM203:AO203"/>
    <mergeCell ref="AP202:AQ202"/>
    <mergeCell ref="AR202:AS202"/>
    <mergeCell ref="AT203:AV203"/>
    <mergeCell ref="AW202:AY202"/>
    <mergeCell ref="B203:D203"/>
    <mergeCell ref="F203:H203"/>
    <mergeCell ref="I203:J203"/>
    <mergeCell ref="K203:L203"/>
    <mergeCell ref="O203:P203"/>
    <mergeCell ref="R203:S203"/>
    <mergeCell ref="T202:U202"/>
    <mergeCell ref="V202:Y202"/>
    <mergeCell ref="AA202:AC202"/>
    <mergeCell ref="AE202:AG202"/>
    <mergeCell ref="AI202:AK202"/>
    <mergeCell ref="AM202:AO202"/>
    <mergeCell ref="AP201:AQ201"/>
    <mergeCell ref="AR201:AS201"/>
    <mergeCell ref="AT202:AV202"/>
    <mergeCell ref="AW201:AY201"/>
    <mergeCell ref="B202:D202"/>
    <mergeCell ref="F202:H202"/>
    <mergeCell ref="I202:J202"/>
    <mergeCell ref="K202:L202"/>
    <mergeCell ref="O202:P202"/>
    <mergeCell ref="R202:S202"/>
    <mergeCell ref="T201:U201"/>
    <mergeCell ref="V201:Y201"/>
    <mergeCell ref="AA201:AC201"/>
    <mergeCell ref="AE201:AG201"/>
    <mergeCell ref="AI201:AK201"/>
    <mergeCell ref="AM201:AO201"/>
    <mergeCell ref="AP200:AQ200"/>
    <mergeCell ref="AR200:AS200"/>
    <mergeCell ref="AT201:AV201"/>
    <mergeCell ref="AW200:AY200"/>
    <mergeCell ref="B201:D201"/>
    <mergeCell ref="F201:H201"/>
    <mergeCell ref="I201:J201"/>
    <mergeCell ref="K201:L201"/>
    <mergeCell ref="O201:P201"/>
    <mergeCell ref="R201:S201"/>
    <mergeCell ref="T200:U200"/>
    <mergeCell ref="V200:Y200"/>
    <mergeCell ref="AA200:AC200"/>
    <mergeCell ref="AE200:AG200"/>
    <mergeCell ref="AI200:AK200"/>
    <mergeCell ref="AM200:AO200"/>
    <mergeCell ref="AP199:AQ199"/>
    <mergeCell ref="AR199:AS199"/>
    <mergeCell ref="AT200:AV200"/>
    <mergeCell ref="AW199:AY199"/>
    <mergeCell ref="B200:D200"/>
    <mergeCell ref="F200:H200"/>
    <mergeCell ref="I200:J200"/>
    <mergeCell ref="K200:L200"/>
    <mergeCell ref="O200:P200"/>
    <mergeCell ref="R200:S200"/>
    <mergeCell ref="T199:U199"/>
    <mergeCell ref="V199:Y199"/>
    <mergeCell ref="AA199:AC199"/>
    <mergeCell ref="AE199:AG199"/>
    <mergeCell ref="AI199:AK199"/>
    <mergeCell ref="AM199:AO199"/>
    <mergeCell ref="AP198:AQ198"/>
    <mergeCell ref="AR198:AS198"/>
    <mergeCell ref="AT199:AV199"/>
    <mergeCell ref="AW198:AY198"/>
    <mergeCell ref="B199:D199"/>
    <mergeCell ref="F199:H199"/>
    <mergeCell ref="I199:J199"/>
    <mergeCell ref="K199:L199"/>
    <mergeCell ref="O199:P199"/>
    <mergeCell ref="R199:S199"/>
    <mergeCell ref="T198:U198"/>
    <mergeCell ref="V198:Y198"/>
    <mergeCell ref="AA198:AC198"/>
    <mergeCell ref="AE198:AG198"/>
    <mergeCell ref="AI198:AK198"/>
    <mergeCell ref="AM198:AO198"/>
    <mergeCell ref="AP197:AQ197"/>
    <mergeCell ref="AR197:AS197"/>
    <mergeCell ref="AT198:AV198"/>
    <mergeCell ref="AW197:AY197"/>
    <mergeCell ref="B198:D198"/>
    <mergeCell ref="F198:H198"/>
    <mergeCell ref="I198:J198"/>
    <mergeCell ref="K198:L198"/>
    <mergeCell ref="O198:P198"/>
    <mergeCell ref="R198:S198"/>
    <mergeCell ref="T197:U197"/>
    <mergeCell ref="V197:Y197"/>
    <mergeCell ref="AA197:AC197"/>
    <mergeCell ref="AE197:AG197"/>
    <mergeCell ref="AI197:AK197"/>
    <mergeCell ref="AM197:AO197"/>
    <mergeCell ref="AP196:AQ196"/>
    <mergeCell ref="AR196:AS196"/>
    <mergeCell ref="AT197:AV197"/>
    <mergeCell ref="AW196:AY196"/>
    <mergeCell ref="B197:D197"/>
    <mergeCell ref="F197:H197"/>
    <mergeCell ref="I197:J197"/>
    <mergeCell ref="K197:L197"/>
    <mergeCell ref="O197:P197"/>
    <mergeCell ref="R197:S197"/>
    <mergeCell ref="T196:U196"/>
    <mergeCell ref="V196:Y196"/>
    <mergeCell ref="AA196:AC196"/>
    <mergeCell ref="AE196:AG196"/>
    <mergeCell ref="AI196:AK196"/>
    <mergeCell ref="AM196:AO196"/>
    <mergeCell ref="AP195:AQ195"/>
    <mergeCell ref="AR195:AS195"/>
    <mergeCell ref="AT196:AV196"/>
    <mergeCell ref="AW195:AY195"/>
    <mergeCell ref="B196:D196"/>
    <mergeCell ref="F196:H196"/>
    <mergeCell ref="I196:J196"/>
    <mergeCell ref="K196:L196"/>
    <mergeCell ref="O196:P196"/>
    <mergeCell ref="R196:S196"/>
    <mergeCell ref="T195:U195"/>
    <mergeCell ref="V195:Y195"/>
    <mergeCell ref="AA195:AC195"/>
    <mergeCell ref="AE195:AG195"/>
    <mergeCell ref="AI195:AK195"/>
    <mergeCell ref="AM195:AO195"/>
    <mergeCell ref="AP194:AQ194"/>
    <mergeCell ref="AR194:AS194"/>
    <mergeCell ref="AT195:AV195"/>
    <mergeCell ref="AW194:AY194"/>
    <mergeCell ref="B195:D195"/>
    <mergeCell ref="F195:H195"/>
    <mergeCell ref="I195:J195"/>
    <mergeCell ref="K195:L195"/>
    <mergeCell ref="O195:P195"/>
    <mergeCell ref="R195:S195"/>
    <mergeCell ref="T194:U194"/>
    <mergeCell ref="V194:Y194"/>
    <mergeCell ref="AA194:AC194"/>
    <mergeCell ref="AE194:AG194"/>
    <mergeCell ref="AI194:AK194"/>
    <mergeCell ref="AM194:AO194"/>
    <mergeCell ref="AP193:AQ193"/>
    <mergeCell ref="AR193:AS193"/>
    <mergeCell ref="AT194:AV194"/>
    <mergeCell ref="AW193:AY193"/>
    <mergeCell ref="B194:D194"/>
    <mergeCell ref="F194:H194"/>
    <mergeCell ref="I194:J194"/>
    <mergeCell ref="K194:L194"/>
    <mergeCell ref="O194:P194"/>
    <mergeCell ref="R194:S194"/>
    <mergeCell ref="T193:U193"/>
    <mergeCell ref="V193:Y193"/>
    <mergeCell ref="AA193:AC193"/>
    <mergeCell ref="AE193:AG193"/>
    <mergeCell ref="AI193:AK193"/>
    <mergeCell ref="AM193:AO193"/>
    <mergeCell ref="AP192:AQ192"/>
    <mergeCell ref="AR192:AS192"/>
    <mergeCell ref="AT193:AV193"/>
    <mergeCell ref="AW192:AY192"/>
    <mergeCell ref="B193:D193"/>
    <mergeCell ref="F193:H193"/>
    <mergeCell ref="I193:J193"/>
    <mergeCell ref="K193:L193"/>
    <mergeCell ref="O193:P193"/>
    <mergeCell ref="R193:S193"/>
    <mergeCell ref="T192:U192"/>
    <mergeCell ref="V192:Y192"/>
    <mergeCell ref="AA192:AC192"/>
    <mergeCell ref="AE192:AG192"/>
    <mergeCell ref="AI192:AK192"/>
    <mergeCell ref="AM192:AO192"/>
    <mergeCell ref="AP191:AQ191"/>
    <mergeCell ref="AR191:AS191"/>
    <mergeCell ref="AT192:AV192"/>
    <mergeCell ref="AW191:AY191"/>
    <mergeCell ref="B192:D192"/>
    <mergeCell ref="F192:H192"/>
    <mergeCell ref="I192:J192"/>
    <mergeCell ref="K192:L192"/>
    <mergeCell ref="O192:P192"/>
    <mergeCell ref="R192:S192"/>
    <mergeCell ref="T191:U191"/>
    <mergeCell ref="V191:Y191"/>
    <mergeCell ref="AA191:AC191"/>
    <mergeCell ref="AE191:AG191"/>
    <mergeCell ref="AI191:AK191"/>
    <mergeCell ref="AM191:AO191"/>
    <mergeCell ref="AP190:AQ190"/>
    <mergeCell ref="AR190:AS190"/>
    <mergeCell ref="AT191:AV191"/>
    <mergeCell ref="AW190:AY190"/>
    <mergeCell ref="B191:D191"/>
    <mergeCell ref="F191:H191"/>
    <mergeCell ref="I191:J191"/>
    <mergeCell ref="K191:L191"/>
    <mergeCell ref="O191:P191"/>
    <mergeCell ref="R191:S191"/>
    <mergeCell ref="T190:U190"/>
    <mergeCell ref="V190:Y190"/>
    <mergeCell ref="AA190:AC190"/>
    <mergeCell ref="AE190:AG190"/>
    <mergeCell ref="AI190:AK190"/>
    <mergeCell ref="AM190:AO190"/>
    <mergeCell ref="AP189:AQ189"/>
    <mergeCell ref="AR189:AS189"/>
    <mergeCell ref="AT190:AV190"/>
    <mergeCell ref="AW189:AY189"/>
    <mergeCell ref="B190:D190"/>
    <mergeCell ref="F190:H190"/>
    <mergeCell ref="I190:J190"/>
    <mergeCell ref="K190:L190"/>
    <mergeCell ref="O190:P190"/>
    <mergeCell ref="R190:S190"/>
    <mergeCell ref="T189:U189"/>
    <mergeCell ref="V189:Y189"/>
    <mergeCell ref="AA189:AC189"/>
    <mergeCell ref="AE189:AG189"/>
    <mergeCell ref="AI189:AK189"/>
    <mergeCell ref="AM189:AO189"/>
    <mergeCell ref="AP188:AQ188"/>
    <mergeCell ref="AR188:AS188"/>
    <mergeCell ref="AT189:AV189"/>
    <mergeCell ref="AW188:AY188"/>
    <mergeCell ref="B189:D189"/>
    <mergeCell ref="F189:H189"/>
    <mergeCell ref="I189:J189"/>
    <mergeCell ref="K189:L189"/>
    <mergeCell ref="O189:P189"/>
    <mergeCell ref="R189:S189"/>
    <mergeCell ref="T188:U188"/>
    <mergeCell ref="V188:Y188"/>
    <mergeCell ref="AA188:AC188"/>
    <mergeCell ref="AE188:AG188"/>
    <mergeCell ref="AI188:AK188"/>
    <mergeCell ref="AM188:AO188"/>
    <mergeCell ref="AP187:AQ187"/>
    <mergeCell ref="AR187:AS187"/>
    <mergeCell ref="AT188:AV188"/>
    <mergeCell ref="AW187:AY187"/>
    <mergeCell ref="B188:D188"/>
    <mergeCell ref="F188:H188"/>
    <mergeCell ref="I188:J188"/>
    <mergeCell ref="K188:L188"/>
    <mergeCell ref="O188:P188"/>
    <mergeCell ref="R188:S188"/>
    <mergeCell ref="T187:U187"/>
    <mergeCell ref="V187:Y187"/>
    <mergeCell ref="AA187:AC187"/>
    <mergeCell ref="AE187:AG187"/>
    <mergeCell ref="AI187:AK187"/>
    <mergeCell ref="AM187:AO187"/>
    <mergeCell ref="AP186:AQ186"/>
    <mergeCell ref="AR186:AS186"/>
    <mergeCell ref="AT187:AV187"/>
    <mergeCell ref="AW186:AY186"/>
    <mergeCell ref="B187:D187"/>
    <mergeCell ref="F187:H187"/>
    <mergeCell ref="I187:J187"/>
    <mergeCell ref="K187:L187"/>
    <mergeCell ref="O187:P187"/>
    <mergeCell ref="R187:S187"/>
    <mergeCell ref="T186:U186"/>
    <mergeCell ref="V186:Y186"/>
    <mergeCell ref="AA186:AC186"/>
    <mergeCell ref="AE186:AG186"/>
    <mergeCell ref="AI186:AK186"/>
    <mergeCell ref="AM186:AO186"/>
    <mergeCell ref="AP185:AQ185"/>
    <mergeCell ref="AR185:AS185"/>
    <mergeCell ref="AT186:AV186"/>
    <mergeCell ref="AW185:AY185"/>
    <mergeCell ref="B186:D186"/>
    <mergeCell ref="F186:H186"/>
    <mergeCell ref="I186:J186"/>
    <mergeCell ref="K186:L186"/>
    <mergeCell ref="O186:P186"/>
    <mergeCell ref="R186:S186"/>
    <mergeCell ref="T185:U185"/>
    <mergeCell ref="V185:Y185"/>
    <mergeCell ref="AA185:AC185"/>
    <mergeCell ref="AE185:AG185"/>
    <mergeCell ref="AI185:AK185"/>
    <mergeCell ref="AM185:AO185"/>
    <mergeCell ref="AP184:AQ184"/>
    <mergeCell ref="AR184:AS184"/>
    <mergeCell ref="AT185:AV185"/>
    <mergeCell ref="AW184:AY184"/>
    <mergeCell ref="B185:D185"/>
    <mergeCell ref="F185:H185"/>
    <mergeCell ref="I185:J185"/>
    <mergeCell ref="K185:L185"/>
    <mergeCell ref="O185:P185"/>
    <mergeCell ref="R185:S185"/>
    <mergeCell ref="T184:U184"/>
    <mergeCell ref="V184:Y184"/>
    <mergeCell ref="AA184:AC184"/>
    <mergeCell ref="AE184:AG184"/>
    <mergeCell ref="AI184:AK184"/>
    <mergeCell ref="AM184:AO184"/>
    <mergeCell ref="AP183:AQ183"/>
    <mergeCell ref="AR183:AS183"/>
    <mergeCell ref="AT184:AV184"/>
    <mergeCell ref="AW183:AY183"/>
    <mergeCell ref="B184:D184"/>
    <mergeCell ref="F184:H184"/>
    <mergeCell ref="I184:J184"/>
    <mergeCell ref="K184:L184"/>
    <mergeCell ref="O184:P184"/>
    <mergeCell ref="R184:S184"/>
    <mergeCell ref="T183:U183"/>
    <mergeCell ref="V183:Y183"/>
    <mergeCell ref="AA183:AC183"/>
    <mergeCell ref="AE183:AG183"/>
    <mergeCell ref="AI183:AK183"/>
    <mergeCell ref="AM183:AO183"/>
    <mergeCell ref="AP182:AQ182"/>
    <mergeCell ref="AR182:AS182"/>
    <mergeCell ref="AT183:AV183"/>
    <mergeCell ref="AW182:AY182"/>
    <mergeCell ref="B183:D183"/>
    <mergeCell ref="F183:H183"/>
    <mergeCell ref="I183:J183"/>
    <mergeCell ref="K183:L183"/>
    <mergeCell ref="O183:P183"/>
    <mergeCell ref="R183:S183"/>
    <mergeCell ref="T182:U182"/>
    <mergeCell ref="V182:Y182"/>
    <mergeCell ref="AA182:AC182"/>
    <mergeCell ref="AE182:AG182"/>
    <mergeCell ref="AI182:AK182"/>
    <mergeCell ref="AM182:AO182"/>
    <mergeCell ref="AP181:AQ181"/>
    <mergeCell ref="AR181:AS181"/>
    <mergeCell ref="AT182:AV182"/>
    <mergeCell ref="AW181:AY181"/>
    <mergeCell ref="B182:D182"/>
    <mergeCell ref="F182:H182"/>
    <mergeCell ref="I182:J182"/>
    <mergeCell ref="K182:L182"/>
    <mergeCell ref="O182:P182"/>
    <mergeCell ref="R182:S182"/>
    <mergeCell ref="T181:U181"/>
    <mergeCell ref="V181:Y181"/>
    <mergeCell ref="AA181:AC181"/>
    <mergeCell ref="AE181:AG181"/>
    <mergeCell ref="AI181:AK181"/>
    <mergeCell ref="AM181:AO181"/>
    <mergeCell ref="AP180:AQ180"/>
    <mergeCell ref="AR180:AS180"/>
    <mergeCell ref="AT181:AV181"/>
    <mergeCell ref="AW180:AY180"/>
    <mergeCell ref="B181:D181"/>
    <mergeCell ref="F181:H181"/>
    <mergeCell ref="I181:J181"/>
    <mergeCell ref="K181:L181"/>
    <mergeCell ref="O181:P181"/>
    <mergeCell ref="R181:S181"/>
    <mergeCell ref="T180:U180"/>
    <mergeCell ref="V180:Y180"/>
    <mergeCell ref="AA180:AC180"/>
    <mergeCell ref="AE180:AG180"/>
    <mergeCell ref="AI180:AK180"/>
    <mergeCell ref="AM180:AO180"/>
    <mergeCell ref="AP179:AQ179"/>
    <mergeCell ref="AR179:AS179"/>
    <mergeCell ref="AT180:AV180"/>
    <mergeCell ref="AW179:AY179"/>
    <mergeCell ref="B180:D180"/>
    <mergeCell ref="F180:H180"/>
    <mergeCell ref="I180:J180"/>
    <mergeCell ref="K180:L180"/>
    <mergeCell ref="O180:P180"/>
    <mergeCell ref="R180:S180"/>
    <mergeCell ref="T179:U179"/>
    <mergeCell ref="V179:Y179"/>
    <mergeCell ref="AA179:AC179"/>
    <mergeCell ref="AE179:AG179"/>
    <mergeCell ref="AI179:AK179"/>
    <mergeCell ref="AM179:AO179"/>
    <mergeCell ref="AP178:AQ178"/>
    <mergeCell ref="AR178:AS178"/>
    <mergeCell ref="AT179:AV179"/>
    <mergeCell ref="AW178:AY178"/>
    <mergeCell ref="B179:D179"/>
    <mergeCell ref="F179:H179"/>
    <mergeCell ref="I179:J179"/>
    <mergeCell ref="K179:L179"/>
    <mergeCell ref="O179:P179"/>
    <mergeCell ref="R179:S179"/>
    <mergeCell ref="T178:U178"/>
    <mergeCell ref="V178:Y178"/>
    <mergeCell ref="AA178:AC178"/>
    <mergeCell ref="AE178:AG178"/>
    <mergeCell ref="AI178:AK178"/>
    <mergeCell ref="AM178:AO178"/>
    <mergeCell ref="AP177:AQ177"/>
    <mergeCell ref="AR177:AS177"/>
    <mergeCell ref="AT178:AV178"/>
    <mergeCell ref="AW177:AY177"/>
    <mergeCell ref="B178:D178"/>
    <mergeCell ref="F178:H178"/>
    <mergeCell ref="I178:J178"/>
    <mergeCell ref="K178:L178"/>
    <mergeCell ref="O178:P178"/>
    <mergeCell ref="R178:S178"/>
    <mergeCell ref="T177:U177"/>
    <mergeCell ref="V177:Y177"/>
    <mergeCell ref="AA177:AC177"/>
    <mergeCell ref="AE177:AG177"/>
    <mergeCell ref="AI177:AK177"/>
    <mergeCell ref="AM177:AO177"/>
    <mergeCell ref="AP176:AQ176"/>
    <mergeCell ref="AR176:AS176"/>
    <mergeCell ref="AT177:AV177"/>
    <mergeCell ref="AW176:AY176"/>
    <mergeCell ref="B177:D177"/>
    <mergeCell ref="F177:H177"/>
    <mergeCell ref="I177:J177"/>
    <mergeCell ref="K177:L177"/>
    <mergeCell ref="O177:P177"/>
    <mergeCell ref="R177:S177"/>
    <mergeCell ref="T176:U176"/>
    <mergeCell ref="V176:Y176"/>
    <mergeCell ref="AA176:AC176"/>
    <mergeCell ref="AE176:AG176"/>
    <mergeCell ref="AI176:AK176"/>
    <mergeCell ref="AM176:AO176"/>
    <mergeCell ref="AP175:AQ175"/>
    <mergeCell ref="AR175:AS175"/>
    <mergeCell ref="AT176:AV176"/>
    <mergeCell ref="AW175:AY175"/>
    <mergeCell ref="B176:D176"/>
    <mergeCell ref="F176:H176"/>
    <mergeCell ref="I176:J176"/>
    <mergeCell ref="K176:L176"/>
    <mergeCell ref="O176:P176"/>
    <mergeCell ref="R176:S176"/>
    <mergeCell ref="T175:U175"/>
    <mergeCell ref="V175:Y175"/>
    <mergeCell ref="AA175:AC175"/>
    <mergeCell ref="AE175:AG175"/>
    <mergeCell ref="AI175:AK175"/>
    <mergeCell ref="AM175:AO175"/>
    <mergeCell ref="AP174:AQ174"/>
    <mergeCell ref="AR174:AS174"/>
    <mergeCell ref="AT175:AV175"/>
    <mergeCell ref="AW174:AY174"/>
    <mergeCell ref="B175:D175"/>
    <mergeCell ref="F175:H175"/>
    <mergeCell ref="I175:J175"/>
    <mergeCell ref="K175:L175"/>
    <mergeCell ref="O175:P175"/>
    <mergeCell ref="R175:S175"/>
    <mergeCell ref="T174:U174"/>
    <mergeCell ref="V174:Y174"/>
    <mergeCell ref="AA174:AC174"/>
    <mergeCell ref="AE174:AG174"/>
    <mergeCell ref="AI174:AK174"/>
    <mergeCell ref="AM174:AO174"/>
    <mergeCell ref="AP173:AQ173"/>
    <mergeCell ref="AR173:AS173"/>
    <mergeCell ref="AT174:AV174"/>
    <mergeCell ref="AW173:AY173"/>
    <mergeCell ref="B174:D174"/>
    <mergeCell ref="F174:H174"/>
    <mergeCell ref="I174:J174"/>
    <mergeCell ref="K174:L174"/>
    <mergeCell ref="O174:P174"/>
    <mergeCell ref="R174:S174"/>
    <mergeCell ref="T173:U173"/>
    <mergeCell ref="V173:Y173"/>
    <mergeCell ref="AA173:AC173"/>
    <mergeCell ref="AE173:AG173"/>
    <mergeCell ref="AI173:AK173"/>
    <mergeCell ref="AM173:AO173"/>
    <mergeCell ref="AP172:AQ172"/>
    <mergeCell ref="AR172:AS172"/>
    <mergeCell ref="AT173:AV173"/>
    <mergeCell ref="AW172:AY172"/>
    <mergeCell ref="B173:D173"/>
    <mergeCell ref="F173:H173"/>
    <mergeCell ref="I173:J173"/>
    <mergeCell ref="K173:L173"/>
    <mergeCell ref="O173:P173"/>
    <mergeCell ref="R173:S173"/>
    <mergeCell ref="T172:U172"/>
    <mergeCell ref="V172:Y172"/>
    <mergeCell ref="AA172:AC172"/>
    <mergeCell ref="AE172:AG172"/>
    <mergeCell ref="AI172:AK172"/>
    <mergeCell ref="AM172:AO172"/>
    <mergeCell ref="AP171:AQ171"/>
    <mergeCell ref="AR171:AS171"/>
    <mergeCell ref="AT172:AV172"/>
    <mergeCell ref="AW171:AY171"/>
    <mergeCell ref="B172:D172"/>
    <mergeCell ref="F172:H172"/>
    <mergeCell ref="I172:J172"/>
    <mergeCell ref="K172:L172"/>
    <mergeCell ref="O172:P172"/>
    <mergeCell ref="R172:S172"/>
    <mergeCell ref="T171:U171"/>
    <mergeCell ref="V171:Y171"/>
    <mergeCell ref="AA171:AC171"/>
    <mergeCell ref="AE171:AG171"/>
    <mergeCell ref="AI171:AK171"/>
    <mergeCell ref="AM171:AO171"/>
    <mergeCell ref="AP170:AQ170"/>
    <mergeCell ref="AR170:AS170"/>
    <mergeCell ref="AT171:AV171"/>
    <mergeCell ref="AW170:AY170"/>
    <mergeCell ref="B171:D171"/>
    <mergeCell ref="F171:H171"/>
    <mergeCell ref="I171:J171"/>
    <mergeCell ref="K171:L171"/>
    <mergeCell ref="O171:P171"/>
    <mergeCell ref="R171:S171"/>
    <mergeCell ref="T170:U170"/>
    <mergeCell ref="V170:Y170"/>
    <mergeCell ref="AA170:AC170"/>
    <mergeCell ref="AE170:AG170"/>
    <mergeCell ref="AI170:AK170"/>
    <mergeCell ref="AM170:AO170"/>
    <mergeCell ref="AP169:AQ169"/>
    <mergeCell ref="AR169:AS169"/>
    <mergeCell ref="AT170:AV170"/>
    <mergeCell ref="AW169:AY169"/>
    <mergeCell ref="B170:D170"/>
    <mergeCell ref="F170:H170"/>
    <mergeCell ref="I170:J170"/>
    <mergeCell ref="K170:L170"/>
    <mergeCell ref="O170:P170"/>
    <mergeCell ref="R170:S170"/>
    <mergeCell ref="T169:U169"/>
    <mergeCell ref="V169:Y169"/>
    <mergeCell ref="AA169:AC169"/>
    <mergeCell ref="AE169:AG169"/>
    <mergeCell ref="AI169:AK169"/>
    <mergeCell ref="AM169:AO169"/>
    <mergeCell ref="AP168:AQ168"/>
    <mergeCell ref="AR168:AS168"/>
    <mergeCell ref="AT169:AV169"/>
    <mergeCell ref="AW168:AY168"/>
    <mergeCell ref="B169:D169"/>
    <mergeCell ref="F169:H169"/>
    <mergeCell ref="I169:J169"/>
    <mergeCell ref="K169:L169"/>
    <mergeCell ref="O169:P169"/>
    <mergeCell ref="R169:S169"/>
    <mergeCell ref="T168:U168"/>
    <mergeCell ref="V168:Y168"/>
    <mergeCell ref="AA168:AC168"/>
    <mergeCell ref="AE168:AG168"/>
    <mergeCell ref="AI168:AK168"/>
    <mergeCell ref="AM168:AO168"/>
    <mergeCell ref="AP167:AQ167"/>
    <mergeCell ref="AR167:AS167"/>
    <mergeCell ref="AT168:AV168"/>
    <mergeCell ref="AW167:AY167"/>
    <mergeCell ref="B168:D168"/>
    <mergeCell ref="F168:H168"/>
    <mergeCell ref="I168:J168"/>
    <mergeCell ref="K168:L168"/>
    <mergeCell ref="O168:P168"/>
    <mergeCell ref="R168:S168"/>
    <mergeCell ref="T167:U167"/>
    <mergeCell ref="V167:Y167"/>
    <mergeCell ref="AA167:AC167"/>
    <mergeCell ref="AE167:AG167"/>
    <mergeCell ref="AI167:AK167"/>
    <mergeCell ref="AM167:AO167"/>
    <mergeCell ref="AP166:AQ166"/>
    <mergeCell ref="AR166:AS166"/>
    <mergeCell ref="AT167:AV167"/>
    <mergeCell ref="AW166:AY166"/>
    <mergeCell ref="B167:D167"/>
    <mergeCell ref="F167:H167"/>
    <mergeCell ref="I167:J167"/>
    <mergeCell ref="K167:L167"/>
    <mergeCell ref="O167:P167"/>
    <mergeCell ref="R167:S167"/>
    <mergeCell ref="T166:U166"/>
    <mergeCell ref="V166:Y166"/>
    <mergeCell ref="AA166:AC166"/>
    <mergeCell ref="AE166:AG166"/>
    <mergeCell ref="AI166:AK166"/>
    <mergeCell ref="AM166:AO166"/>
    <mergeCell ref="AP165:AQ165"/>
    <mergeCell ref="AR165:AS165"/>
    <mergeCell ref="AT166:AV166"/>
    <mergeCell ref="AW165:AY165"/>
    <mergeCell ref="B166:D166"/>
    <mergeCell ref="F166:H166"/>
    <mergeCell ref="I166:J166"/>
    <mergeCell ref="K166:L166"/>
    <mergeCell ref="O166:P166"/>
    <mergeCell ref="R166:S166"/>
    <mergeCell ref="T165:U165"/>
    <mergeCell ref="V165:Y165"/>
    <mergeCell ref="AA165:AC165"/>
    <mergeCell ref="AE165:AG165"/>
    <mergeCell ref="AI165:AK165"/>
    <mergeCell ref="AM165:AO165"/>
    <mergeCell ref="AP164:AQ164"/>
    <mergeCell ref="AR164:AS164"/>
    <mergeCell ref="AT165:AV165"/>
    <mergeCell ref="AW164:AY164"/>
    <mergeCell ref="B165:D165"/>
    <mergeCell ref="F165:H165"/>
    <mergeCell ref="I165:J165"/>
    <mergeCell ref="K165:L165"/>
    <mergeCell ref="O165:P165"/>
    <mergeCell ref="R165:S165"/>
    <mergeCell ref="T164:U164"/>
    <mergeCell ref="V164:Y164"/>
    <mergeCell ref="AA164:AC164"/>
    <mergeCell ref="AE164:AG164"/>
    <mergeCell ref="AI164:AK164"/>
    <mergeCell ref="AM164:AO164"/>
    <mergeCell ref="AP163:AQ163"/>
    <mergeCell ref="AR163:AS163"/>
    <mergeCell ref="AT164:AV164"/>
    <mergeCell ref="AW163:AY163"/>
    <mergeCell ref="B164:D164"/>
    <mergeCell ref="F164:H164"/>
    <mergeCell ref="I164:J164"/>
    <mergeCell ref="K164:L164"/>
    <mergeCell ref="O164:P164"/>
    <mergeCell ref="R164:S164"/>
    <mergeCell ref="T163:U163"/>
    <mergeCell ref="V163:Y163"/>
    <mergeCell ref="AA163:AC163"/>
    <mergeCell ref="AE163:AG163"/>
    <mergeCell ref="AI163:AK163"/>
    <mergeCell ref="AM163:AO163"/>
    <mergeCell ref="AP162:AQ162"/>
    <mergeCell ref="AR162:AS162"/>
    <mergeCell ref="AT163:AV163"/>
    <mergeCell ref="AW162:AY162"/>
    <mergeCell ref="B163:D163"/>
    <mergeCell ref="F163:H163"/>
    <mergeCell ref="I163:J163"/>
    <mergeCell ref="K163:L163"/>
    <mergeCell ref="O163:P163"/>
    <mergeCell ref="R163:S163"/>
    <mergeCell ref="T162:U162"/>
    <mergeCell ref="V162:Y162"/>
    <mergeCell ref="AA162:AC162"/>
    <mergeCell ref="AE162:AG162"/>
    <mergeCell ref="AI162:AK162"/>
    <mergeCell ref="AM162:AO162"/>
    <mergeCell ref="AP161:AQ161"/>
    <mergeCell ref="AR161:AS161"/>
    <mergeCell ref="AT162:AV162"/>
    <mergeCell ref="AW161:AY161"/>
    <mergeCell ref="B162:D162"/>
    <mergeCell ref="F162:H162"/>
    <mergeCell ref="I162:J162"/>
    <mergeCell ref="K162:L162"/>
    <mergeCell ref="O162:P162"/>
    <mergeCell ref="R162:S162"/>
    <mergeCell ref="T161:U161"/>
    <mergeCell ref="V161:Y161"/>
    <mergeCell ref="AA161:AC161"/>
    <mergeCell ref="AE161:AG161"/>
    <mergeCell ref="AI161:AK161"/>
    <mergeCell ref="AM161:AO161"/>
    <mergeCell ref="AP160:AQ160"/>
    <mergeCell ref="AR160:AS160"/>
    <mergeCell ref="AT161:AV161"/>
    <mergeCell ref="AW160:AY160"/>
    <mergeCell ref="B161:D161"/>
    <mergeCell ref="F161:H161"/>
    <mergeCell ref="I161:J161"/>
    <mergeCell ref="K161:L161"/>
    <mergeCell ref="O161:P161"/>
    <mergeCell ref="R161:S161"/>
    <mergeCell ref="T160:U160"/>
    <mergeCell ref="V160:Y160"/>
    <mergeCell ref="AA160:AC160"/>
    <mergeCell ref="AE160:AG160"/>
    <mergeCell ref="AI160:AK160"/>
    <mergeCell ref="AM160:AO160"/>
    <mergeCell ref="AP159:AQ159"/>
    <mergeCell ref="AR159:AS159"/>
    <mergeCell ref="AT160:AV160"/>
    <mergeCell ref="AW159:AY159"/>
    <mergeCell ref="B160:D160"/>
    <mergeCell ref="F160:H160"/>
    <mergeCell ref="I160:J160"/>
    <mergeCell ref="K160:L160"/>
    <mergeCell ref="O160:P160"/>
    <mergeCell ref="R160:S160"/>
    <mergeCell ref="T159:U159"/>
    <mergeCell ref="V159:Y159"/>
    <mergeCell ref="AA159:AC159"/>
    <mergeCell ref="AE159:AG159"/>
    <mergeCell ref="AI159:AK159"/>
    <mergeCell ref="AM159:AO159"/>
    <mergeCell ref="AP158:AQ158"/>
    <mergeCell ref="AR158:AS158"/>
    <mergeCell ref="AT159:AV159"/>
    <mergeCell ref="AW158:AY158"/>
    <mergeCell ref="B159:D159"/>
    <mergeCell ref="F159:H159"/>
    <mergeCell ref="I159:J159"/>
    <mergeCell ref="K159:L159"/>
    <mergeCell ref="O159:P159"/>
    <mergeCell ref="R159:S159"/>
    <mergeCell ref="T158:U158"/>
    <mergeCell ref="V158:Y158"/>
    <mergeCell ref="AA158:AC158"/>
    <mergeCell ref="AE158:AG158"/>
    <mergeCell ref="AI158:AK158"/>
    <mergeCell ref="AM158:AO158"/>
    <mergeCell ref="AP157:AQ157"/>
    <mergeCell ref="AR157:AS157"/>
    <mergeCell ref="AT158:AV158"/>
    <mergeCell ref="AW157:AY157"/>
    <mergeCell ref="B158:D158"/>
    <mergeCell ref="F158:H158"/>
    <mergeCell ref="I158:J158"/>
    <mergeCell ref="K158:L158"/>
    <mergeCell ref="O158:P158"/>
    <mergeCell ref="R158:S158"/>
    <mergeCell ref="T157:U157"/>
    <mergeCell ref="V157:Y157"/>
    <mergeCell ref="AA157:AC157"/>
    <mergeCell ref="AE157:AG157"/>
    <mergeCell ref="AI157:AK157"/>
    <mergeCell ref="AM157:AO157"/>
    <mergeCell ref="AP156:AQ156"/>
    <mergeCell ref="AR156:AS156"/>
    <mergeCell ref="AT157:AV157"/>
    <mergeCell ref="AW156:AY156"/>
    <mergeCell ref="B157:D157"/>
    <mergeCell ref="F157:H157"/>
    <mergeCell ref="I157:J157"/>
    <mergeCell ref="K157:L157"/>
    <mergeCell ref="O157:P157"/>
    <mergeCell ref="R157:S157"/>
    <mergeCell ref="T156:U156"/>
    <mergeCell ref="V156:Y156"/>
    <mergeCell ref="AA156:AC156"/>
    <mergeCell ref="AE156:AG156"/>
    <mergeCell ref="AI156:AK156"/>
    <mergeCell ref="AM156:AO156"/>
    <mergeCell ref="AP155:AQ155"/>
    <mergeCell ref="AR155:AS155"/>
    <mergeCell ref="AT156:AV156"/>
    <mergeCell ref="AW155:AY155"/>
    <mergeCell ref="B156:D156"/>
    <mergeCell ref="F156:H156"/>
    <mergeCell ref="I156:J156"/>
    <mergeCell ref="K156:L156"/>
    <mergeCell ref="O156:P156"/>
    <mergeCell ref="R156:S156"/>
    <mergeCell ref="T155:U155"/>
    <mergeCell ref="V155:Y155"/>
    <mergeCell ref="AA155:AC155"/>
    <mergeCell ref="AE155:AG155"/>
    <mergeCell ref="AI155:AK155"/>
    <mergeCell ref="AM155:AO155"/>
    <mergeCell ref="AP154:AQ154"/>
    <mergeCell ref="AR154:AS154"/>
    <mergeCell ref="AT155:AV155"/>
    <mergeCell ref="AW154:AY154"/>
    <mergeCell ref="B155:D155"/>
    <mergeCell ref="F155:H155"/>
    <mergeCell ref="I155:J155"/>
    <mergeCell ref="K155:L155"/>
    <mergeCell ref="O155:P155"/>
    <mergeCell ref="R155:S155"/>
    <mergeCell ref="T154:U154"/>
    <mergeCell ref="V154:Y154"/>
    <mergeCell ref="AA154:AC154"/>
    <mergeCell ref="AE154:AG154"/>
    <mergeCell ref="AI154:AK154"/>
    <mergeCell ref="AM154:AO154"/>
    <mergeCell ref="AP153:AQ153"/>
    <mergeCell ref="AR153:AS153"/>
    <mergeCell ref="AT154:AV154"/>
    <mergeCell ref="AW153:AY153"/>
    <mergeCell ref="B154:D154"/>
    <mergeCell ref="F154:H154"/>
    <mergeCell ref="I154:J154"/>
    <mergeCell ref="K154:L154"/>
    <mergeCell ref="O154:P154"/>
    <mergeCell ref="R154:S154"/>
    <mergeCell ref="T153:U153"/>
    <mergeCell ref="V153:Y153"/>
    <mergeCell ref="AA153:AC153"/>
    <mergeCell ref="AE153:AG153"/>
    <mergeCell ref="AI153:AK153"/>
    <mergeCell ref="AM153:AO153"/>
    <mergeCell ref="AP152:AQ152"/>
    <mergeCell ref="AR152:AS152"/>
    <mergeCell ref="AT153:AV153"/>
    <mergeCell ref="AW152:AY152"/>
    <mergeCell ref="B153:D153"/>
    <mergeCell ref="F153:H153"/>
    <mergeCell ref="I153:J153"/>
    <mergeCell ref="K153:L153"/>
    <mergeCell ref="O153:P153"/>
    <mergeCell ref="R153:S153"/>
    <mergeCell ref="T152:U152"/>
    <mergeCell ref="V152:Y152"/>
    <mergeCell ref="AA152:AC152"/>
    <mergeCell ref="AE152:AG152"/>
    <mergeCell ref="AI152:AK152"/>
    <mergeCell ref="AM152:AO152"/>
    <mergeCell ref="AP151:AQ151"/>
    <mergeCell ref="AR151:AS151"/>
    <mergeCell ref="AT152:AV152"/>
    <mergeCell ref="AW151:AY151"/>
    <mergeCell ref="B152:D152"/>
    <mergeCell ref="F152:H152"/>
    <mergeCell ref="I152:J152"/>
    <mergeCell ref="K152:L152"/>
    <mergeCell ref="O152:P152"/>
    <mergeCell ref="R152:S152"/>
    <mergeCell ref="T151:U151"/>
    <mergeCell ref="V151:Y151"/>
    <mergeCell ref="AA151:AC151"/>
    <mergeCell ref="AE151:AG151"/>
    <mergeCell ref="AI151:AK151"/>
    <mergeCell ref="AM151:AO151"/>
    <mergeCell ref="AP150:AQ150"/>
    <mergeCell ref="AR150:AS150"/>
    <mergeCell ref="AT151:AV151"/>
    <mergeCell ref="AW150:AY150"/>
    <mergeCell ref="B151:D151"/>
    <mergeCell ref="F151:H151"/>
    <mergeCell ref="I151:J151"/>
    <mergeCell ref="K151:L151"/>
    <mergeCell ref="O151:P151"/>
    <mergeCell ref="R151:S151"/>
    <mergeCell ref="T150:U150"/>
    <mergeCell ref="V150:Y150"/>
    <mergeCell ref="AA150:AC150"/>
    <mergeCell ref="AE150:AG150"/>
    <mergeCell ref="AI150:AK150"/>
    <mergeCell ref="AM150:AO150"/>
    <mergeCell ref="AP149:AQ149"/>
    <mergeCell ref="AR149:AS149"/>
    <mergeCell ref="AT150:AV150"/>
    <mergeCell ref="AW149:AY149"/>
    <mergeCell ref="B150:D150"/>
    <mergeCell ref="F150:H150"/>
    <mergeCell ref="I150:J150"/>
    <mergeCell ref="K150:L150"/>
    <mergeCell ref="O150:P150"/>
    <mergeCell ref="R150:S150"/>
    <mergeCell ref="T149:U149"/>
    <mergeCell ref="V149:Y149"/>
    <mergeCell ref="AA149:AC149"/>
    <mergeCell ref="AE149:AG149"/>
    <mergeCell ref="AI149:AK149"/>
    <mergeCell ref="AM149:AO149"/>
    <mergeCell ref="AP148:AQ148"/>
    <mergeCell ref="AR148:AS148"/>
    <mergeCell ref="AT149:AV149"/>
    <mergeCell ref="AW148:AY148"/>
    <mergeCell ref="B149:D149"/>
    <mergeCell ref="F149:H149"/>
    <mergeCell ref="I149:J149"/>
    <mergeCell ref="K149:L149"/>
    <mergeCell ref="O149:P149"/>
    <mergeCell ref="R149:S149"/>
    <mergeCell ref="T148:U148"/>
    <mergeCell ref="V148:Y148"/>
    <mergeCell ref="AA148:AC148"/>
    <mergeCell ref="AE148:AG148"/>
    <mergeCell ref="AI148:AK148"/>
    <mergeCell ref="AM148:AO148"/>
    <mergeCell ref="AP147:AQ147"/>
    <mergeCell ref="AR147:AS147"/>
    <mergeCell ref="AT148:AV148"/>
    <mergeCell ref="AW147:AY147"/>
    <mergeCell ref="B148:D148"/>
    <mergeCell ref="F148:H148"/>
    <mergeCell ref="I148:J148"/>
    <mergeCell ref="K148:L148"/>
    <mergeCell ref="O148:P148"/>
    <mergeCell ref="R148:S148"/>
    <mergeCell ref="T147:U147"/>
    <mergeCell ref="V147:Y147"/>
    <mergeCell ref="AA147:AC147"/>
    <mergeCell ref="AE147:AG147"/>
    <mergeCell ref="AI147:AK147"/>
    <mergeCell ref="AM147:AO147"/>
    <mergeCell ref="AP146:AQ146"/>
    <mergeCell ref="AR146:AS146"/>
    <mergeCell ref="AT147:AV147"/>
    <mergeCell ref="AW146:AY146"/>
    <mergeCell ref="B147:D147"/>
    <mergeCell ref="F147:H147"/>
    <mergeCell ref="I147:J147"/>
    <mergeCell ref="K147:L147"/>
    <mergeCell ref="O147:P147"/>
    <mergeCell ref="R147:S147"/>
    <mergeCell ref="T146:U146"/>
    <mergeCell ref="V146:Y146"/>
    <mergeCell ref="AA146:AC146"/>
    <mergeCell ref="AE146:AG146"/>
    <mergeCell ref="AI146:AK146"/>
    <mergeCell ref="AM146:AO146"/>
    <mergeCell ref="AP145:AQ145"/>
    <mergeCell ref="AR145:AS145"/>
    <mergeCell ref="AT146:AV146"/>
    <mergeCell ref="AW145:AY145"/>
    <mergeCell ref="B146:D146"/>
    <mergeCell ref="F146:H146"/>
    <mergeCell ref="I146:J146"/>
    <mergeCell ref="K146:L146"/>
    <mergeCell ref="O146:P146"/>
    <mergeCell ref="R146:S146"/>
    <mergeCell ref="T145:U145"/>
    <mergeCell ref="V145:Y145"/>
    <mergeCell ref="AA145:AC145"/>
    <mergeCell ref="AE145:AG145"/>
    <mergeCell ref="AI145:AK145"/>
    <mergeCell ref="AM145:AO145"/>
    <mergeCell ref="AP144:AQ144"/>
    <mergeCell ref="AR144:AS144"/>
    <mergeCell ref="AT145:AV145"/>
    <mergeCell ref="AW144:AY144"/>
    <mergeCell ref="B145:D145"/>
    <mergeCell ref="F145:H145"/>
    <mergeCell ref="I145:J145"/>
    <mergeCell ref="K145:L145"/>
    <mergeCell ref="O145:P145"/>
    <mergeCell ref="R145:S145"/>
    <mergeCell ref="T144:U144"/>
    <mergeCell ref="V144:Y144"/>
    <mergeCell ref="AA144:AC144"/>
    <mergeCell ref="AE144:AG144"/>
    <mergeCell ref="AI144:AK144"/>
    <mergeCell ref="AM144:AO144"/>
    <mergeCell ref="AP143:AQ143"/>
    <mergeCell ref="AR143:AS143"/>
    <mergeCell ref="AT144:AV144"/>
    <mergeCell ref="AW143:AY143"/>
    <mergeCell ref="B144:D144"/>
    <mergeCell ref="F144:H144"/>
    <mergeCell ref="I144:J144"/>
    <mergeCell ref="K144:L144"/>
    <mergeCell ref="O144:P144"/>
    <mergeCell ref="R144:S144"/>
    <mergeCell ref="T143:U143"/>
    <mergeCell ref="V143:Y143"/>
    <mergeCell ref="AA143:AC143"/>
    <mergeCell ref="AE143:AG143"/>
    <mergeCell ref="AI143:AK143"/>
    <mergeCell ref="AM143:AO143"/>
    <mergeCell ref="AP142:AQ142"/>
    <mergeCell ref="AR142:AS142"/>
    <mergeCell ref="AT143:AV143"/>
    <mergeCell ref="AW142:AY142"/>
    <mergeCell ref="B143:D143"/>
    <mergeCell ref="F143:H143"/>
    <mergeCell ref="I143:J143"/>
    <mergeCell ref="K143:L143"/>
    <mergeCell ref="O143:P143"/>
    <mergeCell ref="R143:S143"/>
    <mergeCell ref="T142:U142"/>
    <mergeCell ref="V142:Y142"/>
    <mergeCell ref="AA142:AC142"/>
    <mergeCell ref="AE142:AG142"/>
    <mergeCell ref="AI142:AK142"/>
    <mergeCell ref="AM142:AO142"/>
    <mergeCell ref="AP141:AQ141"/>
    <mergeCell ref="AR141:AS141"/>
    <mergeCell ref="AT142:AV142"/>
    <mergeCell ref="AW141:AY141"/>
    <mergeCell ref="B142:D142"/>
    <mergeCell ref="F142:H142"/>
    <mergeCell ref="I142:J142"/>
    <mergeCell ref="K142:L142"/>
    <mergeCell ref="O142:P142"/>
    <mergeCell ref="R142:S142"/>
    <mergeCell ref="T141:U141"/>
    <mergeCell ref="V141:Y141"/>
    <mergeCell ref="AA141:AC141"/>
    <mergeCell ref="AE141:AG141"/>
    <mergeCell ref="AI141:AK141"/>
    <mergeCell ref="AM141:AO141"/>
    <mergeCell ref="AP140:AQ140"/>
    <mergeCell ref="AR140:AS140"/>
    <mergeCell ref="AT141:AV141"/>
    <mergeCell ref="AW140:AY140"/>
    <mergeCell ref="B141:D141"/>
    <mergeCell ref="F141:H141"/>
    <mergeCell ref="I141:J141"/>
    <mergeCell ref="K141:L141"/>
    <mergeCell ref="O141:P141"/>
    <mergeCell ref="R141:S141"/>
    <mergeCell ref="T140:U140"/>
    <mergeCell ref="V140:Y140"/>
    <mergeCell ref="AA140:AC140"/>
    <mergeCell ref="AE140:AG140"/>
    <mergeCell ref="AI140:AK140"/>
    <mergeCell ref="AM140:AO140"/>
    <mergeCell ref="AP139:AQ139"/>
    <mergeCell ref="AR139:AS139"/>
    <mergeCell ref="AT140:AV140"/>
    <mergeCell ref="AW139:AY139"/>
    <mergeCell ref="B140:D140"/>
    <mergeCell ref="F140:H140"/>
    <mergeCell ref="I140:J140"/>
    <mergeCell ref="K140:L140"/>
    <mergeCell ref="O140:P140"/>
    <mergeCell ref="R140:S140"/>
    <mergeCell ref="T139:U139"/>
    <mergeCell ref="V139:Y139"/>
    <mergeCell ref="AA139:AC139"/>
    <mergeCell ref="AE139:AG139"/>
    <mergeCell ref="AI139:AK139"/>
    <mergeCell ref="AM139:AO139"/>
    <mergeCell ref="AP138:AQ138"/>
    <mergeCell ref="AR138:AS138"/>
    <mergeCell ref="AT139:AV139"/>
    <mergeCell ref="AW138:AY138"/>
    <mergeCell ref="B139:D139"/>
    <mergeCell ref="F139:H139"/>
    <mergeCell ref="I139:J139"/>
    <mergeCell ref="K139:L139"/>
    <mergeCell ref="O139:P139"/>
    <mergeCell ref="R139:S139"/>
    <mergeCell ref="T138:U138"/>
    <mergeCell ref="V138:Y138"/>
    <mergeCell ref="AA138:AC138"/>
    <mergeCell ref="AE138:AG138"/>
    <mergeCell ref="AI138:AK138"/>
    <mergeCell ref="AM138:AO138"/>
    <mergeCell ref="AP137:AQ137"/>
    <mergeCell ref="AR137:AS137"/>
    <mergeCell ref="AT138:AV138"/>
    <mergeCell ref="AW137:AY137"/>
    <mergeCell ref="B138:D138"/>
    <mergeCell ref="F138:H138"/>
    <mergeCell ref="I138:J138"/>
    <mergeCell ref="K138:L138"/>
    <mergeCell ref="O138:P138"/>
    <mergeCell ref="R138:S138"/>
    <mergeCell ref="T137:U137"/>
    <mergeCell ref="V137:Y137"/>
    <mergeCell ref="AA137:AC137"/>
    <mergeCell ref="AE137:AG137"/>
    <mergeCell ref="AI137:AK137"/>
    <mergeCell ref="AM137:AO137"/>
    <mergeCell ref="AP136:AQ136"/>
    <mergeCell ref="AR136:AS136"/>
    <mergeCell ref="AT137:AV137"/>
    <mergeCell ref="AW136:AY136"/>
    <mergeCell ref="B137:D137"/>
    <mergeCell ref="F137:H137"/>
    <mergeCell ref="I137:J137"/>
    <mergeCell ref="K137:L137"/>
    <mergeCell ref="O137:P137"/>
    <mergeCell ref="R137:S137"/>
    <mergeCell ref="T136:U136"/>
    <mergeCell ref="V136:Y136"/>
    <mergeCell ref="AA136:AC136"/>
    <mergeCell ref="AE136:AG136"/>
    <mergeCell ref="AI136:AK136"/>
    <mergeCell ref="AM136:AO136"/>
    <mergeCell ref="AP135:AQ135"/>
    <mergeCell ref="AR135:AS135"/>
    <mergeCell ref="AT136:AV136"/>
    <mergeCell ref="AW135:AY135"/>
    <mergeCell ref="B136:D136"/>
    <mergeCell ref="F136:H136"/>
    <mergeCell ref="I136:J136"/>
    <mergeCell ref="K136:L136"/>
    <mergeCell ref="O136:P136"/>
    <mergeCell ref="R136:S136"/>
    <mergeCell ref="T135:U135"/>
    <mergeCell ref="V135:Y135"/>
    <mergeCell ref="AA135:AC135"/>
    <mergeCell ref="AE135:AG135"/>
    <mergeCell ref="AI135:AK135"/>
    <mergeCell ref="AM135:AO135"/>
    <mergeCell ref="AP134:AQ134"/>
    <mergeCell ref="AR134:AS134"/>
    <mergeCell ref="AT135:AV135"/>
    <mergeCell ref="AW134:AY134"/>
    <mergeCell ref="B135:D135"/>
    <mergeCell ref="F135:H135"/>
    <mergeCell ref="I135:J135"/>
    <mergeCell ref="K135:L135"/>
    <mergeCell ref="O135:P135"/>
    <mergeCell ref="R135:S135"/>
    <mergeCell ref="T134:U134"/>
    <mergeCell ref="V134:Y134"/>
    <mergeCell ref="AA134:AC134"/>
    <mergeCell ref="AE134:AG134"/>
    <mergeCell ref="AI134:AK134"/>
    <mergeCell ref="AM134:AO134"/>
    <mergeCell ref="AP133:AQ133"/>
    <mergeCell ref="AR133:AS133"/>
    <mergeCell ref="AT134:AV134"/>
    <mergeCell ref="AW133:AY133"/>
    <mergeCell ref="B134:D134"/>
    <mergeCell ref="F134:H134"/>
    <mergeCell ref="I134:J134"/>
    <mergeCell ref="K134:L134"/>
    <mergeCell ref="O134:P134"/>
    <mergeCell ref="R134:S134"/>
    <mergeCell ref="T133:U133"/>
    <mergeCell ref="V133:Y133"/>
    <mergeCell ref="AA133:AC133"/>
    <mergeCell ref="AE133:AG133"/>
    <mergeCell ref="AI133:AK133"/>
    <mergeCell ref="AM133:AO133"/>
    <mergeCell ref="AP132:AQ132"/>
    <mergeCell ref="AR132:AS132"/>
    <mergeCell ref="AT133:AV133"/>
    <mergeCell ref="AW132:AY132"/>
    <mergeCell ref="B133:D133"/>
    <mergeCell ref="F133:H133"/>
    <mergeCell ref="I133:J133"/>
    <mergeCell ref="K133:L133"/>
    <mergeCell ref="O133:P133"/>
    <mergeCell ref="R133:S133"/>
    <mergeCell ref="T132:U132"/>
    <mergeCell ref="V132:Y132"/>
    <mergeCell ref="AA132:AC132"/>
    <mergeCell ref="AE132:AG132"/>
    <mergeCell ref="AI132:AK132"/>
    <mergeCell ref="AM132:AO132"/>
    <mergeCell ref="AP131:AQ131"/>
    <mergeCell ref="AR131:AS131"/>
    <mergeCell ref="AT132:AV132"/>
    <mergeCell ref="AW131:AY131"/>
    <mergeCell ref="B132:D132"/>
    <mergeCell ref="F132:H132"/>
    <mergeCell ref="I132:J132"/>
    <mergeCell ref="K132:L132"/>
    <mergeCell ref="O132:P132"/>
    <mergeCell ref="R132:S132"/>
    <mergeCell ref="T131:U131"/>
    <mergeCell ref="V131:Y131"/>
    <mergeCell ref="AA131:AC131"/>
    <mergeCell ref="AE131:AG131"/>
    <mergeCell ref="AI131:AK131"/>
    <mergeCell ref="AM131:AO131"/>
    <mergeCell ref="AP130:AQ130"/>
    <mergeCell ref="AR130:AS130"/>
    <mergeCell ref="AT131:AV131"/>
    <mergeCell ref="AW130:AY130"/>
    <mergeCell ref="B131:D131"/>
    <mergeCell ref="F131:H131"/>
    <mergeCell ref="I131:J131"/>
    <mergeCell ref="K131:L131"/>
    <mergeCell ref="O131:P131"/>
    <mergeCell ref="R131:S131"/>
    <mergeCell ref="T130:U130"/>
    <mergeCell ref="V130:Y130"/>
    <mergeCell ref="AA130:AC130"/>
    <mergeCell ref="AE130:AG130"/>
    <mergeCell ref="AI130:AK130"/>
    <mergeCell ref="AM130:AO130"/>
    <mergeCell ref="AP129:AQ129"/>
    <mergeCell ref="AR129:AS129"/>
    <mergeCell ref="AT130:AV130"/>
    <mergeCell ref="AW129:AY129"/>
    <mergeCell ref="B130:D130"/>
    <mergeCell ref="F130:H130"/>
    <mergeCell ref="I130:J130"/>
    <mergeCell ref="K130:L130"/>
    <mergeCell ref="O130:P130"/>
    <mergeCell ref="R130:S130"/>
    <mergeCell ref="T129:U129"/>
    <mergeCell ref="V129:Y129"/>
    <mergeCell ref="AA129:AC129"/>
    <mergeCell ref="AE129:AG129"/>
    <mergeCell ref="AI129:AK129"/>
    <mergeCell ref="AM129:AO129"/>
    <mergeCell ref="AP128:AQ128"/>
    <mergeCell ref="AR128:AS128"/>
    <mergeCell ref="AT129:AV129"/>
    <mergeCell ref="AW128:AY128"/>
    <mergeCell ref="B129:D129"/>
    <mergeCell ref="F129:H129"/>
    <mergeCell ref="I129:J129"/>
    <mergeCell ref="K129:L129"/>
    <mergeCell ref="O129:P129"/>
    <mergeCell ref="R129:S129"/>
    <mergeCell ref="T128:U128"/>
    <mergeCell ref="V128:Y128"/>
    <mergeCell ref="AA128:AC128"/>
    <mergeCell ref="AE128:AG128"/>
    <mergeCell ref="AI128:AK128"/>
    <mergeCell ref="AM128:AO128"/>
    <mergeCell ref="AP127:AQ127"/>
    <mergeCell ref="AR127:AS127"/>
    <mergeCell ref="AT128:AV128"/>
    <mergeCell ref="AW127:AY127"/>
    <mergeCell ref="B128:D128"/>
    <mergeCell ref="F128:H128"/>
    <mergeCell ref="I128:J128"/>
    <mergeCell ref="K128:L128"/>
    <mergeCell ref="O128:P128"/>
    <mergeCell ref="R128:S128"/>
    <mergeCell ref="T127:U127"/>
    <mergeCell ref="V127:Y127"/>
    <mergeCell ref="AA127:AC127"/>
    <mergeCell ref="AE127:AG127"/>
    <mergeCell ref="AI127:AK127"/>
    <mergeCell ref="AM127:AO127"/>
    <mergeCell ref="AP126:AQ126"/>
    <mergeCell ref="AR126:AS126"/>
    <mergeCell ref="AT127:AV127"/>
    <mergeCell ref="AW126:AY126"/>
    <mergeCell ref="B127:D127"/>
    <mergeCell ref="F127:H127"/>
    <mergeCell ref="I127:J127"/>
    <mergeCell ref="K127:L127"/>
    <mergeCell ref="O127:P127"/>
    <mergeCell ref="R127:S127"/>
    <mergeCell ref="T126:U126"/>
    <mergeCell ref="V126:Y126"/>
    <mergeCell ref="AA126:AC126"/>
    <mergeCell ref="AE126:AG126"/>
    <mergeCell ref="AI126:AK126"/>
    <mergeCell ref="AM126:AO126"/>
    <mergeCell ref="AP125:AQ125"/>
    <mergeCell ref="AR125:AS125"/>
    <mergeCell ref="AT126:AV126"/>
    <mergeCell ref="AW125:AY125"/>
    <mergeCell ref="B126:D126"/>
    <mergeCell ref="F126:H126"/>
    <mergeCell ref="I126:J126"/>
    <mergeCell ref="K126:L126"/>
    <mergeCell ref="O126:P126"/>
    <mergeCell ref="R126:S126"/>
    <mergeCell ref="T125:U125"/>
    <mergeCell ref="V125:Y125"/>
    <mergeCell ref="AA125:AC125"/>
    <mergeCell ref="AE125:AG125"/>
    <mergeCell ref="AI125:AK125"/>
    <mergeCell ref="AM125:AO125"/>
    <mergeCell ref="AP124:AQ124"/>
    <mergeCell ref="AR124:AS124"/>
    <mergeCell ref="AT125:AV125"/>
    <mergeCell ref="AW124:AY124"/>
    <mergeCell ref="B125:D125"/>
    <mergeCell ref="F125:H125"/>
    <mergeCell ref="I125:J125"/>
    <mergeCell ref="K125:L125"/>
    <mergeCell ref="O125:P125"/>
    <mergeCell ref="R125:S125"/>
    <mergeCell ref="T124:U124"/>
    <mergeCell ref="V124:Y124"/>
    <mergeCell ref="AA124:AC124"/>
    <mergeCell ref="AE124:AG124"/>
    <mergeCell ref="AI124:AK124"/>
    <mergeCell ref="AM124:AO124"/>
    <mergeCell ref="AP123:AQ123"/>
    <mergeCell ref="AR123:AS123"/>
    <mergeCell ref="AT124:AV124"/>
    <mergeCell ref="AW123:AY123"/>
    <mergeCell ref="B124:D124"/>
    <mergeCell ref="F124:H124"/>
    <mergeCell ref="I124:J124"/>
    <mergeCell ref="K124:L124"/>
    <mergeCell ref="O124:P124"/>
    <mergeCell ref="R124:S124"/>
    <mergeCell ref="T123:U123"/>
    <mergeCell ref="V123:Y123"/>
    <mergeCell ref="AA123:AC123"/>
    <mergeCell ref="AE123:AG123"/>
    <mergeCell ref="AI123:AK123"/>
    <mergeCell ref="AM123:AO123"/>
    <mergeCell ref="AP122:AQ122"/>
    <mergeCell ref="AR122:AS122"/>
    <mergeCell ref="AT123:AV123"/>
    <mergeCell ref="AW122:AY122"/>
    <mergeCell ref="B123:D123"/>
    <mergeCell ref="F123:H123"/>
    <mergeCell ref="I123:J123"/>
    <mergeCell ref="K123:L123"/>
    <mergeCell ref="O123:P123"/>
    <mergeCell ref="R123:S123"/>
    <mergeCell ref="T122:U122"/>
    <mergeCell ref="V122:Y122"/>
    <mergeCell ref="AA122:AC122"/>
    <mergeCell ref="AE122:AG122"/>
    <mergeCell ref="AI122:AK122"/>
    <mergeCell ref="AM122:AO122"/>
    <mergeCell ref="AP121:AQ121"/>
    <mergeCell ref="AR121:AS121"/>
    <mergeCell ref="AT122:AV122"/>
    <mergeCell ref="AW121:AY121"/>
    <mergeCell ref="B122:D122"/>
    <mergeCell ref="F122:H122"/>
    <mergeCell ref="I122:J122"/>
    <mergeCell ref="K122:L122"/>
    <mergeCell ref="O122:P122"/>
    <mergeCell ref="R122:S122"/>
    <mergeCell ref="T121:U121"/>
    <mergeCell ref="V121:Y121"/>
    <mergeCell ref="AA121:AC121"/>
    <mergeCell ref="AE121:AG121"/>
    <mergeCell ref="AI121:AK121"/>
    <mergeCell ref="AM121:AO121"/>
    <mergeCell ref="AP120:AQ120"/>
    <mergeCell ref="AR120:AS120"/>
    <mergeCell ref="AT121:AV121"/>
    <mergeCell ref="AW120:AY120"/>
    <mergeCell ref="B121:D121"/>
    <mergeCell ref="F121:H121"/>
    <mergeCell ref="I121:J121"/>
    <mergeCell ref="K121:L121"/>
    <mergeCell ref="O121:P121"/>
    <mergeCell ref="R121:S121"/>
    <mergeCell ref="T120:U120"/>
    <mergeCell ref="V120:Y120"/>
    <mergeCell ref="AA120:AC120"/>
    <mergeCell ref="AE120:AG120"/>
    <mergeCell ref="AI120:AK120"/>
    <mergeCell ref="AM120:AO120"/>
    <mergeCell ref="AP119:AQ119"/>
    <mergeCell ref="AR119:AS119"/>
    <mergeCell ref="AT120:AV120"/>
    <mergeCell ref="AW119:AY119"/>
    <mergeCell ref="B120:D120"/>
    <mergeCell ref="F120:H120"/>
    <mergeCell ref="I120:J120"/>
    <mergeCell ref="K120:L120"/>
    <mergeCell ref="O120:P120"/>
    <mergeCell ref="R120:S120"/>
    <mergeCell ref="T119:U119"/>
    <mergeCell ref="V119:Y119"/>
    <mergeCell ref="AA119:AC119"/>
    <mergeCell ref="AE119:AG119"/>
    <mergeCell ref="AI119:AK119"/>
    <mergeCell ref="AM119:AO119"/>
    <mergeCell ref="AP118:AQ118"/>
    <mergeCell ref="AR118:AS118"/>
    <mergeCell ref="AT119:AV119"/>
    <mergeCell ref="AW118:AY118"/>
    <mergeCell ref="B119:D119"/>
    <mergeCell ref="F119:H119"/>
    <mergeCell ref="I119:J119"/>
    <mergeCell ref="K119:L119"/>
    <mergeCell ref="O119:P119"/>
    <mergeCell ref="R119:S119"/>
    <mergeCell ref="T118:U118"/>
    <mergeCell ref="V118:Y118"/>
    <mergeCell ref="AA118:AC118"/>
    <mergeCell ref="AE118:AG118"/>
    <mergeCell ref="AI118:AK118"/>
    <mergeCell ref="AM118:AO118"/>
    <mergeCell ref="AP117:AQ117"/>
    <mergeCell ref="AR117:AS117"/>
    <mergeCell ref="AT118:AV118"/>
    <mergeCell ref="AW117:AY117"/>
    <mergeCell ref="B118:D118"/>
    <mergeCell ref="F118:H118"/>
    <mergeCell ref="I118:J118"/>
    <mergeCell ref="K118:L118"/>
    <mergeCell ref="O118:P118"/>
    <mergeCell ref="R118:S118"/>
    <mergeCell ref="T117:U117"/>
    <mergeCell ref="V117:Y117"/>
    <mergeCell ref="AA117:AC117"/>
    <mergeCell ref="AE117:AG117"/>
    <mergeCell ref="AI117:AK117"/>
    <mergeCell ref="AM117:AO117"/>
    <mergeCell ref="AP116:AQ116"/>
    <mergeCell ref="AR116:AS116"/>
    <mergeCell ref="AT117:AV117"/>
    <mergeCell ref="AW116:AY116"/>
    <mergeCell ref="B117:D117"/>
    <mergeCell ref="F117:H117"/>
    <mergeCell ref="I117:J117"/>
    <mergeCell ref="K117:L117"/>
    <mergeCell ref="O117:P117"/>
    <mergeCell ref="R117:S117"/>
    <mergeCell ref="T116:U116"/>
    <mergeCell ref="V116:Y116"/>
    <mergeCell ref="AA116:AC116"/>
    <mergeCell ref="AE116:AG116"/>
    <mergeCell ref="AI116:AK116"/>
    <mergeCell ref="AM116:AO116"/>
    <mergeCell ref="AP115:AQ115"/>
    <mergeCell ref="AR115:AS115"/>
    <mergeCell ref="AT116:AV116"/>
    <mergeCell ref="AW115:AY115"/>
    <mergeCell ref="B116:D116"/>
    <mergeCell ref="F116:H116"/>
    <mergeCell ref="I116:J116"/>
    <mergeCell ref="K116:L116"/>
    <mergeCell ref="O116:P116"/>
    <mergeCell ref="R116:S116"/>
    <mergeCell ref="T115:U115"/>
    <mergeCell ref="V115:Y115"/>
    <mergeCell ref="AA115:AC115"/>
    <mergeCell ref="AE115:AG115"/>
    <mergeCell ref="AI115:AK115"/>
    <mergeCell ref="AM115:AO115"/>
    <mergeCell ref="AP114:AQ114"/>
    <mergeCell ref="AR114:AS114"/>
    <mergeCell ref="AT115:AV115"/>
    <mergeCell ref="AW114:AY114"/>
    <mergeCell ref="B115:D115"/>
    <mergeCell ref="F115:H115"/>
    <mergeCell ref="I115:J115"/>
    <mergeCell ref="K115:L115"/>
    <mergeCell ref="O115:P115"/>
    <mergeCell ref="R115:S115"/>
    <mergeCell ref="T114:U114"/>
    <mergeCell ref="V114:Y114"/>
    <mergeCell ref="AA114:AC114"/>
    <mergeCell ref="AE114:AG114"/>
    <mergeCell ref="AI114:AK114"/>
    <mergeCell ref="AM114:AO114"/>
    <mergeCell ref="AP113:AQ113"/>
    <mergeCell ref="AR113:AS113"/>
    <mergeCell ref="AT114:AV114"/>
    <mergeCell ref="AW113:AY113"/>
    <mergeCell ref="B114:D114"/>
    <mergeCell ref="F114:H114"/>
    <mergeCell ref="I114:J114"/>
    <mergeCell ref="K114:L114"/>
    <mergeCell ref="O114:P114"/>
    <mergeCell ref="R114:S114"/>
    <mergeCell ref="T113:U113"/>
    <mergeCell ref="V113:Y113"/>
    <mergeCell ref="AA113:AC113"/>
    <mergeCell ref="AE113:AG113"/>
    <mergeCell ref="AI113:AK113"/>
    <mergeCell ref="AM113:AO113"/>
    <mergeCell ref="AP112:AQ112"/>
    <mergeCell ref="AR112:AS112"/>
    <mergeCell ref="AT113:AV113"/>
    <mergeCell ref="AW112:AY112"/>
    <mergeCell ref="B113:D113"/>
    <mergeCell ref="F113:H113"/>
    <mergeCell ref="I113:J113"/>
    <mergeCell ref="K113:L113"/>
    <mergeCell ref="O113:P113"/>
    <mergeCell ref="R113:S113"/>
    <mergeCell ref="T112:U112"/>
    <mergeCell ref="V112:Y112"/>
    <mergeCell ref="AA112:AC112"/>
    <mergeCell ref="AE112:AG112"/>
    <mergeCell ref="AI112:AK112"/>
    <mergeCell ref="AM112:AO112"/>
    <mergeCell ref="AP111:AQ111"/>
    <mergeCell ref="AR111:AS111"/>
    <mergeCell ref="AT112:AV112"/>
    <mergeCell ref="AW111:AY111"/>
    <mergeCell ref="B112:D112"/>
    <mergeCell ref="F112:H112"/>
    <mergeCell ref="I112:J112"/>
    <mergeCell ref="K112:L112"/>
    <mergeCell ref="O112:P112"/>
    <mergeCell ref="R112:S112"/>
    <mergeCell ref="T111:U111"/>
    <mergeCell ref="V111:Y111"/>
    <mergeCell ref="AA111:AC111"/>
    <mergeCell ref="AE111:AG111"/>
    <mergeCell ref="AI111:AK111"/>
    <mergeCell ref="AM111:AO111"/>
    <mergeCell ref="AP110:AQ110"/>
    <mergeCell ref="AR110:AS110"/>
    <mergeCell ref="AT111:AV111"/>
    <mergeCell ref="AW110:AY110"/>
    <mergeCell ref="B111:D111"/>
    <mergeCell ref="F111:H111"/>
    <mergeCell ref="I111:J111"/>
    <mergeCell ref="K111:L111"/>
    <mergeCell ref="O111:P111"/>
    <mergeCell ref="R111:S111"/>
    <mergeCell ref="T110:U110"/>
    <mergeCell ref="V110:Y110"/>
    <mergeCell ref="AA110:AC110"/>
    <mergeCell ref="AE110:AG110"/>
    <mergeCell ref="AI110:AK110"/>
    <mergeCell ref="AM110:AO110"/>
    <mergeCell ref="AP109:AQ109"/>
    <mergeCell ref="AR109:AS109"/>
    <mergeCell ref="AT110:AV110"/>
    <mergeCell ref="AW109:AY109"/>
    <mergeCell ref="B110:D110"/>
    <mergeCell ref="F110:H110"/>
    <mergeCell ref="I110:J110"/>
    <mergeCell ref="K110:L110"/>
    <mergeCell ref="O110:P110"/>
    <mergeCell ref="R110:S110"/>
    <mergeCell ref="T109:U109"/>
    <mergeCell ref="V109:Y109"/>
    <mergeCell ref="AA109:AC109"/>
    <mergeCell ref="AE109:AG109"/>
    <mergeCell ref="AI109:AK109"/>
    <mergeCell ref="AM109:AO109"/>
    <mergeCell ref="AP108:AQ108"/>
    <mergeCell ref="AR108:AS108"/>
    <mergeCell ref="AT109:AV109"/>
    <mergeCell ref="AW108:AY108"/>
    <mergeCell ref="B109:D109"/>
    <mergeCell ref="F109:H109"/>
    <mergeCell ref="I109:J109"/>
    <mergeCell ref="K109:L109"/>
    <mergeCell ref="O109:P109"/>
    <mergeCell ref="R109:S109"/>
    <mergeCell ref="T108:U108"/>
    <mergeCell ref="V108:Y108"/>
    <mergeCell ref="AA108:AC108"/>
    <mergeCell ref="AE108:AG108"/>
    <mergeCell ref="AI108:AK108"/>
    <mergeCell ref="AM108:AO108"/>
    <mergeCell ref="AP107:AQ107"/>
    <mergeCell ref="AR107:AS107"/>
    <mergeCell ref="AT108:AV108"/>
    <mergeCell ref="AW107:AY107"/>
    <mergeCell ref="B108:D108"/>
    <mergeCell ref="F108:H108"/>
    <mergeCell ref="I108:J108"/>
    <mergeCell ref="K108:L108"/>
    <mergeCell ref="O108:P108"/>
    <mergeCell ref="R108:S108"/>
    <mergeCell ref="T107:U107"/>
    <mergeCell ref="V107:Y107"/>
    <mergeCell ref="AA107:AC107"/>
    <mergeCell ref="AE107:AG107"/>
    <mergeCell ref="AI107:AK107"/>
    <mergeCell ref="AM107:AO107"/>
    <mergeCell ref="AP106:AQ106"/>
    <mergeCell ref="AR106:AS106"/>
    <mergeCell ref="AT107:AV107"/>
    <mergeCell ref="AW106:AY106"/>
    <mergeCell ref="B107:D107"/>
    <mergeCell ref="F107:H107"/>
    <mergeCell ref="I107:J107"/>
    <mergeCell ref="K107:L107"/>
    <mergeCell ref="O107:P107"/>
    <mergeCell ref="R107:S107"/>
    <mergeCell ref="T106:U106"/>
    <mergeCell ref="V106:Y106"/>
    <mergeCell ref="AA106:AC106"/>
    <mergeCell ref="AE106:AG106"/>
    <mergeCell ref="AI106:AK106"/>
    <mergeCell ref="AM106:AO106"/>
    <mergeCell ref="AP105:AQ105"/>
    <mergeCell ref="AR105:AS105"/>
    <mergeCell ref="AT106:AV106"/>
    <mergeCell ref="AW105:AY105"/>
    <mergeCell ref="B106:D106"/>
    <mergeCell ref="F106:H106"/>
    <mergeCell ref="I106:J106"/>
    <mergeCell ref="K106:L106"/>
    <mergeCell ref="O106:P106"/>
    <mergeCell ref="R106:S106"/>
    <mergeCell ref="T105:U105"/>
    <mergeCell ref="V105:Y105"/>
    <mergeCell ref="AA105:AC105"/>
    <mergeCell ref="AE105:AG105"/>
    <mergeCell ref="AI105:AK105"/>
    <mergeCell ref="AM105:AO105"/>
    <mergeCell ref="AP104:AQ104"/>
    <mergeCell ref="AR104:AS104"/>
    <mergeCell ref="AT105:AV105"/>
    <mergeCell ref="AW104:AY104"/>
    <mergeCell ref="B105:D105"/>
    <mergeCell ref="F105:H105"/>
    <mergeCell ref="I105:J105"/>
    <mergeCell ref="K105:L105"/>
    <mergeCell ref="O105:P105"/>
    <mergeCell ref="R105:S105"/>
    <mergeCell ref="T104:U104"/>
    <mergeCell ref="V104:Y104"/>
    <mergeCell ref="AA104:AC104"/>
    <mergeCell ref="AE104:AG104"/>
    <mergeCell ref="AI104:AK104"/>
    <mergeCell ref="AM104:AO104"/>
    <mergeCell ref="AP103:AQ103"/>
    <mergeCell ref="AR103:AS103"/>
    <mergeCell ref="AT104:AV104"/>
    <mergeCell ref="AW103:AY103"/>
    <mergeCell ref="B104:D104"/>
    <mergeCell ref="F104:H104"/>
    <mergeCell ref="I104:J104"/>
    <mergeCell ref="K104:L104"/>
    <mergeCell ref="O104:P104"/>
    <mergeCell ref="R104:S104"/>
    <mergeCell ref="T103:U103"/>
    <mergeCell ref="V103:Y103"/>
    <mergeCell ref="AA103:AC103"/>
    <mergeCell ref="AE103:AG103"/>
    <mergeCell ref="AI103:AK103"/>
    <mergeCell ref="AM103:AO103"/>
    <mergeCell ref="AP102:AQ102"/>
    <mergeCell ref="AR102:AS102"/>
    <mergeCell ref="AT103:AV103"/>
    <mergeCell ref="AW102:AY102"/>
    <mergeCell ref="B103:D103"/>
    <mergeCell ref="F103:H103"/>
    <mergeCell ref="I103:J103"/>
    <mergeCell ref="K103:L103"/>
    <mergeCell ref="O103:P103"/>
    <mergeCell ref="R103:S103"/>
    <mergeCell ref="T102:U102"/>
    <mergeCell ref="V102:Y102"/>
    <mergeCell ref="AA102:AC102"/>
    <mergeCell ref="AE102:AG102"/>
    <mergeCell ref="AI102:AK102"/>
    <mergeCell ref="AM102:AO102"/>
    <mergeCell ref="AP101:AQ101"/>
    <mergeCell ref="AR101:AS101"/>
    <mergeCell ref="AT102:AV102"/>
    <mergeCell ref="AW101:AY101"/>
    <mergeCell ref="B102:D102"/>
    <mergeCell ref="F102:H102"/>
    <mergeCell ref="I102:J102"/>
    <mergeCell ref="K102:L102"/>
    <mergeCell ref="O102:P102"/>
    <mergeCell ref="R102:S102"/>
    <mergeCell ref="T101:U101"/>
    <mergeCell ref="V101:Y101"/>
    <mergeCell ref="AA101:AC101"/>
    <mergeCell ref="AE101:AG101"/>
    <mergeCell ref="AI101:AK101"/>
    <mergeCell ref="AM101:AO101"/>
    <mergeCell ref="AP100:AQ100"/>
    <mergeCell ref="AR100:AS100"/>
    <mergeCell ref="AT101:AV101"/>
    <mergeCell ref="AW100:AY100"/>
    <mergeCell ref="B101:D101"/>
    <mergeCell ref="F101:H101"/>
    <mergeCell ref="I101:J101"/>
    <mergeCell ref="K101:L101"/>
    <mergeCell ref="O101:P101"/>
    <mergeCell ref="R101:S101"/>
    <mergeCell ref="T100:U100"/>
    <mergeCell ref="V100:Y100"/>
    <mergeCell ref="AA100:AC100"/>
    <mergeCell ref="AE100:AG100"/>
    <mergeCell ref="AI100:AK100"/>
    <mergeCell ref="AM100:AO100"/>
    <mergeCell ref="AP99:AQ99"/>
    <mergeCell ref="AR99:AS99"/>
    <mergeCell ref="AT100:AV100"/>
    <mergeCell ref="AW99:AY99"/>
    <mergeCell ref="B100:D100"/>
    <mergeCell ref="F100:H100"/>
    <mergeCell ref="I100:J100"/>
    <mergeCell ref="K100:L100"/>
    <mergeCell ref="O100:P100"/>
    <mergeCell ref="R100:S100"/>
    <mergeCell ref="T99:U99"/>
    <mergeCell ref="V99:Y99"/>
    <mergeCell ref="AA99:AC99"/>
    <mergeCell ref="AE99:AG99"/>
    <mergeCell ref="AI99:AK99"/>
    <mergeCell ref="AM99:AO99"/>
    <mergeCell ref="AP98:AQ98"/>
    <mergeCell ref="AR98:AS98"/>
    <mergeCell ref="AT99:AV99"/>
    <mergeCell ref="AW98:AY98"/>
    <mergeCell ref="B99:D99"/>
    <mergeCell ref="F99:H99"/>
    <mergeCell ref="I99:J99"/>
    <mergeCell ref="K99:L99"/>
    <mergeCell ref="O99:P99"/>
    <mergeCell ref="R99:S99"/>
    <mergeCell ref="T98:U98"/>
    <mergeCell ref="V98:Y98"/>
    <mergeCell ref="AA98:AC98"/>
    <mergeCell ref="AE98:AG98"/>
    <mergeCell ref="AI98:AK98"/>
    <mergeCell ref="AM98:AO98"/>
    <mergeCell ref="AP97:AQ97"/>
    <mergeCell ref="AR97:AS97"/>
    <mergeCell ref="AT98:AV98"/>
    <mergeCell ref="AW97:AY97"/>
    <mergeCell ref="B98:D98"/>
    <mergeCell ref="F98:H98"/>
    <mergeCell ref="I98:J98"/>
    <mergeCell ref="K98:L98"/>
    <mergeCell ref="O98:P98"/>
    <mergeCell ref="R98:S98"/>
    <mergeCell ref="T97:U97"/>
    <mergeCell ref="V97:Y97"/>
    <mergeCell ref="AA97:AC97"/>
    <mergeCell ref="AE97:AG97"/>
    <mergeCell ref="AI97:AK97"/>
    <mergeCell ref="AM97:AO97"/>
    <mergeCell ref="AP96:AQ96"/>
    <mergeCell ref="AR96:AS96"/>
    <mergeCell ref="AT97:AV97"/>
    <mergeCell ref="AW96:AY96"/>
    <mergeCell ref="B97:D97"/>
    <mergeCell ref="F97:H97"/>
    <mergeCell ref="I97:J97"/>
    <mergeCell ref="K97:L97"/>
    <mergeCell ref="O97:P97"/>
    <mergeCell ref="R97:S97"/>
    <mergeCell ref="T96:U96"/>
    <mergeCell ref="V96:Y96"/>
    <mergeCell ref="AA96:AC96"/>
    <mergeCell ref="AE96:AG96"/>
    <mergeCell ref="AI96:AK96"/>
    <mergeCell ref="AM96:AO96"/>
    <mergeCell ref="AP95:AQ95"/>
    <mergeCell ref="AR95:AS95"/>
    <mergeCell ref="AT96:AV96"/>
    <mergeCell ref="AW95:AY95"/>
    <mergeCell ref="B96:D96"/>
    <mergeCell ref="F96:H96"/>
    <mergeCell ref="I96:J96"/>
    <mergeCell ref="K96:L96"/>
    <mergeCell ref="O96:P96"/>
    <mergeCell ref="R96:S96"/>
    <mergeCell ref="T95:U95"/>
    <mergeCell ref="V95:Y95"/>
    <mergeCell ref="AA95:AC95"/>
    <mergeCell ref="AE95:AG95"/>
    <mergeCell ref="AI95:AK95"/>
    <mergeCell ref="AM95:AO95"/>
    <mergeCell ref="AP94:AQ94"/>
    <mergeCell ref="AR94:AS94"/>
    <mergeCell ref="AT95:AV95"/>
    <mergeCell ref="AW94:AY94"/>
    <mergeCell ref="B95:D95"/>
    <mergeCell ref="F95:H95"/>
    <mergeCell ref="I95:J95"/>
    <mergeCell ref="K95:L95"/>
    <mergeCell ref="O95:P95"/>
    <mergeCell ref="R95:S95"/>
    <mergeCell ref="T94:U94"/>
    <mergeCell ref="V94:Y94"/>
    <mergeCell ref="AA94:AC94"/>
    <mergeCell ref="AE94:AG94"/>
    <mergeCell ref="AI94:AK94"/>
    <mergeCell ref="AM94:AO94"/>
    <mergeCell ref="AP93:AQ93"/>
    <mergeCell ref="AR93:AS93"/>
    <mergeCell ref="AT94:AV94"/>
    <mergeCell ref="AW93:AY93"/>
    <mergeCell ref="B94:D94"/>
    <mergeCell ref="F94:H94"/>
    <mergeCell ref="I94:J94"/>
    <mergeCell ref="K94:L94"/>
    <mergeCell ref="O94:P94"/>
    <mergeCell ref="R94:S94"/>
    <mergeCell ref="T93:U93"/>
    <mergeCell ref="V93:Y93"/>
    <mergeCell ref="AA93:AC93"/>
    <mergeCell ref="AE93:AG93"/>
    <mergeCell ref="AI93:AK93"/>
    <mergeCell ref="AM93:AO93"/>
    <mergeCell ref="AP92:AQ92"/>
    <mergeCell ref="AR92:AS92"/>
    <mergeCell ref="AT93:AV93"/>
    <mergeCell ref="AW92:AY92"/>
    <mergeCell ref="B93:D93"/>
    <mergeCell ref="F93:H93"/>
    <mergeCell ref="I93:J93"/>
    <mergeCell ref="K93:L93"/>
    <mergeCell ref="O93:P93"/>
    <mergeCell ref="R93:S93"/>
    <mergeCell ref="T92:U92"/>
    <mergeCell ref="V92:Y92"/>
    <mergeCell ref="AA92:AC92"/>
    <mergeCell ref="AE92:AG92"/>
    <mergeCell ref="AI92:AK92"/>
    <mergeCell ref="AM92:AO92"/>
    <mergeCell ref="AP91:AQ91"/>
    <mergeCell ref="AR91:AS91"/>
    <mergeCell ref="AT92:AV92"/>
    <mergeCell ref="AW91:AY91"/>
    <mergeCell ref="B92:D92"/>
    <mergeCell ref="F92:H92"/>
    <mergeCell ref="I92:J92"/>
    <mergeCell ref="K92:L92"/>
    <mergeCell ref="O92:P92"/>
    <mergeCell ref="R92:S92"/>
    <mergeCell ref="T91:U91"/>
    <mergeCell ref="V91:Y91"/>
    <mergeCell ref="AA91:AC91"/>
    <mergeCell ref="AE91:AG91"/>
    <mergeCell ref="AI91:AK91"/>
    <mergeCell ref="AM91:AO91"/>
    <mergeCell ref="AP90:AQ90"/>
    <mergeCell ref="AR90:AS90"/>
    <mergeCell ref="AT91:AV91"/>
    <mergeCell ref="AW90:AY90"/>
    <mergeCell ref="B91:D91"/>
    <mergeCell ref="F91:H91"/>
    <mergeCell ref="I91:J91"/>
    <mergeCell ref="K91:L91"/>
    <mergeCell ref="O91:P91"/>
    <mergeCell ref="R91:S91"/>
    <mergeCell ref="T90:U90"/>
    <mergeCell ref="V90:Y90"/>
    <mergeCell ref="AA90:AC90"/>
    <mergeCell ref="AE90:AG90"/>
    <mergeCell ref="AI90:AK90"/>
    <mergeCell ref="AM90:AO90"/>
    <mergeCell ref="AP89:AQ89"/>
    <mergeCell ref="AR89:AS89"/>
    <mergeCell ref="AT90:AV90"/>
    <mergeCell ref="AW89:AY89"/>
    <mergeCell ref="B90:D90"/>
    <mergeCell ref="F90:H90"/>
    <mergeCell ref="I90:J90"/>
    <mergeCell ref="K90:L90"/>
    <mergeCell ref="O90:P90"/>
    <mergeCell ref="R90:S90"/>
    <mergeCell ref="T89:U89"/>
    <mergeCell ref="V89:Y89"/>
    <mergeCell ref="AA89:AC89"/>
    <mergeCell ref="AE89:AG89"/>
    <mergeCell ref="AI89:AK89"/>
    <mergeCell ref="AM89:AO89"/>
    <mergeCell ref="AP88:AQ88"/>
    <mergeCell ref="AR88:AS88"/>
    <mergeCell ref="AT89:AV89"/>
    <mergeCell ref="AW88:AY88"/>
    <mergeCell ref="B89:D89"/>
    <mergeCell ref="F89:H89"/>
    <mergeCell ref="I89:J89"/>
    <mergeCell ref="K89:L89"/>
    <mergeCell ref="O89:P89"/>
    <mergeCell ref="R89:S89"/>
    <mergeCell ref="T88:U88"/>
    <mergeCell ref="V88:Y88"/>
    <mergeCell ref="AA88:AC88"/>
    <mergeCell ref="AE88:AG88"/>
    <mergeCell ref="AI88:AK88"/>
    <mergeCell ref="AM88:AO88"/>
    <mergeCell ref="AP87:AQ87"/>
    <mergeCell ref="AR87:AS87"/>
    <mergeCell ref="AT88:AV88"/>
    <mergeCell ref="AW87:AY87"/>
    <mergeCell ref="B88:D88"/>
    <mergeCell ref="F88:H88"/>
    <mergeCell ref="I88:J88"/>
    <mergeCell ref="K88:L88"/>
    <mergeCell ref="O88:P88"/>
    <mergeCell ref="R88:S88"/>
    <mergeCell ref="T87:U87"/>
    <mergeCell ref="V87:Y87"/>
    <mergeCell ref="AA87:AC87"/>
    <mergeCell ref="AE87:AG87"/>
    <mergeCell ref="AI87:AK87"/>
    <mergeCell ref="AM87:AO87"/>
    <mergeCell ref="AP86:AQ86"/>
    <mergeCell ref="AR86:AS86"/>
    <mergeCell ref="AT87:AV87"/>
    <mergeCell ref="AW86:AY86"/>
    <mergeCell ref="B87:D87"/>
    <mergeCell ref="F87:H87"/>
    <mergeCell ref="I87:J87"/>
    <mergeCell ref="K87:L87"/>
    <mergeCell ref="O87:P87"/>
    <mergeCell ref="R87:S87"/>
    <mergeCell ref="T86:U86"/>
    <mergeCell ref="V86:Y86"/>
    <mergeCell ref="AA86:AC86"/>
    <mergeCell ref="AE86:AG86"/>
    <mergeCell ref="AI86:AK86"/>
    <mergeCell ref="AM86:AO86"/>
    <mergeCell ref="AP85:AQ85"/>
    <mergeCell ref="AR85:AS85"/>
    <mergeCell ref="AT86:AV86"/>
    <mergeCell ref="AW85:AY85"/>
    <mergeCell ref="B86:D86"/>
    <mergeCell ref="F86:H86"/>
    <mergeCell ref="I86:J86"/>
    <mergeCell ref="K86:L86"/>
    <mergeCell ref="O86:P86"/>
    <mergeCell ref="R86:S86"/>
    <mergeCell ref="T85:U85"/>
    <mergeCell ref="V85:Y85"/>
    <mergeCell ref="AA85:AC85"/>
    <mergeCell ref="AE85:AG85"/>
    <mergeCell ref="AI85:AK85"/>
    <mergeCell ref="AM85:AO85"/>
    <mergeCell ref="AP84:AQ84"/>
    <mergeCell ref="AR84:AS84"/>
    <mergeCell ref="AT85:AV85"/>
    <mergeCell ref="AW84:AY84"/>
    <mergeCell ref="B85:D85"/>
    <mergeCell ref="F85:H85"/>
    <mergeCell ref="I85:J85"/>
    <mergeCell ref="K85:L85"/>
    <mergeCell ref="O85:P85"/>
    <mergeCell ref="R85:S85"/>
    <mergeCell ref="T84:U84"/>
    <mergeCell ref="V84:Y84"/>
    <mergeCell ref="AA84:AC84"/>
    <mergeCell ref="AE84:AG84"/>
    <mergeCell ref="AI84:AK84"/>
    <mergeCell ref="AM84:AO84"/>
    <mergeCell ref="AP83:AQ83"/>
    <mergeCell ref="AR83:AS83"/>
    <mergeCell ref="AT84:AV84"/>
    <mergeCell ref="AW83:AY83"/>
    <mergeCell ref="B84:D84"/>
    <mergeCell ref="F84:H84"/>
    <mergeCell ref="I84:J84"/>
    <mergeCell ref="K84:L84"/>
    <mergeCell ref="O84:P84"/>
    <mergeCell ref="R84:S84"/>
    <mergeCell ref="T83:U83"/>
    <mergeCell ref="V83:Y83"/>
    <mergeCell ref="AA83:AC83"/>
    <mergeCell ref="AE83:AG83"/>
    <mergeCell ref="AI83:AK83"/>
    <mergeCell ref="AM83:AO83"/>
    <mergeCell ref="AP82:AQ82"/>
    <mergeCell ref="AR82:AS82"/>
    <mergeCell ref="AT83:AV83"/>
    <mergeCell ref="AW82:AY82"/>
    <mergeCell ref="B83:D83"/>
    <mergeCell ref="F83:H83"/>
    <mergeCell ref="I83:J83"/>
    <mergeCell ref="K83:L83"/>
    <mergeCell ref="O83:P83"/>
    <mergeCell ref="R83:S83"/>
    <mergeCell ref="T82:U82"/>
    <mergeCell ref="V82:Y82"/>
    <mergeCell ref="AA82:AC82"/>
    <mergeCell ref="AE82:AG82"/>
    <mergeCell ref="AI82:AK82"/>
    <mergeCell ref="AM82:AO82"/>
    <mergeCell ref="AP81:AQ81"/>
    <mergeCell ref="AR81:AS81"/>
    <mergeCell ref="AT82:AV82"/>
    <mergeCell ref="AW81:AY81"/>
    <mergeCell ref="B82:D82"/>
    <mergeCell ref="F82:H82"/>
    <mergeCell ref="I82:J82"/>
    <mergeCell ref="K82:L82"/>
    <mergeCell ref="O82:P82"/>
    <mergeCell ref="R82:S82"/>
    <mergeCell ref="T81:U81"/>
    <mergeCell ref="V81:Y81"/>
    <mergeCell ref="AA81:AC81"/>
    <mergeCell ref="AE81:AG81"/>
    <mergeCell ref="AI81:AK81"/>
    <mergeCell ref="AM81:AO81"/>
    <mergeCell ref="AP80:AQ80"/>
    <mergeCell ref="AR80:AS80"/>
    <mergeCell ref="AT81:AV81"/>
    <mergeCell ref="AW80:AY80"/>
    <mergeCell ref="B81:D81"/>
    <mergeCell ref="F81:H81"/>
    <mergeCell ref="I81:J81"/>
    <mergeCell ref="K81:L81"/>
    <mergeCell ref="O81:P81"/>
    <mergeCell ref="R81:S81"/>
    <mergeCell ref="T80:U80"/>
    <mergeCell ref="V80:Y80"/>
    <mergeCell ref="AA80:AC80"/>
    <mergeCell ref="AE80:AG80"/>
    <mergeCell ref="AI80:AK80"/>
    <mergeCell ref="AM80:AO80"/>
    <mergeCell ref="AP79:AQ79"/>
    <mergeCell ref="AR79:AS79"/>
    <mergeCell ref="AT80:AV80"/>
    <mergeCell ref="AW79:AY79"/>
    <mergeCell ref="B80:D80"/>
    <mergeCell ref="F80:H80"/>
    <mergeCell ref="I80:J80"/>
    <mergeCell ref="K80:L80"/>
    <mergeCell ref="O80:P80"/>
    <mergeCell ref="R80:S80"/>
    <mergeCell ref="T79:U79"/>
    <mergeCell ref="V79:Y79"/>
    <mergeCell ref="AA79:AC79"/>
    <mergeCell ref="AE79:AG79"/>
    <mergeCell ref="AI79:AK79"/>
    <mergeCell ref="AM79:AO79"/>
    <mergeCell ref="AP78:AQ78"/>
    <mergeCell ref="AR78:AS78"/>
    <mergeCell ref="AT79:AV79"/>
    <mergeCell ref="AW78:AY78"/>
    <mergeCell ref="B79:D79"/>
    <mergeCell ref="F79:H79"/>
    <mergeCell ref="I79:J79"/>
    <mergeCell ref="K79:L79"/>
    <mergeCell ref="O79:P79"/>
    <mergeCell ref="R79:S79"/>
    <mergeCell ref="T78:U78"/>
    <mergeCell ref="V78:Y78"/>
    <mergeCell ref="AA78:AC78"/>
    <mergeCell ref="AE78:AG78"/>
    <mergeCell ref="AI78:AK78"/>
    <mergeCell ref="AM78:AO78"/>
    <mergeCell ref="AP77:AQ77"/>
    <mergeCell ref="AR77:AS77"/>
    <mergeCell ref="AT78:AV78"/>
    <mergeCell ref="AW77:AY77"/>
    <mergeCell ref="B78:D78"/>
    <mergeCell ref="F78:H78"/>
    <mergeCell ref="I78:J78"/>
    <mergeCell ref="K78:L78"/>
    <mergeCell ref="O78:P78"/>
    <mergeCell ref="R78:S78"/>
    <mergeCell ref="T77:U77"/>
    <mergeCell ref="V77:Y77"/>
    <mergeCell ref="AA77:AC77"/>
    <mergeCell ref="AE77:AG77"/>
    <mergeCell ref="AI77:AK77"/>
    <mergeCell ref="AM77:AO77"/>
    <mergeCell ref="AP76:AQ76"/>
    <mergeCell ref="AR76:AS76"/>
    <mergeCell ref="AT77:AV77"/>
    <mergeCell ref="AW76:AY76"/>
    <mergeCell ref="B77:D77"/>
    <mergeCell ref="F77:H77"/>
    <mergeCell ref="I77:J77"/>
    <mergeCell ref="K77:L77"/>
    <mergeCell ref="O77:P77"/>
    <mergeCell ref="R77:S77"/>
    <mergeCell ref="T76:U76"/>
    <mergeCell ref="V76:Y76"/>
    <mergeCell ref="AA76:AC76"/>
    <mergeCell ref="AE76:AG76"/>
    <mergeCell ref="AI76:AK76"/>
    <mergeCell ref="AM76:AO76"/>
    <mergeCell ref="AP75:AQ75"/>
    <mergeCell ref="AR75:AS75"/>
    <mergeCell ref="AT76:AV76"/>
    <mergeCell ref="AW75:AY75"/>
    <mergeCell ref="B76:D76"/>
    <mergeCell ref="F76:H76"/>
    <mergeCell ref="I76:J76"/>
    <mergeCell ref="K76:L76"/>
    <mergeCell ref="O76:P76"/>
    <mergeCell ref="R76:S76"/>
    <mergeCell ref="T75:U75"/>
    <mergeCell ref="V75:Y75"/>
    <mergeCell ref="AA75:AC75"/>
    <mergeCell ref="AE75:AG75"/>
    <mergeCell ref="AI75:AK75"/>
    <mergeCell ref="AM75:AO75"/>
    <mergeCell ref="AP74:AQ74"/>
    <mergeCell ref="AR74:AS74"/>
    <mergeCell ref="AT75:AV75"/>
    <mergeCell ref="AW74:AY74"/>
    <mergeCell ref="B75:D75"/>
    <mergeCell ref="F75:H75"/>
    <mergeCell ref="I75:J75"/>
    <mergeCell ref="K75:L75"/>
    <mergeCell ref="O75:P75"/>
    <mergeCell ref="R75:S75"/>
    <mergeCell ref="T74:U74"/>
    <mergeCell ref="V74:Y74"/>
    <mergeCell ref="AA74:AC74"/>
    <mergeCell ref="AE74:AG74"/>
    <mergeCell ref="AI74:AK74"/>
    <mergeCell ref="AM74:AO74"/>
    <mergeCell ref="AP73:AQ73"/>
    <mergeCell ref="AR73:AS73"/>
    <mergeCell ref="AT74:AV74"/>
    <mergeCell ref="AW73:AY73"/>
    <mergeCell ref="B74:D74"/>
    <mergeCell ref="F74:H74"/>
    <mergeCell ref="I74:J74"/>
    <mergeCell ref="K74:L74"/>
    <mergeCell ref="O74:P74"/>
    <mergeCell ref="R74:S74"/>
    <mergeCell ref="T73:U73"/>
    <mergeCell ref="V73:Y73"/>
    <mergeCell ref="AA73:AC73"/>
    <mergeCell ref="AE73:AG73"/>
    <mergeCell ref="AI73:AK73"/>
    <mergeCell ref="AM73:AO73"/>
    <mergeCell ref="AP72:AQ72"/>
    <mergeCell ref="AR72:AS72"/>
    <mergeCell ref="AT73:AV73"/>
    <mergeCell ref="AW72:AY72"/>
    <mergeCell ref="B73:D73"/>
    <mergeCell ref="F73:H73"/>
    <mergeCell ref="I73:J73"/>
    <mergeCell ref="K73:L73"/>
    <mergeCell ref="O73:P73"/>
    <mergeCell ref="R73:S73"/>
    <mergeCell ref="T72:U72"/>
    <mergeCell ref="V72:Y72"/>
    <mergeCell ref="AA72:AC72"/>
    <mergeCell ref="AE72:AG72"/>
    <mergeCell ref="AI72:AK72"/>
    <mergeCell ref="AM72:AO72"/>
    <mergeCell ref="AP71:AQ71"/>
    <mergeCell ref="AR71:AS71"/>
    <mergeCell ref="AT72:AV72"/>
    <mergeCell ref="AW71:AY71"/>
    <mergeCell ref="B72:D72"/>
    <mergeCell ref="F72:H72"/>
    <mergeCell ref="I72:J72"/>
    <mergeCell ref="K72:L72"/>
    <mergeCell ref="O72:P72"/>
    <mergeCell ref="R72:S72"/>
    <mergeCell ref="T71:U71"/>
    <mergeCell ref="V71:Y71"/>
    <mergeCell ref="AA71:AC71"/>
    <mergeCell ref="AE71:AG71"/>
    <mergeCell ref="AI71:AK71"/>
    <mergeCell ref="AM71:AO71"/>
    <mergeCell ref="AP70:AQ70"/>
    <mergeCell ref="AR70:AS70"/>
    <mergeCell ref="AT71:AV71"/>
    <mergeCell ref="AW70:AY70"/>
    <mergeCell ref="B71:D71"/>
    <mergeCell ref="F71:H71"/>
    <mergeCell ref="I71:J71"/>
    <mergeCell ref="K71:L71"/>
    <mergeCell ref="O71:P71"/>
    <mergeCell ref="R71:S71"/>
    <mergeCell ref="T70:U70"/>
    <mergeCell ref="V70:Y70"/>
    <mergeCell ref="AA70:AC70"/>
    <mergeCell ref="AE70:AG70"/>
    <mergeCell ref="AI70:AK70"/>
    <mergeCell ref="AM70:AO70"/>
    <mergeCell ref="AP69:AQ69"/>
    <mergeCell ref="AR69:AS69"/>
    <mergeCell ref="AT70:AV70"/>
    <mergeCell ref="AW69:AY69"/>
    <mergeCell ref="B70:D70"/>
    <mergeCell ref="F70:H70"/>
    <mergeCell ref="I70:J70"/>
    <mergeCell ref="K70:L70"/>
    <mergeCell ref="O70:P70"/>
    <mergeCell ref="R70:S70"/>
    <mergeCell ref="T69:U69"/>
    <mergeCell ref="V69:Y69"/>
    <mergeCell ref="AA69:AC69"/>
    <mergeCell ref="AE69:AG69"/>
    <mergeCell ref="AI69:AK69"/>
    <mergeCell ref="AM69:AO69"/>
    <mergeCell ref="AP68:AQ68"/>
    <mergeCell ref="AR68:AS68"/>
    <mergeCell ref="AT69:AV69"/>
    <mergeCell ref="AW68:AY68"/>
    <mergeCell ref="B69:D69"/>
    <mergeCell ref="F69:H69"/>
    <mergeCell ref="I69:J69"/>
    <mergeCell ref="K69:L69"/>
    <mergeCell ref="O69:P69"/>
    <mergeCell ref="R69:S69"/>
    <mergeCell ref="T68:U68"/>
    <mergeCell ref="V68:Y68"/>
    <mergeCell ref="AA68:AC68"/>
    <mergeCell ref="AE68:AG68"/>
    <mergeCell ref="AI68:AK68"/>
    <mergeCell ref="AM68:AO68"/>
    <mergeCell ref="AP67:AQ67"/>
    <mergeCell ref="AR67:AS67"/>
    <mergeCell ref="AT68:AV68"/>
    <mergeCell ref="AW67:AY67"/>
    <mergeCell ref="B68:D68"/>
    <mergeCell ref="F68:H68"/>
    <mergeCell ref="I68:J68"/>
    <mergeCell ref="K68:L68"/>
    <mergeCell ref="O68:P68"/>
    <mergeCell ref="R68:S68"/>
    <mergeCell ref="T67:U67"/>
    <mergeCell ref="V67:Y67"/>
    <mergeCell ref="AA67:AC67"/>
    <mergeCell ref="AE67:AG67"/>
    <mergeCell ref="AI67:AK67"/>
    <mergeCell ref="AM67:AO67"/>
    <mergeCell ref="AP66:AQ66"/>
    <mergeCell ref="AR66:AS66"/>
    <mergeCell ref="AT67:AV67"/>
    <mergeCell ref="AW66:AY66"/>
    <mergeCell ref="B67:D67"/>
    <mergeCell ref="F67:H67"/>
    <mergeCell ref="I67:J67"/>
    <mergeCell ref="K67:L67"/>
    <mergeCell ref="O67:P67"/>
    <mergeCell ref="R67:S67"/>
    <mergeCell ref="T66:U66"/>
    <mergeCell ref="V66:Y66"/>
    <mergeCell ref="AA66:AC66"/>
    <mergeCell ref="AE66:AG66"/>
    <mergeCell ref="AI66:AK66"/>
    <mergeCell ref="AM66:AO66"/>
    <mergeCell ref="AP65:AQ65"/>
    <mergeCell ref="AR65:AS65"/>
    <mergeCell ref="AT66:AV66"/>
    <mergeCell ref="AW65:AY65"/>
    <mergeCell ref="B66:D66"/>
    <mergeCell ref="F66:H66"/>
    <mergeCell ref="I66:J66"/>
    <mergeCell ref="K66:L66"/>
    <mergeCell ref="O66:P66"/>
    <mergeCell ref="R66:S66"/>
    <mergeCell ref="T65:U65"/>
    <mergeCell ref="V65:Y65"/>
    <mergeCell ref="AA65:AC65"/>
    <mergeCell ref="AE65:AG65"/>
    <mergeCell ref="AI65:AK65"/>
    <mergeCell ref="AM65:AO65"/>
    <mergeCell ref="AP64:AQ64"/>
    <mergeCell ref="AR64:AS64"/>
    <mergeCell ref="AT65:AV65"/>
    <mergeCell ref="AW64:AY64"/>
    <mergeCell ref="B65:D65"/>
    <mergeCell ref="F65:H65"/>
    <mergeCell ref="I65:J65"/>
    <mergeCell ref="K65:L65"/>
    <mergeCell ref="O65:P65"/>
    <mergeCell ref="R65:S65"/>
    <mergeCell ref="T64:U64"/>
    <mergeCell ref="V64:Y64"/>
    <mergeCell ref="AA64:AC64"/>
    <mergeCell ref="AE64:AG64"/>
    <mergeCell ref="AI64:AK64"/>
    <mergeCell ref="AM64:AO64"/>
    <mergeCell ref="AP63:AQ63"/>
    <mergeCell ref="AR63:AS63"/>
    <mergeCell ref="AT64:AV64"/>
    <mergeCell ref="AW63:AY63"/>
    <mergeCell ref="B64:D64"/>
    <mergeCell ref="F64:H64"/>
    <mergeCell ref="I64:J64"/>
    <mergeCell ref="K64:L64"/>
    <mergeCell ref="O64:P64"/>
    <mergeCell ref="R64:S64"/>
    <mergeCell ref="T63:U63"/>
    <mergeCell ref="V63:Y63"/>
    <mergeCell ref="AA63:AC63"/>
    <mergeCell ref="AE63:AG63"/>
    <mergeCell ref="AI63:AK63"/>
    <mergeCell ref="AM63:AO63"/>
    <mergeCell ref="AP62:AQ62"/>
    <mergeCell ref="AR62:AS62"/>
    <mergeCell ref="AT63:AV63"/>
    <mergeCell ref="AW62:AY62"/>
    <mergeCell ref="B63:D63"/>
    <mergeCell ref="F63:H63"/>
    <mergeCell ref="I63:J63"/>
    <mergeCell ref="K63:L63"/>
    <mergeCell ref="O63:P63"/>
    <mergeCell ref="R63:S63"/>
    <mergeCell ref="T62:U62"/>
    <mergeCell ref="V62:Y62"/>
    <mergeCell ref="AA62:AC62"/>
    <mergeCell ref="AE62:AG62"/>
    <mergeCell ref="AI62:AK62"/>
    <mergeCell ref="AM62:AO62"/>
    <mergeCell ref="AP61:AQ61"/>
    <mergeCell ref="AR61:AS61"/>
    <mergeCell ref="AT62:AV62"/>
    <mergeCell ref="AW61:AY61"/>
    <mergeCell ref="B62:D62"/>
    <mergeCell ref="F62:H62"/>
    <mergeCell ref="I62:J62"/>
    <mergeCell ref="K62:L62"/>
    <mergeCell ref="O62:P62"/>
    <mergeCell ref="R62:S62"/>
    <mergeCell ref="T61:U61"/>
    <mergeCell ref="V61:Y61"/>
    <mergeCell ref="AA61:AC61"/>
    <mergeCell ref="AE61:AG61"/>
    <mergeCell ref="AI61:AK61"/>
    <mergeCell ref="AM61:AO61"/>
    <mergeCell ref="AP60:AQ60"/>
    <mergeCell ref="AR60:AS60"/>
    <mergeCell ref="AT61:AV61"/>
    <mergeCell ref="AW60:AY60"/>
    <mergeCell ref="B61:D61"/>
    <mergeCell ref="F61:H61"/>
    <mergeCell ref="I61:J61"/>
    <mergeCell ref="K61:L61"/>
    <mergeCell ref="O61:P61"/>
    <mergeCell ref="R61:S61"/>
    <mergeCell ref="T60:U60"/>
    <mergeCell ref="V60:Y60"/>
    <mergeCell ref="AA60:AC60"/>
    <mergeCell ref="AE60:AG60"/>
    <mergeCell ref="AI60:AK60"/>
    <mergeCell ref="AM60:AO60"/>
    <mergeCell ref="AP59:AQ59"/>
    <mergeCell ref="AR59:AS59"/>
    <mergeCell ref="AT60:AV60"/>
    <mergeCell ref="AW59:AY59"/>
    <mergeCell ref="B60:D60"/>
    <mergeCell ref="F60:H60"/>
    <mergeCell ref="I60:J60"/>
    <mergeCell ref="K60:L60"/>
    <mergeCell ref="O60:P60"/>
    <mergeCell ref="R60:S60"/>
    <mergeCell ref="T59:U59"/>
    <mergeCell ref="V59:Y59"/>
    <mergeCell ref="AA59:AC59"/>
    <mergeCell ref="AE59:AG59"/>
    <mergeCell ref="AI59:AK59"/>
    <mergeCell ref="AM59:AO59"/>
    <mergeCell ref="AP58:AQ58"/>
    <mergeCell ref="AR58:AS58"/>
    <mergeCell ref="AT59:AV59"/>
    <mergeCell ref="AW58:AY58"/>
    <mergeCell ref="B59:D59"/>
    <mergeCell ref="F59:H59"/>
    <mergeCell ref="I59:J59"/>
    <mergeCell ref="K59:L59"/>
    <mergeCell ref="O59:P59"/>
    <mergeCell ref="R59:S59"/>
    <mergeCell ref="T58:U58"/>
    <mergeCell ref="V58:Y58"/>
    <mergeCell ref="AA58:AC58"/>
    <mergeCell ref="AE58:AG58"/>
    <mergeCell ref="AI58:AK58"/>
    <mergeCell ref="AM58:AO58"/>
    <mergeCell ref="AP57:AQ57"/>
    <mergeCell ref="AR57:AS57"/>
    <mergeCell ref="AT58:AV58"/>
    <mergeCell ref="AW57:AY57"/>
    <mergeCell ref="B58:D58"/>
    <mergeCell ref="F58:H58"/>
    <mergeCell ref="I58:J58"/>
    <mergeCell ref="K58:L58"/>
    <mergeCell ref="O58:P58"/>
    <mergeCell ref="R58:S58"/>
    <mergeCell ref="T57:U57"/>
    <mergeCell ref="V57:Y57"/>
    <mergeCell ref="AA57:AC57"/>
    <mergeCell ref="AE57:AG57"/>
    <mergeCell ref="AI57:AK57"/>
    <mergeCell ref="AM57:AO57"/>
    <mergeCell ref="AP56:AQ56"/>
    <mergeCell ref="AR56:AS56"/>
    <mergeCell ref="AT57:AV57"/>
    <mergeCell ref="AW56:AY56"/>
    <mergeCell ref="B57:D57"/>
    <mergeCell ref="F57:H57"/>
    <mergeCell ref="I57:J57"/>
    <mergeCell ref="K57:L57"/>
    <mergeCell ref="O57:P57"/>
    <mergeCell ref="R57:S57"/>
    <mergeCell ref="T56:U56"/>
    <mergeCell ref="V56:Y56"/>
    <mergeCell ref="AA56:AC56"/>
    <mergeCell ref="AE56:AG56"/>
    <mergeCell ref="AI56:AK56"/>
    <mergeCell ref="AM56:AO56"/>
    <mergeCell ref="AP55:AQ55"/>
    <mergeCell ref="AR55:AS55"/>
    <mergeCell ref="AT56:AV56"/>
    <mergeCell ref="AW55:AY55"/>
    <mergeCell ref="B56:D56"/>
    <mergeCell ref="F56:H56"/>
    <mergeCell ref="I56:J56"/>
    <mergeCell ref="K56:L56"/>
    <mergeCell ref="O56:P56"/>
    <mergeCell ref="R56:S56"/>
    <mergeCell ref="T55:U55"/>
    <mergeCell ref="V55:Y55"/>
    <mergeCell ref="AA55:AC55"/>
    <mergeCell ref="AE55:AG55"/>
    <mergeCell ref="AI55:AK55"/>
    <mergeCell ref="AM55:AO55"/>
    <mergeCell ref="AP54:AQ54"/>
    <mergeCell ref="AR54:AS54"/>
    <mergeCell ref="AT55:AV55"/>
    <mergeCell ref="AW54:AY54"/>
    <mergeCell ref="B55:D55"/>
    <mergeCell ref="F55:H55"/>
    <mergeCell ref="I55:J55"/>
    <mergeCell ref="K55:L55"/>
    <mergeCell ref="O55:P55"/>
    <mergeCell ref="R55:S55"/>
    <mergeCell ref="T54:U54"/>
    <mergeCell ref="V54:Y54"/>
    <mergeCell ref="AA54:AC54"/>
    <mergeCell ref="AE54:AG54"/>
    <mergeCell ref="AI54:AK54"/>
    <mergeCell ref="AM54:AO54"/>
    <mergeCell ref="AP53:AQ53"/>
    <mergeCell ref="AR53:AS53"/>
    <mergeCell ref="AT54:AV54"/>
    <mergeCell ref="AW53:AY53"/>
    <mergeCell ref="B54:D54"/>
    <mergeCell ref="F54:H54"/>
    <mergeCell ref="I54:J54"/>
    <mergeCell ref="K54:L54"/>
    <mergeCell ref="O54:P54"/>
    <mergeCell ref="R54:S54"/>
    <mergeCell ref="T53:U53"/>
    <mergeCell ref="V53:Y53"/>
    <mergeCell ref="AA53:AC53"/>
    <mergeCell ref="AE53:AG53"/>
    <mergeCell ref="AI53:AK53"/>
    <mergeCell ref="AM53:AO53"/>
    <mergeCell ref="AP52:AQ52"/>
    <mergeCell ref="AR52:AS52"/>
    <mergeCell ref="AT53:AV53"/>
    <mergeCell ref="AW52:AY52"/>
    <mergeCell ref="B53:D53"/>
    <mergeCell ref="F53:H53"/>
    <mergeCell ref="I53:J53"/>
    <mergeCell ref="K53:L53"/>
    <mergeCell ref="O53:P53"/>
    <mergeCell ref="R53:S53"/>
    <mergeCell ref="T52:U52"/>
    <mergeCell ref="V52:Y52"/>
    <mergeCell ref="AA52:AC52"/>
    <mergeCell ref="AE52:AG52"/>
    <mergeCell ref="AI52:AK52"/>
    <mergeCell ref="AM52:AO52"/>
    <mergeCell ref="AP51:AQ51"/>
    <mergeCell ref="AR51:AS51"/>
    <mergeCell ref="AT52:AV52"/>
    <mergeCell ref="AW51:AY51"/>
    <mergeCell ref="B52:D52"/>
    <mergeCell ref="F52:H52"/>
    <mergeCell ref="I52:J52"/>
    <mergeCell ref="K52:L52"/>
    <mergeCell ref="O52:P52"/>
    <mergeCell ref="R52:S52"/>
    <mergeCell ref="T51:U51"/>
    <mergeCell ref="V51:Y51"/>
    <mergeCell ref="AA51:AC51"/>
    <mergeCell ref="AE51:AG51"/>
    <mergeCell ref="AI51:AK51"/>
    <mergeCell ref="AM51:AO51"/>
    <mergeCell ref="AP50:AQ50"/>
    <mergeCell ref="AR50:AS50"/>
    <mergeCell ref="AT51:AV51"/>
    <mergeCell ref="AW50:AY50"/>
    <mergeCell ref="B51:D51"/>
    <mergeCell ref="F51:H51"/>
    <mergeCell ref="I51:J51"/>
    <mergeCell ref="K51:L51"/>
    <mergeCell ref="O51:P51"/>
    <mergeCell ref="R51:S51"/>
    <mergeCell ref="T50:U50"/>
    <mergeCell ref="V50:Y50"/>
    <mergeCell ref="AA50:AC50"/>
    <mergeCell ref="AE50:AG50"/>
    <mergeCell ref="AI50:AK50"/>
    <mergeCell ref="AM50:AO50"/>
    <mergeCell ref="AP49:AQ49"/>
    <mergeCell ref="AR49:AS49"/>
    <mergeCell ref="AT50:AV50"/>
    <mergeCell ref="AW49:AY49"/>
    <mergeCell ref="B50:D50"/>
    <mergeCell ref="F50:H50"/>
    <mergeCell ref="I50:J50"/>
    <mergeCell ref="K50:L50"/>
    <mergeCell ref="O50:P50"/>
    <mergeCell ref="R50:S50"/>
    <mergeCell ref="T49:U49"/>
    <mergeCell ref="V49:Y49"/>
    <mergeCell ref="AA49:AC49"/>
    <mergeCell ref="AE49:AG49"/>
    <mergeCell ref="AI49:AK49"/>
    <mergeCell ref="AM49:AO49"/>
    <mergeCell ref="AP48:AQ48"/>
    <mergeCell ref="AR48:AS48"/>
    <mergeCell ref="AT49:AV49"/>
    <mergeCell ref="AW48:AY48"/>
    <mergeCell ref="B49:D49"/>
    <mergeCell ref="F49:H49"/>
    <mergeCell ref="I49:J49"/>
    <mergeCell ref="K49:L49"/>
    <mergeCell ref="O49:P49"/>
    <mergeCell ref="R49:S49"/>
    <mergeCell ref="T48:U48"/>
    <mergeCell ref="V48:Y48"/>
    <mergeCell ref="AA48:AC48"/>
    <mergeCell ref="AE48:AG48"/>
    <mergeCell ref="AI48:AK48"/>
    <mergeCell ref="AM48:AO48"/>
    <mergeCell ref="AP47:AQ47"/>
    <mergeCell ref="AR47:AS47"/>
    <mergeCell ref="AT48:AV48"/>
    <mergeCell ref="AW47:AY47"/>
    <mergeCell ref="B48:D48"/>
    <mergeCell ref="F48:H48"/>
    <mergeCell ref="I48:J48"/>
    <mergeCell ref="K48:L48"/>
    <mergeCell ref="O48:P48"/>
    <mergeCell ref="R48:S48"/>
    <mergeCell ref="T47:U47"/>
    <mergeCell ref="V47:Y47"/>
    <mergeCell ref="AA47:AC47"/>
    <mergeCell ref="AE47:AG47"/>
    <mergeCell ref="AI47:AK47"/>
    <mergeCell ref="AM47:AO47"/>
    <mergeCell ref="AP46:AQ46"/>
    <mergeCell ref="AR46:AS46"/>
    <mergeCell ref="AT47:AV47"/>
    <mergeCell ref="AW46:AY46"/>
    <mergeCell ref="B47:D47"/>
    <mergeCell ref="F47:H47"/>
    <mergeCell ref="I47:J47"/>
    <mergeCell ref="K47:L47"/>
    <mergeCell ref="O47:P47"/>
    <mergeCell ref="R47:S47"/>
    <mergeCell ref="T46:U46"/>
    <mergeCell ref="V46:Y46"/>
    <mergeCell ref="AA46:AC46"/>
    <mergeCell ref="AE46:AG46"/>
    <mergeCell ref="AI46:AK46"/>
    <mergeCell ref="AM46:AO46"/>
    <mergeCell ref="AP45:AQ45"/>
    <mergeCell ref="AR45:AS45"/>
    <mergeCell ref="AT46:AV46"/>
    <mergeCell ref="AW45:AY45"/>
    <mergeCell ref="B46:D46"/>
    <mergeCell ref="F46:H46"/>
    <mergeCell ref="I46:J46"/>
    <mergeCell ref="K46:L46"/>
    <mergeCell ref="O46:P46"/>
    <mergeCell ref="R46:S46"/>
    <mergeCell ref="T45:U45"/>
    <mergeCell ref="V45:Y45"/>
    <mergeCell ref="AA45:AC45"/>
    <mergeCell ref="AE45:AG45"/>
    <mergeCell ref="AI45:AK45"/>
    <mergeCell ref="AM45:AO45"/>
    <mergeCell ref="AP44:AQ44"/>
    <mergeCell ref="AR44:AS44"/>
    <mergeCell ref="AT45:AV45"/>
    <mergeCell ref="AW44:AY44"/>
    <mergeCell ref="B45:D45"/>
    <mergeCell ref="F45:H45"/>
    <mergeCell ref="I45:J45"/>
    <mergeCell ref="K45:L45"/>
    <mergeCell ref="O45:P45"/>
    <mergeCell ref="R45:S45"/>
    <mergeCell ref="T44:U44"/>
    <mergeCell ref="V44:Y44"/>
    <mergeCell ref="AA44:AC44"/>
    <mergeCell ref="AE44:AG44"/>
    <mergeCell ref="AI44:AK44"/>
    <mergeCell ref="AM44:AO44"/>
    <mergeCell ref="AP43:AQ43"/>
    <mergeCell ref="AR43:AS43"/>
    <mergeCell ref="AT44:AV44"/>
    <mergeCell ref="AW43:AY43"/>
    <mergeCell ref="B44:D44"/>
    <mergeCell ref="F44:H44"/>
    <mergeCell ref="I44:J44"/>
    <mergeCell ref="K44:L44"/>
    <mergeCell ref="O44:P44"/>
    <mergeCell ref="R44:S44"/>
    <mergeCell ref="T43:U43"/>
    <mergeCell ref="V43:Y43"/>
    <mergeCell ref="AA43:AC43"/>
    <mergeCell ref="AE43:AG43"/>
    <mergeCell ref="AI43:AK43"/>
    <mergeCell ref="AM43:AO43"/>
    <mergeCell ref="AP42:AQ42"/>
    <mergeCell ref="AR42:AS42"/>
    <mergeCell ref="AT43:AV43"/>
    <mergeCell ref="AW42:AY42"/>
    <mergeCell ref="B43:D43"/>
    <mergeCell ref="F43:H43"/>
    <mergeCell ref="I43:J43"/>
    <mergeCell ref="K43:L43"/>
    <mergeCell ref="O43:P43"/>
    <mergeCell ref="R43:S43"/>
    <mergeCell ref="T42:U42"/>
    <mergeCell ref="V42:Y42"/>
    <mergeCell ref="AA42:AC42"/>
    <mergeCell ref="AE42:AG42"/>
    <mergeCell ref="AI42:AK42"/>
    <mergeCell ref="AM42:AO42"/>
    <mergeCell ref="AP41:AQ41"/>
    <mergeCell ref="AR41:AS41"/>
    <mergeCell ref="AT42:AV42"/>
    <mergeCell ref="AW41:AY41"/>
    <mergeCell ref="B42:D42"/>
    <mergeCell ref="F42:H42"/>
    <mergeCell ref="I42:J42"/>
    <mergeCell ref="K42:L42"/>
    <mergeCell ref="O42:P42"/>
    <mergeCell ref="R42:S42"/>
    <mergeCell ref="T41:U41"/>
    <mergeCell ref="V41:Y41"/>
    <mergeCell ref="AA41:AC41"/>
    <mergeCell ref="AE41:AG41"/>
    <mergeCell ref="AI41:AK41"/>
    <mergeCell ref="AM41:AO41"/>
    <mergeCell ref="AP40:AQ40"/>
    <mergeCell ref="AR40:AS40"/>
    <mergeCell ref="AT41:AV41"/>
    <mergeCell ref="AW40:AY40"/>
    <mergeCell ref="B41:D41"/>
    <mergeCell ref="F41:H41"/>
    <mergeCell ref="I41:J41"/>
    <mergeCell ref="K41:L41"/>
    <mergeCell ref="O41:P41"/>
    <mergeCell ref="R41:S41"/>
    <mergeCell ref="T40:U40"/>
    <mergeCell ref="V40:Y40"/>
    <mergeCell ref="AA40:AC40"/>
    <mergeCell ref="AE40:AG40"/>
    <mergeCell ref="AI40:AK40"/>
    <mergeCell ref="AM40:AO40"/>
    <mergeCell ref="AP39:AQ39"/>
    <mergeCell ref="AR39:AS39"/>
    <mergeCell ref="AT40:AV40"/>
    <mergeCell ref="AW39:AY39"/>
    <mergeCell ref="B40:D40"/>
    <mergeCell ref="F40:H40"/>
    <mergeCell ref="I40:J40"/>
    <mergeCell ref="K40:L40"/>
    <mergeCell ref="O40:P40"/>
    <mergeCell ref="R40:S40"/>
    <mergeCell ref="T39:U39"/>
    <mergeCell ref="V39:Y39"/>
    <mergeCell ref="AA39:AC39"/>
    <mergeCell ref="AE39:AG39"/>
    <mergeCell ref="AI39:AK39"/>
    <mergeCell ref="AM39:AO39"/>
    <mergeCell ref="AP38:AQ38"/>
    <mergeCell ref="AR38:AS38"/>
    <mergeCell ref="AT39:AV39"/>
    <mergeCell ref="AW38:AY38"/>
    <mergeCell ref="B39:D39"/>
    <mergeCell ref="F39:H39"/>
    <mergeCell ref="I39:J39"/>
    <mergeCell ref="K39:L39"/>
    <mergeCell ref="O39:P39"/>
    <mergeCell ref="R39:S39"/>
    <mergeCell ref="T38:U38"/>
    <mergeCell ref="V38:Y38"/>
    <mergeCell ref="AA38:AC38"/>
    <mergeCell ref="AE38:AG38"/>
    <mergeCell ref="AI38:AK38"/>
    <mergeCell ref="AM38:AO38"/>
    <mergeCell ref="AP37:AQ37"/>
    <mergeCell ref="AR37:AS37"/>
    <mergeCell ref="AT38:AV38"/>
    <mergeCell ref="AW37:AY37"/>
    <mergeCell ref="B38:D38"/>
    <mergeCell ref="F38:H38"/>
    <mergeCell ref="I38:J38"/>
    <mergeCell ref="K38:L38"/>
    <mergeCell ref="O38:P38"/>
    <mergeCell ref="R38:S38"/>
    <mergeCell ref="T37:U37"/>
    <mergeCell ref="V37:Y37"/>
    <mergeCell ref="AA37:AC37"/>
    <mergeCell ref="AE37:AG37"/>
    <mergeCell ref="AI37:AK37"/>
    <mergeCell ref="AM37:AO37"/>
    <mergeCell ref="AP36:AQ36"/>
    <mergeCell ref="AR36:AS36"/>
    <mergeCell ref="AT37:AV37"/>
    <mergeCell ref="AW36:AY36"/>
    <mergeCell ref="B37:D37"/>
    <mergeCell ref="F37:H37"/>
    <mergeCell ref="I37:J37"/>
    <mergeCell ref="K37:L37"/>
    <mergeCell ref="O37:P37"/>
    <mergeCell ref="R37:S37"/>
    <mergeCell ref="T36:U36"/>
    <mergeCell ref="V36:Y36"/>
    <mergeCell ref="AA36:AC36"/>
    <mergeCell ref="AE36:AG36"/>
    <mergeCell ref="AI36:AK36"/>
    <mergeCell ref="AM36:AO36"/>
    <mergeCell ref="AP35:AQ35"/>
    <mergeCell ref="AR35:AS35"/>
    <mergeCell ref="AT36:AV36"/>
    <mergeCell ref="AW35:AY35"/>
    <mergeCell ref="B36:D36"/>
    <mergeCell ref="F36:H36"/>
    <mergeCell ref="I36:J36"/>
    <mergeCell ref="K36:L36"/>
    <mergeCell ref="O36:P36"/>
    <mergeCell ref="R36:S36"/>
    <mergeCell ref="T35:U35"/>
    <mergeCell ref="V35:Y35"/>
    <mergeCell ref="AA35:AC35"/>
    <mergeCell ref="AE35:AG35"/>
    <mergeCell ref="AI35:AK35"/>
    <mergeCell ref="AM35:AO35"/>
    <mergeCell ref="AP34:AQ34"/>
    <mergeCell ref="AR34:AS34"/>
    <mergeCell ref="AT35:AV35"/>
    <mergeCell ref="AW34:AY34"/>
    <mergeCell ref="B35:D35"/>
    <mergeCell ref="F35:H35"/>
    <mergeCell ref="I35:J35"/>
    <mergeCell ref="K35:L35"/>
    <mergeCell ref="O35:P35"/>
    <mergeCell ref="R35:S35"/>
    <mergeCell ref="T34:U34"/>
    <mergeCell ref="V34:Y34"/>
    <mergeCell ref="AA34:AC34"/>
    <mergeCell ref="AE34:AG34"/>
    <mergeCell ref="AI34:AK34"/>
    <mergeCell ref="AM34:AO34"/>
    <mergeCell ref="AP33:AQ33"/>
    <mergeCell ref="AR33:AS33"/>
    <mergeCell ref="AT34:AV34"/>
    <mergeCell ref="AW33:AY33"/>
    <mergeCell ref="B34:D34"/>
    <mergeCell ref="F34:H34"/>
    <mergeCell ref="I34:J34"/>
    <mergeCell ref="K34:L34"/>
    <mergeCell ref="O34:P34"/>
    <mergeCell ref="R34:S34"/>
    <mergeCell ref="T33:U33"/>
    <mergeCell ref="V33:Y33"/>
    <mergeCell ref="AA33:AC33"/>
    <mergeCell ref="AE33:AG33"/>
    <mergeCell ref="AI33:AK33"/>
    <mergeCell ref="AM33:AO33"/>
    <mergeCell ref="AP32:AQ32"/>
    <mergeCell ref="AR32:AS32"/>
    <mergeCell ref="AT33:AV33"/>
    <mergeCell ref="AW32:AY32"/>
    <mergeCell ref="B33:D33"/>
    <mergeCell ref="F33:H33"/>
    <mergeCell ref="I33:J33"/>
    <mergeCell ref="K33:L33"/>
    <mergeCell ref="O33:P33"/>
    <mergeCell ref="R33:S33"/>
    <mergeCell ref="T32:U32"/>
    <mergeCell ref="V32:Y32"/>
    <mergeCell ref="AA32:AC32"/>
    <mergeCell ref="AE32:AG32"/>
    <mergeCell ref="AI32:AK32"/>
    <mergeCell ref="AM32:AO32"/>
    <mergeCell ref="AP31:AQ31"/>
    <mergeCell ref="AR31:AS31"/>
    <mergeCell ref="AT32:AV32"/>
    <mergeCell ref="AW31:AY31"/>
    <mergeCell ref="B32:D32"/>
    <mergeCell ref="F32:H32"/>
    <mergeCell ref="I32:J32"/>
    <mergeCell ref="K32:L32"/>
    <mergeCell ref="O32:P32"/>
    <mergeCell ref="R32:S32"/>
    <mergeCell ref="T31:U31"/>
    <mergeCell ref="V31:Y31"/>
    <mergeCell ref="AA31:AC31"/>
    <mergeCell ref="AE31:AG31"/>
    <mergeCell ref="AI31:AK31"/>
    <mergeCell ref="AM31:AO31"/>
    <mergeCell ref="AP30:AQ30"/>
    <mergeCell ref="AR30:AS30"/>
    <mergeCell ref="AT31:AV31"/>
    <mergeCell ref="AW30:AY30"/>
    <mergeCell ref="B31:D31"/>
    <mergeCell ref="F31:H31"/>
    <mergeCell ref="I31:J31"/>
    <mergeCell ref="K31:L31"/>
    <mergeCell ref="O31:P31"/>
    <mergeCell ref="R31:S31"/>
    <mergeCell ref="T30:U30"/>
    <mergeCell ref="V30:Y30"/>
    <mergeCell ref="AA30:AC30"/>
    <mergeCell ref="AE30:AG30"/>
    <mergeCell ref="AI30:AK30"/>
    <mergeCell ref="AM30:AO30"/>
    <mergeCell ref="AP29:AQ29"/>
    <mergeCell ref="AR29:AS29"/>
    <mergeCell ref="AT30:AV30"/>
    <mergeCell ref="AW29:AY29"/>
    <mergeCell ref="B30:D30"/>
    <mergeCell ref="F30:H30"/>
    <mergeCell ref="I30:J30"/>
    <mergeCell ref="K30:L30"/>
    <mergeCell ref="O30:P30"/>
    <mergeCell ref="R30:S30"/>
    <mergeCell ref="T29:U29"/>
    <mergeCell ref="V29:Y29"/>
    <mergeCell ref="AA29:AC29"/>
    <mergeCell ref="AE29:AG29"/>
    <mergeCell ref="AI29:AK29"/>
    <mergeCell ref="AM29:AO29"/>
    <mergeCell ref="AP28:AQ28"/>
    <mergeCell ref="AR28:AS28"/>
    <mergeCell ref="AT29:AV29"/>
    <mergeCell ref="AW28:AY28"/>
    <mergeCell ref="B29:D29"/>
    <mergeCell ref="F29:H29"/>
    <mergeCell ref="I29:J29"/>
    <mergeCell ref="K29:L29"/>
    <mergeCell ref="O29:P29"/>
    <mergeCell ref="R29:S29"/>
    <mergeCell ref="T28:U28"/>
    <mergeCell ref="V28:Y28"/>
    <mergeCell ref="AA28:AC28"/>
    <mergeCell ref="AE28:AG28"/>
    <mergeCell ref="AI28:AK28"/>
    <mergeCell ref="AM28:AO28"/>
    <mergeCell ref="AP27:AQ27"/>
    <mergeCell ref="AR27:AS27"/>
    <mergeCell ref="AT28:AV28"/>
    <mergeCell ref="AW27:AY27"/>
    <mergeCell ref="B28:D28"/>
    <mergeCell ref="F28:H28"/>
    <mergeCell ref="I28:J28"/>
    <mergeCell ref="K28:L28"/>
    <mergeCell ref="O28:P28"/>
    <mergeCell ref="R28:S28"/>
    <mergeCell ref="T27:U27"/>
    <mergeCell ref="V27:Y27"/>
    <mergeCell ref="AA27:AC27"/>
    <mergeCell ref="AE27:AG27"/>
    <mergeCell ref="AI27:AK27"/>
    <mergeCell ref="AM27:AO27"/>
    <mergeCell ref="AP26:AQ26"/>
    <mergeCell ref="AR26:AS26"/>
    <mergeCell ref="AT27:AV27"/>
    <mergeCell ref="AW26:AY26"/>
    <mergeCell ref="B27:D27"/>
    <mergeCell ref="F27:H27"/>
    <mergeCell ref="I27:J27"/>
    <mergeCell ref="K27:L27"/>
    <mergeCell ref="O27:P27"/>
    <mergeCell ref="R27:S27"/>
    <mergeCell ref="T26:U26"/>
    <mergeCell ref="V26:Y26"/>
    <mergeCell ref="AA26:AC26"/>
    <mergeCell ref="AE26:AG26"/>
    <mergeCell ref="AI26:AK26"/>
    <mergeCell ref="AM26:AO26"/>
    <mergeCell ref="AP25:AQ25"/>
    <mergeCell ref="AR25:AS25"/>
    <mergeCell ref="AT26:AV26"/>
    <mergeCell ref="AW25:AY25"/>
    <mergeCell ref="B26:D26"/>
    <mergeCell ref="F26:H26"/>
    <mergeCell ref="I26:J26"/>
    <mergeCell ref="K26:L26"/>
    <mergeCell ref="O26:P26"/>
    <mergeCell ref="R26:S26"/>
    <mergeCell ref="T25:U25"/>
    <mergeCell ref="V25:Y25"/>
    <mergeCell ref="AA25:AC25"/>
    <mergeCell ref="AE25:AG25"/>
    <mergeCell ref="AI25:AK25"/>
    <mergeCell ref="AM25:AO25"/>
    <mergeCell ref="AP24:AQ24"/>
    <mergeCell ref="AR24:AS24"/>
    <mergeCell ref="AT25:AV25"/>
    <mergeCell ref="AW24:AY24"/>
    <mergeCell ref="B25:D25"/>
    <mergeCell ref="F25:H25"/>
    <mergeCell ref="I25:J25"/>
    <mergeCell ref="K25:L25"/>
    <mergeCell ref="O25:P25"/>
    <mergeCell ref="R25:S25"/>
    <mergeCell ref="T24:U24"/>
    <mergeCell ref="V24:Y24"/>
    <mergeCell ref="AA24:AC24"/>
    <mergeCell ref="AE24:AG24"/>
    <mergeCell ref="AI24:AK24"/>
    <mergeCell ref="AM24:AO24"/>
    <mergeCell ref="AP23:AQ23"/>
    <mergeCell ref="AR23:AS23"/>
    <mergeCell ref="AT24:AV24"/>
    <mergeCell ref="AW23:AY23"/>
    <mergeCell ref="B24:D24"/>
    <mergeCell ref="F24:H24"/>
    <mergeCell ref="I24:J24"/>
    <mergeCell ref="K24:L24"/>
    <mergeCell ref="O24:P24"/>
    <mergeCell ref="R24:S24"/>
    <mergeCell ref="T23:U23"/>
    <mergeCell ref="V23:Y23"/>
    <mergeCell ref="AA23:AC23"/>
    <mergeCell ref="AE23:AG23"/>
    <mergeCell ref="AI23:AK23"/>
    <mergeCell ref="AM23:AO23"/>
    <mergeCell ref="AP22:AQ22"/>
    <mergeCell ref="AR22:AS22"/>
    <mergeCell ref="AT23:AV23"/>
    <mergeCell ref="AW22:AY22"/>
    <mergeCell ref="B23:D23"/>
    <mergeCell ref="F23:H23"/>
    <mergeCell ref="I23:J23"/>
    <mergeCell ref="K23:L23"/>
    <mergeCell ref="O23:P23"/>
    <mergeCell ref="R23:S23"/>
    <mergeCell ref="T22:U22"/>
    <mergeCell ref="V22:Y22"/>
    <mergeCell ref="AA22:AC22"/>
    <mergeCell ref="AE22:AG22"/>
    <mergeCell ref="AI22:AK22"/>
    <mergeCell ref="AM22:AO22"/>
    <mergeCell ref="AP21:AQ21"/>
    <mergeCell ref="AR21:AS21"/>
    <mergeCell ref="AT22:AV22"/>
    <mergeCell ref="AW21:AY21"/>
    <mergeCell ref="B22:D22"/>
    <mergeCell ref="F22:H22"/>
    <mergeCell ref="I22:J22"/>
    <mergeCell ref="K22:L22"/>
    <mergeCell ref="O22:P22"/>
    <mergeCell ref="R22:S22"/>
    <mergeCell ref="T21:U21"/>
    <mergeCell ref="V21:Y21"/>
    <mergeCell ref="AA21:AC21"/>
    <mergeCell ref="AE21:AG21"/>
    <mergeCell ref="AI21:AK21"/>
    <mergeCell ref="AM21:AO21"/>
    <mergeCell ref="AP20:AQ20"/>
    <mergeCell ref="AR20:AS20"/>
    <mergeCell ref="AT21:AV21"/>
    <mergeCell ref="AW20:AY20"/>
    <mergeCell ref="B21:D21"/>
    <mergeCell ref="F21:H21"/>
    <mergeCell ref="I21:J21"/>
    <mergeCell ref="K21:L21"/>
    <mergeCell ref="O21:P21"/>
    <mergeCell ref="R21:S21"/>
    <mergeCell ref="T20:U20"/>
    <mergeCell ref="V20:Y20"/>
    <mergeCell ref="AA20:AC20"/>
    <mergeCell ref="AE20:AG20"/>
    <mergeCell ref="AI20:AK20"/>
    <mergeCell ref="AM20:AO20"/>
    <mergeCell ref="AP19:AQ19"/>
    <mergeCell ref="AR19:AS19"/>
    <mergeCell ref="AT20:AV20"/>
    <mergeCell ref="AW19:AY19"/>
    <mergeCell ref="B20:D20"/>
    <mergeCell ref="F20:H20"/>
    <mergeCell ref="I20:J20"/>
    <mergeCell ref="K20:L20"/>
    <mergeCell ref="O20:P20"/>
    <mergeCell ref="R20:S20"/>
    <mergeCell ref="T19:U19"/>
    <mergeCell ref="V19:Y19"/>
    <mergeCell ref="AA19:AC19"/>
    <mergeCell ref="AE19:AG19"/>
    <mergeCell ref="AI19:AK19"/>
    <mergeCell ref="AM19:AO19"/>
    <mergeCell ref="AP18:AQ18"/>
    <mergeCell ref="AR18:AS18"/>
    <mergeCell ref="AT19:AV19"/>
    <mergeCell ref="AW18:AY18"/>
    <mergeCell ref="B19:D19"/>
    <mergeCell ref="F19:H19"/>
    <mergeCell ref="I19:J19"/>
    <mergeCell ref="K19:L19"/>
    <mergeCell ref="O19:P19"/>
    <mergeCell ref="R19:S19"/>
    <mergeCell ref="T18:U18"/>
    <mergeCell ref="V18:Y18"/>
    <mergeCell ref="AA18:AC18"/>
    <mergeCell ref="AE18:AG18"/>
    <mergeCell ref="AI18:AK18"/>
    <mergeCell ref="AM18:AO18"/>
    <mergeCell ref="AP17:AQ17"/>
    <mergeCell ref="AR17:AS17"/>
    <mergeCell ref="AT18:AV18"/>
    <mergeCell ref="AW17:AY17"/>
    <mergeCell ref="B18:D18"/>
    <mergeCell ref="F18:H18"/>
    <mergeCell ref="I18:J18"/>
    <mergeCell ref="K18:L18"/>
    <mergeCell ref="O18:P18"/>
    <mergeCell ref="R18:S18"/>
    <mergeCell ref="T17:U17"/>
    <mergeCell ref="V17:Y17"/>
    <mergeCell ref="AA17:AC17"/>
    <mergeCell ref="AE17:AG17"/>
    <mergeCell ref="AI17:AK17"/>
    <mergeCell ref="AM17:AO17"/>
    <mergeCell ref="AP16:AQ16"/>
    <mergeCell ref="AR16:AS16"/>
    <mergeCell ref="AT17:AV17"/>
    <mergeCell ref="AW16:AY16"/>
    <mergeCell ref="B17:D17"/>
    <mergeCell ref="F17:H17"/>
    <mergeCell ref="I17:J17"/>
    <mergeCell ref="K17:L17"/>
    <mergeCell ref="O17:P17"/>
    <mergeCell ref="R17:S17"/>
    <mergeCell ref="T16:U16"/>
    <mergeCell ref="V16:Y16"/>
    <mergeCell ref="AA16:AC16"/>
    <mergeCell ref="AE16:AG16"/>
    <mergeCell ref="AI16:AK16"/>
    <mergeCell ref="AM16:AO16"/>
    <mergeCell ref="AP15:AQ15"/>
    <mergeCell ref="AR15:AS15"/>
    <mergeCell ref="AT16:AV16"/>
    <mergeCell ref="AW15:AY15"/>
    <mergeCell ref="B16:D16"/>
    <mergeCell ref="F16:H16"/>
    <mergeCell ref="I16:J16"/>
    <mergeCell ref="K16:L16"/>
    <mergeCell ref="O16:P16"/>
    <mergeCell ref="R16:S16"/>
    <mergeCell ref="T15:U15"/>
    <mergeCell ref="V15:Y15"/>
    <mergeCell ref="AA15:AC15"/>
    <mergeCell ref="AE15:AG15"/>
    <mergeCell ref="AI15:AK15"/>
    <mergeCell ref="AM15:AO15"/>
    <mergeCell ref="AP14:AQ14"/>
    <mergeCell ref="AR14:AS14"/>
    <mergeCell ref="AT15:AV15"/>
    <mergeCell ref="AW14:AY14"/>
    <mergeCell ref="B15:D15"/>
    <mergeCell ref="F15:H15"/>
    <mergeCell ref="I15:J15"/>
    <mergeCell ref="K15:L15"/>
    <mergeCell ref="O15:P15"/>
    <mergeCell ref="R15:S15"/>
    <mergeCell ref="T14:U14"/>
    <mergeCell ref="V14:Y14"/>
    <mergeCell ref="AA14:AC14"/>
    <mergeCell ref="AE14:AG14"/>
    <mergeCell ref="AI14:AK14"/>
    <mergeCell ref="AM14:AO14"/>
    <mergeCell ref="AP13:AQ13"/>
    <mergeCell ref="AR13:AS13"/>
    <mergeCell ref="AT14:AV14"/>
    <mergeCell ref="AW13:AY13"/>
    <mergeCell ref="B14:D14"/>
    <mergeCell ref="F14:H14"/>
    <mergeCell ref="I14:J14"/>
    <mergeCell ref="K14:L14"/>
    <mergeCell ref="O14:P14"/>
    <mergeCell ref="R14:S14"/>
    <mergeCell ref="T13:U13"/>
    <mergeCell ref="V13:Y13"/>
    <mergeCell ref="AA13:AC13"/>
    <mergeCell ref="AE13:AG13"/>
    <mergeCell ref="AI13:AK13"/>
    <mergeCell ref="AM13:AO13"/>
    <mergeCell ref="AT13:AV13"/>
    <mergeCell ref="B13:D13"/>
    <mergeCell ref="F13:H13"/>
    <mergeCell ref="I13:J13"/>
    <mergeCell ref="K13:L13"/>
    <mergeCell ref="O13:P13"/>
    <mergeCell ref="R13:S13"/>
    <mergeCell ref="AP12:AQ12"/>
    <mergeCell ref="AR12:AS12"/>
    <mergeCell ref="AT12:AV12"/>
    <mergeCell ref="AW12:AY12"/>
    <mergeCell ref="T12:U12"/>
    <mergeCell ref="V12:Y12"/>
    <mergeCell ref="AA12:AC12"/>
    <mergeCell ref="AE12:AG12"/>
    <mergeCell ref="AI12:AK12"/>
    <mergeCell ref="AM12:AO12"/>
    <mergeCell ref="AR10:AS11"/>
    <mergeCell ref="AT10:AV11"/>
    <mergeCell ref="AW10:AY11"/>
    <mergeCell ref="I11:J11"/>
    <mergeCell ref="K11:L11"/>
    <mergeCell ref="AA11:AC11"/>
    <mergeCell ref="AE11:AG11"/>
    <mergeCell ref="AI11:AK11"/>
    <mergeCell ref="AM11:AO11"/>
    <mergeCell ref="AW9:AY9"/>
    <mergeCell ref="F10:H11"/>
    <mergeCell ref="O10:P11"/>
    <mergeCell ref="R10:S11"/>
    <mergeCell ref="T10:U11"/>
    <mergeCell ref="V10:Y11"/>
    <mergeCell ref="AA10:AG10"/>
    <mergeCell ref="AI10:AO10"/>
    <mergeCell ref="AP10:AQ11"/>
    <mergeCell ref="AE9:AG9"/>
    <mergeCell ref="AI9:AK9"/>
    <mergeCell ref="AM9:AO9"/>
    <mergeCell ref="AP9:AQ9"/>
    <mergeCell ref="AR9:AS9"/>
    <mergeCell ref="AT9:AV9"/>
    <mergeCell ref="F9:H9"/>
    <mergeCell ref="I9:J9"/>
    <mergeCell ref="K9:L9"/>
    <mergeCell ref="O9:P9"/>
    <mergeCell ref="R9:S9"/>
    <mergeCell ref="T9:U9"/>
    <mergeCell ref="V9:Y9"/>
    <mergeCell ref="AA9:AC9"/>
    <mergeCell ref="B6:D6"/>
    <mergeCell ref="L4:N4"/>
    <mergeCell ref="B12:D12"/>
    <mergeCell ref="F12:H12"/>
    <mergeCell ref="I12:J12"/>
    <mergeCell ref="K12:L12"/>
    <mergeCell ref="O12:P12"/>
    <mergeCell ref="R12:S12"/>
    <mergeCell ref="B9:D11"/>
    <mergeCell ref="AG6:AK6"/>
    <mergeCell ref="M9:N9"/>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M111:N111"/>
    <mergeCell ref="M112:N112"/>
    <mergeCell ref="M113:N113"/>
    <mergeCell ref="M114:N114"/>
    <mergeCell ref="M115:N115"/>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M134:N134"/>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M149:N149"/>
    <mergeCell ref="M150:N150"/>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217:N217"/>
    <mergeCell ref="M218:N218"/>
    <mergeCell ref="M219:N219"/>
    <mergeCell ref="M220:N220"/>
    <mergeCell ref="M221:N221"/>
    <mergeCell ref="M222:N222"/>
    <mergeCell ref="M223:N223"/>
    <mergeCell ref="M168:N168"/>
    <mergeCell ref="M169:N169"/>
    <mergeCell ref="M170:N170"/>
    <mergeCell ref="M171:N171"/>
    <mergeCell ref="M172:N172"/>
    <mergeCell ref="M173:N173"/>
    <mergeCell ref="M174:N174"/>
    <mergeCell ref="M175:N175"/>
    <mergeCell ref="M176:N176"/>
    <mergeCell ref="M177:N177"/>
    <mergeCell ref="M178:N178"/>
    <mergeCell ref="M179:N179"/>
    <mergeCell ref="M180:N180"/>
    <mergeCell ref="M181:N181"/>
    <mergeCell ref="M182:N182"/>
    <mergeCell ref="M183:N183"/>
    <mergeCell ref="M184:N184"/>
    <mergeCell ref="M227:N227"/>
    <mergeCell ref="M228:N228"/>
    <mergeCell ref="M229:N229"/>
    <mergeCell ref="M230:N230"/>
    <mergeCell ref="M231:N231"/>
    <mergeCell ref="M232:N232"/>
    <mergeCell ref="M233:N233"/>
    <mergeCell ref="M226:N226"/>
    <mergeCell ref="M193:N193"/>
    <mergeCell ref="M194:N194"/>
    <mergeCell ref="M195:N195"/>
    <mergeCell ref="M196:N196"/>
    <mergeCell ref="M197:N197"/>
    <mergeCell ref="M198:N198"/>
    <mergeCell ref="M199:N199"/>
    <mergeCell ref="M200:N200"/>
    <mergeCell ref="M201:N201"/>
    <mergeCell ref="M202:N202"/>
    <mergeCell ref="M203:N203"/>
    <mergeCell ref="M204:N204"/>
    <mergeCell ref="M205:N205"/>
    <mergeCell ref="M206:N206"/>
    <mergeCell ref="M207:N207"/>
    <mergeCell ref="M208:N208"/>
    <mergeCell ref="M209:N209"/>
    <mergeCell ref="M210:N210"/>
    <mergeCell ref="M211:N211"/>
    <mergeCell ref="M212:N212"/>
    <mergeCell ref="M213:N213"/>
    <mergeCell ref="M214:N214"/>
    <mergeCell ref="M215:N215"/>
    <mergeCell ref="M216:N216"/>
    <mergeCell ref="B3:Y3"/>
    <mergeCell ref="M261:N261"/>
    <mergeCell ref="M262:N262"/>
    <mergeCell ref="M263:N263"/>
    <mergeCell ref="M264:N264"/>
    <mergeCell ref="M265:N265"/>
    <mergeCell ref="I10:N10"/>
    <mergeCell ref="K6:N6"/>
    <mergeCell ref="W4:Y4"/>
    <mergeCell ref="T6:V6"/>
    <mergeCell ref="B4:H4"/>
    <mergeCell ref="I4:K4"/>
    <mergeCell ref="O4:P4"/>
    <mergeCell ref="R4:T4"/>
    <mergeCell ref="M244:N244"/>
    <mergeCell ref="M245:N245"/>
    <mergeCell ref="M246:N246"/>
    <mergeCell ref="M247:N247"/>
    <mergeCell ref="M248:N248"/>
    <mergeCell ref="M249:N249"/>
    <mergeCell ref="M250:N250"/>
    <mergeCell ref="M251:N251"/>
    <mergeCell ref="M224:N224"/>
    <mergeCell ref="M225:N225"/>
    <mergeCell ref="M185:N185"/>
    <mergeCell ref="M186:N186"/>
    <mergeCell ref="M187:N187"/>
    <mergeCell ref="M188:N188"/>
    <mergeCell ref="M189:N189"/>
    <mergeCell ref="M190:N190"/>
    <mergeCell ref="M191:N191"/>
    <mergeCell ref="M192:N192"/>
    <mergeCell ref="M252:N252"/>
    <mergeCell ref="M253:N253"/>
    <mergeCell ref="M254:N254"/>
    <mergeCell ref="M255:N255"/>
    <mergeCell ref="M256:N256"/>
    <mergeCell ref="M257:N257"/>
    <mergeCell ref="M258:N258"/>
    <mergeCell ref="M259:N259"/>
    <mergeCell ref="M260:N260"/>
    <mergeCell ref="M234:N234"/>
    <mergeCell ref="M235:N235"/>
    <mergeCell ref="M236:N236"/>
    <mergeCell ref="M237:N237"/>
    <mergeCell ref="M238:N238"/>
    <mergeCell ref="M239:N239"/>
    <mergeCell ref="M240:N240"/>
    <mergeCell ref="M241:N241"/>
    <mergeCell ref="M242:N242"/>
    <mergeCell ref="M243:N243"/>
  </mergeCells>
  <printOptions horizontalCentered="1"/>
  <pageMargins left="0.5" right="0.5" top="0.75" bottom="0.5" header="0.3" footer="0.05"/>
  <pageSetup paperSize="9" scale="70" orientation="landscape" r:id="rId1"/>
  <colBreaks count="1" manualBreakCount="1">
    <brk id="25" min="3" max="267"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82"/>
  <sheetViews>
    <sheetView view="pageBreakPreview" zoomScaleNormal="100" zoomScaleSheetLayoutView="100" workbookViewId="0">
      <pane xSplit="26" ySplit="11" topLeftCell="AA12" activePane="bottomRight" state="frozen"/>
      <selection pane="topRight" activeCell="AA1" sqref="AA1"/>
      <selection pane="bottomLeft" activeCell="A12" sqref="A12"/>
      <selection pane="bottomRight"/>
    </sheetView>
  </sheetViews>
  <sheetFormatPr defaultColWidth="9.140625" defaultRowHeight="15" x14ac:dyDescent="0.25"/>
  <cols>
    <col min="1" max="52" width="4.7109375" style="1" customWidth="1"/>
    <col min="53" max="16384" width="9.140625" style="1"/>
  </cols>
  <sheetData>
    <row r="1" spans="1:46" ht="27.75" customHeight="1" x14ac:dyDescent="0.25">
      <c r="B1" s="224"/>
      <c r="C1" s="224"/>
      <c r="D1" s="224"/>
      <c r="F1" s="224"/>
      <c r="G1" s="224"/>
      <c r="H1" s="224"/>
      <c r="I1" s="224"/>
      <c r="K1" s="225"/>
      <c r="L1" s="225"/>
      <c r="M1" s="225"/>
      <c r="N1" s="225"/>
      <c r="O1" s="225"/>
      <c r="P1" s="225"/>
      <c r="R1" s="232"/>
      <c r="S1" s="232"/>
      <c r="T1" s="232"/>
      <c r="U1" s="232"/>
      <c r="V1" s="232"/>
      <c r="W1" s="232"/>
      <c r="X1" s="232"/>
      <c r="Y1" s="232"/>
      <c r="Z1" s="232"/>
    </row>
    <row r="3" spans="1:46" ht="23.25" x14ac:dyDescent="0.25">
      <c r="B3" s="444" t="s">
        <v>281</v>
      </c>
      <c r="C3" s="444"/>
      <c r="D3" s="444"/>
      <c r="E3" s="444"/>
      <c r="F3" s="444"/>
      <c r="G3" s="444"/>
      <c r="H3" s="444"/>
      <c r="I3" s="444"/>
      <c r="J3" s="444"/>
      <c r="K3" s="444"/>
      <c r="L3" s="444"/>
      <c r="M3" s="444"/>
      <c r="N3" s="444"/>
      <c r="O3" s="444"/>
      <c r="P3" s="444"/>
      <c r="Q3" s="444"/>
      <c r="R3" s="444"/>
      <c r="S3" s="444"/>
      <c r="T3" s="444"/>
      <c r="U3" s="444"/>
      <c r="V3" s="444"/>
      <c r="W3" s="444"/>
      <c r="X3" s="444"/>
      <c r="Y3" s="444"/>
      <c r="Z3" s="444"/>
    </row>
    <row r="4" spans="1:46" ht="10.5" customHeight="1" thickBot="1" x14ac:dyDescent="0.3">
      <c r="B4" s="160"/>
      <c r="C4" s="160"/>
      <c r="D4" s="160"/>
      <c r="E4" s="160"/>
      <c r="F4" s="160"/>
      <c r="G4" s="160"/>
      <c r="H4" s="160"/>
      <c r="I4" s="160"/>
      <c r="J4" s="160"/>
      <c r="K4" s="160"/>
      <c r="L4" s="160"/>
      <c r="M4" s="160"/>
      <c r="N4" s="160"/>
      <c r="O4" s="160"/>
      <c r="P4" s="160"/>
      <c r="Q4" s="160"/>
      <c r="R4" s="160"/>
      <c r="S4" s="160"/>
      <c r="T4" s="160"/>
      <c r="U4" s="160"/>
      <c r="V4" s="160"/>
      <c r="W4" s="160"/>
      <c r="X4" s="160"/>
      <c r="Y4" s="160"/>
      <c r="Z4" s="160"/>
    </row>
    <row r="5" spans="1:46" x14ac:dyDescent="0.25">
      <c r="B5" s="25"/>
      <c r="C5" s="26"/>
      <c r="D5" s="26"/>
      <c r="E5" s="26"/>
      <c r="F5" s="26"/>
      <c r="G5" s="26"/>
      <c r="H5" s="26"/>
      <c r="I5" s="26"/>
      <c r="J5" s="26"/>
      <c r="K5" s="26"/>
      <c r="L5" s="26"/>
      <c r="M5" s="26"/>
      <c r="N5" s="26"/>
      <c r="O5" s="26"/>
      <c r="P5" s="26"/>
      <c r="Q5" s="26"/>
      <c r="R5" s="26"/>
      <c r="S5" s="26"/>
      <c r="T5" s="26"/>
      <c r="U5" s="26"/>
      <c r="V5" s="26"/>
      <c r="W5" s="26"/>
      <c r="X5" s="26"/>
      <c r="Y5" s="26"/>
      <c r="Z5" s="27"/>
    </row>
    <row r="6" spans="1:46" ht="15.75" x14ac:dyDescent="0.25">
      <c r="A6" s="15"/>
      <c r="B6" s="450" t="s">
        <v>0</v>
      </c>
      <c r="C6" s="443"/>
      <c r="D6" s="443"/>
      <c r="E6" s="443"/>
      <c r="F6" s="445" t="str">
        <f>IF('C for c'!C2=0,"",'C for c'!C2)</f>
        <v/>
      </c>
      <c r="G6" s="445"/>
      <c r="H6" s="445"/>
      <c r="I6" s="445"/>
      <c r="J6" s="443" t="s">
        <v>7</v>
      </c>
      <c r="K6" s="443"/>
      <c r="L6" s="443"/>
      <c r="M6" s="443"/>
      <c r="N6" s="443"/>
      <c r="O6" s="445" t="str">
        <f>IF('C for c'!C3=0,"",'C for c'!C3)</f>
        <v/>
      </c>
      <c r="P6" s="445"/>
      <c r="Q6" s="445"/>
      <c r="R6" s="445"/>
      <c r="S6" s="443" t="s">
        <v>13</v>
      </c>
      <c r="T6" s="443"/>
      <c r="U6" s="443"/>
      <c r="V6" s="443"/>
      <c r="W6" s="445" t="str">
        <f>IF('C for c'!C4=0,"",'C for c'!C4)</f>
        <v/>
      </c>
      <c r="X6" s="445"/>
      <c r="Y6" s="445"/>
      <c r="Z6" s="446"/>
      <c r="AA6" s="15"/>
    </row>
    <row r="7" spans="1:46" ht="9.9499999999999993" customHeight="1" x14ac:dyDescent="0.25">
      <c r="A7" s="15"/>
      <c r="B7" s="161"/>
      <c r="C7" s="15"/>
      <c r="D7" s="15"/>
      <c r="E7" s="15"/>
      <c r="F7" s="15"/>
      <c r="G7" s="15"/>
      <c r="H7" s="15"/>
      <c r="I7" s="15"/>
      <c r="J7" s="15"/>
      <c r="K7" s="15"/>
      <c r="L7" s="15"/>
      <c r="M7" s="15"/>
      <c r="N7" s="15"/>
      <c r="O7" s="15"/>
      <c r="P7" s="15"/>
      <c r="Q7" s="15"/>
      <c r="R7" s="15"/>
      <c r="S7" s="15"/>
      <c r="T7" s="15"/>
      <c r="U7" s="15"/>
      <c r="V7" s="15"/>
      <c r="W7" s="15"/>
      <c r="X7" s="15"/>
      <c r="Y7" s="15"/>
      <c r="Z7" s="162"/>
      <c r="AA7" s="15"/>
    </row>
    <row r="8" spans="1:46" ht="15.75" x14ac:dyDescent="0.25">
      <c r="A8" s="15"/>
      <c r="B8" s="447" t="s">
        <v>64</v>
      </c>
      <c r="C8" s="448"/>
      <c r="D8" s="448"/>
      <c r="E8" s="448"/>
      <c r="F8" s="448"/>
      <c r="G8" s="443" t="s">
        <v>104</v>
      </c>
      <c r="H8" s="443"/>
      <c r="I8" s="443"/>
      <c r="J8" s="443"/>
      <c r="K8" s="445" t="str">
        <f>IF('C for c'!G2=0,"",'C for c'!G2)</f>
        <v/>
      </c>
      <c r="L8" s="445"/>
      <c r="N8" s="15" t="s">
        <v>105</v>
      </c>
      <c r="O8" s="15"/>
      <c r="P8" s="15"/>
      <c r="Q8" s="15"/>
      <c r="R8" s="449" t="str">
        <f>IF('C for c'!G3=0,"",'C for c'!G3)</f>
        <v/>
      </c>
      <c r="S8" s="449"/>
      <c r="T8" s="443" t="s">
        <v>280</v>
      </c>
      <c r="U8" s="443"/>
      <c r="V8" s="443"/>
      <c r="W8" s="443"/>
      <c r="X8" s="443"/>
      <c r="Y8" s="445" t="str">
        <f>IF('C for c'!G4=0,"",'C for c'!G4)</f>
        <v/>
      </c>
      <c r="Z8" s="446"/>
      <c r="AA8" s="15"/>
    </row>
    <row r="9" spans="1:46" ht="9.9499999999999993" customHeight="1" x14ac:dyDescent="0.25">
      <c r="A9" s="15"/>
      <c r="B9" s="161"/>
      <c r="C9" s="15"/>
      <c r="D9" s="15"/>
      <c r="E9" s="15"/>
      <c r="F9" s="15"/>
      <c r="G9" s="15"/>
      <c r="H9" s="15"/>
      <c r="I9" s="15"/>
      <c r="J9" s="15"/>
      <c r="K9" s="15"/>
      <c r="L9" s="15"/>
      <c r="M9" s="15"/>
      <c r="N9" s="15"/>
      <c r="O9" s="15"/>
      <c r="P9" s="15"/>
      <c r="Q9" s="15"/>
      <c r="R9" s="15"/>
      <c r="S9" s="15"/>
      <c r="T9" s="15"/>
      <c r="U9" s="15"/>
      <c r="V9" s="15"/>
      <c r="W9" s="15"/>
      <c r="X9" s="15"/>
      <c r="Y9" s="15"/>
      <c r="Z9" s="162"/>
      <c r="AA9" s="15"/>
    </row>
    <row r="10" spans="1:46" ht="15.75" x14ac:dyDescent="0.25">
      <c r="A10" s="15"/>
      <c r="B10" s="450" t="s">
        <v>106</v>
      </c>
      <c r="C10" s="443"/>
      <c r="D10" s="443"/>
      <c r="E10" s="443"/>
      <c r="F10" s="445" t="str">
        <f>IF('C for c'!D6=0,"",'C for c'!D6)</f>
        <v/>
      </c>
      <c r="G10" s="445"/>
      <c r="H10" s="451" t="s">
        <v>282</v>
      </c>
      <c r="I10" s="451"/>
      <c r="J10" s="451"/>
      <c r="K10" s="451"/>
      <c r="L10" s="443" t="s">
        <v>107</v>
      </c>
      <c r="M10" s="443"/>
      <c r="N10" s="443"/>
      <c r="O10" s="443"/>
      <c r="P10" s="237" t="str">
        <f>IF('C for c'!K4=0,"",'C for c'!K4)</f>
        <v/>
      </c>
      <c r="Q10" s="443" t="s">
        <v>283</v>
      </c>
      <c r="R10" s="443"/>
      <c r="S10" s="443"/>
      <c r="T10" s="237" t="str">
        <f>IF('C for c'!K2=0,"",'C for c'!K2)</f>
        <v/>
      </c>
      <c r="U10" s="443" t="s">
        <v>284</v>
      </c>
      <c r="V10" s="443"/>
      <c r="W10" s="443"/>
      <c r="X10" s="443"/>
      <c r="Y10" s="445" t="str">
        <f>IF('C for c'!K3=0,"",'C for c'!K3)</f>
        <v/>
      </c>
      <c r="Z10" s="446"/>
      <c r="AA10" s="15"/>
      <c r="AQ10" s="443"/>
      <c r="AR10" s="443"/>
      <c r="AS10" s="443"/>
      <c r="AT10" s="443"/>
    </row>
    <row r="11" spans="1:46" ht="16.5" thickBot="1" x14ac:dyDescent="0.3">
      <c r="A11" s="15"/>
      <c r="B11" s="163"/>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5"/>
      <c r="AA11" s="15"/>
    </row>
    <row r="12" spans="1:46" ht="9.9499999999999993" customHeight="1" thickBot="1"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spans="1:46" ht="9.9499999999999993" customHeight="1" x14ac:dyDescent="0.25">
      <c r="A13" s="15"/>
      <c r="B13" s="166"/>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8"/>
      <c r="AA13" s="15"/>
    </row>
    <row r="14" spans="1:46" s="80" customFormat="1" ht="20.100000000000001" customHeight="1" x14ac:dyDescent="0.25">
      <c r="B14" s="169" t="s">
        <v>23</v>
      </c>
      <c r="C14" s="8"/>
      <c r="D14" s="8"/>
      <c r="E14" s="8"/>
      <c r="F14" s="8"/>
      <c r="G14" s="8"/>
      <c r="H14" s="8"/>
      <c r="I14" s="8"/>
      <c r="J14" s="8"/>
      <c r="K14" s="8"/>
      <c r="L14" s="8"/>
      <c r="M14" s="8"/>
      <c r="N14" s="8"/>
      <c r="O14" s="8"/>
      <c r="Z14" s="170"/>
    </row>
    <row r="15" spans="1:46" s="80" customFormat="1" ht="20.100000000000001" customHeight="1" x14ac:dyDescent="0.25">
      <c r="B15" s="171"/>
      <c r="C15" s="8"/>
      <c r="D15" s="8"/>
      <c r="E15" s="8"/>
      <c r="F15" s="8"/>
      <c r="G15" s="8"/>
      <c r="H15" s="8"/>
      <c r="I15" s="8"/>
      <c r="J15" s="8"/>
      <c r="K15" s="8"/>
      <c r="L15" s="8"/>
      <c r="M15" s="8"/>
      <c r="N15" s="8"/>
      <c r="O15" s="8"/>
      <c r="T15" s="441" t="s">
        <v>113</v>
      </c>
      <c r="U15" s="441"/>
      <c r="V15" s="441"/>
      <c r="X15" s="441" t="s">
        <v>151</v>
      </c>
      <c r="Y15" s="441"/>
      <c r="Z15" s="442"/>
    </row>
    <row r="16" spans="1:46" s="126" customFormat="1" ht="23.1" customHeight="1" x14ac:dyDescent="0.25">
      <c r="A16" s="80"/>
      <c r="B16" s="436" t="s">
        <v>135</v>
      </c>
      <c r="C16" s="437"/>
      <c r="D16" s="437"/>
      <c r="E16" s="437"/>
      <c r="F16" s="437"/>
      <c r="G16" s="437"/>
      <c r="H16" s="437"/>
      <c r="I16" s="437"/>
      <c r="J16" s="437"/>
      <c r="K16" s="437"/>
      <c r="L16" s="437"/>
      <c r="M16" s="437"/>
      <c r="N16" s="437"/>
      <c r="O16" s="437"/>
      <c r="P16" s="437"/>
      <c r="Q16" s="437"/>
      <c r="R16" s="437"/>
      <c r="S16" s="437"/>
      <c r="T16" s="437"/>
      <c r="U16" s="437"/>
      <c r="V16" s="437"/>
      <c r="W16" s="437"/>
      <c r="X16" s="437"/>
      <c r="Y16" s="437"/>
      <c r="Z16" s="438"/>
      <c r="AA16" s="80"/>
    </row>
    <row r="17" spans="1:27" s="126" customFormat="1" ht="23.1" customHeight="1" x14ac:dyDescent="0.25">
      <c r="A17" s="80"/>
      <c r="B17" s="172" t="s">
        <v>130</v>
      </c>
      <c r="C17" s="419" t="s">
        <v>192</v>
      </c>
      <c r="D17" s="419"/>
      <c r="E17" s="419"/>
      <c r="F17" s="419"/>
      <c r="G17" s="419"/>
      <c r="H17" s="419"/>
      <c r="I17" s="419"/>
      <c r="J17" s="419"/>
      <c r="K17" s="419"/>
      <c r="L17" s="419"/>
      <c r="M17" s="419"/>
      <c r="N17" s="419"/>
      <c r="O17" s="419"/>
      <c r="P17" s="419"/>
      <c r="Q17" s="419"/>
      <c r="R17" s="419"/>
      <c r="S17" s="212"/>
      <c r="T17" s="413" t="str">
        <f>IF('C for c'!H9=0,"",'C for c'!H9)</f>
        <v/>
      </c>
      <c r="U17" s="413"/>
      <c r="V17" s="413"/>
      <c r="W17" s="173"/>
      <c r="X17" s="413" t="str">
        <f>IFERROR(T17*12,"")</f>
        <v/>
      </c>
      <c r="Y17" s="413"/>
      <c r="Z17" s="414"/>
      <c r="AA17" s="80"/>
    </row>
    <row r="18" spans="1:27" s="126" customFormat="1" ht="23.1" customHeight="1" x14ac:dyDescent="0.25">
      <c r="A18" s="80"/>
      <c r="B18" s="214" t="s">
        <v>132</v>
      </c>
      <c r="C18" s="411" t="s">
        <v>193</v>
      </c>
      <c r="D18" s="411"/>
      <c r="E18" s="411"/>
      <c r="F18" s="411"/>
      <c r="G18" s="411"/>
      <c r="H18" s="411"/>
      <c r="I18" s="411"/>
      <c r="J18" s="411"/>
      <c r="K18" s="411"/>
      <c r="L18" s="411"/>
      <c r="M18" s="411"/>
      <c r="N18" s="411"/>
      <c r="O18" s="411"/>
      <c r="P18" s="411"/>
      <c r="Q18" s="411"/>
      <c r="R18" s="411"/>
      <c r="S18" s="211"/>
      <c r="T18" s="412" t="str">
        <f>IF('C for c'!P9=0,"",'C for c'!P9)</f>
        <v/>
      </c>
      <c r="U18" s="412"/>
      <c r="V18" s="412"/>
      <c r="W18" s="174"/>
      <c r="X18" s="413" t="str">
        <f>IFERROR(T18*12,"")</f>
        <v/>
      </c>
      <c r="Y18" s="413"/>
      <c r="Z18" s="414"/>
      <c r="AA18" s="80"/>
    </row>
    <row r="19" spans="1:27" s="126" customFormat="1" ht="23.1" customHeight="1" x14ac:dyDescent="0.25">
      <c r="A19" s="80"/>
      <c r="B19" s="214" t="s">
        <v>133</v>
      </c>
      <c r="C19" s="411" t="s">
        <v>134</v>
      </c>
      <c r="D19" s="411"/>
      <c r="E19" s="411"/>
      <c r="F19" s="411"/>
      <c r="G19" s="411"/>
      <c r="H19" s="411"/>
      <c r="I19" s="411"/>
      <c r="J19" s="411"/>
      <c r="K19" s="411"/>
      <c r="L19" s="411"/>
      <c r="M19" s="411"/>
      <c r="N19" s="411"/>
      <c r="O19" s="411"/>
      <c r="P19" s="411"/>
      <c r="Q19" s="411"/>
      <c r="R19" s="411"/>
      <c r="S19" s="211"/>
      <c r="T19" s="412" t="str">
        <f>IF('C for c'!F11=0,"",'C for c'!F11)</f>
        <v/>
      </c>
      <c r="U19" s="412"/>
      <c r="V19" s="412"/>
      <c r="W19" s="174"/>
      <c r="X19" s="413" t="str">
        <f>IFERROR(T19*12,"")</f>
        <v/>
      </c>
      <c r="Y19" s="413"/>
      <c r="Z19" s="414"/>
      <c r="AA19" s="80"/>
    </row>
    <row r="20" spans="1:27" ht="10.5" customHeight="1" x14ac:dyDescent="0.25">
      <c r="B20" s="175"/>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76"/>
    </row>
    <row r="21" spans="1:27" s="126" customFormat="1" ht="23.1" customHeight="1" x14ac:dyDescent="0.25">
      <c r="A21" s="80"/>
      <c r="B21" s="436" t="s">
        <v>136</v>
      </c>
      <c r="C21" s="437"/>
      <c r="D21" s="437"/>
      <c r="E21" s="437"/>
      <c r="F21" s="437"/>
      <c r="G21" s="437"/>
      <c r="H21" s="437"/>
      <c r="I21" s="437"/>
      <c r="J21" s="437"/>
      <c r="K21" s="437"/>
      <c r="L21" s="437"/>
      <c r="M21" s="437"/>
      <c r="N21" s="437"/>
      <c r="O21" s="437"/>
      <c r="P21" s="437"/>
      <c r="Q21" s="437"/>
      <c r="R21" s="437"/>
      <c r="S21" s="437"/>
      <c r="T21" s="437"/>
      <c r="U21" s="437"/>
      <c r="V21" s="437"/>
      <c r="W21" s="437"/>
      <c r="X21" s="437"/>
      <c r="Y21" s="437"/>
      <c r="Z21" s="438"/>
      <c r="AA21" s="80"/>
    </row>
    <row r="22" spans="1:27" s="126" customFormat="1" ht="23.1" customHeight="1" x14ac:dyDescent="0.25">
      <c r="A22" s="80"/>
      <c r="B22" s="214" t="s">
        <v>130</v>
      </c>
      <c r="C22" s="411" t="s">
        <v>156</v>
      </c>
      <c r="D22" s="411"/>
      <c r="E22" s="411"/>
      <c r="F22" s="411"/>
      <c r="G22" s="411"/>
      <c r="H22" s="411"/>
      <c r="I22" s="411"/>
      <c r="J22" s="411"/>
      <c r="K22" s="411"/>
      <c r="L22" s="411"/>
      <c r="M22" s="411"/>
      <c r="N22" s="411"/>
      <c r="O22" s="411"/>
      <c r="P22" s="411"/>
      <c r="Q22" s="411"/>
      <c r="R22" s="411"/>
      <c r="S22" s="174"/>
      <c r="T22" s="412" t="str">
        <f>IF('C for c'!G18=0,"",'C for c'!G18)</f>
        <v/>
      </c>
      <c r="U22" s="412"/>
      <c r="V22" s="412"/>
      <c r="W22" s="174"/>
      <c r="X22" s="413" t="str">
        <f>IFERROR(T22*12,"")</f>
        <v/>
      </c>
      <c r="Y22" s="413"/>
      <c r="Z22" s="414"/>
      <c r="AA22" s="80"/>
    </row>
    <row r="23" spans="1:27" s="126" customFormat="1" ht="23.1" customHeight="1" x14ac:dyDescent="0.25">
      <c r="A23" s="80"/>
      <c r="B23" s="214" t="s">
        <v>132</v>
      </c>
      <c r="C23" s="411" t="s">
        <v>137</v>
      </c>
      <c r="D23" s="411"/>
      <c r="E23" s="411"/>
      <c r="F23" s="411"/>
      <c r="G23" s="411"/>
      <c r="H23" s="411"/>
      <c r="I23" s="411"/>
      <c r="J23" s="411"/>
      <c r="K23" s="411"/>
      <c r="L23" s="411"/>
      <c r="M23" s="411"/>
      <c r="N23" s="411"/>
      <c r="O23" s="411"/>
      <c r="P23" s="411"/>
      <c r="Q23" s="411"/>
      <c r="R23" s="411"/>
      <c r="S23" s="174"/>
      <c r="T23" s="412" t="str">
        <f>IF('C for c'!G19=0,"",'C for c'!G19)</f>
        <v/>
      </c>
      <c r="U23" s="412"/>
      <c r="V23" s="412"/>
      <c r="W23" s="174"/>
      <c r="X23" s="413" t="str">
        <f>IFERROR(T23*12,"")</f>
        <v/>
      </c>
      <c r="Y23" s="413"/>
      <c r="Z23" s="414"/>
      <c r="AA23" s="80"/>
    </row>
    <row r="24" spans="1:27" s="126" customFormat="1" ht="23.1" customHeight="1" x14ac:dyDescent="0.25">
      <c r="A24" s="80"/>
      <c r="B24" s="214" t="s">
        <v>133</v>
      </c>
      <c r="C24" s="411" t="s">
        <v>140</v>
      </c>
      <c r="D24" s="411"/>
      <c r="E24" s="411"/>
      <c r="F24" s="411"/>
      <c r="G24" s="411"/>
      <c r="H24" s="411"/>
      <c r="I24" s="411"/>
      <c r="J24" s="411"/>
      <c r="K24" s="411"/>
      <c r="L24" s="411"/>
      <c r="M24" s="411"/>
      <c r="N24" s="411"/>
      <c r="O24" s="411"/>
      <c r="P24" s="411"/>
      <c r="Q24" s="411"/>
      <c r="R24" s="411"/>
      <c r="S24" s="174"/>
      <c r="T24" s="412" t="str">
        <f>IF('C for c'!G20=0,"",'C for c'!G20)</f>
        <v/>
      </c>
      <c r="U24" s="412"/>
      <c r="V24" s="412"/>
      <c r="W24" s="174"/>
      <c r="X24" s="413" t="str">
        <f>IFERROR(T24*12,"")</f>
        <v/>
      </c>
      <c r="Y24" s="413"/>
      <c r="Z24" s="414"/>
      <c r="AA24" s="80"/>
    </row>
    <row r="25" spans="1:27" s="126" customFormat="1" ht="23.1" customHeight="1" x14ac:dyDescent="0.25">
      <c r="A25" s="80"/>
      <c r="B25" s="214" t="s">
        <v>141</v>
      </c>
      <c r="C25" s="411" t="s">
        <v>138</v>
      </c>
      <c r="D25" s="411"/>
      <c r="E25" s="411"/>
      <c r="F25" s="411"/>
      <c r="G25" s="411"/>
      <c r="H25" s="411"/>
      <c r="I25" s="411"/>
      <c r="J25" s="411"/>
      <c r="K25" s="411"/>
      <c r="L25" s="411"/>
      <c r="M25" s="411"/>
      <c r="N25" s="411"/>
      <c r="O25" s="411"/>
      <c r="P25" s="411"/>
      <c r="Q25" s="411"/>
      <c r="R25" s="411"/>
      <c r="S25" s="174"/>
      <c r="T25" s="412" t="str">
        <f>IF('C for c'!G21=0,"",'C for c'!G21)</f>
        <v/>
      </c>
      <c r="U25" s="412"/>
      <c r="V25" s="412"/>
      <c r="W25" s="174"/>
      <c r="X25" s="413" t="str">
        <f>IFERROR(T25*12,"")</f>
        <v/>
      </c>
      <c r="Y25" s="413"/>
      <c r="Z25" s="414"/>
      <c r="AA25" s="80"/>
    </row>
    <row r="26" spans="1:27" s="126" customFormat="1" ht="23.1" customHeight="1" x14ac:dyDescent="0.25">
      <c r="A26" s="80"/>
      <c r="B26" s="214" t="s">
        <v>131</v>
      </c>
      <c r="C26" s="411" t="s">
        <v>139</v>
      </c>
      <c r="D26" s="411"/>
      <c r="E26" s="411"/>
      <c r="F26" s="411"/>
      <c r="G26" s="411"/>
      <c r="H26" s="411"/>
      <c r="I26" s="411"/>
      <c r="J26" s="411"/>
      <c r="K26" s="411"/>
      <c r="L26" s="411"/>
      <c r="M26" s="411"/>
      <c r="N26" s="411"/>
      <c r="O26" s="411"/>
      <c r="P26" s="411"/>
      <c r="Q26" s="411"/>
      <c r="R26" s="411"/>
      <c r="S26" s="174"/>
      <c r="T26" s="412" t="str">
        <f>IF('C for c'!G22=0,"",'C for c'!G22)</f>
        <v/>
      </c>
      <c r="U26" s="412"/>
      <c r="V26" s="412"/>
      <c r="W26" s="174"/>
      <c r="X26" s="413" t="str">
        <f>IFERROR(T26*12,"")</f>
        <v/>
      </c>
      <c r="Y26" s="413"/>
      <c r="Z26" s="414"/>
      <c r="AA26" s="80"/>
    </row>
    <row r="27" spans="1:27" ht="10.5" customHeight="1" x14ac:dyDescent="0.25">
      <c r="B27" s="175"/>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76"/>
    </row>
    <row r="28" spans="1:27" s="126" customFormat="1" ht="23.1" customHeight="1" x14ac:dyDescent="0.25">
      <c r="A28" s="80"/>
      <c r="B28" s="436" t="s">
        <v>199</v>
      </c>
      <c r="C28" s="437"/>
      <c r="D28" s="437"/>
      <c r="E28" s="437"/>
      <c r="F28" s="437"/>
      <c r="G28" s="437"/>
      <c r="H28" s="437"/>
      <c r="I28" s="437"/>
      <c r="J28" s="437"/>
      <c r="K28" s="437"/>
      <c r="L28" s="437"/>
      <c r="M28" s="437"/>
      <c r="N28" s="437"/>
      <c r="O28" s="437"/>
      <c r="P28" s="437"/>
      <c r="Q28" s="437"/>
      <c r="R28" s="437"/>
      <c r="S28" s="437"/>
      <c r="T28" s="437"/>
      <c r="U28" s="437"/>
      <c r="V28" s="437"/>
      <c r="W28" s="437"/>
      <c r="X28" s="437"/>
      <c r="Y28" s="437"/>
      <c r="Z28" s="438"/>
      <c r="AA28" s="80"/>
    </row>
    <row r="29" spans="1:27" s="126" customFormat="1" ht="23.1" customHeight="1" x14ac:dyDescent="0.25">
      <c r="A29" s="80"/>
      <c r="B29" s="177" t="s">
        <v>130</v>
      </c>
      <c r="C29" s="411" t="s">
        <v>142</v>
      </c>
      <c r="D29" s="411"/>
      <c r="E29" s="411"/>
      <c r="F29" s="411"/>
      <c r="G29" s="411"/>
      <c r="H29" s="411"/>
      <c r="I29" s="411"/>
      <c r="J29" s="411"/>
      <c r="K29" s="411"/>
      <c r="L29" s="411"/>
      <c r="M29" s="411"/>
      <c r="N29" s="411"/>
      <c r="O29" s="411"/>
      <c r="P29" s="411"/>
      <c r="Q29" s="411"/>
      <c r="R29" s="411"/>
      <c r="S29" s="174"/>
      <c r="T29" s="412" t="str">
        <f>IF('C for c'!G13=0,"",'C for c'!G13)</f>
        <v/>
      </c>
      <c r="U29" s="412"/>
      <c r="V29" s="412"/>
      <c r="W29" s="174"/>
      <c r="X29" s="413" t="str">
        <f>IFERROR(T29*12,"")</f>
        <v/>
      </c>
      <c r="Y29" s="413"/>
      <c r="Z29" s="414"/>
      <c r="AA29" s="80"/>
    </row>
    <row r="30" spans="1:27" s="126" customFormat="1" ht="23.1" customHeight="1" x14ac:dyDescent="0.25">
      <c r="A30" s="80"/>
      <c r="B30" s="177" t="s">
        <v>132</v>
      </c>
      <c r="C30" s="411" t="s">
        <v>143</v>
      </c>
      <c r="D30" s="411"/>
      <c r="E30" s="411"/>
      <c r="F30" s="411"/>
      <c r="G30" s="411"/>
      <c r="H30" s="411"/>
      <c r="I30" s="411"/>
      <c r="J30" s="411"/>
      <c r="K30" s="411"/>
      <c r="L30" s="411"/>
      <c r="M30" s="411"/>
      <c r="N30" s="411"/>
      <c r="O30" s="411"/>
      <c r="P30" s="411"/>
      <c r="Q30" s="411"/>
      <c r="R30" s="411"/>
      <c r="S30" s="174"/>
      <c r="T30" s="174"/>
      <c r="U30" s="174"/>
      <c r="V30" s="174"/>
      <c r="W30" s="174"/>
      <c r="X30" s="412" t="str">
        <f>IF('C for c'!G15=0,"",'C for c'!G15)</f>
        <v/>
      </c>
      <c r="Y30" s="412"/>
      <c r="Z30" s="418"/>
      <c r="AA30" s="80"/>
    </row>
    <row r="31" spans="1:27" s="126" customFormat="1" ht="23.1" customHeight="1" x14ac:dyDescent="0.25">
      <c r="A31" s="80"/>
      <c r="B31" s="177" t="s">
        <v>133</v>
      </c>
      <c r="C31" s="411" t="s">
        <v>200</v>
      </c>
      <c r="D31" s="411"/>
      <c r="E31" s="411"/>
      <c r="F31" s="411"/>
      <c r="G31" s="411"/>
      <c r="H31" s="411"/>
      <c r="I31" s="411"/>
      <c r="J31" s="411"/>
      <c r="K31" s="411"/>
      <c r="L31" s="411"/>
      <c r="M31" s="411"/>
      <c r="N31" s="411"/>
      <c r="O31" s="411"/>
      <c r="P31" s="411"/>
      <c r="Q31" s="411"/>
      <c r="R31" s="411"/>
      <c r="S31" s="174"/>
      <c r="T31" s="412" t="str">
        <f>IF('C for c'!G12=0,"",'C for c'!G12)</f>
        <v/>
      </c>
      <c r="U31" s="412"/>
      <c r="V31" s="412"/>
      <c r="W31" s="412"/>
      <c r="X31" s="412"/>
      <c r="Y31" s="412"/>
      <c r="Z31" s="418"/>
      <c r="AA31" s="80"/>
    </row>
    <row r="32" spans="1:27" ht="10.5" customHeight="1" thickBot="1" x14ac:dyDescent="0.3">
      <c r="B32" s="178"/>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80"/>
    </row>
    <row r="33" spans="1:27" ht="10.5" customHeight="1" thickBot="1" x14ac:dyDescent="0.3">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row>
    <row r="34" spans="1:27" ht="10.5" customHeight="1" x14ac:dyDescent="0.25">
      <c r="B34" s="181"/>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3"/>
    </row>
    <row r="35" spans="1:27" s="184" customFormat="1" ht="20.100000000000001" customHeight="1" x14ac:dyDescent="0.25">
      <c r="A35" s="80"/>
      <c r="B35" s="420" t="s">
        <v>144</v>
      </c>
      <c r="C35" s="421"/>
      <c r="D35" s="421"/>
      <c r="E35" s="421"/>
      <c r="F35" s="421"/>
      <c r="G35" s="421"/>
      <c r="H35" s="421"/>
      <c r="I35" s="421"/>
      <c r="J35" s="421"/>
      <c r="K35" s="421"/>
      <c r="L35" s="421"/>
      <c r="M35" s="421"/>
      <c r="N35" s="421"/>
      <c r="O35" s="421"/>
      <c r="P35" s="421"/>
      <c r="Q35" s="421"/>
      <c r="R35" s="421"/>
      <c r="S35" s="421"/>
      <c r="T35" s="421"/>
      <c r="U35" s="421"/>
      <c r="V35" s="421"/>
      <c r="W35" s="421"/>
      <c r="X35" s="421"/>
      <c r="Y35" s="421"/>
      <c r="Z35" s="422"/>
      <c r="AA35" s="80"/>
    </row>
    <row r="36" spans="1:27" s="80" customFormat="1" ht="20.100000000000001" customHeight="1" x14ac:dyDescent="0.25">
      <c r="B36" s="171"/>
      <c r="C36" s="8"/>
      <c r="D36" s="8"/>
      <c r="E36" s="8"/>
      <c r="F36" s="8"/>
      <c r="G36" s="8"/>
      <c r="H36" s="8"/>
      <c r="I36" s="8"/>
      <c r="J36" s="8"/>
      <c r="K36" s="8"/>
      <c r="L36" s="8"/>
      <c r="M36" s="8"/>
      <c r="N36" s="8"/>
      <c r="O36" s="8"/>
      <c r="T36" s="441" t="s">
        <v>113</v>
      </c>
      <c r="U36" s="441"/>
      <c r="V36" s="441"/>
      <c r="X36" s="441" t="s">
        <v>151</v>
      </c>
      <c r="Y36" s="441"/>
      <c r="Z36" s="442"/>
    </row>
    <row r="37" spans="1:27" ht="10.5" customHeight="1" x14ac:dyDescent="0.25">
      <c r="B37" s="185"/>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7"/>
    </row>
    <row r="38" spans="1:27" s="126" customFormat="1" ht="23.1" customHeight="1" x14ac:dyDescent="0.25">
      <c r="A38" s="80"/>
      <c r="B38" s="188" t="s">
        <v>130</v>
      </c>
      <c r="C38" s="419" t="s">
        <v>241</v>
      </c>
      <c r="D38" s="419"/>
      <c r="E38" s="419"/>
      <c r="F38" s="419"/>
      <c r="G38" s="419"/>
      <c r="H38" s="419"/>
      <c r="I38" s="419"/>
      <c r="J38" s="419"/>
      <c r="K38" s="419"/>
      <c r="L38" s="419"/>
      <c r="M38" s="419"/>
      <c r="N38" s="419"/>
      <c r="O38" s="419"/>
      <c r="P38" s="419"/>
      <c r="Q38" s="419"/>
      <c r="R38" s="419"/>
      <c r="S38" s="173"/>
      <c r="T38" s="416">
        <f>IF('C for c'!AA2=0,0,'C for c'!AA2)</f>
        <v>0</v>
      </c>
      <c r="U38" s="416"/>
      <c r="V38" s="416"/>
      <c r="W38" s="173"/>
      <c r="X38" s="416">
        <f>IFERROR(T38*12,"")</f>
        <v>0</v>
      </c>
      <c r="Y38" s="416"/>
      <c r="Z38" s="417"/>
      <c r="AA38" s="80"/>
    </row>
    <row r="39" spans="1:27" s="126" customFormat="1" ht="23.1" customHeight="1" x14ac:dyDescent="0.25">
      <c r="A39" s="80"/>
      <c r="B39" s="177" t="s">
        <v>132</v>
      </c>
      <c r="C39" s="411" t="s">
        <v>242</v>
      </c>
      <c r="D39" s="411"/>
      <c r="E39" s="411"/>
      <c r="F39" s="411"/>
      <c r="G39" s="411"/>
      <c r="H39" s="411"/>
      <c r="I39" s="411"/>
      <c r="J39" s="411"/>
      <c r="K39" s="411"/>
      <c r="L39" s="411"/>
      <c r="M39" s="411"/>
      <c r="N39" s="411"/>
      <c r="O39" s="411"/>
      <c r="P39" s="411"/>
      <c r="Q39" s="411"/>
      <c r="R39" s="411"/>
      <c r="S39" s="174"/>
      <c r="T39" s="415">
        <f>IF('C for c'!AA3=0,0,'C for c'!AA3)</f>
        <v>0</v>
      </c>
      <c r="U39" s="415"/>
      <c r="V39" s="415"/>
      <c r="W39" s="174"/>
      <c r="X39" s="416">
        <f>IFERROR(T39*12,"")</f>
        <v>0</v>
      </c>
      <c r="Y39" s="416"/>
      <c r="Z39" s="417"/>
      <c r="AA39" s="80"/>
    </row>
    <row r="40" spans="1:27" s="126" customFormat="1" ht="23.1" customHeight="1" x14ac:dyDescent="0.25">
      <c r="A40" s="80"/>
      <c r="B40" s="177" t="s">
        <v>133</v>
      </c>
      <c r="C40" s="411" t="s">
        <v>145</v>
      </c>
      <c r="D40" s="411"/>
      <c r="E40" s="411"/>
      <c r="F40" s="411"/>
      <c r="G40" s="411"/>
      <c r="H40" s="411"/>
      <c r="I40" s="411"/>
      <c r="J40" s="411"/>
      <c r="K40" s="411"/>
      <c r="L40" s="411"/>
      <c r="M40" s="411"/>
      <c r="N40" s="411"/>
      <c r="O40" s="411"/>
      <c r="P40" s="411"/>
      <c r="Q40" s="411"/>
      <c r="R40" s="411"/>
      <c r="S40" s="174"/>
      <c r="T40" s="415">
        <f>IF('C for c'!AA4=0,0,'C for c'!AA4)</f>
        <v>0</v>
      </c>
      <c r="U40" s="415"/>
      <c r="V40" s="415"/>
      <c r="W40" s="174"/>
      <c r="X40" s="416">
        <f>IFERROR(T40*12,"")</f>
        <v>0</v>
      </c>
      <c r="Y40" s="416"/>
      <c r="Z40" s="417"/>
      <c r="AA40" s="80"/>
    </row>
    <row r="41" spans="1:27" s="126" customFormat="1" ht="23.1" customHeight="1" x14ac:dyDescent="0.25">
      <c r="A41" s="80"/>
      <c r="B41" s="188" t="s">
        <v>141</v>
      </c>
      <c r="C41" s="411" t="s">
        <v>164</v>
      </c>
      <c r="D41" s="411"/>
      <c r="E41" s="411"/>
      <c r="F41" s="411"/>
      <c r="G41" s="411"/>
      <c r="H41" s="411"/>
      <c r="I41" s="411"/>
      <c r="J41" s="411"/>
      <c r="K41" s="411"/>
      <c r="L41" s="411"/>
      <c r="M41" s="411"/>
      <c r="N41" s="411"/>
      <c r="O41" s="411"/>
      <c r="P41" s="411"/>
      <c r="Q41" s="411"/>
      <c r="R41" s="411"/>
      <c r="S41" s="174"/>
      <c r="T41" s="415">
        <f>IF('C for c'!AA5=0,0,'C for c'!AA5)</f>
        <v>0</v>
      </c>
      <c r="U41" s="415"/>
      <c r="V41" s="415"/>
      <c r="W41" s="174"/>
      <c r="X41" s="416">
        <f>IFERROR(T41*12,"")</f>
        <v>0</v>
      </c>
      <c r="Y41" s="416"/>
      <c r="Z41" s="417"/>
      <c r="AA41" s="80"/>
    </row>
    <row r="42" spans="1:27" ht="10.5" customHeight="1" x14ac:dyDescent="0.25">
      <c r="B42" s="189"/>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76"/>
    </row>
    <row r="43" spans="1:27" s="126" customFormat="1" ht="23.1" customHeight="1" x14ac:dyDescent="0.25">
      <c r="A43" s="80"/>
      <c r="B43" s="177" t="s">
        <v>131</v>
      </c>
      <c r="C43" s="411" t="s">
        <v>157</v>
      </c>
      <c r="D43" s="411"/>
      <c r="E43" s="411"/>
      <c r="F43" s="411"/>
      <c r="G43" s="411"/>
      <c r="H43" s="411"/>
      <c r="I43" s="411"/>
      <c r="J43" s="411"/>
      <c r="K43" s="411"/>
      <c r="L43" s="411"/>
      <c r="M43" s="411"/>
      <c r="N43" s="411"/>
      <c r="O43" s="411"/>
      <c r="P43" s="411"/>
      <c r="Q43" s="411"/>
      <c r="R43" s="411"/>
      <c r="S43" s="174"/>
      <c r="T43" s="415">
        <f>IF('C for c'!AA7=0,0,'C for c'!AA7)</f>
        <v>0</v>
      </c>
      <c r="U43" s="415"/>
      <c r="V43" s="415"/>
      <c r="W43" s="174"/>
      <c r="X43" s="416">
        <f>IFERROR(T43*12,"")</f>
        <v>0</v>
      </c>
      <c r="Y43" s="416"/>
      <c r="Z43" s="417"/>
      <c r="AA43" s="80"/>
    </row>
    <row r="44" spans="1:27" s="126" customFormat="1" ht="23.1" customHeight="1" x14ac:dyDescent="0.25">
      <c r="A44" s="80"/>
      <c r="B44" s="177" t="s">
        <v>258</v>
      </c>
      <c r="C44" s="419" t="s">
        <v>147</v>
      </c>
      <c r="D44" s="419"/>
      <c r="E44" s="419"/>
      <c r="F44" s="419"/>
      <c r="G44" s="419"/>
      <c r="H44" s="419"/>
      <c r="I44" s="419"/>
      <c r="J44" s="419"/>
      <c r="K44" s="419"/>
      <c r="L44" s="419"/>
      <c r="M44" s="419"/>
      <c r="N44" s="419"/>
      <c r="O44" s="419"/>
      <c r="P44" s="419"/>
      <c r="Q44" s="419"/>
      <c r="R44" s="419"/>
      <c r="S44" s="173"/>
      <c r="T44" s="416">
        <f>IF('C for c'!AA8=0,0,'C for c'!AA8)</f>
        <v>0</v>
      </c>
      <c r="U44" s="416"/>
      <c r="V44" s="416"/>
      <c r="W44" s="173"/>
      <c r="X44" s="416">
        <f>IFERROR(T44*12,"")</f>
        <v>0</v>
      </c>
      <c r="Y44" s="416"/>
      <c r="Z44" s="417"/>
      <c r="AA44" s="80"/>
    </row>
    <row r="45" spans="1:27" s="126" customFormat="1" ht="23.1" customHeight="1" x14ac:dyDescent="0.25">
      <c r="A45" s="80"/>
      <c r="B45" s="177" t="s">
        <v>259</v>
      </c>
      <c r="C45" s="411" t="s">
        <v>146</v>
      </c>
      <c r="D45" s="411"/>
      <c r="E45" s="411"/>
      <c r="F45" s="411"/>
      <c r="G45" s="411"/>
      <c r="H45" s="411"/>
      <c r="I45" s="411"/>
      <c r="J45" s="411"/>
      <c r="K45" s="411"/>
      <c r="L45" s="411"/>
      <c r="M45" s="411"/>
      <c r="N45" s="411"/>
      <c r="O45" s="411"/>
      <c r="P45" s="411"/>
      <c r="Q45" s="411"/>
      <c r="R45" s="411"/>
      <c r="S45" s="174"/>
      <c r="T45" s="415">
        <f>IF('C for c'!AA9=0,0,'C for c'!AA9)</f>
        <v>0</v>
      </c>
      <c r="U45" s="415"/>
      <c r="V45" s="415"/>
      <c r="W45" s="174"/>
      <c r="X45" s="416">
        <f>IFERROR(T45*12,"")</f>
        <v>0</v>
      </c>
      <c r="Y45" s="416"/>
      <c r="Z45" s="417"/>
      <c r="AA45" s="80"/>
    </row>
    <row r="46" spans="1:27" s="126" customFormat="1" ht="23.1" customHeight="1" x14ac:dyDescent="0.25">
      <c r="A46" s="80"/>
      <c r="B46" s="190" t="s">
        <v>260</v>
      </c>
      <c r="C46" s="411" t="s">
        <v>148</v>
      </c>
      <c r="D46" s="411"/>
      <c r="E46" s="411"/>
      <c r="F46" s="411"/>
      <c r="G46" s="411"/>
      <c r="H46" s="411"/>
      <c r="I46" s="411"/>
      <c r="J46" s="411"/>
      <c r="K46" s="411"/>
      <c r="L46" s="411"/>
      <c r="M46" s="411"/>
      <c r="N46" s="411"/>
      <c r="O46" s="411"/>
      <c r="P46" s="411"/>
      <c r="Q46" s="411"/>
      <c r="R46" s="411"/>
      <c r="S46" s="174"/>
      <c r="T46" s="415">
        <f>IF('C for c'!AA10=0,0,'C for c'!AA10)</f>
        <v>0</v>
      </c>
      <c r="U46" s="415"/>
      <c r="V46" s="415"/>
      <c r="W46" s="174"/>
      <c r="X46" s="416">
        <f>IFERROR(T46*12,"")</f>
        <v>0</v>
      </c>
      <c r="Y46" s="416"/>
      <c r="Z46" s="417"/>
      <c r="AA46" s="80"/>
    </row>
    <row r="47" spans="1:27" s="126" customFormat="1" ht="23.1" customHeight="1" x14ac:dyDescent="0.25">
      <c r="A47" s="80"/>
      <c r="B47" s="190" t="s">
        <v>261</v>
      </c>
      <c r="C47" s="411" t="s">
        <v>149</v>
      </c>
      <c r="D47" s="411"/>
      <c r="E47" s="411"/>
      <c r="F47" s="411"/>
      <c r="G47" s="411"/>
      <c r="H47" s="411"/>
      <c r="I47" s="411"/>
      <c r="J47" s="411"/>
      <c r="K47" s="411"/>
      <c r="L47" s="411"/>
      <c r="M47" s="411"/>
      <c r="N47" s="411"/>
      <c r="O47" s="411"/>
      <c r="P47" s="411"/>
      <c r="Q47" s="411"/>
      <c r="R47" s="411"/>
      <c r="S47" s="174"/>
      <c r="T47" s="415">
        <f>IF('C for c'!AA11=0,0,'C for c'!AA11)</f>
        <v>0</v>
      </c>
      <c r="U47" s="415"/>
      <c r="V47" s="415"/>
      <c r="W47" s="174"/>
      <c r="X47" s="416">
        <f>IFERROR(T47*12,"")</f>
        <v>0</v>
      </c>
      <c r="Y47" s="416"/>
      <c r="Z47" s="417"/>
      <c r="AA47" s="80"/>
    </row>
    <row r="48" spans="1:27" ht="10.5" customHeight="1" x14ac:dyDescent="0.25">
      <c r="B48" s="189"/>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76"/>
    </row>
    <row r="49" spans="1:27" s="126" customFormat="1" ht="23.1" customHeight="1" x14ac:dyDescent="0.25">
      <c r="A49" s="80"/>
      <c r="B49" s="190" t="s">
        <v>262</v>
      </c>
      <c r="C49" s="419" t="s">
        <v>114</v>
      </c>
      <c r="D49" s="419"/>
      <c r="E49" s="419"/>
      <c r="F49" s="419"/>
      <c r="G49" s="419"/>
      <c r="H49" s="419"/>
      <c r="I49" s="419"/>
      <c r="J49" s="419"/>
      <c r="K49" s="419"/>
      <c r="L49" s="419"/>
      <c r="M49" s="419"/>
      <c r="N49" s="419"/>
      <c r="O49" s="419"/>
      <c r="P49" s="419"/>
      <c r="Q49" s="419"/>
      <c r="R49" s="419"/>
      <c r="S49" s="173"/>
      <c r="T49" s="416">
        <f>IF('C for c'!AA13=0,0,'C for c'!AA13)</f>
        <v>0</v>
      </c>
      <c r="U49" s="416"/>
      <c r="V49" s="416"/>
      <c r="W49" s="173"/>
      <c r="X49" s="416">
        <f>IFERROR(T49*12,"")</f>
        <v>0</v>
      </c>
      <c r="Y49" s="416"/>
      <c r="Z49" s="417"/>
      <c r="AA49" s="80"/>
    </row>
    <row r="50" spans="1:27" s="126" customFormat="1" ht="23.1" customHeight="1" x14ac:dyDescent="0.25">
      <c r="A50" s="80"/>
      <c r="B50" s="191" t="s">
        <v>263</v>
      </c>
      <c r="C50" s="411" t="s">
        <v>150</v>
      </c>
      <c r="D50" s="411"/>
      <c r="E50" s="411"/>
      <c r="F50" s="411"/>
      <c r="G50" s="411"/>
      <c r="H50" s="411"/>
      <c r="I50" s="411"/>
      <c r="J50" s="411"/>
      <c r="K50" s="411"/>
      <c r="L50" s="411"/>
      <c r="M50" s="411"/>
      <c r="N50" s="411"/>
      <c r="O50" s="411"/>
      <c r="P50" s="411"/>
      <c r="Q50" s="411"/>
      <c r="R50" s="411"/>
      <c r="S50" s="174"/>
      <c r="T50" s="434"/>
      <c r="U50" s="434"/>
      <c r="V50" s="434"/>
      <c r="W50" s="174"/>
      <c r="X50" s="415" t="str">
        <f>IF('C for c'!AA14=0,"",'C for c'!AA14)</f>
        <v/>
      </c>
      <c r="Y50" s="415"/>
      <c r="Z50" s="435"/>
      <c r="AA50" s="80"/>
    </row>
    <row r="51" spans="1:27" s="126" customFormat="1" ht="23.1" customHeight="1" x14ac:dyDescent="0.25">
      <c r="A51" s="80"/>
      <c r="B51" s="191" t="s">
        <v>264</v>
      </c>
      <c r="C51" s="411" t="s">
        <v>21</v>
      </c>
      <c r="D51" s="411"/>
      <c r="E51" s="411"/>
      <c r="F51" s="411"/>
      <c r="G51" s="411"/>
      <c r="H51" s="411"/>
      <c r="I51" s="411"/>
      <c r="J51" s="411"/>
      <c r="K51" s="411"/>
      <c r="L51" s="411"/>
      <c r="M51" s="411"/>
      <c r="N51" s="411"/>
      <c r="O51" s="411"/>
      <c r="P51" s="411"/>
      <c r="Q51" s="411"/>
      <c r="R51" s="411"/>
      <c r="S51" s="174"/>
      <c r="T51" s="415">
        <f>IF('C for c'!AA15=0,0,'C for c'!AA15)</f>
        <v>0</v>
      </c>
      <c r="U51" s="415"/>
      <c r="V51" s="415"/>
      <c r="W51" s="174"/>
      <c r="X51" s="416">
        <f>IFERROR(T51*12,"")</f>
        <v>0</v>
      </c>
      <c r="Y51" s="416"/>
      <c r="Z51" s="417"/>
      <c r="AA51" s="80"/>
    </row>
    <row r="52" spans="1:27" ht="10.5" customHeight="1" x14ac:dyDescent="0.25">
      <c r="B52" s="175"/>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76"/>
    </row>
    <row r="53" spans="1:27" s="126" customFormat="1" ht="23.1" customHeight="1" x14ac:dyDescent="0.25">
      <c r="A53" s="80"/>
      <c r="B53" s="192"/>
      <c r="C53" s="247" t="s">
        <v>268</v>
      </c>
      <c r="D53" s="247"/>
      <c r="E53" s="247"/>
      <c r="F53" s="247"/>
      <c r="G53" s="247"/>
      <c r="H53" s="247"/>
      <c r="I53" s="247"/>
      <c r="J53" s="247"/>
      <c r="K53" s="247"/>
      <c r="L53" s="247"/>
      <c r="M53" s="247"/>
      <c r="N53" s="247"/>
      <c r="O53" s="247"/>
      <c r="P53" s="247"/>
      <c r="Q53" s="247"/>
      <c r="R53" s="247"/>
      <c r="S53" s="80"/>
      <c r="T53" s="429">
        <f>IF('C for c'!AA17=0,0,'C for c'!AA17)</f>
        <v>0</v>
      </c>
      <c r="U53" s="429"/>
      <c r="V53" s="429"/>
      <c r="W53" s="80"/>
      <c r="X53" s="429">
        <f>IFERROR(SUM(X38:Z51),"")</f>
        <v>0</v>
      </c>
      <c r="Y53" s="429"/>
      <c r="Z53" s="430"/>
      <c r="AA53" s="80"/>
    </row>
    <row r="54" spans="1:27" ht="10.5" customHeight="1" thickBot="1" x14ac:dyDescent="0.3">
      <c r="B54" s="178"/>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80"/>
    </row>
    <row r="55" spans="1:27" ht="10.5" customHeight="1" x14ac:dyDescent="0.25">
      <c r="B55" s="160"/>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60"/>
    </row>
    <row r="56" spans="1:27" ht="10.5" customHeight="1" thickBot="1" x14ac:dyDescent="0.3">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row>
    <row r="57" spans="1:27" s="126" customFormat="1" ht="20.100000000000001" customHeight="1" x14ac:dyDescent="0.25">
      <c r="A57" s="80"/>
      <c r="B57" s="431" t="s">
        <v>24</v>
      </c>
      <c r="C57" s="432"/>
      <c r="D57" s="432"/>
      <c r="E57" s="432"/>
      <c r="F57" s="432"/>
      <c r="G57" s="432"/>
      <c r="H57" s="432"/>
      <c r="I57" s="432"/>
      <c r="J57" s="432"/>
      <c r="K57" s="432"/>
      <c r="L57" s="432"/>
      <c r="M57" s="432"/>
      <c r="N57" s="432"/>
      <c r="O57" s="432"/>
      <c r="P57" s="432"/>
      <c r="Q57" s="432"/>
      <c r="R57" s="432"/>
      <c r="S57" s="432"/>
      <c r="T57" s="432"/>
      <c r="U57" s="432"/>
      <c r="V57" s="432"/>
      <c r="W57" s="432"/>
      <c r="X57" s="432"/>
      <c r="Y57" s="432"/>
      <c r="Z57" s="433"/>
      <c r="AA57" s="80"/>
    </row>
    <row r="58" spans="1:27" ht="10.5" customHeight="1" x14ac:dyDescent="0.25">
      <c r="B58" s="175"/>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76"/>
    </row>
    <row r="59" spans="1:27" s="126" customFormat="1" ht="20.100000000000001" customHeight="1" x14ac:dyDescent="0.25">
      <c r="A59" s="80"/>
      <c r="B59" s="403"/>
      <c r="C59" s="404"/>
      <c r="D59" s="402" t="s">
        <v>108</v>
      </c>
      <c r="E59" s="402"/>
      <c r="F59" s="402"/>
      <c r="G59" s="402"/>
      <c r="H59" s="402"/>
      <c r="I59" s="80"/>
      <c r="J59" s="402" t="s">
        <v>152</v>
      </c>
      <c r="K59" s="402"/>
      <c r="L59" s="402"/>
      <c r="M59" s="402"/>
      <c r="N59" s="402"/>
      <c r="O59" s="402"/>
      <c r="P59" s="402"/>
      <c r="Q59" s="402"/>
      <c r="R59" s="402"/>
      <c r="S59" s="402"/>
      <c r="T59" s="402"/>
      <c r="U59" s="402"/>
      <c r="V59" s="402"/>
      <c r="W59" s="402"/>
      <c r="X59" s="402"/>
      <c r="Y59" s="402"/>
      <c r="Z59" s="405"/>
      <c r="AA59" s="80"/>
    </row>
    <row r="60" spans="1:27" s="126" customFormat="1" ht="20.100000000000001" customHeight="1" x14ac:dyDescent="0.25">
      <c r="A60" s="80"/>
      <c r="B60" s="403"/>
      <c r="C60" s="404"/>
      <c r="D60" s="402"/>
      <c r="E60" s="402"/>
      <c r="F60" s="402"/>
      <c r="G60" s="402"/>
      <c r="H60" s="402"/>
      <c r="I60" s="193"/>
      <c r="J60" s="406" t="s">
        <v>153</v>
      </c>
      <c r="K60" s="406"/>
      <c r="L60" s="406"/>
      <c r="M60" s="406"/>
      <c r="N60" s="406" t="s">
        <v>154</v>
      </c>
      <c r="O60" s="406"/>
      <c r="P60" s="406"/>
      <c r="Q60" s="406"/>
      <c r="R60" s="406" t="s">
        <v>155</v>
      </c>
      <c r="S60" s="406"/>
      <c r="T60" s="406"/>
      <c r="U60" s="406"/>
      <c r="W60" s="406" t="s">
        <v>109</v>
      </c>
      <c r="X60" s="406"/>
      <c r="Y60" s="406"/>
      <c r="Z60" s="407"/>
      <c r="AA60" s="80"/>
    </row>
    <row r="61" spans="1:27" s="126" customFormat="1" ht="20.100000000000001" customHeight="1" x14ac:dyDescent="0.25">
      <c r="A61" s="80"/>
      <c r="B61" s="403"/>
      <c r="C61" s="404"/>
      <c r="D61" s="402"/>
      <c r="E61" s="402"/>
      <c r="F61" s="402"/>
      <c r="G61" s="402"/>
      <c r="H61" s="402"/>
      <c r="I61" s="80"/>
      <c r="J61" s="406"/>
      <c r="K61" s="406"/>
      <c r="L61" s="406"/>
      <c r="M61" s="406"/>
      <c r="N61" s="406"/>
      <c r="O61" s="406"/>
      <c r="P61" s="406"/>
      <c r="Q61" s="406"/>
      <c r="R61" s="406"/>
      <c r="S61" s="406"/>
      <c r="T61" s="406"/>
      <c r="U61" s="406"/>
      <c r="V61" s="80"/>
      <c r="W61" s="406"/>
      <c r="X61" s="406"/>
      <c r="Y61" s="406"/>
      <c r="Z61" s="407"/>
      <c r="AA61" s="80"/>
    </row>
    <row r="62" spans="1:27" ht="10.5" customHeight="1" x14ac:dyDescent="0.25">
      <c r="B62" s="175"/>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76"/>
    </row>
    <row r="63" spans="1:27" s="126" customFormat="1" ht="23.1" customHeight="1" x14ac:dyDescent="0.25">
      <c r="A63" s="80"/>
      <c r="B63" s="423">
        <v>3.1</v>
      </c>
      <c r="C63" s="424"/>
      <c r="D63" s="426" t="str">
        <f>IF('C for c'!B28=0,"",'C for c'!B28)</f>
        <v>BCG</v>
      </c>
      <c r="E63" s="427"/>
      <c r="F63" s="427"/>
      <c r="G63" s="427"/>
      <c r="H63" s="428"/>
      <c r="I63" s="194"/>
      <c r="J63" s="400">
        <f>IFERROR(('C for c'!N28),"")</f>
        <v>0</v>
      </c>
      <c r="K63" s="400"/>
      <c r="L63" s="400"/>
      <c r="M63" s="400"/>
      <c r="N63" s="425">
        <f>IFERROR('C for c'!T28,"")</f>
        <v>0</v>
      </c>
      <c r="O63" s="425"/>
      <c r="P63" s="425"/>
      <c r="Q63" s="425"/>
      <c r="R63" s="400">
        <f>IFERROR('C for c'!U28,"")</f>
        <v>0</v>
      </c>
      <c r="S63" s="400"/>
      <c r="T63" s="400"/>
      <c r="U63" s="400"/>
      <c r="V63" s="194"/>
      <c r="W63" s="400">
        <f>IFERROR('C for c'!V28,"")</f>
        <v>0</v>
      </c>
      <c r="X63" s="400"/>
      <c r="Y63" s="400"/>
      <c r="Z63" s="401"/>
      <c r="AA63" s="80"/>
    </row>
    <row r="64" spans="1:27" s="126" customFormat="1" ht="23.1" customHeight="1" x14ac:dyDescent="0.25">
      <c r="A64" s="80"/>
      <c r="B64" s="423">
        <v>3.2</v>
      </c>
      <c r="C64" s="424"/>
      <c r="D64" s="426" t="str">
        <f>IF('C for c'!B29=0,"",'C for c'!B29)</f>
        <v>OPV</v>
      </c>
      <c r="E64" s="427"/>
      <c r="F64" s="427"/>
      <c r="G64" s="427"/>
      <c r="H64" s="428"/>
      <c r="I64" s="194"/>
      <c r="J64" s="400">
        <f>IFERROR(('C for c'!N29),"")</f>
        <v>0</v>
      </c>
      <c r="K64" s="400"/>
      <c r="L64" s="400"/>
      <c r="M64" s="400"/>
      <c r="N64" s="425">
        <f>IFERROR('C for c'!T29,"")</f>
        <v>0</v>
      </c>
      <c r="O64" s="425"/>
      <c r="P64" s="425"/>
      <c r="Q64" s="425"/>
      <c r="R64" s="400">
        <f>IFERROR('C for c'!U29,"")</f>
        <v>0</v>
      </c>
      <c r="S64" s="400"/>
      <c r="T64" s="400"/>
      <c r="U64" s="400"/>
      <c r="V64" s="194"/>
      <c r="W64" s="400">
        <f>IFERROR('C for c'!V29,"")</f>
        <v>0</v>
      </c>
      <c r="X64" s="400"/>
      <c r="Y64" s="400"/>
      <c r="Z64" s="401"/>
      <c r="AA64" s="80"/>
    </row>
    <row r="65" spans="1:27" s="126" customFormat="1" ht="23.1" customHeight="1" x14ac:dyDescent="0.25">
      <c r="A65" s="80"/>
      <c r="B65" s="423">
        <v>3.3</v>
      </c>
      <c r="C65" s="424"/>
      <c r="D65" s="426" t="str">
        <f>IF('C for c'!B30=0,"",'C for c'!B30)</f>
        <v>PCV 13</v>
      </c>
      <c r="E65" s="427"/>
      <c r="F65" s="427"/>
      <c r="G65" s="427"/>
      <c r="H65" s="428"/>
      <c r="I65" s="194"/>
      <c r="J65" s="400">
        <f>IFERROR(('C for c'!N30),"")</f>
        <v>0</v>
      </c>
      <c r="K65" s="400"/>
      <c r="L65" s="400"/>
      <c r="M65" s="400"/>
      <c r="N65" s="425">
        <f>IFERROR('C for c'!T30,"")</f>
        <v>0</v>
      </c>
      <c r="O65" s="425"/>
      <c r="P65" s="425"/>
      <c r="Q65" s="425"/>
      <c r="R65" s="400">
        <f>IFERROR('C for c'!U30,"")</f>
        <v>0</v>
      </c>
      <c r="S65" s="400"/>
      <c r="T65" s="400"/>
      <c r="U65" s="400"/>
      <c r="V65" s="194"/>
      <c r="W65" s="400">
        <f>IFERROR('C for c'!V30,"")</f>
        <v>0</v>
      </c>
      <c r="X65" s="400"/>
      <c r="Y65" s="400"/>
      <c r="Z65" s="401"/>
      <c r="AA65" s="80"/>
    </row>
    <row r="66" spans="1:27" s="126" customFormat="1" ht="23.1" customHeight="1" x14ac:dyDescent="0.25">
      <c r="A66" s="80"/>
      <c r="B66" s="423">
        <v>3.4</v>
      </c>
      <c r="C66" s="424"/>
      <c r="D66" s="426" t="str">
        <f>IF('C for c'!B31=0,"",'C for c'!B31)</f>
        <v>Rota</v>
      </c>
      <c r="E66" s="427"/>
      <c r="F66" s="427"/>
      <c r="G66" s="427"/>
      <c r="H66" s="428"/>
      <c r="I66" s="194"/>
      <c r="J66" s="400">
        <f>IFERROR(('C for c'!N31),"")</f>
        <v>0</v>
      </c>
      <c r="K66" s="400"/>
      <c r="L66" s="400"/>
      <c r="M66" s="400"/>
      <c r="N66" s="425">
        <f>IFERROR('C for c'!T31,"")</f>
        <v>0</v>
      </c>
      <c r="O66" s="425"/>
      <c r="P66" s="425"/>
      <c r="Q66" s="425"/>
      <c r="R66" s="400">
        <f>IFERROR('C for c'!U31,"")</f>
        <v>0</v>
      </c>
      <c r="S66" s="400"/>
      <c r="T66" s="400"/>
      <c r="U66" s="400"/>
      <c r="V66" s="194"/>
      <c r="W66" s="400">
        <f>IFERROR('C for c'!V31,"")</f>
        <v>0</v>
      </c>
      <c r="X66" s="400"/>
      <c r="Y66" s="400"/>
      <c r="Z66" s="401"/>
      <c r="AA66" s="80"/>
    </row>
    <row r="67" spans="1:27" s="126" customFormat="1" ht="23.1" customHeight="1" x14ac:dyDescent="0.25">
      <c r="A67" s="80"/>
      <c r="B67" s="423">
        <v>3.5</v>
      </c>
      <c r="C67" s="424"/>
      <c r="D67" s="426" t="str">
        <f>IF('C for c'!B32=0,"",'C for c'!B32)</f>
        <v>Penta</v>
      </c>
      <c r="E67" s="427"/>
      <c r="F67" s="427"/>
      <c r="G67" s="427"/>
      <c r="H67" s="428"/>
      <c r="I67" s="194"/>
      <c r="J67" s="400">
        <f>IFERROR(('C for c'!N32),"")</f>
        <v>0</v>
      </c>
      <c r="K67" s="400"/>
      <c r="L67" s="400"/>
      <c r="M67" s="400"/>
      <c r="N67" s="425">
        <f>IFERROR('C for c'!T32,"")</f>
        <v>0</v>
      </c>
      <c r="O67" s="425"/>
      <c r="P67" s="425"/>
      <c r="Q67" s="425"/>
      <c r="R67" s="400">
        <f>IFERROR('C for c'!U32,"")</f>
        <v>0</v>
      </c>
      <c r="S67" s="400"/>
      <c r="T67" s="400"/>
      <c r="U67" s="400"/>
      <c r="V67" s="194"/>
      <c r="W67" s="400">
        <f>IFERROR('C for c'!V32,"")</f>
        <v>0</v>
      </c>
      <c r="X67" s="400"/>
      <c r="Y67" s="400"/>
      <c r="Z67" s="401"/>
      <c r="AA67" s="80"/>
    </row>
    <row r="68" spans="1:27" s="126" customFormat="1" ht="23.1" customHeight="1" x14ac:dyDescent="0.25">
      <c r="A68" s="80"/>
      <c r="B68" s="423">
        <v>3.6</v>
      </c>
      <c r="C68" s="424"/>
      <c r="D68" s="426" t="str">
        <f>IF('C for c'!B33=0,"",'C for c'!B33)</f>
        <v>MR</v>
      </c>
      <c r="E68" s="427"/>
      <c r="F68" s="427"/>
      <c r="G68" s="427"/>
      <c r="H68" s="428"/>
      <c r="I68" s="194"/>
      <c r="J68" s="400">
        <f>IFERROR(('C for c'!N33),"")</f>
        <v>0</v>
      </c>
      <c r="K68" s="400"/>
      <c r="L68" s="400"/>
      <c r="M68" s="400"/>
      <c r="N68" s="425">
        <f>IFERROR('C for c'!T33,"")</f>
        <v>0</v>
      </c>
      <c r="O68" s="425"/>
      <c r="P68" s="425"/>
      <c r="Q68" s="425"/>
      <c r="R68" s="400">
        <f>IFERROR('C for c'!U33,"")</f>
        <v>0</v>
      </c>
      <c r="S68" s="400"/>
      <c r="T68" s="400"/>
      <c r="U68" s="400"/>
      <c r="V68" s="194"/>
      <c r="W68" s="400">
        <f>IFERROR('C for c'!V33,"")</f>
        <v>0</v>
      </c>
      <c r="X68" s="400"/>
      <c r="Y68" s="400"/>
      <c r="Z68" s="401"/>
      <c r="AA68" s="80"/>
    </row>
    <row r="69" spans="1:27" s="126" customFormat="1" ht="23.1" customHeight="1" x14ac:dyDescent="0.25">
      <c r="A69" s="80"/>
      <c r="B69" s="423">
        <v>3.7</v>
      </c>
      <c r="C69" s="424"/>
      <c r="D69" s="426" t="str">
        <f>IF('C for c'!B34=0,"",'C for c'!B34)</f>
        <v>TT</v>
      </c>
      <c r="E69" s="427"/>
      <c r="F69" s="427"/>
      <c r="G69" s="427"/>
      <c r="H69" s="428"/>
      <c r="I69" s="194"/>
      <c r="J69" s="400">
        <f>IFERROR(('C for c'!N34),"")</f>
        <v>0</v>
      </c>
      <c r="K69" s="400"/>
      <c r="L69" s="400"/>
      <c r="M69" s="400"/>
      <c r="N69" s="425">
        <f>IFERROR('C for c'!T34,"")</f>
        <v>0</v>
      </c>
      <c r="O69" s="425"/>
      <c r="P69" s="425"/>
      <c r="Q69" s="425"/>
      <c r="R69" s="400">
        <f>IFERROR('C for c'!U34,"")</f>
        <v>0</v>
      </c>
      <c r="S69" s="400"/>
      <c r="T69" s="400"/>
      <c r="U69" s="400"/>
      <c r="V69" s="194"/>
      <c r="W69" s="400">
        <f>IFERROR('C for c'!V34,"")</f>
        <v>0</v>
      </c>
      <c r="X69" s="400"/>
      <c r="Y69" s="400"/>
      <c r="Z69" s="401"/>
      <c r="AA69" s="80"/>
    </row>
    <row r="70" spans="1:27" s="126" customFormat="1" ht="23.1" customHeight="1" x14ac:dyDescent="0.25">
      <c r="A70" s="80"/>
      <c r="B70" s="423">
        <v>3.8</v>
      </c>
      <c r="C70" s="424"/>
      <c r="D70" s="426" t="str">
        <f>IF('C for c'!B35=0,"",'C for c'!B35)</f>
        <v>IPV</v>
      </c>
      <c r="E70" s="427"/>
      <c r="F70" s="427"/>
      <c r="G70" s="427"/>
      <c r="H70" s="428"/>
      <c r="I70" s="194"/>
      <c r="J70" s="400">
        <f>IFERROR(('C for c'!N35),"")</f>
        <v>0</v>
      </c>
      <c r="K70" s="400"/>
      <c r="L70" s="400"/>
      <c r="M70" s="400"/>
      <c r="N70" s="425">
        <f>IFERROR('C for c'!T35,"")</f>
        <v>0</v>
      </c>
      <c r="O70" s="425"/>
      <c r="P70" s="425"/>
      <c r="Q70" s="425"/>
      <c r="R70" s="400">
        <f>IFERROR('C for c'!U35,"")</f>
        <v>0</v>
      </c>
      <c r="S70" s="400"/>
      <c r="T70" s="400"/>
      <c r="U70" s="400"/>
      <c r="V70" s="194"/>
      <c r="W70" s="400">
        <f>IFERROR('C for c'!V35,"")</f>
        <v>0</v>
      </c>
      <c r="X70" s="400"/>
      <c r="Y70" s="400"/>
      <c r="Z70" s="401"/>
      <c r="AA70" s="80"/>
    </row>
    <row r="71" spans="1:27" s="126" customFormat="1" ht="23.1" customHeight="1" x14ac:dyDescent="0.25">
      <c r="A71" s="80"/>
      <c r="B71" s="423">
        <v>3.9</v>
      </c>
      <c r="C71" s="424"/>
      <c r="D71" s="426" t="str">
        <f>IF('C for c'!B36=0,"",'C for c'!B36)</f>
        <v>HPV</v>
      </c>
      <c r="E71" s="427"/>
      <c r="F71" s="427"/>
      <c r="G71" s="427"/>
      <c r="H71" s="428"/>
      <c r="I71" s="194"/>
      <c r="J71" s="400">
        <f>IFERROR(('C for c'!N36),"")</f>
        <v>0</v>
      </c>
      <c r="K71" s="400"/>
      <c r="L71" s="400"/>
      <c r="M71" s="400"/>
      <c r="N71" s="425">
        <f>IFERROR('C for c'!T36,"")</f>
        <v>0</v>
      </c>
      <c r="O71" s="425"/>
      <c r="P71" s="425"/>
      <c r="Q71" s="425"/>
      <c r="R71" s="400">
        <f>IFERROR('C for c'!U36,"")</f>
        <v>0</v>
      </c>
      <c r="S71" s="400"/>
      <c r="T71" s="400"/>
      <c r="U71" s="400"/>
      <c r="V71" s="194"/>
      <c r="W71" s="400">
        <f>IFERROR('C for c'!V36,"")</f>
        <v>0</v>
      </c>
      <c r="X71" s="400"/>
      <c r="Y71" s="400"/>
      <c r="Z71" s="401"/>
      <c r="AA71" s="80"/>
    </row>
    <row r="72" spans="1:27" ht="10.5" customHeight="1" x14ac:dyDescent="0.25">
      <c r="B72" s="175"/>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76"/>
    </row>
    <row r="73" spans="1:27" s="126" customFormat="1" ht="20.100000000000001" customHeight="1" x14ac:dyDescent="0.25">
      <c r="A73" s="80"/>
      <c r="B73" s="403"/>
      <c r="C73" s="404"/>
      <c r="D73" s="402" t="s">
        <v>158</v>
      </c>
      <c r="E73" s="402"/>
      <c r="F73" s="402"/>
      <c r="G73" s="402"/>
      <c r="H73" s="402"/>
      <c r="I73" s="80"/>
      <c r="J73" s="402" t="s">
        <v>247</v>
      </c>
      <c r="K73" s="402"/>
      <c r="L73" s="402"/>
      <c r="M73" s="402"/>
      <c r="N73" s="402"/>
      <c r="O73" s="402"/>
      <c r="P73" s="402"/>
      <c r="Q73" s="402"/>
      <c r="R73" s="402"/>
      <c r="S73" s="402"/>
      <c r="T73" s="402"/>
      <c r="U73" s="402"/>
      <c r="V73" s="402"/>
      <c r="W73" s="402"/>
      <c r="X73" s="402"/>
      <c r="Y73" s="402"/>
      <c r="Z73" s="405"/>
      <c r="AA73" s="80"/>
    </row>
    <row r="74" spans="1:27" s="126" customFormat="1" ht="20.100000000000001" customHeight="1" x14ac:dyDescent="0.25">
      <c r="A74" s="80"/>
      <c r="B74" s="403"/>
      <c r="C74" s="404"/>
      <c r="D74" s="402"/>
      <c r="E74" s="402"/>
      <c r="F74" s="402"/>
      <c r="G74" s="402"/>
      <c r="H74" s="402"/>
      <c r="I74" s="193"/>
      <c r="J74" s="406" t="s">
        <v>153</v>
      </c>
      <c r="K74" s="406"/>
      <c r="L74" s="406"/>
      <c r="M74" s="406"/>
      <c r="N74" s="406" t="s">
        <v>257</v>
      </c>
      <c r="O74" s="406"/>
      <c r="P74" s="406"/>
      <c r="Q74" s="406"/>
      <c r="R74" s="406" t="s">
        <v>155</v>
      </c>
      <c r="S74" s="406"/>
      <c r="T74" s="406"/>
      <c r="U74" s="406"/>
      <c r="W74" s="406" t="s">
        <v>109</v>
      </c>
      <c r="X74" s="406"/>
      <c r="Y74" s="406"/>
      <c r="Z74" s="407"/>
      <c r="AA74" s="80"/>
    </row>
    <row r="75" spans="1:27" s="126" customFormat="1" ht="20.100000000000001" customHeight="1" x14ac:dyDescent="0.25">
      <c r="A75" s="80"/>
      <c r="B75" s="403"/>
      <c r="C75" s="404"/>
      <c r="D75" s="402"/>
      <c r="E75" s="402"/>
      <c r="F75" s="402"/>
      <c r="G75" s="402"/>
      <c r="H75" s="402"/>
      <c r="I75" s="80"/>
      <c r="J75" s="406"/>
      <c r="K75" s="406"/>
      <c r="L75" s="406"/>
      <c r="M75" s="406"/>
      <c r="N75" s="406"/>
      <c r="O75" s="406"/>
      <c r="P75" s="406"/>
      <c r="Q75" s="406"/>
      <c r="R75" s="406"/>
      <c r="S75" s="406"/>
      <c r="T75" s="406"/>
      <c r="U75" s="406"/>
      <c r="V75" s="80"/>
      <c r="W75" s="406"/>
      <c r="X75" s="406"/>
      <c r="Y75" s="406"/>
      <c r="Z75" s="407"/>
      <c r="AA75" s="80"/>
    </row>
    <row r="76" spans="1:27" ht="10.5" customHeight="1" x14ac:dyDescent="0.25">
      <c r="B76" s="175"/>
      <c r="C76" s="160"/>
      <c r="D76" s="160"/>
      <c r="E76" s="160"/>
      <c r="F76" s="160"/>
      <c r="G76" s="160"/>
      <c r="H76" s="160"/>
      <c r="I76" s="160"/>
      <c r="J76" s="160"/>
      <c r="K76" s="160"/>
      <c r="L76" s="160"/>
      <c r="M76" s="160"/>
      <c r="N76" s="160"/>
      <c r="O76" s="160"/>
      <c r="P76" s="160"/>
      <c r="Q76" s="160"/>
      <c r="R76" s="160"/>
      <c r="S76" s="160"/>
      <c r="T76" s="160"/>
      <c r="U76" s="160"/>
      <c r="V76" s="160"/>
      <c r="W76" s="160"/>
      <c r="X76" s="160"/>
      <c r="Y76" s="160"/>
      <c r="Z76" s="176"/>
    </row>
    <row r="77" spans="1:27" s="126" customFormat="1" ht="23.1" customHeight="1" x14ac:dyDescent="0.25">
      <c r="A77" s="80"/>
      <c r="B77" s="439">
        <v>3.1</v>
      </c>
      <c r="C77" s="440"/>
      <c r="D77" s="408" t="s">
        <v>29</v>
      </c>
      <c r="E77" s="409"/>
      <c r="F77" s="409"/>
      <c r="G77" s="409"/>
      <c r="H77" s="410"/>
      <c r="I77" s="194"/>
      <c r="J77" s="400">
        <f>IFERROR('C for c'!N46,"")</f>
        <v>0</v>
      </c>
      <c r="K77" s="400"/>
      <c r="L77" s="400"/>
      <c r="M77" s="400"/>
      <c r="N77" s="400">
        <f>IFERROR('C for c'!T46,"")</f>
        <v>0</v>
      </c>
      <c r="O77" s="400"/>
      <c r="P77" s="400"/>
      <c r="Q77" s="400"/>
      <c r="R77" s="400">
        <f>IFERROR('C for c'!U46,"")</f>
        <v>0</v>
      </c>
      <c r="S77" s="400"/>
      <c r="T77" s="400"/>
      <c r="U77" s="400"/>
      <c r="V77" s="194"/>
      <c r="W77" s="400">
        <f>IFERROR('C for c'!V46,"")</f>
        <v>0</v>
      </c>
      <c r="X77" s="400"/>
      <c r="Y77" s="400"/>
      <c r="Z77" s="401"/>
      <c r="AA77" s="80"/>
    </row>
    <row r="78" spans="1:27" s="126" customFormat="1" ht="23.1" customHeight="1" x14ac:dyDescent="0.25">
      <c r="A78" s="80"/>
      <c r="B78" s="423">
        <v>3.11</v>
      </c>
      <c r="C78" s="424"/>
      <c r="D78" s="408" t="s">
        <v>12</v>
      </c>
      <c r="E78" s="409"/>
      <c r="F78" s="409"/>
      <c r="G78" s="409"/>
      <c r="H78" s="410"/>
      <c r="I78" s="194"/>
      <c r="J78" s="400">
        <f>IFERROR('C for c'!N47,"")</f>
        <v>0</v>
      </c>
      <c r="K78" s="400"/>
      <c r="L78" s="400"/>
      <c r="M78" s="400"/>
      <c r="N78" s="400">
        <f>IFERROR('C for c'!T47,"")</f>
        <v>0</v>
      </c>
      <c r="O78" s="400"/>
      <c r="P78" s="400"/>
      <c r="Q78" s="400"/>
      <c r="R78" s="400">
        <f>IFERROR('C for c'!U47,"")</f>
        <v>0</v>
      </c>
      <c r="S78" s="400"/>
      <c r="T78" s="400"/>
      <c r="U78" s="400"/>
      <c r="V78" s="194"/>
      <c r="W78" s="400">
        <f>IFERROR('C for c'!V47,"")</f>
        <v>0</v>
      </c>
      <c r="X78" s="400"/>
      <c r="Y78" s="400"/>
      <c r="Z78" s="401"/>
      <c r="AA78" s="80"/>
    </row>
    <row r="79" spans="1:27" s="126" customFormat="1" ht="23.1" customHeight="1" x14ac:dyDescent="0.25">
      <c r="A79" s="80"/>
      <c r="B79" s="423">
        <v>3.12</v>
      </c>
      <c r="C79" s="424"/>
      <c r="D79" s="408" t="s">
        <v>110</v>
      </c>
      <c r="E79" s="409"/>
      <c r="F79" s="409"/>
      <c r="G79" s="409"/>
      <c r="H79" s="410"/>
      <c r="I79" s="194"/>
      <c r="J79" s="400">
        <f>IFERROR('C for c'!N48,"")</f>
        <v>0</v>
      </c>
      <c r="K79" s="400"/>
      <c r="L79" s="400"/>
      <c r="M79" s="400"/>
      <c r="N79" s="400">
        <f>IFERROR('C for c'!T48,"")</f>
        <v>0</v>
      </c>
      <c r="O79" s="400"/>
      <c r="P79" s="400"/>
      <c r="Q79" s="400"/>
      <c r="R79" s="400">
        <f>IFERROR('C for c'!U48,"")</f>
        <v>0</v>
      </c>
      <c r="S79" s="400"/>
      <c r="T79" s="400"/>
      <c r="U79" s="400"/>
      <c r="V79" s="194"/>
      <c r="W79" s="400">
        <f>IFERROR('C for c'!V48,"")</f>
        <v>0</v>
      </c>
      <c r="X79" s="400"/>
      <c r="Y79" s="400"/>
      <c r="Z79" s="401"/>
      <c r="AA79" s="80"/>
    </row>
    <row r="80" spans="1:27" s="126" customFormat="1" ht="23.1" customHeight="1" x14ac:dyDescent="0.25">
      <c r="A80" s="80"/>
      <c r="B80" s="423">
        <v>3.13</v>
      </c>
      <c r="C80" s="424"/>
      <c r="D80" s="408" t="s">
        <v>38</v>
      </c>
      <c r="E80" s="409"/>
      <c r="F80" s="409"/>
      <c r="G80" s="409"/>
      <c r="H80" s="410"/>
      <c r="I80" s="194"/>
      <c r="J80" s="400">
        <f>IFERROR('C for c'!N49,"")</f>
        <v>0</v>
      </c>
      <c r="K80" s="400"/>
      <c r="L80" s="400"/>
      <c r="M80" s="400"/>
      <c r="N80" s="400">
        <f>IFERROR('C for c'!T49,"")</f>
        <v>0</v>
      </c>
      <c r="O80" s="400"/>
      <c r="P80" s="400"/>
      <c r="Q80" s="400"/>
      <c r="R80" s="400">
        <f>IFERROR('C for c'!U49,"")</f>
        <v>0</v>
      </c>
      <c r="S80" s="400"/>
      <c r="T80" s="400"/>
      <c r="U80" s="400"/>
      <c r="V80" s="194"/>
      <c r="W80" s="400">
        <f>IFERROR('C for c'!V49,"")</f>
        <v>0</v>
      </c>
      <c r="X80" s="400"/>
      <c r="Y80" s="400"/>
      <c r="Z80" s="401"/>
      <c r="AA80" s="80"/>
    </row>
    <row r="81" spans="1:27" s="126" customFormat="1" ht="23.1" customHeight="1" x14ac:dyDescent="0.25">
      <c r="A81" s="80"/>
      <c r="B81" s="423">
        <v>3.14</v>
      </c>
      <c r="C81" s="424"/>
      <c r="D81" s="408" t="s">
        <v>67</v>
      </c>
      <c r="E81" s="409"/>
      <c r="F81" s="409"/>
      <c r="G81" s="409"/>
      <c r="H81" s="410"/>
      <c r="I81" s="194"/>
      <c r="J81" s="400">
        <f>IFERROR('C for c'!N50,"")</f>
        <v>0</v>
      </c>
      <c r="K81" s="400"/>
      <c r="L81" s="400"/>
      <c r="M81" s="400"/>
      <c r="N81" s="400">
        <f>IFERROR('C for c'!T50,"")</f>
        <v>0</v>
      </c>
      <c r="O81" s="400"/>
      <c r="P81" s="400"/>
      <c r="Q81" s="400"/>
      <c r="R81" s="400">
        <f>IFERROR('C for c'!U50,"")</f>
        <v>0</v>
      </c>
      <c r="S81" s="400"/>
      <c r="T81" s="400"/>
      <c r="U81" s="400"/>
      <c r="V81" s="194"/>
      <c r="W81" s="400">
        <f>IFERROR('C for c'!V50,"")</f>
        <v>0</v>
      </c>
      <c r="X81" s="400"/>
      <c r="Y81" s="400"/>
      <c r="Z81" s="401"/>
      <c r="AA81" s="80"/>
    </row>
    <row r="82" spans="1:27" ht="15.75" thickBot="1" x14ac:dyDescent="0.3">
      <c r="B82" s="30"/>
      <c r="C82" s="31"/>
      <c r="D82" s="31"/>
      <c r="E82" s="31"/>
      <c r="F82" s="31"/>
      <c r="G82" s="31"/>
      <c r="H82" s="31"/>
      <c r="I82" s="31"/>
      <c r="J82" s="31"/>
      <c r="K82" s="31"/>
      <c r="L82" s="31"/>
      <c r="M82" s="31"/>
      <c r="N82" s="31"/>
      <c r="O82" s="31"/>
      <c r="P82" s="31"/>
      <c r="Q82" s="31"/>
      <c r="R82" s="31"/>
      <c r="S82" s="31"/>
      <c r="T82" s="31"/>
      <c r="U82" s="31"/>
      <c r="V82" s="31"/>
      <c r="W82" s="31"/>
      <c r="X82" s="31"/>
      <c r="Y82" s="31"/>
      <c r="Z82" s="32"/>
    </row>
  </sheetData>
  <mergeCells count="198">
    <mergeCell ref="L10:O10"/>
    <mergeCell ref="B3:Z3"/>
    <mergeCell ref="X15:Z15"/>
    <mergeCell ref="T15:V15"/>
    <mergeCell ref="J6:N6"/>
    <mergeCell ref="Y10:Z10"/>
    <mergeCell ref="AQ10:AT10"/>
    <mergeCell ref="B8:F8"/>
    <mergeCell ref="Y8:Z8"/>
    <mergeCell ref="G8:J8"/>
    <mergeCell ref="R8:S8"/>
    <mergeCell ref="K8:L8"/>
    <mergeCell ref="W6:Z6"/>
    <mergeCell ref="B6:E6"/>
    <mergeCell ref="F6:I6"/>
    <mergeCell ref="O6:R6"/>
    <mergeCell ref="S6:V6"/>
    <mergeCell ref="T8:X8"/>
    <mergeCell ref="B10:E10"/>
    <mergeCell ref="F10:G10"/>
    <mergeCell ref="H10:K10"/>
    <mergeCell ref="Q10:S10"/>
    <mergeCell ref="U10:X10"/>
    <mergeCell ref="B21:Z21"/>
    <mergeCell ref="C17:R17"/>
    <mergeCell ref="C18:R18"/>
    <mergeCell ref="C19:R19"/>
    <mergeCell ref="B16:Z16"/>
    <mergeCell ref="B81:C81"/>
    <mergeCell ref="B77:C77"/>
    <mergeCell ref="B78:C78"/>
    <mergeCell ref="B80:C80"/>
    <mergeCell ref="B79:C79"/>
    <mergeCell ref="T17:V17"/>
    <mergeCell ref="X17:Z17"/>
    <mergeCell ref="T18:V18"/>
    <mergeCell ref="T19:V19"/>
    <mergeCell ref="X18:Z18"/>
    <mergeCell ref="X19:Z19"/>
    <mergeCell ref="T36:V36"/>
    <mergeCell ref="X36:Z36"/>
    <mergeCell ref="C23:R23"/>
    <mergeCell ref="C24:R24"/>
    <mergeCell ref="C25:R25"/>
    <mergeCell ref="C26:R26"/>
    <mergeCell ref="B28:Z28"/>
    <mergeCell ref="T25:V25"/>
    <mergeCell ref="X25:Z25"/>
    <mergeCell ref="T23:V23"/>
    <mergeCell ref="X23:Z23"/>
    <mergeCell ref="T24:V24"/>
    <mergeCell ref="X24:Z24"/>
    <mergeCell ref="T26:V26"/>
    <mergeCell ref="X26:Z26"/>
    <mergeCell ref="T29:V29"/>
    <mergeCell ref="X29:Z29"/>
    <mergeCell ref="T51:V51"/>
    <mergeCell ref="X51:Z51"/>
    <mergeCell ref="C44:R44"/>
    <mergeCell ref="C45:R45"/>
    <mergeCell ref="C46:R46"/>
    <mergeCell ref="T46:V46"/>
    <mergeCell ref="X46:Z46"/>
    <mergeCell ref="C47:R47"/>
    <mergeCell ref="T47:V47"/>
    <mergeCell ref="X47:Z47"/>
    <mergeCell ref="T49:V49"/>
    <mergeCell ref="X49:Z49"/>
    <mergeCell ref="C49:R49"/>
    <mergeCell ref="C50:R50"/>
    <mergeCell ref="C51:R51"/>
    <mergeCell ref="T44:V44"/>
    <mergeCell ref="X44:Z44"/>
    <mergeCell ref="T45:V45"/>
    <mergeCell ref="X45:Z45"/>
    <mergeCell ref="T50:V50"/>
    <mergeCell ref="X50:Z50"/>
    <mergeCell ref="C53:R53"/>
    <mergeCell ref="T53:V53"/>
    <mergeCell ref="X53:Z53"/>
    <mergeCell ref="W60:Z61"/>
    <mergeCell ref="B57:Z57"/>
    <mergeCell ref="J59:Z59"/>
    <mergeCell ref="R60:U61"/>
    <mergeCell ref="N60:Q61"/>
    <mergeCell ref="J60:M61"/>
    <mergeCell ref="D68:H68"/>
    <mergeCell ref="D69:H69"/>
    <mergeCell ref="D70:H70"/>
    <mergeCell ref="D71:H71"/>
    <mergeCell ref="J63:M63"/>
    <mergeCell ref="J64:M64"/>
    <mergeCell ref="J65:M65"/>
    <mergeCell ref="J66:M66"/>
    <mergeCell ref="J67:M67"/>
    <mergeCell ref="J68:M68"/>
    <mergeCell ref="J69:M69"/>
    <mergeCell ref="J70:M70"/>
    <mergeCell ref="J71:M71"/>
    <mergeCell ref="D63:H63"/>
    <mergeCell ref="D64:H64"/>
    <mergeCell ref="D65:H65"/>
    <mergeCell ref="D66:H66"/>
    <mergeCell ref="D67:H67"/>
    <mergeCell ref="R65:U65"/>
    <mergeCell ref="R66:U66"/>
    <mergeCell ref="R67:U67"/>
    <mergeCell ref="R68:U68"/>
    <mergeCell ref="R69:U69"/>
    <mergeCell ref="R70:U70"/>
    <mergeCell ref="R71:U71"/>
    <mergeCell ref="N63:Q63"/>
    <mergeCell ref="N64:Q64"/>
    <mergeCell ref="N65:Q65"/>
    <mergeCell ref="N66:Q66"/>
    <mergeCell ref="N67:Q67"/>
    <mergeCell ref="W68:Z68"/>
    <mergeCell ref="W70:Z70"/>
    <mergeCell ref="W69:Z69"/>
    <mergeCell ref="W71:Z71"/>
    <mergeCell ref="B63:C63"/>
    <mergeCell ref="B64:C64"/>
    <mergeCell ref="B65:C65"/>
    <mergeCell ref="B66:C66"/>
    <mergeCell ref="B67:C67"/>
    <mergeCell ref="B68:C68"/>
    <mergeCell ref="B69:C69"/>
    <mergeCell ref="B70:C70"/>
    <mergeCell ref="B71:C71"/>
    <mergeCell ref="W63:Z63"/>
    <mergeCell ref="W64:Z64"/>
    <mergeCell ref="W65:Z65"/>
    <mergeCell ref="W67:Z67"/>
    <mergeCell ref="W66:Z66"/>
    <mergeCell ref="N68:Q68"/>
    <mergeCell ref="N69:Q69"/>
    <mergeCell ref="N70:Q70"/>
    <mergeCell ref="N71:Q71"/>
    <mergeCell ref="R63:U63"/>
    <mergeCell ref="R64:U64"/>
    <mergeCell ref="C22:R22"/>
    <mergeCell ref="T22:V22"/>
    <mergeCell ref="X22:Z22"/>
    <mergeCell ref="C43:R43"/>
    <mergeCell ref="T43:V43"/>
    <mergeCell ref="X43:Z43"/>
    <mergeCell ref="C41:R41"/>
    <mergeCell ref="T41:V41"/>
    <mergeCell ref="X41:Z41"/>
    <mergeCell ref="C30:R30"/>
    <mergeCell ref="X30:Z30"/>
    <mergeCell ref="T31:Z31"/>
    <mergeCell ref="X38:Z38"/>
    <mergeCell ref="X39:Z39"/>
    <mergeCell ref="X40:Z40"/>
    <mergeCell ref="T38:V38"/>
    <mergeCell ref="T39:V39"/>
    <mergeCell ref="T40:V40"/>
    <mergeCell ref="C38:R38"/>
    <mergeCell ref="C39:R39"/>
    <mergeCell ref="C40:R40"/>
    <mergeCell ref="C29:R29"/>
    <mergeCell ref="C31:R31"/>
    <mergeCell ref="B35:Z35"/>
    <mergeCell ref="R77:U77"/>
    <mergeCell ref="J79:M79"/>
    <mergeCell ref="N79:Q79"/>
    <mergeCell ref="R79:U79"/>
    <mergeCell ref="J81:M81"/>
    <mergeCell ref="N81:Q81"/>
    <mergeCell ref="R81:U81"/>
    <mergeCell ref="D77:H77"/>
    <mergeCell ref="D78:H78"/>
    <mergeCell ref="D79:H79"/>
    <mergeCell ref="W81:Z81"/>
    <mergeCell ref="D59:H61"/>
    <mergeCell ref="B59:C61"/>
    <mergeCell ref="B73:C75"/>
    <mergeCell ref="D73:H75"/>
    <mergeCell ref="J73:Z73"/>
    <mergeCell ref="J74:M75"/>
    <mergeCell ref="N74:Q75"/>
    <mergeCell ref="R74:U75"/>
    <mergeCell ref="W74:Z75"/>
    <mergeCell ref="W79:Z79"/>
    <mergeCell ref="J80:M80"/>
    <mergeCell ref="N80:Q80"/>
    <mergeCell ref="R80:U80"/>
    <mergeCell ref="W80:Z80"/>
    <mergeCell ref="W77:Z77"/>
    <mergeCell ref="J78:M78"/>
    <mergeCell ref="N78:Q78"/>
    <mergeCell ref="R78:U78"/>
    <mergeCell ref="W78:Z78"/>
    <mergeCell ref="D80:H80"/>
    <mergeCell ref="D81:H81"/>
    <mergeCell ref="J77:M77"/>
    <mergeCell ref="N77:Q77"/>
  </mergeCells>
  <printOptions horizontalCentered="1"/>
  <pageMargins left="0.5" right="0.5" top="0.75" bottom="0.75" header="0.3" footer="0.3"/>
  <pageSetup paperSize="9" scale="74" orientation="portrait" r:id="rId1"/>
  <rowBreaks count="1" manualBreakCount="1">
    <brk id="55" max="2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85"/>
  <sheetViews>
    <sheetView view="pageBreakPreview" zoomScale="90" zoomScaleNormal="80" zoomScaleSheetLayoutView="90" workbookViewId="0">
      <pane xSplit="26" ySplit="14" topLeftCell="AA15" activePane="bottomRight" state="frozen"/>
      <selection pane="topRight" activeCell="AA1" sqref="AA1"/>
      <selection pane="bottomLeft" activeCell="A14" sqref="A14"/>
      <selection pane="bottomRight"/>
    </sheetView>
  </sheetViews>
  <sheetFormatPr defaultColWidth="9.140625" defaultRowHeight="15" x14ac:dyDescent="0.25"/>
  <cols>
    <col min="1" max="27" width="4.7109375" style="1" customWidth="1"/>
    <col min="28" max="28" width="5.28515625" style="1" customWidth="1"/>
    <col min="29" max="52" width="4.7109375" style="1" customWidth="1"/>
    <col min="53" max="16384" width="9.140625" style="1"/>
  </cols>
  <sheetData>
    <row r="1" spans="1:27" ht="27.75" customHeight="1" x14ac:dyDescent="0.25">
      <c r="B1" s="225"/>
      <c r="C1" s="225"/>
      <c r="D1" s="225"/>
      <c r="F1" s="225"/>
      <c r="G1" s="225"/>
      <c r="H1" s="225"/>
      <c r="I1" s="225"/>
      <c r="K1" s="225"/>
      <c r="L1" s="225"/>
      <c r="M1" s="225"/>
      <c r="N1" s="225"/>
      <c r="O1" s="225"/>
      <c r="P1" s="225"/>
      <c r="R1" s="232"/>
      <c r="S1" s="232"/>
      <c r="T1" s="232"/>
      <c r="U1" s="232"/>
      <c r="V1" s="232"/>
      <c r="W1" s="232"/>
      <c r="X1" s="232"/>
      <c r="Y1" s="232"/>
      <c r="Z1" s="232"/>
    </row>
    <row r="2" spans="1:27" ht="8.25" customHeight="1" x14ac:dyDescent="0.25"/>
    <row r="3" spans="1:27" ht="34.5" customHeight="1" x14ac:dyDescent="0.25">
      <c r="B3" s="452" t="s">
        <v>297</v>
      </c>
      <c r="C3" s="452"/>
      <c r="D3" s="452"/>
      <c r="E3" s="452"/>
      <c r="F3" s="452"/>
      <c r="G3" s="452"/>
      <c r="H3" s="452"/>
      <c r="I3" s="452"/>
      <c r="J3" s="452"/>
      <c r="K3" s="452"/>
      <c r="L3" s="452"/>
      <c r="M3" s="452"/>
      <c r="N3" s="452"/>
      <c r="O3" s="452"/>
      <c r="P3" s="452"/>
      <c r="Q3" s="452"/>
      <c r="R3" s="452"/>
      <c r="S3" s="452"/>
      <c r="T3" s="452"/>
      <c r="U3" s="452"/>
      <c r="V3" s="452"/>
      <c r="W3" s="452"/>
      <c r="X3" s="452"/>
      <c r="Y3" s="452"/>
      <c r="Z3" s="452"/>
    </row>
    <row r="4" spans="1:27" ht="23.25" x14ac:dyDescent="0.25">
      <c r="B4" s="444" t="s">
        <v>296</v>
      </c>
      <c r="C4" s="444"/>
      <c r="D4" s="444"/>
      <c r="E4" s="444"/>
      <c r="F4" s="444"/>
      <c r="G4" s="444"/>
      <c r="H4" s="444"/>
      <c r="I4" s="444"/>
      <c r="J4" s="444"/>
      <c r="K4" s="444"/>
      <c r="L4" s="444"/>
      <c r="M4" s="444"/>
      <c r="N4" s="444"/>
      <c r="O4" s="444"/>
      <c r="P4" s="444"/>
      <c r="Q4" s="444"/>
      <c r="R4" s="444"/>
      <c r="S4" s="444"/>
      <c r="T4" s="444"/>
      <c r="U4" s="444"/>
      <c r="V4" s="444"/>
      <c r="W4" s="444"/>
      <c r="X4" s="444"/>
      <c r="Y4" s="444"/>
      <c r="Z4" s="444"/>
    </row>
    <row r="5" spans="1:27" ht="10.5" customHeight="1" x14ac:dyDescent="0.25">
      <c r="B5" s="160"/>
      <c r="C5" s="160"/>
      <c r="D5" s="160"/>
      <c r="E5" s="160"/>
      <c r="F5" s="160"/>
      <c r="G5" s="160"/>
      <c r="H5" s="160"/>
      <c r="I5" s="160"/>
      <c r="J5" s="160"/>
      <c r="K5" s="160"/>
      <c r="L5" s="160"/>
      <c r="M5" s="160"/>
      <c r="N5" s="160"/>
      <c r="O5" s="160"/>
      <c r="P5" s="160"/>
      <c r="Q5" s="160"/>
      <c r="R5" s="160"/>
      <c r="S5" s="160"/>
      <c r="T5" s="160"/>
      <c r="U5" s="160"/>
      <c r="V5" s="160"/>
      <c r="W5" s="160"/>
      <c r="X5" s="160"/>
      <c r="Y5" s="160"/>
      <c r="Z5" s="160"/>
    </row>
    <row r="6" spans="1:27" s="15" customFormat="1" ht="15.75" x14ac:dyDescent="0.25">
      <c r="B6" s="213"/>
      <c r="C6" s="213"/>
      <c r="D6" s="213"/>
      <c r="E6" s="213"/>
      <c r="F6" s="213"/>
      <c r="G6" s="213"/>
      <c r="H6" s="213"/>
      <c r="I6" s="213"/>
      <c r="J6" s="453"/>
      <c r="K6" s="453"/>
      <c r="L6" s="453"/>
      <c r="M6" s="453"/>
      <c r="N6" s="453"/>
      <c r="O6" s="453"/>
      <c r="P6" s="453"/>
      <c r="Q6" s="453"/>
      <c r="T6" s="213"/>
      <c r="U6" s="213"/>
      <c r="V6" s="213"/>
      <c r="W6" s="213"/>
      <c r="X6" s="213"/>
      <c r="Y6" s="213"/>
      <c r="Z6" s="213"/>
    </row>
    <row r="7" spans="1:27" ht="10.5" customHeight="1" thickBot="1" x14ac:dyDescent="0.3">
      <c r="B7" s="160"/>
      <c r="C7" s="160"/>
      <c r="D7" s="160"/>
      <c r="E7" s="160"/>
      <c r="F7" s="160"/>
      <c r="G7" s="160"/>
      <c r="H7" s="160"/>
      <c r="I7" s="160"/>
      <c r="J7" s="160"/>
      <c r="K7" s="160"/>
      <c r="L7" s="160"/>
      <c r="M7" s="160"/>
      <c r="N7" s="160"/>
      <c r="O7" s="160"/>
      <c r="P7" s="160"/>
      <c r="Q7" s="160"/>
      <c r="R7" s="160"/>
      <c r="S7" s="160"/>
      <c r="T7" s="160"/>
      <c r="U7" s="160"/>
      <c r="V7" s="160"/>
      <c r="W7" s="160"/>
      <c r="X7" s="160"/>
      <c r="Y7" s="160"/>
      <c r="Z7" s="160"/>
    </row>
    <row r="8" spans="1:27" x14ac:dyDescent="0.25">
      <c r="B8" s="25"/>
      <c r="C8" s="26"/>
      <c r="D8" s="26"/>
      <c r="E8" s="26"/>
      <c r="F8" s="26"/>
      <c r="G8" s="26"/>
      <c r="H8" s="26"/>
      <c r="I8" s="26"/>
      <c r="J8" s="26"/>
      <c r="K8" s="26"/>
      <c r="L8" s="26"/>
      <c r="M8" s="26"/>
      <c r="N8" s="26"/>
      <c r="O8" s="26"/>
      <c r="P8" s="26"/>
      <c r="Q8" s="26"/>
      <c r="R8" s="26"/>
      <c r="S8" s="26"/>
      <c r="T8" s="26"/>
      <c r="U8" s="26"/>
      <c r="V8" s="26"/>
      <c r="W8" s="26"/>
      <c r="X8" s="26"/>
      <c r="Y8" s="26"/>
      <c r="Z8" s="27"/>
    </row>
    <row r="9" spans="1:27" ht="15.75" x14ac:dyDescent="0.25">
      <c r="A9" s="15"/>
      <c r="B9" s="450" t="s">
        <v>0</v>
      </c>
      <c r="C9" s="443"/>
      <c r="D9" s="443"/>
      <c r="E9" s="443"/>
      <c r="F9" s="445" t="str">
        <f>IF('C for f'!C2=0,"",'C for f'!C2)</f>
        <v/>
      </c>
      <c r="G9" s="445"/>
      <c r="H9" s="445"/>
      <c r="I9" s="445"/>
      <c r="J9" s="443" t="s">
        <v>7</v>
      </c>
      <c r="K9" s="443"/>
      <c r="L9" s="443"/>
      <c r="M9" s="443"/>
      <c r="N9" s="443"/>
      <c r="O9" s="445" t="str">
        <f>IF('C for c'!C3=0,"",'C for c'!C3)</f>
        <v/>
      </c>
      <c r="P9" s="445"/>
      <c r="Q9" s="445"/>
      <c r="R9" s="445"/>
      <c r="S9" s="443" t="s">
        <v>13</v>
      </c>
      <c r="T9" s="443"/>
      <c r="U9" s="443"/>
      <c r="V9" s="443"/>
      <c r="W9" s="445" t="str">
        <f>IF('C for c'!C4=0,"",'C for c'!C4)</f>
        <v/>
      </c>
      <c r="X9" s="445"/>
      <c r="Y9" s="445"/>
      <c r="Z9" s="446"/>
      <c r="AA9" s="15"/>
    </row>
    <row r="10" spans="1:27" ht="9.9499999999999993" customHeight="1" x14ac:dyDescent="0.25">
      <c r="A10" s="15"/>
      <c r="B10" s="161"/>
      <c r="C10" s="15"/>
      <c r="D10" s="15"/>
      <c r="E10" s="15"/>
      <c r="F10" s="15"/>
      <c r="G10" s="15"/>
      <c r="H10" s="15"/>
      <c r="I10" s="15"/>
      <c r="J10" s="15"/>
      <c r="K10" s="15"/>
      <c r="L10" s="15"/>
      <c r="M10" s="15"/>
      <c r="N10" s="15"/>
      <c r="O10" s="15"/>
      <c r="P10" s="15"/>
      <c r="Q10" s="15"/>
      <c r="R10" s="15"/>
      <c r="S10" s="15"/>
      <c r="T10" s="15"/>
      <c r="U10" s="15"/>
      <c r="V10" s="15"/>
      <c r="W10" s="15"/>
      <c r="X10" s="15"/>
      <c r="Y10" s="15"/>
      <c r="Z10" s="162"/>
      <c r="AA10" s="15"/>
    </row>
    <row r="11" spans="1:27" ht="15.75" x14ac:dyDescent="0.25">
      <c r="A11" s="15"/>
      <c r="B11" s="447" t="s">
        <v>64</v>
      </c>
      <c r="C11" s="448"/>
      <c r="D11" s="448"/>
      <c r="E11" s="448"/>
      <c r="F11" s="448"/>
      <c r="G11" s="443" t="s">
        <v>104</v>
      </c>
      <c r="H11" s="443"/>
      <c r="I11" s="443"/>
      <c r="J11" s="443"/>
      <c r="K11" s="445" t="str">
        <f>IF('C for f'!G2=0,"",'C for f'!G2)</f>
        <v/>
      </c>
      <c r="L11" s="445"/>
      <c r="N11" s="15" t="s">
        <v>105</v>
      </c>
      <c r="O11" s="15"/>
      <c r="P11" s="15"/>
      <c r="Q11" s="15"/>
      <c r="R11" s="449" t="str">
        <f>IF('C for f'!G3=0,"",'C for f'!G3)</f>
        <v/>
      </c>
      <c r="S11" s="449"/>
      <c r="T11" s="443" t="s">
        <v>280</v>
      </c>
      <c r="U11" s="443"/>
      <c r="V11" s="443"/>
      <c r="W11" s="443"/>
      <c r="X11" s="443"/>
      <c r="Y11" s="445" t="str">
        <f>IF('C for f'!G4=0,"",'C for f'!G4)</f>
        <v/>
      </c>
      <c r="Z11" s="446"/>
      <c r="AA11" s="15"/>
    </row>
    <row r="12" spans="1:27" ht="9.9499999999999993" customHeight="1" x14ac:dyDescent="0.25">
      <c r="A12" s="15"/>
      <c r="B12" s="161"/>
      <c r="C12" s="15"/>
      <c r="D12" s="15"/>
      <c r="E12" s="15"/>
      <c r="F12" s="15"/>
      <c r="G12" s="15"/>
      <c r="H12" s="15"/>
      <c r="I12" s="15"/>
      <c r="J12" s="15"/>
      <c r="K12" s="15"/>
      <c r="L12" s="15"/>
      <c r="M12" s="15"/>
      <c r="N12" s="15"/>
      <c r="O12" s="15"/>
      <c r="P12" s="15"/>
      <c r="Q12" s="15"/>
      <c r="R12" s="15"/>
      <c r="S12" s="15"/>
      <c r="T12" s="15"/>
      <c r="U12" s="15"/>
      <c r="V12" s="15"/>
      <c r="W12" s="15"/>
      <c r="X12" s="15"/>
      <c r="Y12" s="15"/>
      <c r="Z12" s="162"/>
      <c r="AA12" s="15"/>
    </row>
    <row r="13" spans="1:27" ht="15.75" x14ac:dyDescent="0.25">
      <c r="A13" s="15"/>
      <c r="B13" s="450" t="s">
        <v>106</v>
      </c>
      <c r="C13" s="443"/>
      <c r="D13" s="443"/>
      <c r="E13" s="443"/>
      <c r="F13" s="445" t="str">
        <f>IF('C for f'!D6=0,"",'C for f'!D6)</f>
        <v/>
      </c>
      <c r="G13" s="445"/>
      <c r="H13" s="451" t="s">
        <v>282</v>
      </c>
      <c r="I13" s="451"/>
      <c r="J13" s="451"/>
      <c r="K13" s="451"/>
      <c r="L13" s="443" t="s">
        <v>107</v>
      </c>
      <c r="M13" s="443"/>
      <c r="N13" s="443"/>
      <c r="O13" s="443"/>
      <c r="P13" s="237" t="str">
        <f>IF('C for f'!K4=0,"",'C for f'!K4)</f>
        <v/>
      </c>
      <c r="Q13" s="443" t="s">
        <v>283</v>
      </c>
      <c r="R13" s="443"/>
      <c r="S13" s="443"/>
      <c r="T13" s="237" t="str">
        <f>IF('C for f'!K2=0,"",'C for f'!K2)</f>
        <v/>
      </c>
      <c r="U13" s="443" t="s">
        <v>284</v>
      </c>
      <c r="V13" s="443"/>
      <c r="W13" s="443"/>
      <c r="X13" s="443"/>
      <c r="Y13" s="445" t="str">
        <f>IF('C for f'!K3=0,"",'C for f'!K3)</f>
        <v/>
      </c>
      <c r="Z13" s="446"/>
      <c r="AA13" s="15"/>
    </row>
    <row r="14" spans="1:27" ht="16.5" thickBot="1" x14ac:dyDescent="0.3">
      <c r="A14" s="15"/>
      <c r="B14" s="163"/>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5"/>
      <c r="AA14" s="15"/>
    </row>
    <row r="15" spans="1:27" ht="9.9499999999999993" customHeight="1" thickBot="1"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1:27" ht="9.9499999999999993" customHeight="1" x14ac:dyDescent="0.25">
      <c r="A16" s="15"/>
      <c r="B16" s="166"/>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8"/>
      <c r="AA16" s="15"/>
    </row>
    <row r="17" spans="1:27" s="80" customFormat="1" ht="20.100000000000001" customHeight="1" x14ac:dyDescent="0.25">
      <c r="B17" s="169" t="s">
        <v>23</v>
      </c>
      <c r="C17" s="8"/>
      <c r="D17" s="8"/>
      <c r="E17" s="8"/>
      <c r="F17" s="8"/>
      <c r="G17" s="8"/>
      <c r="H17" s="8"/>
      <c r="I17" s="8"/>
      <c r="J17" s="8"/>
      <c r="K17" s="8"/>
      <c r="L17" s="8"/>
      <c r="M17" s="8"/>
      <c r="N17" s="8"/>
      <c r="O17" s="8"/>
      <c r="Z17" s="170"/>
    </row>
    <row r="18" spans="1:27" s="80" customFormat="1" ht="20.100000000000001" customHeight="1" x14ac:dyDescent="0.25">
      <c r="B18" s="171"/>
      <c r="C18" s="8"/>
      <c r="D18" s="8"/>
      <c r="E18" s="8"/>
      <c r="F18" s="8"/>
      <c r="G18" s="8"/>
      <c r="H18" s="8"/>
      <c r="I18" s="8"/>
      <c r="J18" s="8"/>
      <c r="K18" s="8"/>
      <c r="L18" s="8"/>
      <c r="M18" s="8"/>
      <c r="N18" s="8"/>
      <c r="O18" s="8"/>
      <c r="T18" s="441" t="s">
        <v>113</v>
      </c>
      <c r="U18" s="441"/>
      <c r="V18" s="441"/>
      <c r="X18" s="441" t="s">
        <v>151</v>
      </c>
      <c r="Y18" s="441"/>
      <c r="Z18" s="442"/>
    </row>
    <row r="19" spans="1:27" s="126" customFormat="1" ht="23.1" customHeight="1" x14ac:dyDescent="0.25">
      <c r="A19" s="80"/>
      <c r="B19" s="436" t="s">
        <v>135</v>
      </c>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8"/>
      <c r="AA19" s="80"/>
    </row>
    <row r="20" spans="1:27" s="126" customFormat="1" ht="23.1" customHeight="1" x14ac:dyDescent="0.25">
      <c r="A20" s="80"/>
      <c r="B20" s="172" t="s">
        <v>130</v>
      </c>
      <c r="C20" s="419" t="s">
        <v>192</v>
      </c>
      <c r="D20" s="419"/>
      <c r="E20" s="419"/>
      <c r="F20" s="419"/>
      <c r="G20" s="419"/>
      <c r="H20" s="419"/>
      <c r="I20" s="419"/>
      <c r="J20" s="419"/>
      <c r="K20" s="419"/>
      <c r="L20" s="419"/>
      <c r="M20" s="419"/>
      <c r="N20" s="419"/>
      <c r="O20" s="419"/>
      <c r="P20" s="419"/>
      <c r="Q20" s="419"/>
      <c r="R20" s="419"/>
      <c r="S20" s="212"/>
      <c r="T20" s="413" t="str">
        <f>IF('C for f'!H9=0,"",'C for f'!H9)</f>
        <v/>
      </c>
      <c r="U20" s="413"/>
      <c r="V20" s="413"/>
      <c r="W20" s="173"/>
      <c r="X20" s="413" t="str">
        <f>IFERROR(T20*12,"")</f>
        <v/>
      </c>
      <c r="Y20" s="413"/>
      <c r="Z20" s="414"/>
      <c r="AA20" s="80"/>
    </row>
    <row r="21" spans="1:27" s="126" customFormat="1" ht="23.1" customHeight="1" x14ac:dyDescent="0.25">
      <c r="A21" s="80"/>
      <c r="B21" s="214" t="s">
        <v>132</v>
      </c>
      <c r="C21" s="411" t="s">
        <v>193</v>
      </c>
      <c r="D21" s="411"/>
      <c r="E21" s="411"/>
      <c r="F21" s="411"/>
      <c r="G21" s="411"/>
      <c r="H21" s="411"/>
      <c r="I21" s="411"/>
      <c r="J21" s="411"/>
      <c r="K21" s="411"/>
      <c r="L21" s="411"/>
      <c r="M21" s="411"/>
      <c r="N21" s="411"/>
      <c r="O21" s="411"/>
      <c r="P21" s="411"/>
      <c r="Q21" s="411"/>
      <c r="R21" s="411"/>
      <c r="S21" s="211"/>
      <c r="T21" s="412" t="str">
        <f>IF('C for f'!P9=0,"",'C for f'!P9)</f>
        <v/>
      </c>
      <c r="U21" s="412"/>
      <c r="V21" s="412"/>
      <c r="W21" s="174"/>
      <c r="X21" s="413" t="str">
        <f>IFERROR(T21*12,"")</f>
        <v/>
      </c>
      <c r="Y21" s="413"/>
      <c r="Z21" s="414"/>
      <c r="AA21" s="80"/>
    </row>
    <row r="22" spans="1:27" s="126" customFormat="1" ht="23.1" customHeight="1" x14ac:dyDescent="0.25">
      <c r="A22" s="80"/>
      <c r="B22" s="214" t="s">
        <v>133</v>
      </c>
      <c r="C22" s="411" t="s">
        <v>134</v>
      </c>
      <c r="D22" s="411"/>
      <c r="E22" s="411"/>
      <c r="F22" s="411"/>
      <c r="G22" s="411"/>
      <c r="H22" s="411"/>
      <c r="I22" s="411"/>
      <c r="J22" s="411"/>
      <c r="K22" s="411"/>
      <c r="L22" s="411"/>
      <c r="M22" s="411"/>
      <c r="N22" s="411"/>
      <c r="O22" s="411"/>
      <c r="P22" s="411"/>
      <c r="Q22" s="411"/>
      <c r="R22" s="411"/>
      <c r="S22" s="211"/>
      <c r="T22" s="412" t="str">
        <f>IF('C for f'!F11=0,"",'C for f'!F11)</f>
        <v/>
      </c>
      <c r="U22" s="412"/>
      <c r="V22" s="412"/>
      <c r="W22" s="174"/>
      <c r="X22" s="413" t="str">
        <f>IFERROR(T22*12,"")</f>
        <v/>
      </c>
      <c r="Y22" s="413"/>
      <c r="Z22" s="414"/>
      <c r="AA22" s="80"/>
    </row>
    <row r="23" spans="1:27" ht="10.5" customHeight="1" x14ac:dyDescent="0.25">
      <c r="B23" s="175"/>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76"/>
    </row>
    <row r="24" spans="1:27" s="126" customFormat="1" ht="23.1" hidden="1" customHeight="1" x14ac:dyDescent="0.25">
      <c r="A24" s="80"/>
      <c r="B24" s="436" t="s">
        <v>136</v>
      </c>
      <c r="C24" s="437"/>
      <c r="D24" s="437"/>
      <c r="E24" s="437"/>
      <c r="F24" s="437"/>
      <c r="G24" s="437"/>
      <c r="H24" s="437"/>
      <c r="I24" s="437"/>
      <c r="J24" s="437"/>
      <c r="K24" s="437"/>
      <c r="L24" s="437"/>
      <c r="M24" s="437"/>
      <c r="N24" s="437"/>
      <c r="O24" s="437"/>
      <c r="P24" s="437"/>
      <c r="Q24" s="437"/>
      <c r="R24" s="437"/>
      <c r="S24" s="437"/>
      <c r="T24" s="437"/>
      <c r="U24" s="437"/>
      <c r="V24" s="437"/>
      <c r="W24" s="437"/>
      <c r="X24" s="437"/>
      <c r="Y24" s="437"/>
      <c r="Z24" s="438"/>
      <c r="AA24" s="80"/>
    </row>
    <row r="25" spans="1:27" s="126" customFormat="1" ht="23.1" hidden="1" customHeight="1" x14ac:dyDescent="0.25">
      <c r="A25" s="80"/>
      <c r="B25" s="214" t="s">
        <v>130</v>
      </c>
      <c r="C25" s="411" t="s">
        <v>156</v>
      </c>
      <c r="D25" s="411"/>
      <c r="E25" s="411"/>
      <c r="F25" s="411"/>
      <c r="G25" s="411"/>
      <c r="H25" s="411"/>
      <c r="I25" s="411"/>
      <c r="J25" s="411"/>
      <c r="K25" s="411"/>
      <c r="L25" s="411"/>
      <c r="M25" s="411"/>
      <c r="N25" s="411"/>
      <c r="O25" s="411"/>
      <c r="P25" s="411"/>
      <c r="Q25" s="411"/>
      <c r="R25" s="411"/>
      <c r="S25" s="174"/>
      <c r="T25" s="412"/>
      <c r="U25" s="412"/>
      <c r="V25" s="412"/>
      <c r="W25" s="174"/>
      <c r="X25" s="413"/>
      <c r="Y25" s="413"/>
      <c r="Z25" s="414"/>
      <c r="AA25" s="80"/>
    </row>
    <row r="26" spans="1:27" s="126" customFormat="1" ht="23.1" hidden="1" customHeight="1" x14ac:dyDescent="0.25">
      <c r="A26" s="80"/>
      <c r="B26" s="214" t="s">
        <v>132</v>
      </c>
      <c r="C26" s="411" t="s">
        <v>137</v>
      </c>
      <c r="D26" s="411"/>
      <c r="E26" s="411"/>
      <c r="F26" s="411"/>
      <c r="G26" s="411"/>
      <c r="H26" s="411"/>
      <c r="I26" s="411"/>
      <c r="J26" s="411"/>
      <c r="K26" s="411"/>
      <c r="L26" s="411"/>
      <c r="M26" s="411"/>
      <c r="N26" s="411"/>
      <c r="O26" s="411"/>
      <c r="P26" s="411"/>
      <c r="Q26" s="411"/>
      <c r="R26" s="411"/>
      <c r="S26" s="174"/>
      <c r="T26" s="412"/>
      <c r="U26" s="412"/>
      <c r="V26" s="412"/>
      <c r="W26" s="174"/>
      <c r="X26" s="413"/>
      <c r="Y26" s="413"/>
      <c r="Z26" s="414"/>
      <c r="AA26" s="80"/>
    </row>
    <row r="27" spans="1:27" s="126" customFormat="1" ht="23.1" hidden="1" customHeight="1" x14ac:dyDescent="0.25">
      <c r="A27" s="80"/>
      <c r="B27" s="214" t="s">
        <v>133</v>
      </c>
      <c r="C27" s="411" t="s">
        <v>140</v>
      </c>
      <c r="D27" s="411"/>
      <c r="E27" s="411"/>
      <c r="F27" s="411"/>
      <c r="G27" s="411"/>
      <c r="H27" s="411"/>
      <c r="I27" s="411"/>
      <c r="J27" s="411"/>
      <c r="K27" s="411"/>
      <c r="L27" s="411"/>
      <c r="M27" s="411"/>
      <c r="N27" s="411"/>
      <c r="O27" s="411"/>
      <c r="P27" s="411"/>
      <c r="Q27" s="411"/>
      <c r="R27" s="411"/>
      <c r="S27" s="174"/>
      <c r="T27" s="412"/>
      <c r="U27" s="412"/>
      <c r="V27" s="412"/>
      <c r="W27" s="174"/>
      <c r="X27" s="413"/>
      <c r="Y27" s="413"/>
      <c r="Z27" s="414"/>
      <c r="AA27" s="80"/>
    </row>
    <row r="28" spans="1:27" s="126" customFormat="1" ht="23.1" hidden="1" customHeight="1" x14ac:dyDescent="0.25">
      <c r="A28" s="80"/>
      <c r="B28" s="214" t="s">
        <v>141</v>
      </c>
      <c r="C28" s="411" t="s">
        <v>138</v>
      </c>
      <c r="D28" s="411"/>
      <c r="E28" s="411"/>
      <c r="F28" s="411"/>
      <c r="G28" s="411"/>
      <c r="H28" s="411"/>
      <c r="I28" s="411"/>
      <c r="J28" s="411"/>
      <c r="K28" s="411"/>
      <c r="L28" s="411"/>
      <c r="M28" s="411"/>
      <c r="N28" s="411"/>
      <c r="O28" s="411"/>
      <c r="P28" s="411"/>
      <c r="Q28" s="411"/>
      <c r="R28" s="411"/>
      <c r="S28" s="174"/>
      <c r="T28" s="412"/>
      <c r="U28" s="412"/>
      <c r="V28" s="412"/>
      <c r="W28" s="174"/>
      <c r="X28" s="413"/>
      <c r="Y28" s="413"/>
      <c r="Z28" s="414"/>
      <c r="AA28" s="80"/>
    </row>
    <row r="29" spans="1:27" s="126" customFormat="1" ht="23.1" hidden="1" customHeight="1" x14ac:dyDescent="0.25">
      <c r="A29" s="80"/>
      <c r="B29" s="214" t="s">
        <v>131</v>
      </c>
      <c r="C29" s="411" t="s">
        <v>139</v>
      </c>
      <c r="D29" s="411"/>
      <c r="E29" s="411"/>
      <c r="F29" s="411"/>
      <c r="G29" s="411"/>
      <c r="H29" s="411"/>
      <c r="I29" s="411"/>
      <c r="J29" s="411"/>
      <c r="K29" s="411"/>
      <c r="L29" s="411"/>
      <c r="M29" s="411"/>
      <c r="N29" s="411"/>
      <c r="O29" s="411"/>
      <c r="P29" s="411"/>
      <c r="Q29" s="411"/>
      <c r="R29" s="411"/>
      <c r="S29" s="174"/>
      <c r="T29" s="412"/>
      <c r="U29" s="412"/>
      <c r="V29" s="412"/>
      <c r="W29" s="174"/>
      <c r="X29" s="413"/>
      <c r="Y29" s="413"/>
      <c r="Z29" s="414"/>
      <c r="AA29" s="80"/>
    </row>
    <row r="30" spans="1:27" ht="10.5" hidden="1" customHeight="1" x14ac:dyDescent="0.25">
      <c r="B30" s="175"/>
      <c r="C30" s="160"/>
      <c r="D30" s="160"/>
      <c r="E30" s="160"/>
      <c r="F30" s="160"/>
      <c r="G30" s="160"/>
      <c r="H30" s="160"/>
      <c r="I30" s="160"/>
      <c r="J30" s="160"/>
      <c r="K30" s="160"/>
      <c r="L30" s="160"/>
      <c r="M30" s="160"/>
      <c r="N30" s="160"/>
      <c r="O30" s="160"/>
      <c r="P30" s="160"/>
      <c r="Q30" s="160"/>
      <c r="R30" s="160"/>
      <c r="S30" s="160"/>
      <c r="T30" s="160"/>
      <c r="U30" s="160"/>
      <c r="V30" s="160"/>
      <c r="W30" s="160"/>
      <c r="X30" s="160"/>
      <c r="Y30" s="160"/>
      <c r="Z30" s="176"/>
    </row>
    <row r="31" spans="1:27" s="126" customFormat="1" ht="23.1" customHeight="1" x14ac:dyDescent="0.25">
      <c r="A31" s="80"/>
      <c r="B31" s="436" t="s">
        <v>265</v>
      </c>
      <c r="C31" s="437"/>
      <c r="D31" s="437"/>
      <c r="E31" s="437"/>
      <c r="F31" s="437"/>
      <c r="G31" s="437"/>
      <c r="H31" s="437"/>
      <c r="I31" s="437"/>
      <c r="J31" s="437"/>
      <c r="K31" s="437"/>
      <c r="L31" s="437"/>
      <c r="M31" s="437"/>
      <c r="N31" s="437"/>
      <c r="O31" s="437"/>
      <c r="P31" s="437"/>
      <c r="Q31" s="437"/>
      <c r="R31" s="437"/>
      <c r="S31" s="437"/>
      <c r="T31" s="437"/>
      <c r="U31" s="437"/>
      <c r="V31" s="437"/>
      <c r="W31" s="437"/>
      <c r="X31" s="437"/>
      <c r="Y31" s="437"/>
      <c r="Z31" s="438"/>
      <c r="AA31" s="80"/>
    </row>
    <row r="32" spans="1:27" s="126" customFormat="1" ht="23.1" customHeight="1" x14ac:dyDescent="0.25">
      <c r="A32" s="80"/>
      <c r="B32" s="177" t="s">
        <v>130</v>
      </c>
      <c r="C32" s="411" t="s">
        <v>142</v>
      </c>
      <c r="D32" s="411"/>
      <c r="E32" s="411"/>
      <c r="F32" s="411"/>
      <c r="G32" s="411"/>
      <c r="H32" s="411"/>
      <c r="I32" s="411"/>
      <c r="J32" s="411"/>
      <c r="K32" s="411"/>
      <c r="L32" s="411"/>
      <c r="M32" s="411"/>
      <c r="N32" s="411"/>
      <c r="O32" s="411"/>
      <c r="P32" s="411"/>
      <c r="Q32" s="411"/>
      <c r="R32" s="411"/>
      <c r="S32" s="174"/>
      <c r="T32" s="412" t="str">
        <f>IF('C for f'!G13=0,"",'C for f'!G13)</f>
        <v/>
      </c>
      <c r="U32" s="412"/>
      <c r="V32" s="412"/>
      <c r="W32" s="174"/>
      <c r="X32" s="413" t="str">
        <f>IFERROR(T32*12,"")</f>
        <v/>
      </c>
      <c r="Y32" s="413"/>
      <c r="Z32" s="414"/>
      <c r="AA32" s="80"/>
    </row>
    <row r="33" spans="1:27" s="126" customFormat="1" ht="23.1" hidden="1" customHeight="1" x14ac:dyDescent="0.25">
      <c r="A33" s="80"/>
      <c r="B33" s="177" t="s">
        <v>132</v>
      </c>
      <c r="C33" s="411" t="s">
        <v>143</v>
      </c>
      <c r="D33" s="411"/>
      <c r="E33" s="411"/>
      <c r="F33" s="411"/>
      <c r="G33" s="411"/>
      <c r="H33" s="411"/>
      <c r="I33" s="411"/>
      <c r="J33" s="411"/>
      <c r="K33" s="411"/>
      <c r="L33" s="411"/>
      <c r="M33" s="411"/>
      <c r="N33" s="411"/>
      <c r="O33" s="411"/>
      <c r="P33" s="411"/>
      <c r="Q33" s="411"/>
      <c r="R33" s="411"/>
      <c r="S33" s="174"/>
      <c r="T33" s="174"/>
      <c r="U33" s="174"/>
      <c r="V33" s="174"/>
      <c r="W33" s="174"/>
      <c r="X33" s="412"/>
      <c r="Y33" s="412"/>
      <c r="Z33" s="418"/>
      <c r="AA33" s="80"/>
    </row>
    <row r="34" spans="1:27" s="126" customFormat="1" ht="23.1" hidden="1" customHeight="1" x14ac:dyDescent="0.25">
      <c r="A34" s="80"/>
      <c r="B34" s="177" t="s">
        <v>132</v>
      </c>
      <c r="C34" s="411" t="s">
        <v>266</v>
      </c>
      <c r="D34" s="411"/>
      <c r="E34" s="411"/>
      <c r="F34" s="411"/>
      <c r="G34" s="411"/>
      <c r="H34" s="411"/>
      <c r="I34" s="411"/>
      <c r="J34" s="411"/>
      <c r="K34" s="411"/>
      <c r="L34" s="411"/>
      <c r="M34" s="411"/>
      <c r="N34" s="411"/>
      <c r="O34" s="411"/>
      <c r="P34" s="411"/>
      <c r="Q34" s="411"/>
      <c r="R34" s="411"/>
      <c r="S34" s="174"/>
      <c r="T34" s="412"/>
      <c r="U34" s="412"/>
      <c r="V34" s="412"/>
      <c r="W34" s="412"/>
      <c r="X34" s="412"/>
      <c r="Y34" s="412"/>
      <c r="Z34" s="418"/>
      <c r="AA34" s="80"/>
    </row>
    <row r="35" spans="1:27" ht="10.5" customHeight="1" thickBot="1" x14ac:dyDescent="0.3">
      <c r="B35" s="178"/>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80"/>
    </row>
    <row r="36" spans="1:27" ht="10.5" customHeight="1" thickBot="1" x14ac:dyDescent="0.3">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row>
    <row r="37" spans="1:27" ht="10.5" customHeight="1" x14ac:dyDescent="0.25">
      <c r="B37" s="181"/>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3"/>
    </row>
    <row r="38" spans="1:27" s="184" customFormat="1" ht="20.100000000000001" customHeight="1" x14ac:dyDescent="0.25">
      <c r="A38" s="80"/>
      <c r="B38" s="420" t="s">
        <v>144</v>
      </c>
      <c r="C38" s="421"/>
      <c r="D38" s="421"/>
      <c r="E38" s="421"/>
      <c r="F38" s="421"/>
      <c r="G38" s="421"/>
      <c r="H38" s="421"/>
      <c r="I38" s="421"/>
      <c r="J38" s="421"/>
      <c r="K38" s="421"/>
      <c r="L38" s="421"/>
      <c r="M38" s="421"/>
      <c r="N38" s="421"/>
      <c r="O38" s="421"/>
      <c r="P38" s="421"/>
      <c r="Q38" s="421"/>
      <c r="R38" s="421"/>
      <c r="S38" s="421"/>
      <c r="T38" s="421"/>
      <c r="U38" s="421"/>
      <c r="V38" s="421"/>
      <c r="W38" s="421"/>
      <c r="X38" s="421"/>
      <c r="Y38" s="421"/>
      <c r="Z38" s="422"/>
      <c r="AA38" s="80"/>
    </row>
    <row r="39" spans="1:27" s="80" customFormat="1" ht="20.100000000000001" customHeight="1" x14ac:dyDescent="0.25">
      <c r="B39" s="171"/>
      <c r="C39" s="8"/>
      <c r="D39" s="8"/>
      <c r="E39" s="8"/>
      <c r="F39" s="8"/>
      <c r="G39" s="8"/>
      <c r="H39" s="8"/>
      <c r="I39" s="8"/>
      <c r="J39" s="8"/>
      <c r="K39" s="8"/>
      <c r="L39" s="8"/>
      <c r="M39" s="8"/>
      <c r="N39" s="8"/>
      <c r="O39" s="8"/>
      <c r="T39" s="441" t="s">
        <v>113</v>
      </c>
      <c r="U39" s="441"/>
      <c r="V39" s="441"/>
      <c r="X39" s="441" t="s">
        <v>151</v>
      </c>
      <c r="Y39" s="441"/>
      <c r="Z39" s="442"/>
    </row>
    <row r="40" spans="1:27" ht="10.5" customHeight="1" x14ac:dyDescent="0.25">
      <c r="B40" s="185"/>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7"/>
    </row>
    <row r="41" spans="1:27" s="126" customFormat="1" ht="23.1" customHeight="1" x14ac:dyDescent="0.25">
      <c r="A41" s="80"/>
      <c r="B41" s="188" t="s">
        <v>130</v>
      </c>
      <c r="C41" s="419" t="s">
        <v>241</v>
      </c>
      <c r="D41" s="419"/>
      <c r="E41" s="419"/>
      <c r="F41" s="419"/>
      <c r="G41" s="419"/>
      <c r="H41" s="419"/>
      <c r="I41" s="419"/>
      <c r="J41" s="419"/>
      <c r="K41" s="419"/>
      <c r="L41" s="419"/>
      <c r="M41" s="419"/>
      <c r="N41" s="419"/>
      <c r="O41" s="419"/>
      <c r="P41" s="419"/>
      <c r="Q41" s="419"/>
      <c r="R41" s="419"/>
      <c r="S41" s="173"/>
      <c r="T41" s="416">
        <f>IF('C for f'!AA2=0,0,'C for f'!AA2)</f>
        <v>0</v>
      </c>
      <c r="U41" s="416"/>
      <c r="V41" s="416"/>
      <c r="W41" s="173"/>
      <c r="X41" s="416">
        <f>IFERROR(T41*12,"")</f>
        <v>0</v>
      </c>
      <c r="Y41" s="416"/>
      <c r="Z41" s="417"/>
      <c r="AA41" s="80"/>
    </row>
    <row r="42" spans="1:27" s="126" customFormat="1" ht="23.1" customHeight="1" x14ac:dyDescent="0.25">
      <c r="A42" s="80"/>
      <c r="B42" s="177" t="s">
        <v>132</v>
      </c>
      <c r="C42" s="411" t="s">
        <v>242</v>
      </c>
      <c r="D42" s="411"/>
      <c r="E42" s="411"/>
      <c r="F42" s="411"/>
      <c r="G42" s="411"/>
      <c r="H42" s="411"/>
      <c r="I42" s="411"/>
      <c r="J42" s="411"/>
      <c r="K42" s="411"/>
      <c r="L42" s="411"/>
      <c r="M42" s="411"/>
      <c r="N42" s="411"/>
      <c r="O42" s="411"/>
      <c r="P42" s="411"/>
      <c r="Q42" s="411"/>
      <c r="R42" s="411"/>
      <c r="S42" s="174"/>
      <c r="T42" s="415">
        <f>IF('C for f'!AA3=0,0,'C for f'!AA3)</f>
        <v>0</v>
      </c>
      <c r="U42" s="415"/>
      <c r="V42" s="415"/>
      <c r="W42" s="174"/>
      <c r="X42" s="416">
        <f>IFERROR(T42*12,"")</f>
        <v>0</v>
      </c>
      <c r="Y42" s="416"/>
      <c r="Z42" s="417"/>
      <c r="AA42" s="80"/>
    </row>
    <row r="43" spans="1:27" s="126" customFormat="1" ht="23.1" customHeight="1" x14ac:dyDescent="0.25">
      <c r="A43" s="80"/>
      <c r="B43" s="177" t="s">
        <v>133</v>
      </c>
      <c r="C43" s="411" t="s">
        <v>145</v>
      </c>
      <c r="D43" s="411"/>
      <c r="E43" s="411"/>
      <c r="F43" s="411"/>
      <c r="G43" s="411"/>
      <c r="H43" s="411"/>
      <c r="I43" s="411"/>
      <c r="J43" s="411"/>
      <c r="K43" s="411"/>
      <c r="L43" s="411"/>
      <c r="M43" s="411"/>
      <c r="N43" s="411"/>
      <c r="O43" s="411"/>
      <c r="P43" s="411"/>
      <c r="Q43" s="411"/>
      <c r="R43" s="411"/>
      <c r="S43" s="174"/>
      <c r="T43" s="415">
        <f>IF('C for f'!AA4=0,0,'C for f'!AA4)</f>
        <v>0</v>
      </c>
      <c r="U43" s="415"/>
      <c r="V43" s="415"/>
      <c r="W43" s="174"/>
      <c r="X43" s="416">
        <f>IFERROR(T43*12,"")</f>
        <v>0</v>
      </c>
      <c r="Y43" s="416"/>
      <c r="Z43" s="417"/>
      <c r="AA43" s="80"/>
    </row>
    <row r="44" spans="1:27" s="126" customFormat="1" ht="23.1" customHeight="1" x14ac:dyDescent="0.25">
      <c r="A44" s="80"/>
      <c r="B44" s="188" t="s">
        <v>141</v>
      </c>
      <c r="C44" s="411" t="s">
        <v>164</v>
      </c>
      <c r="D44" s="411"/>
      <c r="E44" s="411"/>
      <c r="F44" s="411"/>
      <c r="G44" s="411"/>
      <c r="H44" s="411"/>
      <c r="I44" s="411"/>
      <c r="J44" s="411"/>
      <c r="K44" s="411"/>
      <c r="L44" s="411"/>
      <c r="M44" s="411"/>
      <c r="N44" s="411"/>
      <c r="O44" s="411"/>
      <c r="P44" s="411"/>
      <c r="Q44" s="411"/>
      <c r="R44" s="411"/>
      <c r="S44" s="174"/>
      <c r="T44" s="415">
        <f>IF('C for f'!AA5=0,0,'C for f'!AA5)</f>
        <v>0</v>
      </c>
      <c r="U44" s="415"/>
      <c r="V44" s="415"/>
      <c r="W44" s="174"/>
      <c r="X44" s="416">
        <f>IFERROR(T44*12,"")</f>
        <v>0</v>
      </c>
      <c r="Y44" s="416"/>
      <c r="Z44" s="417"/>
      <c r="AA44" s="80"/>
    </row>
    <row r="45" spans="1:27" ht="10.5" hidden="1" customHeight="1" x14ac:dyDescent="0.25">
      <c r="B45" s="189"/>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76"/>
    </row>
    <row r="46" spans="1:27" s="126" customFormat="1" ht="23.1" hidden="1" customHeight="1" x14ac:dyDescent="0.25">
      <c r="A46" s="80"/>
      <c r="B46" s="177" t="s">
        <v>131</v>
      </c>
      <c r="C46" s="411" t="s">
        <v>157</v>
      </c>
      <c r="D46" s="411"/>
      <c r="E46" s="411"/>
      <c r="F46" s="411"/>
      <c r="G46" s="411"/>
      <c r="H46" s="411"/>
      <c r="I46" s="411"/>
      <c r="J46" s="411"/>
      <c r="K46" s="411"/>
      <c r="L46" s="411"/>
      <c r="M46" s="411"/>
      <c r="N46" s="411"/>
      <c r="O46" s="411"/>
      <c r="P46" s="411"/>
      <c r="Q46" s="411"/>
      <c r="R46" s="411"/>
      <c r="S46" s="174"/>
      <c r="T46" s="412"/>
      <c r="U46" s="412"/>
      <c r="V46" s="412"/>
      <c r="W46" s="174"/>
      <c r="X46" s="413"/>
      <c r="Y46" s="413"/>
      <c r="Z46" s="414"/>
      <c r="AA46" s="80"/>
    </row>
    <row r="47" spans="1:27" s="126" customFormat="1" ht="23.1" hidden="1" customHeight="1" x14ac:dyDescent="0.25">
      <c r="A47" s="80"/>
      <c r="B47" s="177" t="s">
        <v>258</v>
      </c>
      <c r="C47" s="419" t="s">
        <v>147</v>
      </c>
      <c r="D47" s="419"/>
      <c r="E47" s="419"/>
      <c r="F47" s="419"/>
      <c r="G47" s="419"/>
      <c r="H47" s="419"/>
      <c r="I47" s="419"/>
      <c r="J47" s="419"/>
      <c r="K47" s="419"/>
      <c r="L47" s="419"/>
      <c r="M47" s="419"/>
      <c r="N47" s="419"/>
      <c r="O47" s="419"/>
      <c r="P47" s="419"/>
      <c r="Q47" s="419"/>
      <c r="R47" s="419"/>
      <c r="S47" s="173"/>
      <c r="T47" s="413"/>
      <c r="U47" s="413"/>
      <c r="V47" s="413"/>
      <c r="W47" s="173"/>
      <c r="X47" s="413"/>
      <c r="Y47" s="413"/>
      <c r="Z47" s="414"/>
      <c r="AA47" s="80"/>
    </row>
    <row r="48" spans="1:27" s="126" customFormat="1" ht="23.1" hidden="1" customHeight="1" x14ac:dyDescent="0.25">
      <c r="A48" s="80"/>
      <c r="B48" s="177" t="s">
        <v>259</v>
      </c>
      <c r="C48" s="411" t="s">
        <v>146</v>
      </c>
      <c r="D48" s="411"/>
      <c r="E48" s="411"/>
      <c r="F48" s="411"/>
      <c r="G48" s="411"/>
      <c r="H48" s="411"/>
      <c r="I48" s="411"/>
      <c r="J48" s="411"/>
      <c r="K48" s="411"/>
      <c r="L48" s="411"/>
      <c r="M48" s="411"/>
      <c r="N48" s="411"/>
      <c r="O48" s="411"/>
      <c r="P48" s="411"/>
      <c r="Q48" s="411"/>
      <c r="R48" s="411"/>
      <c r="S48" s="174"/>
      <c r="T48" s="412"/>
      <c r="U48" s="412"/>
      <c r="V48" s="412"/>
      <c r="W48" s="174"/>
      <c r="X48" s="413"/>
      <c r="Y48" s="413"/>
      <c r="Z48" s="414"/>
      <c r="AA48" s="80"/>
    </row>
    <row r="49" spans="1:28" s="126" customFormat="1" ht="23.1" hidden="1" customHeight="1" x14ac:dyDescent="0.25">
      <c r="A49" s="80"/>
      <c r="B49" s="190" t="s">
        <v>260</v>
      </c>
      <c r="C49" s="411" t="s">
        <v>148</v>
      </c>
      <c r="D49" s="411"/>
      <c r="E49" s="411"/>
      <c r="F49" s="411"/>
      <c r="G49" s="411"/>
      <c r="H49" s="411"/>
      <c r="I49" s="411"/>
      <c r="J49" s="411"/>
      <c r="K49" s="411"/>
      <c r="L49" s="411"/>
      <c r="M49" s="411"/>
      <c r="N49" s="411"/>
      <c r="O49" s="411"/>
      <c r="P49" s="411"/>
      <c r="Q49" s="411"/>
      <c r="R49" s="411"/>
      <c r="S49" s="174"/>
      <c r="T49" s="412"/>
      <c r="U49" s="412"/>
      <c r="V49" s="412"/>
      <c r="W49" s="174"/>
      <c r="X49" s="413"/>
      <c r="Y49" s="413"/>
      <c r="Z49" s="414"/>
      <c r="AA49" s="80"/>
    </row>
    <row r="50" spans="1:28" s="126" customFormat="1" ht="23.1" hidden="1" customHeight="1" x14ac:dyDescent="0.25">
      <c r="A50" s="80"/>
      <c r="B50" s="190" t="s">
        <v>261</v>
      </c>
      <c r="C50" s="411" t="s">
        <v>149</v>
      </c>
      <c r="D50" s="411"/>
      <c r="E50" s="411"/>
      <c r="F50" s="411"/>
      <c r="G50" s="411"/>
      <c r="H50" s="411"/>
      <c r="I50" s="411"/>
      <c r="J50" s="411"/>
      <c r="K50" s="411"/>
      <c r="L50" s="411"/>
      <c r="M50" s="411"/>
      <c r="N50" s="411"/>
      <c r="O50" s="411"/>
      <c r="P50" s="411"/>
      <c r="Q50" s="411"/>
      <c r="R50" s="411"/>
      <c r="S50" s="174"/>
      <c r="T50" s="412"/>
      <c r="U50" s="412"/>
      <c r="V50" s="412"/>
      <c r="W50" s="174"/>
      <c r="X50" s="413"/>
      <c r="Y50" s="413"/>
      <c r="Z50" s="414"/>
      <c r="AA50" s="80"/>
    </row>
    <row r="51" spans="1:28" ht="10.5" hidden="1" customHeight="1" x14ac:dyDescent="0.25">
      <c r="B51" s="189"/>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76"/>
    </row>
    <row r="52" spans="1:28" s="126" customFormat="1" ht="23.1" customHeight="1" x14ac:dyDescent="0.25">
      <c r="A52" s="80"/>
      <c r="B52" s="190" t="s">
        <v>131</v>
      </c>
      <c r="C52" s="419" t="s">
        <v>114</v>
      </c>
      <c r="D52" s="419"/>
      <c r="E52" s="419"/>
      <c r="F52" s="419"/>
      <c r="G52" s="419"/>
      <c r="H52" s="419"/>
      <c r="I52" s="419"/>
      <c r="J52" s="419"/>
      <c r="K52" s="419"/>
      <c r="L52" s="419"/>
      <c r="M52" s="419"/>
      <c r="N52" s="419"/>
      <c r="O52" s="419"/>
      <c r="P52" s="419"/>
      <c r="Q52" s="419"/>
      <c r="R52" s="419"/>
      <c r="S52" s="173"/>
      <c r="T52" s="416">
        <f>IF('C for f'!AA13=0,0,'C for f'!AA13)</f>
        <v>0</v>
      </c>
      <c r="U52" s="416"/>
      <c r="V52" s="416"/>
      <c r="W52" s="173"/>
      <c r="X52" s="416">
        <f>IFERROR(T52*12,"")</f>
        <v>0</v>
      </c>
      <c r="Y52" s="416"/>
      <c r="Z52" s="417"/>
      <c r="AA52" s="80"/>
    </row>
    <row r="53" spans="1:28" s="126" customFormat="1" ht="23.1" hidden="1" customHeight="1" x14ac:dyDescent="0.25">
      <c r="A53" s="80"/>
      <c r="B53" s="191" t="s">
        <v>263</v>
      </c>
      <c r="C53" s="411" t="s">
        <v>150</v>
      </c>
      <c r="D53" s="411"/>
      <c r="E53" s="411"/>
      <c r="F53" s="411"/>
      <c r="G53" s="411"/>
      <c r="H53" s="411"/>
      <c r="I53" s="411"/>
      <c r="J53" s="411"/>
      <c r="K53" s="411"/>
      <c r="L53" s="411"/>
      <c r="M53" s="411"/>
      <c r="N53" s="411"/>
      <c r="O53" s="411"/>
      <c r="P53" s="411"/>
      <c r="Q53" s="411"/>
      <c r="R53" s="411"/>
      <c r="S53" s="174"/>
      <c r="T53" s="434"/>
      <c r="U53" s="434"/>
      <c r="V53" s="434"/>
      <c r="W53" s="174"/>
      <c r="X53" s="412"/>
      <c r="Y53" s="412"/>
      <c r="Z53" s="418"/>
      <c r="AA53" s="80"/>
    </row>
    <row r="54" spans="1:28" s="126" customFormat="1" ht="23.1" customHeight="1" x14ac:dyDescent="0.25">
      <c r="A54" s="80"/>
      <c r="B54" s="191" t="s">
        <v>258</v>
      </c>
      <c r="C54" s="411" t="s">
        <v>21</v>
      </c>
      <c r="D54" s="411"/>
      <c r="E54" s="411"/>
      <c r="F54" s="411"/>
      <c r="G54" s="411"/>
      <c r="H54" s="411"/>
      <c r="I54" s="411"/>
      <c r="J54" s="411"/>
      <c r="K54" s="411"/>
      <c r="L54" s="411"/>
      <c r="M54" s="411"/>
      <c r="N54" s="411"/>
      <c r="O54" s="411"/>
      <c r="P54" s="411"/>
      <c r="Q54" s="411"/>
      <c r="R54" s="411"/>
      <c r="S54" s="174"/>
      <c r="T54" s="415">
        <f>IF('C for f'!AA15=0,0,'C for f'!AA15)</f>
        <v>0</v>
      </c>
      <c r="U54" s="415"/>
      <c r="V54" s="415"/>
      <c r="W54" s="174"/>
      <c r="X54" s="416">
        <f>IFERROR(T54*12,"")</f>
        <v>0</v>
      </c>
      <c r="Y54" s="416"/>
      <c r="Z54" s="417"/>
      <c r="AA54" s="80"/>
    </row>
    <row r="55" spans="1:28" ht="10.5" customHeight="1" x14ac:dyDescent="0.25">
      <c r="B55" s="175"/>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76"/>
    </row>
    <row r="56" spans="1:28" s="126" customFormat="1" ht="23.1" customHeight="1" x14ac:dyDescent="0.25">
      <c r="A56" s="80"/>
      <c r="B56" s="192"/>
      <c r="C56" s="247" t="s">
        <v>268</v>
      </c>
      <c r="D56" s="247"/>
      <c r="E56" s="247"/>
      <c r="F56" s="247"/>
      <c r="G56" s="247"/>
      <c r="H56" s="247"/>
      <c r="I56" s="247"/>
      <c r="J56" s="247"/>
      <c r="K56" s="247"/>
      <c r="L56" s="247"/>
      <c r="M56" s="247"/>
      <c r="N56" s="247"/>
      <c r="O56" s="247"/>
      <c r="P56" s="247"/>
      <c r="Q56" s="247"/>
      <c r="R56" s="247"/>
      <c r="S56" s="80"/>
      <c r="T56" s="429">
        <f>IFERROR((T41+T42+T43+T44+T52+T54),"")</f>
        <v>0</v>
      </c>
      <c r="U56" s="429"/>
      <c r="V56" s="429"/>
      <c r="W56" s="80"/>
      <c r="X56" s="429">
        <f>IFERROR((T56*12),"")</f>
        <v>0</v>
      </c>
      <c r="Y56" s="429"/>
      <c r="Z56" s="430"/>
      <c r="AA56" s="80"/>
      <c r="AB56" s="234"/>
    </row>
    <row r="57" spans="1:28" ht="10.5" customHeight="1" thickBot="1" x14ac:dyDescent="0.3">
      <c r="B57" s="178"/>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80"/>
    </row>
    <row r="58" spans="1:28" ht="10.5" customHeight="1" x14ac:dyDescent="0.25">
      <c r="B58" s="160"/>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60"/>
    </row>
    <row r="59" spans="1:28" ht="10.5" customHeight="1" thickBot="1" x14ac:dyDescent="0.3">
      <c r="B59" s="160"/>
      <c r="C59" s="160"/>
      <c r="D59" s="160"/>
      <c r="E59" s="160"/>
      <c r="F59" s="160"/>
      <c r="G59" s="160"/>
      <c r="H59" s="160"/>
      <c r="I59" s="160"/>
      <c r="J59" s="160"/>
      <c r="K59" s="160"/>
      <c r="L59" s="160"/>
      <c r="M59" s="160"/>
      <c r="N59" s="160"/>
      <c r="O59" s="160"/>
      <c r="P59" s="160"/>
      <c r="Q59" s="160"/>
      <c r="R59" s="160"/>
      <c r="S59" s="160"/>
      <c r="T59" s="160"/>
      <c r="U59" s="160"/>
      <c r="V59" s="160"/>
      <c r="W59" s="160"/>
      <c r="X59" s="160"/>
      <c r="Y59" s="160"/>
      <c r="Z59" s="160"/>
    </row>
    <row r="60" spans="1:28" s="126" customFormat="1" ht="20.100000000000001" customHeight="1" x14ac:dyDescent="0.25">
      <c r="A60" s="80"/>
      <c r="B60" s="431" t="s">
        <v>24</v>
      </c>
      <c r="C60" s="432"/>
      <c r="D60" s="432"/>
      <c r="E60" s="432"/>
      <c r="F60" s="432"/>
      <c r="G60" s="432"/>
      <c r="H60" s="432"/>
      <c r="I60" s="432"/>
      <c r="J60" s="432"/>
      <c r="K60" s="432"/>
      <c r="L60" s="432"/>
      <c r="M60" s="432"/>
      <c r="N60" s="432"/>
      <c r="O60" s="432"/>
      <c r="P60" s="432"/>
      <c r="Q60" s="432"/>
      <c r="R60" s="432"/>
      <c r="S60" s="432"/>
      <c r="T60" s="432"/>
      <c r="U60" s="432"/>
      <c r="V60" s="432"/>
      <c r="W60" s="432"/>
      <c r="X60" s="432"/>
      <c r="Y60" s="432"/>
      <c r="Z60" s="433"/>
      <c r="AA60" s="80"/>
    </row>
    <row r="61" spans="1:28" ht="10.5" customHeight="1" x14ac:dyDescent="0.25">
      <c r="B61" s="175"/>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76"/>
    </row>
    <row r="62" spans="1:28" s="126" customFormat="1" ht="20.100000000000001" customHeight="1" x14ac:dyDescent="0.25">
      <c r="A62" s="80"/>
      <c r="B62" s="403"/>
      <c r="C62" s="404"/>
      <c r="D62" s="456" t="s">
        <v>108</v>
      </c>
      <c r="E62" s="456"/>
      <c r="F62" s="456"/>
      <c r="G62" s="456"/>
      <c r="H62" s="456"/>
      <c r="I62" s="80"/>
      <c r="J62" s="456" t="s">
        <v>152</v>
      </c>
      <c r="K62" s="456"/>
      <c r="L62" s="456"/>
      <c r="M62" s="456"/>
      <c r="N62" s="456"/>
      <c r="O62" s="456"/>
      <c r="P62" s="456"/>
      <c r="Q62" s="456"/>
      <c r="R62" s="456"/>
      <c r="S62" s="456"/>
      <c r="T62" s="456"/>
      <c r="U62" s="456"/>
      <c r="V62" s="456"/>
      <c r="W62" s="456"/>
      <c r="X62" s="456"/>
      <c r="Y62" s="456"/>
      <c r="Z62" s="457"/>
      <c r="AA62" s="80"/>
    </row>
    <row r="63" spans="1:28" s="126" customFormat="1" ht="20.100000000000001" customHeight="1" x14ac:dyDescent="0.25">
      <c r="A63" s="80"/>
      <c r="B63" s="403"/>
      <c r="C63" s="404"/>
      <c r="D63" s="456"/>
      <c r="E63" s="456"/>
      <c r="F63" s="456"/>
      <c r="G63" s="456"/>
      <c r="H63" s="456"/>
      <c r="I63" s="193"/>
      <c r="J63" s="454" t="s">
        <v>153</v>
      </c>
      <c r="K63" s="454"/>
      <c r="L63" s="454"/>
      <c r="M63" s="454"/>
      <c r="N63" s="454" t="s">
        <v>154</v>
      </c>
      <c r="O63" s="454"/>
      <c r="P63" s="454"/>
      <c r="Q63" s="454"/>
      <c r="R63" s="454" t="s">
        <v>155</v>
      </c>
      <c r="S63" s="454"/>
      <c r="T63" s="454"/>
      <c r="U63" s="454"/>
      <c r="W63" s="454" t="s">
        <v>109</v>
      </c>
      <c r="X63" s="454"/>
      <c r="Y63" s="454"/>
      <c r="Z63" s="455"/>
      <c r="AA63" s="80"/>
    </row>
    <row r="64" spans="1:28" s="126" customFormat="1" ht="20.100000000000001" customHeight="1" x14ac:dyDescent="0.25">
      <c r="A64" s="80"/>
      <c r="B64" s="403"/>
      <c r="C64" s="404"/>
      <c r="D64" s="456"/>
      <c r="E64" s="456"/>
      <c r="F64" s="456"/>
      <c r="G64" s="456"/>
      <c r="H64" s="456"/>
      <c r="I64" s="80"/>
      <c r="J64" s="454"/>
      <c r="K64" s="454"/>
      <c r="L64" s="454"/>
      <c r="M64" s="454"/>
      <c r="N64" s="454"/>
      <c r="O64" s="454"/>
      <c r="P64" s="454"/>
      <c r="Q64" s="454"/>
      <c r="R64" s="454"/>
      <c r="S64" s="454"/>
      <c r="T64" s="454"/>
      <c r="U64" s="454"/>
      <c r="V64" s="80"/>
      <c r="W64" s="454"/>
      <c r="X64" s="454"/>
      <c r="Y64" s="454"/>
      <c r="Z64" s="455"/>
      <c r="AA64" s="80"/>
    </row>
    <row r="65" spans="1:27" ht="10.5" customHeight="1" x14ac:dyDescent="0.25">
      <c r="B65" s="175"/>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76"/>
    </row>
    <row r="66" spans="1:27" s="126" customFormat="1" ht="23.1" customHeight="1" x14ac:dyDescent="0.25">
      <c r="A66" s="80"/>
      <c r="B66" s="423">
        <v>3.1</v>
      </c>
      <c r="C66" s="424"/>
      <c r="D66" s="426" t="str">
        <f>IF('C for c'!B28=0,"",'C for c'!B28)</f>
        <v>BCG</v>
      </c>
      <c r="E66" s="427"/>
      <c r="F66" s="427"/>
      <c r="G66" s="427"/>
      <c r="H66" s="428"/>
      <c r="I66" s="194"/>
      <c r="J66" s="400">
        <f>IFERROR(('C for f'!N28),"")</f>
        <v>0</v>
      </c>
      <c r="K66" s="400"/>
      <c r="L66" s="400"/>
      <c r="M66" s="400"/>
      <c r="N66" s="425">
        <f>IFERROR('C for f'!T28,"")</f>
        <v>0</v>
      </c>
      <c r="O66" s="425"/>
      <c r="P66" s="425"/>
      <c r="Q66" s="425"/>
      <c r="R66" s="400">
        <f>IFERROR('C for f'!U28,"")</f>
        <v>0</v>
      </c>
      <c r="S66" s="400"/>
      <c r="T66" s="400"/>
      <c r="U66" s="400"/>
      <c r="V66" s="194"/>
      <c r="W66" s="400">
        <f>IFERROR('C for f'!V28,"")</f>
        <v>0</v>
      </c>
      <c r="X66" s="400"/>
      <c r="Y66" s="400"/>
      <c r="Z66" s="401"/>
      <c r="AA66" s="80"/>
    </row>
    <row r="67" spans="1:27" s="126" customFormat="1" ht="23.1" customHeight="1" x14ac:dyDescent="0.25">
      <c r="A67" s="80"/>
      <c r="B67" s="423">
        <v>3.2</v>
      </c>
      <c r="C67" s="424"/>
      <c r="D67" s="426" t="str">
        <f>IF('C for c'!B29=0,"",'C for c'!B29)</f>
        <v>OPV</v>
      </c>
      <c r="E67" s="427"/>
      <c r="F67" s="427"/>
      <c r="G67" s="427"/>
      <c r="H67" s="428"/>
      <c r="I67" s="194"/>
      <c r="J67" s="400">
        <f>IFERROR(('C for f'!N29),"")</f>
        <v>0</v>
      </c>
      <c r="K67" s="400"/>
      <c r="L67" s="400"/>
      <c r="M67" s="400"/>
      <c r="N67" s="425">
        <f>IFERROR('C for f'!T29,"")</f>
        <v>0</v>
      </c>
      <c r="O67" s="425"/>
      <c r="P67" s="425"/>
      <c r="Q67" s="425"/>
      <c r="R67" s="400">
        <f>IFERROR('C for f'!U29,"")</f>
        <v>0</v>
      </c>
      <c r="S67" s="400"/>
      <c r="T67" s="400"/>
      <c r="U67" s="400"/>
      <c r="V67" s="194"/>
      <c r="W67" s="400">
        <f>IFERROR('C for f'!V29,"")</f>
        <v>0</v>
      </c>
      <c r="X67" s="400"/>
      <c r="Y67" s="400"/>
      <c r="Z67" s="401"/>
      <c r="AA67" s="80"/>
    </row>
    <row r="68" spans="1:27" s="126" customFormat="1" ht="23.1" customHeight="1" x14ac:dyDescent="0.25">
      <c r="A68" s="80"/>
      <c r="B68" s="423">
        <v>3.3</v>
      </c>
      <c r="C68" s="424"/>
      <c r="D68" s="426" t="str">
        <f>IF('C for c'!B30=0,"",'C for c'!B30)</f>
        <v>PCV 13</v>
      </c>
      <c r="E68" s="427"/>
      <c r="F68" s="427"/>
      <c r="G68" s="427"/>
      <c r="H68" s="428"/>
      <c r="I68" s="194"/>
      <c r="J68" s="400">
        <f>IFERROR(('C for f'!N30),"")</f>
        <v>0</v>
      </c>
      <c r="K68" s="400"/>
      <c r="L68" s="400"/>
      <c r="M68" s="400"/>
      <c r="N68" s="425">
        <f>IFERROR('C for f'!T30,"")</f>
        <v>0</v>
      </c>
      <c r="O68" s="425"/>
      <c r="P68" s="425"/>
      <c r="Q68" s="425"/>
      <c r="R68" s="400">
        <f>IFERROR('C for f'!U30,"")</f>
        <v>0</v>
      </c>
      <c r="S68" s="400"/>
      <c r="T68" s="400"/>
      <c r="U68" s="400"/>
      <c r="V68" s="194"/>
      <c r="W68" s="400">
        <f>IFERROR('C for f'!V30,"")</f>
        <v>0</v>
      </c>
      <c r="X68" s="400"/>
      <c r="Y68" s="400"/>
      <c r="Z68" s="401"/>
      <c r="AA68" s="80"/>
    </row>
    <row r="69" spans="1:27" s="126" customFormat="1" ht="23.1" customHeight="1" x14ac:dyDescent="0.25">
      <c r="A69" s="80"/>
      <c r="B69" s="423">
        <v>3.4</v>
      </c>
      <c r="C69" s="424"/>
      <c r="D69" s="426" t="str">
        <f>IF('C for c'!B31=0,"",'C for c'!B31)</f>
        <v>Rota</v>
      </c>
      <c r="E69" s="427"/>
      <c r="F69" s="427"/>
      <c r="G69" s="427"/>
      <c r="H69" s="428"/>
      <c r="I69" s="194"/>
      <c r="J69" s="400">
        <f>IFERROR(('C for f'!N31),"")</f>
        <v>0</v>
      </c>
      <c r="K69" s="400"/>
      <c r="L69" s="400"/>
      <c r="M69" s="400"/>
      <c r="N69" s="425">
        <f>IFERROR('C for f'!T31,"")</f>
        <v>0</v>
      </c>
      <c r="O69" s="425"/>
      <c r="P69" s="425"/>
      <c r="Q69" s="425"/>
      <c r="R69" s="400">
        <f>IFERROR('C for f'!U31,"")</f>
        <v>0</v>
      </c>
      <c r="S69" s="400"/>
      <c r="T69" s="400"/>
      <c r="U69" s="400"/>
      <c r="V69" s="194"/>
      <c r="W69" s="400">
        <f>IFERROR('C for f'!V31,"")</f>
        <v>0</v>
      </c>
      <c r="X69" s="400"/>
      <c r="Y69" s="400"/>
      <c r="Z69" s="401"/>
      <c r="AA69" s="80"/>
    </row>
    <row r="70" spans="1:27" s="126" customFormat="1" ht="23.1" customHeight="1" x14ac:dyDescent="0.25">
      <c r="A70" s="80"/>
      <c r="B70" s="423">
        <v>3.5</v>
      </c>
      <c r="C70" s="424"/>
      <c r="D70" s="426" t="str">
        <f>IF('C for c'!B32=0,"",'C for c'!B32)</f>
        <v>Penta</v>
      </c>
      <c r="E70" s="427"/>
      <c r="F70" s="427"/>
      <c r="G70" s="427"/>
      <c r="H70" s="428"/>
      <c r="I70" s="194"/>
      <c r="J70" s="400">
        <f>IFERROR(('C for f'!N32),"")</f>
        <v>0</v>
      </c>
      <c r="K70" s="400"/>
      <c r="L70" s="400"/>
      <c r="M70" s="400"/>
      <c r="N70" s="425">
        <f>IFERROR('C for f'!T32,"")</f>
        <v>0</v>
      </c>
      <c r="O70" s="425"/>
      <c r="P70" s="425"/>
      <c r="Q70" s="425"/>
      <c r="R70" s="400">
        <f>IFERROR('C for f'!U32,"")</f>
        <v>0</v>
      </c>
      <c r="S70" s="400"/>
      <c r="T70" s="400"/>
      <c r="U70" s="400"/>
      <c r="V70" s="194"/>
      <c r="W70" s="400">
        <f>IFERROR('C for f'!V32,"")</f>
        <v>0</v>
      </c>
      <c r="X70" s="400"/>
      <c r="Y70" s="400"/>
      <c r="Z70" s="401"/>
      <c r="AA70" s="80"/>
    </row>
    <row r="71" spans="1:27" s="126" customFormat="1" ht="23.1" customHeight="1" x14ac:dyDescent="0.25">
      <c r="A71" s="80"/>
      <c r="B71" s="423">
        <v>3.6</v>
      </c>
      <c r="C71" s="424"/>
      <c r="D71" s="426" t="str">
        <f>IF('C for c'!B33=0,"",'C for c'!B33)</f>
        <v>MR</v>
      </c>
      <c r="E71" s="427"/>
      <c r="F71" s="427"/>
      <c r="G71" s="427"/>
      <c r="H71" s="428"/>
      <c r="I71" s="194"/>
      <c r="J71" s="400">
        <f>IFERROR(('C for f'!N33),"")</f>
        <v>0</v>
      </c>
      <c r="K71" s="400"/>
      <c r="L71" s="400"/>
      <c r="M71" s="400"/>
      <c r="N71" s="425">
        <f>IFERROR('C for f'!T33,"")</f>
        <v>0</v>
      </c>
      <c r="O71" s="425"/>
      <c r="P71" s="425"/>
      <c r="Q71" s="425"/>
      <c r="R71" s="400">
        <f>IFERROR('C for f'!U33,"")</f>
        <v>0</v>
      </c>
      <c r="S71" s="400"/>
      <c r="T71" s="400"/>
      <c r="U71" s="400"/>
      <c r="V71" s="194"/>
      <c r="W71" s="400">
        <f>IFERROR('C for f'!V33,"")</f>
        <v>0</v>
      </c>
      <c r="X71" s="400"/>
      <c r="Y71" s="400"/>
      <c r="Z71" s="401"/>
      <c r="AA71" s="80"/>
    </row>
    <row r="72" spans="1:27" s="126" customFormat="1" ht="23.1" customHeight="1" x14ac:dyDescent="0.25">
      <c r="A72" s="80"/>
      <c r="B72" s="423">
        <v>3.7</v>
      </c>
      <c r="C72" s="424"/>
      <c r="D72" s="426" t="str">
        <f>IF('C for c'!B34=0,"",'C for c'!B34)</f>
        <v>TT</v>
      </c>
      <c r="E72" s="427"/>
      <c r="F72" s="427"/>
      <c r="G72" s="427"/>
      <c r="H72" s="428"/>
      <c r="I72" s="194"/>
      <c r="J72" s="400">
        <f>IFERROR(('C for f'!N34),"")</f>
        <v>0</v>
      </c>
      <c r="K72" s="400"/>
      <c r="L72" s="400"/>
      <c r="M72" s="400"/>
      <c r="N72" s="425">
        <f>IFERROR('C for f'!T34,"")</f>
        <v>0</v>
      </c>
      <c r="O72" s="425"/>
      <c r="P72" s="425"/>
      <c r="Q72" s="425"/>
      <c r="R72" s="400">
        <f>IFERROR('C for f'!U34,"")</f>
        <v>0</v>
      </c>
      <c r="S72" s="400"/>
      <c r="T72" s="400"/>
      <c r="U72" s="400"/>
      <c r="V72" s="194"/>
      <c r="W72" s="400">
        <f>IFERROR('C for f'!V34,"")</f>
        <v>0</v>
      </c>
      <c r="X72" s="400"/>
      <c r="Y72" s="400"/>
      <c r="Z72" s="401"/>
      <c r="AA72" s="80"/>
    </row>
    <row r="73" spans="1:27" s="126" customFormat="1" ht="23.1" customHeight="1" x14ac:dyDescent="0.25">
      <c r="A73" s="80"/>
      <c r="B73" s="423">
        <v>3.8</v>
      </c>
      <c r="C73" s="424"/>
      <c r="D73" s="426" t="str">
        <f>IF('C for c'!B35=0,"",'C for c'!B35)</f>
        <v>IPV</v>
      </c>
      <c r="E73" s="427"/>
      <c r="F73" s="427"/>
      <c r="G73" s="427"/>
      <c r="H73" s="428"/>
      <c r="I73" s="194"/>
      <c r="J73" s="400">
        <f>IFERROR(('C for f'!N35),"")</f>
        <v>0</v>
      </c>
      <c r="K73" s="400"/>
      <c r="L73" s="400"/>
      <c r="M73" s="400"/>
      <c r="N73" s="425">
        <f>IFERROR('C for f'!T35,"")</f>
        <v>0</v>
      </c>
      <c r="O73" s="425"/>
      <c r="P73" s="425"/>
      <c r="Q73" s="425"/>
      <c r="R73" s="400">
        <f>IFERROR('C for f'!U35,"")</f>
        <v>0</v>
      </c>
      <c r="S73" s="400"/>
      <c r="T73" s="400"/>
      <c r="U73" s="400"/>
      <c r="V73" s="194"/>
      <c r="W73" s="400">
        <f>IFERROR('C for f'!V35,"")</f>
        <v>0</v>
      </c>
      <c r="X73" s="400"/>
      <c r="Y73" s="400"/>
      <c r="Z73" s="401"/>
      <c r="AA73" s="80"/>
    </row>
    <row r="74" spans="1:27" s="126" customFormat="1" ht="23.1" customHeight="1" x14ac:dyDescent="0.25">
      <c r="A74" s="80"/>
      <c r="B74" s="423">
        <v>3.9</v>
      </c>
      <c r="C74" s="424"/>
      <c r="D74" s="426" t="str">
        <f>IF('C for c'!B36=0,"",'C for c'!B36)</f>
        <v>HPV</v>
      </c>
      <c r="E74" s="427"/>
      <c r="F74" s="427"/>
      <c r="G74" s="427"/>
      <c r="H74" s="428"/>
      <c r="I74" s="194"/>
      <c r="J74" s="400">
        <f>IFERROR(('C for f'!N36),"")</f>
        <v>0</v>
      </c>
      <c r="K74" s="400"/>
      <c r="L74" s="400"/>
      <c r="M74" s="400"/>
      <c r="N74" s="425">
        <f>IFERROR('C for f'!T36,"")</f>
        <v>0</v>
      </c>
      <c r="O74" s="425"/>
      <c r="P74" s="425"/>
      <c r="Q74" s="425"/>
      <c r="R74" s="400">
        <f>IFERROR('C for f'!U36,"")</f>
        <v>0</v>
      </c>
      <c r="S74" s="400"/>
      <c r="T74" s="400"/>
      <c r="U74" s="400"/>
      <c r="V74" s="194"/>
      <c r="W74" s="400">
        <f>IFERROR('C for f'!V36,"")</f>
        <v>0</v>
      </c>
      <c r="X74" s="400"/>
      <c r="Y74" s="400"/>
      <c r="Z74" s="401"/>
      <c r="AA74" s="80"/>
    </row>
    <row r="75" spans="1:27" ht="10.5" customHeight="1" x14ac:dyDescent="0.25">
      <c r="B75" s="175"/>
      <c r="C75" s="160"/>
      <c r="D75" s="160"/>
      <c r="E75" s="160"/>
      <c r="F75" s="160"/>
      <c r="G75" s="160"/>
      <c r="H75" s="160"/>
      <c r="I75" s="160"/>
      <c r="J75" s="160"/>
      <c r="K75" s="160"/>
      <c r="L75" s="160"/>
      <c r="M75" s="160"/>
      <c r="N75" s="160"/>
      <c r="O75" s="160"/>
      <c r="P75" s="160"/>
      <c r="Q75" s="160"/>
      <c r="R75" s="160"/>
      <c r="S75" s="160"/>
      <c r="T75" s="160"/>
      <c r="U75" s="160"/>
      <c r="V75" s="160"/>
      <c r="W75" s="160"/>
      <c r="X75" s="160"/>
      <c r="Y75" s="160"/>
      <c r="Z75" s="176"/>
    </row>
    <row r="76" spans="1:27" s="126" customFormat="1" ht="20.100000000000001" customHeight="1" x14ac:dyDescent="0.25">
      <c r="A76" s="80"/>
      <c r="B76" s="403"/>
      <c r="C76" s="404"/>
      <c r="D76" s="456" t="s">
        <v>158</v>
      </c>
      <c r="E76" s="456"/>
      <c r="F76" s="456"/>
      <c r="G76" s="456"/>
      <c r="H76" s="456"/>
      <c r="I76" s="80"/>
      <c r="J76" s="456" t="s">
        <v>247</v>
      </c>
      <c r="K76" s="456"/>
      <c r="L76" s="456"/>
      <c r="M76" s="456"/>
      <c r="N76" s="456"/>
      <c r="O76" s="456"/>
      <c r="P76" s="456"/>
      <c r="Q76" s="456"/>
      <c r="R76" s="456"/>
      <c r="S76" s="456"/>
      <c r="T76" s="456"/>
      <c r="U76" s="456"/>
      <c r="V76" s="456"/>
      <c r="W76" s="456"/>
      <c r="X76" s="456"/>
      <c r="Y76" s="456"/>
      <c r="Z76" s="457"/>
      <c r="AA76" s="80"/>
    </row>
    <row r="77" spans="1:27" s="126" customFormat="1" ht="20.100000000000001" customHeight="1" x14ac:dyDescent="0.25">
      <c r="A77" s="80"/>
      <c r="B77" s="403"/>
      <c r="C77" s="404"/>
      <c r="D77" s="456"/>
      <c r="E77" s="456"/>
      <c r="F77" s="456"/>
      <c r="G77" s="456"/>
      <c r="H77" s="456"/>
      <c r="I77" s="193"/>
      <c r="J77" s="454" t="s">
        <v>153</v>
      </c>
      <c r="K77" s="454"/>
      <c r="L77" s="454"/>
      <c r="M77" s="454"/>
      <c r="N77" s="454" t="s">
        <v>257</v>
      </c>
      <c r="O77" s="454"/>
      <c r="P77" s="454"/>
      <c r="Q77" s="454"/>
      <c r="R77" s="454" t="s">
        <v>155</v>
      </c>
      <c r="S77" s="454"/>
      <c r="T77" s="454"/>
      <c r="U77" s="454"/>
      <c r="W77" s="454" t="s">
        <v>109</v>
      </c>
      <c r="X77" s="454"/>
      <c r="Y77" s="454"/>
      <c r="Z77" s="455"/>
      <c r="AA77" s="80"/>
    </row>
    <row r="78" spans="1:27" s="126" customFormat="1" ht="20.100000000000001" customHeight="1" x14ac:dyDescent="0.25">
      <c r="A78" s="80"/>
      <c r="B78" s="403"/>
      <c r="C78" s="404"/>
      <c r="D78" s="456"/>
      <c r="E78" s="456"/>
      <c r="F78" s="456"/>
      <c r="G78" s="456"/>
      <c r="H78" s="456"/>
      <c r="I78" s="80"/>
      <c r="J78" s="454"/>
      <c r="K78" s="454"/>
      <c r="L78" s="454"/>
      <c r="M78" s="454"/>
      <c r="N78" s="454"/>
      <c r="O78" s="454"/>
      <c r="P78" s="454"/>
      <c r="Q78" s="454"/>
      <c r="R78" s="454"/>
      <c r="S78" s="454"/>
      <c r="T78" s="454"/>
      <c r="U78" s="454"/>
      <c r="V78" s="80"/>
      <c r="W78" s="454"/>
      <c r="X78" s="454"/>
      <c r="Y78" s="454"/>
      <c r="Z78" s="455"/>
      <c r="AA78" s="80"/>
    </row>
    <row r="79" spans="1:27" ht="10.5" customHeight="1" x14ac:dyDescent="0.25">
      <c r="B79" s="175"/>
      <c r="C79" s="160"/>
      <c r="D79" s="160"/>
      <c r="E79" s="160"/>
      <c r="F79" s="160"/>
      <c r="G79" s="160"/>
      <c r="H79" s="160"/>
      <c r="I79" s="160"/>
      <c r="J79" s="160"/>
      <c r="K79" s="160"/>
      <c r="L79" s="160"/>
      <c r="M79" s="160"/>
      <c r="N79" s="160"/>
      <c r="O79" s="160"/>
      <c r="P79" s="160"/>
      <c r="Q79" s="160"/>
      <c r="R79" s="160"/>
      <c r="S79" s="160"/>
      <c r="T79" s="160"/>
      <c r="U79" s="160"/>
      <c r="V79" s="160"/>
      <c r="W79" s="160"/>
      <c r="X79" s="160"/>
      <c r="Y79" s="160"/>
      <c r="Z79" s="176"/>
    </row>
    <row r="80" spans="1:27" s="126" customFormat="1" ht="23.1" customHeight="1" x14ac:dyDescent="0.25">
      <c r="A80" s="80"/>
      <c r="B80" s="439">
        <v>3.1</v>
      </c>
      <c r="C80" s="440"/>
      <c r="D80" s="408" t="s">
        <v>29</v>
      </c>
      <c r="E80" s="409"/>
      <c r="F80" s="409"/>
      <c r="G80" s="409"/>
      <c r="H80" s="410"/>
      <c r="I80" s="194"/>
      <c r="J80" s="400">
        <f>IFERROR('C for f'!N46,"")</f>
        <v>0</v>
      </c>
      <c r="K80" s="400"/>
      <c r="L80" s="400"/>
      <c r="M80" s="400"/>
      <c r="N80" s="400">
        <f>IFERROR('C for f'!T46,"")</f>
        <v>0</v>
      </c>
      <c r="O80" s="400"/>
      <c r="P80" s="400"/>
      <c r="Q80" s="400"/>
      <c r="R80" s="400">
        <f>IFERROR('C for f'!U46,"")</f>
        <v>0</v>
      </c>
      <c r="S80" s="400"/>
      <c r="T80" s="400"/>
      <c r="U80" s="400"/>
      <c r="V80" s="194"/>
      <c r="W80" s="400">
        <f>IFERROR('C for f'!V46,"")</f>
        <v>0</v>
      </c>
      <c r="X80" s="400"/>
      <c r="Y80" s="400"/>
      <c r="Z80" s="401"/>
      <c r="AA80" s="80"/>
    </row>
    <row r="81" spans="1:27" s="126" customFormat="1" ht="23.1" customHeight="1" x14ac:dyDescent="0.25">
      <c r="A81" s="80"/>
      <c r="B81" s="423">
        <v>3.11</v>
      </c>
      <c r="C81" s="424"/>
      <c r="D81" s="408" t="s">
        <v>12</v>
      </c>
      <c r="E81" s="409"/>
      <c r="F81" s="409"/>
      <c r="G81" s="409"/>
      <c r="H81" s="410"/>
      <c r="I81" s="194"/>
      <c r="J81" s="400">
        <f>IFERROR('C for f'!N47,"")</f>
        <v>0</v>
      </c>
      <c r="K81" s="400"/>
      <c r="L81" s="400"/>
      <c r="M81" s="400"/>
      <c r="N81" s="400">
        <f>IFERROR('C for f'!T47,"")</f>
        <v>0</v>
      </c>
      <c r="O81" s="400"/>
      <c r="P81" s="400"/>
      <c r="Q81" s="400"/>
      <c r="R81" s="400">
        <f>IFERROR('C for f'!U47,"")</f>
        <v>0</v>
      </c>
      <c r="S81" s="400"/>
      <c r="T81" s="400"/>
      <c r="U81" s="400"/>
      <c r="V81" s="194"/>
      <c r="W81" s="400">
        <f>IFERROR('C for f'!V47,"")</f>
        <v>0</v>
      </c>
      <c r="X81" s="400"/>
      <c r="Y81" s="400"/>
      <c r="Z81" s="401"/>
      <c r="AA81" s="80"/>
    </row>
    <row r="82" spans="1:27" s="126" customFormat="1" ht="23.1" customHeight="1" x14ac:dyDescent="0.25">
      <c r="A82" s="80"/>
      <c r="B82" s="423">
        <v>3.12</v>
      </c>
      <c r="C82" s="424"/>
      <c r="D82" s="408" t="s">
        <v>110</v>
      </c>
      <c r="E82" s="409"/>
      <c r="F82" s="409"/>
      <c r="G82" s="409"/>
      <c r="H82" s="410"/>
      <c r="I82" s="194"/>
      <c r="J82" s="400">
        <f>IFERROR('C for f'!N48,"")</f>
        <v>0</v>
      </c>
      <c r="K82" s="400"/>
      <c r="L82" s="400"/>
      <c r="M82" s="400"/>
      <c r="N82" s="400">
        <f>IFERROR('C for f'!T48,"")</f>
        <v>0</v>
      </c>
      <c r="O82" s="400"/>
      <c r="P82" s="400"/>
      <c r="Q82" s="400"/>
      <c r="R82" s="400">
        <f>IFERROR('C for f'!U48,"")</f>
        <v>0</v>
      </c>
      <c r="S82" s="400"/>
      <c r="T82" s="400"/>
      <c r="U82" s="400"/>
      <c r="V82" s="194"/>
      <c r="W82" s="400">
        <f>IFERROR('C for f'!V48,"")</f>
        <v>0</v>
      </c>
      <c r="X82" s="400"/>
      <c r="Y82" s="400"/>
      <c r="Z82" s="401"/>
      <c r="AA82" s="80"/>
    </row>
    <row r="83" spans="1:27" s="126" customFormat="1" ht="23.1" customHeight="1" x14ac:dyDescent="0.25">
      <c r="A83" s="80"/>
      <c r="B83" s="423">
        <v>3.13</v>
      </c>
      <c r="C83" s="424"/>
      <c r="D83" s="408" t="s">
        <v>38</v>
      </c>
      <c r="E83" s="409"/>
      <c r="F83" s="409"/>
      <c r="G83" s="409"/>
      <c r="H83" s="410"/>
      <c r="I83" s="194"/>
      <c r="J83" s="400">
        <f>IFERROR('C for f'!N49,"")</f>
        <v>0</v>
      </c>
      <c r="K83" s="400"/>
      <c r="L83" s="400"/>
      <c r="M83" s="400"/>
      <c r="N83" s="400">
        <f>IFERROR('C for f'!T49,"")</f>
        <v>0</v>
      </c>
      <c r="O83" s="400"/>
      <c r="P83" s="400"/>
      <c r="Q83" s="400"/>
      <c r="R83" s="400">
        <f>IFERROR('C for f'!U49,"")</f>
        <v>0</v>
      </c>
      <c r="S83" s="400"/>
      <c r="T83" s="400"/>
      <c r="U83" s="400"/>
      <c r="V83" s="194"/>
      <c r="W83" s="400">
        <f>IFERROR('C for f'!V49,"")</f>
        <v>0</v>
      </c>
      <c r="X83" s="400"/>
      <c r="Y83" s="400"/>
      <c r="Z83" s="401"/>
      <c r="AA83" s="80"/>
    </row>
    <row r="84" spans="1:27" s="126" customFormat="1" ht="23.1" customHeight="1" x14ac:dyDescent="0.25">
      <c r="A84" s="80"/>
      <c r="B84" s="423">
        <v>3.14</v>
      </c>
      <c r="C84" s="424"/>
      <c r="D84" s="408" t="s">
        <v>67</v>
      </c>
      <c r="E84" s="409"/>
      <c r="F84" s="409"/>
      <c r="G84" s="409"/>
      <c r="H84" s="410"/>
      <c r="I84" s="194"/>
      <c r="J84" s="400">
        <f>IFERROR('C for f'!N50,"")</f>
        <v>0</v>
      </c>
      <c r="K84" s="400"/>
      <c r="L84" s="400"/>
      <c r="M84" s="400"/>
      <c r="N84" s="400">
        <f>IFERROR('C for f'!T50,"")</f>
        <v>0</v>
      </c>
      <c r="O84" s="400"/>
      <c r="P84" s="400"/>
      <c r="Q84" s="400"/>
      <c r="R84" s="400">
        <f>IFERROR('C for f'!U50,"")</f>
        <v>0</v>
      </c>
      <c r="S84" s="400"/>
      <c r="T84" s="400"/>
      <c r="U84" s="400"/>
      <c r="V84" s="194"/>
      <c r="W84" s="400">
        <f>IFERROR('C for f'!V50,"")</f>
        <v>0</v>
      </c>
      <c r="X84" s="400"/>
      <c r="Y84" s="400"/>
      <c r="Z84" s="401"/>
      <c r="AA84" s="80"/>
    </row>
    <row r="85" spans="1:27" ht="15.75" thickBot="1" x14ac:dyDescent="0.3">
      <c r="B85" s="30"/>
      <c r="C85" s="31"/>
      <c r="D85" s="31"/>
      <c r="E85" s="31"/>
      <c r="F85" s="31"/>
      <c r="G85" s="31"/>
      <c r="H85" s="31"/>
      <c r="I85" s="31"/>
      <c r="J85" s="31"/>
      <c r="K85" s="31"/>
      <c r="L85" s="31"/>
      <c r="M85" s="31"/>
      <c r="N85" s="31"/>
      <c r="O85" s="31"/>
      <c r="P85" s="31"/>
      <c r="Q85" s="31"/>
      <c r="R85" s="31"/>
      <c r="S85" s="31"/>
      <c r="T85" s="31"/>
      <c r="U85" s="31"/>
      <c r="V85" s="31"/>
      <c r="W85" s="31"/>
      <c r="X85" s="31"/>
      <c r="Y85" s="31"/>
      <c r="Z85" s="32"/>
    </row>
  </sheetData>
  <mergeCells count="199">
    <mergeCell ref="B82:C82"/>
    <mergeCell ref="D82:H82"/>
    <mergeCell ref="J82:M82"/>
    <mergeCell ref="N82:Q82"/>
    <mergeCell ref="R82:U82"/>
    <mergeCell ref="W82:Z82"/>
    <mergeCell ref="B81:C81"/>
    <mergeCell ref="D81:H81"/>
    <mergeCell ref="J81:M81"/>
    <mergeCell ref="N81:Q81"/>
    <mergeCell ref="R81:U81"/>
    <mergeCell ref="W81:Z81"/>
    <mergeCell ref="B84:C84"/>
    <mergeCell ref="D84:H84"/>
    <mergeCell ref="J84:M84"/>
    <mergeCell ref="N84:Q84"/>
    <mergeCell ref="R84:U84"/>
    <mergeCell ref="W84:Z84"/>
    <mergeCell ref="B83:C83"/>
    <mergeCell ref="D83:H83"/>
    <mergeCell ref="J83:M83"/>
    <mergeCell ref="N83:Q83"/>
    <mergeCell ref="R83:U83"/>
    <mergeCell ref="W83:Z83"/>
    <mergeCell ref="B80:C80"/>
    <mergeCell ref="D80:H80"/>
    <mergeCell ref="J80:M80"/>
    <mergeCell ref="N80:Q80"/>
    <mergeCell ref="R80:U80"/>
    <mergeCell ref="W80:Z80"/>
    <mergeCell ref="B76:C78"/>
    <mergeCell ref="D76:H78"/>
    <mergeCell ref="J76:Z76"/>
    <mergeCell ref="J77:M78"/>
    <mergeCell ref="N77:Q78"/>
    <mergeCell ref="R77:U78"/>
    <mergeCell ref="W77:Z78"/>
    <mergeCell ref="B74:C74"/>
    <mergeCell ref="D74:H74"/>
    <mergeCell ref="J74:M74"/>
    <mergeCell ref="N74:Q74"/>
    <mergeCell ref="R74:U74"/>
    <mergeCell ref="W74:Z74"/>
    <mergeCell ref="B73:C73"/>
    <mergeCell ref="D73:H73"/>
    <mergeCell ref="J73:M73"/>
    <mergeCell ref="N73:Q73"/>
    <mergeCell ref="R73:U73"/>
    <mergeCell ref="W73:Z73"/>
    <mergeCell ref="B72:C72"/>
    <mergeCell ref="D72:H72"/>
    <mergeCell ref="J72:M72"/>
    <mergeCell ref="N72:Q72"/>
    <mergeCell ref="R72:U72"/>
    <mergeCell ref="W72:Z72"/>
    <mergeCell ref="B71:C71"/>
    <mergeCell ref="D71:H71"/>
    <mergeCell ref="J71:M71"/>
    <mergeCell ref="N71:Q71"/>
    <mergeCell ref="R71:U71"/>
    <mergeCell ref="W71:Z71"/>
    <mergeCell ref="B70:C70"/>
    <mergeCell ref="D70:H70"/>
    <mergeCell ref="J70:M70"/>
    <mergeCell ref="N70:Q70"/>
    <mergeCell ref="R70:U70"/>
    <mergeCell ref="W70:Z70"/>
    <mergeCell ref="B69:C69"/>
    <mergeCell ref="D69:H69"/>
    <mergeCell ref="J69:M69"/>
    <mergeCell ref="N69:Q69"/>
    <mergeCell ref="R69:U69"/>
    <mergeCell ref="W69:Z69"/>
    <mergeCell ref="B68:C68"/>
    <mergeCell ref="D68:H68"/>
    <mergeCell ref="J68:M68"/>
    <mergeCell ref="N68:Q68"/>
    <mergeCell ref="R68:U68"/>
    <mergeCell ref="W68:Z68"/>
    <mergeCell ref="B67:C67"/>
    <mergeCell ref="D67:H67"/>
    <mergeCell ref="J67:M67"/>
    <mergeCell ref="N67:Q67"/>
    <mergeCell ref="R67:U67"/>
    <mergeCell ref="W67:Z67"/>
    <mergeCell ref="W63:Z64"/>
    <mergeCell ref="B66:C66"/>
    <mergeCell ref="D66:H66"/>
    <mergeCell ref="J66:M66"/>
    <mergeCell ref="N66:Q66"/>
    <mergeCell ref="R66:U66"/>
    <mergeCell ref="W66:Z66"/>
    <mergeCell ref="C56:R56"/>
    <mergeCell ref="T56:V56"/>
    <mergeCell ref="X56:Z56"/>
    <mergeCell ref="B60:Z60"/>
    <mergeCell ref="B62:C64"/>
    <mergeCell ref="D62:H64"/>
    <mergeCell ref="J62:Z62"/>
    <mergeCell ref="J63:M64"/>
    <mergeCell ref="N63:Q64"/>
    <mergeCell ref="R63:U64"/>
    <mergeCell ref="C53:R53"/>
    <mergeCell ref="T53:V53"/>
    <mergeCell ref="X53:Z53"/>
    <mergeCell ref="C54:R54"/>
    <mergeCell ref="T54:V54"/>
    <mergeCell ref="X54:Z54"/>
    <mergeCell ref="C50:R50"/>
    <mergeCell ref="T50:V50"/>
    <mergeCell ref="X50:Z50"/>
    <mergeCell ref="C52:R52"/>
    <mergeCell ref="T52:V52"/>
    <mergeCell ref="X52:Z52"/>
    <mergeCell ref="C48:R48"/>
    <mergeCell ref="T48:V48"/>
    <mergeCell ref="X48:Z48"/>
    <mergeCell ref="C49:R49"/>
    <mergeCell ref="T49:V49"/>
    <mergeCell ref="X49:Z49"/>
    <mergeCell ref="C46:R46"/>
    <mergeCell ref="T46:V46"/>
    <mergeCell ref="X46:Z46"/>
    <mergeCell ref="C47:R47"/>
    <mergeCell ref="T47:V47"/>
    <mergeCell ref="X47:Z47"/>
    <mergeCell ref="C43:R43"/>
    <mergeCell ref="T43:V43"/>
    <mergeCell ref="X43:Z43"/>
    <mergeCell ref="C44:R44"/>
    <mergeCell ref="T44:V44"/>
    <mergeCell ref="X44:Z44"/>
    <mergeCell ref="C41:R41"/>
    <mergeCell ref="T41:V41"/>
    <mergeCell ref="X41:Z41"/>
    <mergeCell ref="C42:R42"/>
    <mergeCell ref="T42:V42"/>
    <mergeCell ref="X42:Z42"/>
    <mergeCell ref="C33:R33"/>
    <mergeCell ref="X33:Z33"/>
    <mergeCell ref="C34:R34"/>
    <mergeCell ref="T34:Z34"/>
    <mergeCell ref="B38:Z38"/>
    <mergeCell ref="T39:V39"/>
    <mergeCell ref="X39:Z39"/>
    <mergeCell ref="C29:R29"/>
    <mergeCell ref="T29:V29"/>
    <mergeCell ref="X29:Z29"/>
    <mergeCell ref="B31:Z31"/>
    <mergeCell ref="C32:R32"/>
    <mergeCell ref="T32:V32"/>
    <mergeCell ref="X32:Z32"/>
    <mergeCell ref="C27:R27"/>
    <mergeCell ref="T27:V27"/>
    <mergeCell ref="X27:Z27"/>
    <mergeCell ref="C28:R28"/>
    <mergeCell ref="T28:V28"/>
    <mergeCell ref="X28:Z28"/>
    <mergeCell ref="B24:Z24"/>
    <mergeCell ref="C25:R25"/>
    <mergeCell ref="T25:V25"/>
    <mergeCell ref="X25:Z25"/>
    <mergeCell ref="C26:R26"/>
    <mergeCell ref="T26:V26"/>
    <mergeCell ref="X26:Z26"/>
    <mergeCell ref="C21:R21"/>
    <mergeCell ref="T21:V21"/>
    <mergeCell ref="X21:Z21"/>
    <mergeCell ref="C22:R22"/>
    <mergeCell ref="T22:V22"/>
    <mergeCell ref="X22:Z22"/>
    <mergeCell ref="Y13:Z13"/>
    <mergeCell ref="T18:V18"/>
    <mergeCell ref="X18:Z18"/>
    <mergeCell ref="B19:Z19"/>
    <mergeCell ref="C20:R20"/>
    <mergeCell ref="T20:V20"/>
    <mergeCell ref="X20:Z20"/>
    <mergeCell ref="U13:X13"/>
    <mergeCell ref="B13:E13"/>
    <mergeCell ref="F13:G13"/>
    <mergeCell ref="H13:K13"/>
    <mergeCell ref="L13:O13"/>
    <mergeCell ref="Q13:S13"/>
    <mergeCell ref="B3:Z3"/>
    <mergeCell ref="B11:F11"/>
    <mergeCell ref="G11:J11"/>
    <mergeCell ref="K11:L11"/>
    <mergeCell ref="R11:S11"/>
    <mergeCell ref="Y11:Z11"/>
    <mergeCell ref="B4:Z4"/>
    <mergeCell ref="B9:E9"/>
    <mergeCell ref="F9:I9"/>
    <mergeCell ref="J9:N9"/>
    <mergeCell ref="O9:R9"/>
    <mergeCell ref="S9:V9"/>
    <mergeCell ref="W9:Z9"/>
    <mergeCell ref="T11:X11"/>
    <mergeCell ref="J6:Q6"/>
  </mergeCells>
  <printOptions horizontalCentered="1"/>
  <pageMargins left="0.5" right="0.5" top="0.5" bottom="0.5" header="0.3" footer="0.3"/>
  <pageSetup paperSize="9" scale="6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CoChMn!$S$14:$S$63</xm:f>
          </x14:formula1>
          <xm:sqref>J6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Z31"/>
  <sheetViews>
    <sheetView view="pageBreakPreview" zoomScale="80" zoomScaleNormal="60" zoomScaleSheetLayoutView="80" workbookViewId="0">
      <pane xSplit="26" ySplit="12" topLeftCell="AA13" activePane="bottomRight" state="frozen"/>
      <selection pane="topRight" activeCell="AA1" sqref="AA1"/>
      <selection pane="bottomLeft" activeCell="A12" sqref="A12"/>
      <selection pane="bottomRight"/>
    </sheetView>
  </sheetViews>
  <sheetFormatPr defaultColWidth="9.140625" defaultRowHeight="15" x14ac:dyDescent="0.25"/>
  <cols>
    <col min="1" max="2" width="4.5703125" style="1" customWidth="1"/>
    <col min="3" max="3" width="9.140625" style="1" customWidth="1"/>
    <col min="4" max="16384" width="9.140625" style="1"/>
  </cols>
  <sheetData>
    <row r="1" spans="2:26" s="2" customFormat="1" ht="27" customHeight="1" x14ac:dyDescent="0.25">
      <c r="B1" s="225"/>
      <c r="C1" s="225"/>
      <c r="E1" s="225"/>
      <c r="F1" s="463" t="s">
        <v>294</v>
      </c>
      <c r="G1" s="463"/>
      <c r="H1" s="463"/>
      <c r="I1" s="463"/>
      <c r="J1" s="463"/>
      <c r="K1" s="463"/>
      <c r="L1" s="463"/>
      <c r="M1" s="463"/>
      <c r="N1" s="463"/>
      <c r="O1" s="463"/>
      <c r="P1" s="463"/>
      <c r="Q1" s="463"/>
      <c r="R1" s="463"/>
      <c r="S1" s="463"/>
      <c r="T1" s="463"/>
      <c r="U1" s="463"/>
    </row>
    <row r="2" spans="2:26" s="2" customFormat="1" ht="8.25" customHeight="1" x14ac:dyDescent="0.25">
      <c r="B2" s="153"/>
      <c r="C2" s="153"/>
      <c r="E2" s="153"/>
      <c r="F2" s="153"/>
      <c r="J2" s="154"/>
      <c r="K2" s="154"/>
      <c r="L2" s="154"/>
      <c r="N2" s="154"/>
      <c r="O2" s="154"/>
      <c r="P2" s="154"/>
    </row>
    <row r="3" spans="2:26" ht="34.5" customHeight="1" x14ac:dyDescent="0.25">
      <c r="B3" s="467" t="s">
        <v>293</v>
      </c>
      <c r="C3" s="467"/>
      <c r="D3" s="467"/>
      <c r="E3" s="467"/>
      <c r="F3" s="467"/>
      <c r="G3" s="467"/>
      <c r="H3" s="467"/>
      <c r="I3" s="467"/>
      <c r="J3" s="467"/>
      <c r="K3" s="467"/>
      <c r="L3" s="467"/>
      <c r="M3" s="467"/>
      <c r="N3" s="467"/>
      <c r="O3" s="467"/>
      <c r="P3" s="467"/>
      <c r="Q3" s="467"/>
      <c r="R3" s="467"/>
      <c r="S3" s="467"/>
      <c r="T3" s="467"/>
      <c r="U3" s="467"/>
      <c r="V3" s="467"/>
      <c r="W3" s="467"/>
      <c r="X3" s="467"/>
      <c r="Y3" s="467"/>
      <c r="Z3" s="467"/>
    </row>
    <row r="4" spans="2:26" ht="21.75" customHeight="1" x14ac:dyDescent="0.25">
      <c r="B4" s="468" t="s">
        <v>34</v>
      </c>
      <c r="C4" s="468"/>
      <c r="D4" s="468"/>
      <c r="E4" s="468"/>
      <c r="F4" s="468"/>
      <c r="G4" s="468"/>
      <c r="H4" s="468"/>
      <c r="I4" s="468"/>
      <c r="J4" s="468"/>
      <c r="K4" s="468"/>
      <c r="L4" s="468"/>
      <c r="M4" s="468"/>
      <c r="N4" s="468"/>
      <c r="O4" s="468"/>
      <c r="P4" s="468"/>
      <c r="Q4" s="468"/>
      <c r="R4" s="468"/>
      <c r="S4" s="468"/>
      <c r="T4" s="468"/>
      <c r="U4" s="468"/>
      <c r="V4" s="468"/>
      <c r="W4" s="468"/>
      <c r="X4" s="468"/>
      <c r="Y4" s="468"/>
      <c r="Z4" s="468"/>
    </row>
    <row r="6" spans="2:26" s="10" customFormat="1" ht="18.75" x14ac:dyDescent="0.3">
      <c r="C6" s="464" t="s">
        <v>0</v>
      </c>
      <c r="D6" s="464"/>
      <c r="E6" s="464"/>
      <c r="F6" s="458"/>
      <c r="G6" s="458"/>
      <c r="H6" s="458"/>
      <c r="I6" s="458"/>
      <c r="L6" s="11" t="s">
        <v>7</v>
      </c>
      <c r="M6" s="11"/>
      <c r="N6" s="458"/>
      <c r="O6" s="458"/>
      <c r="P6" s="458"/>
      <c r="Q6" s="458"/>
      <c r="R6" s="464" t="s">
        <v>1</v>
      </c>
      <c r="S6" s="464"/>
      <c r="T6" s="464"/>
      <c r="U6" s="464"/>
      <c r="V6" s="458"/>
      <c r="W6" s="458"/>
      <c r="X6" s="458"/>
      <c r="Y6" s="458"/>
    </row>
    <row r="7" spans="2:26" s="10" customFormat="1" ht="9.75" customHeight="1" x14ac:dyDescent="0.3">
      <c r="C7" s="11"/>
      <c r="D7" s="11"/>
      <c r="E7" s="11"/>
      <c r="F7" s="11"/>
      <c r="G7" s="11"/>
      <c r="H7" s="11"/>
      <c r="I7" s="11"/>
      <c r="K7" s="11"/>
      <c r="L7" s="11"/>
      <c r="M7" s="11"/>
      <c r="N7" s="11"/>
      <c r="O7" s="11"/>
      <c r="P7" s="11"/>
      <c r="Q7" s="11"/>
      <c r="S7" s="11"/>
      <c r="T7" s="11"/>
      <c r="U7" s="11"/>
      <c r="V7" s="11"/>
      <c r="W7" s="11"/>
      <c r="X7" s="11"/>
      <c r="Y7" s="11"/>
      <c r="Z7" s="11"/>
    </row>
    <row r="8" spans="2:26" s="10" customFormat="1" ht="18.75" x14ac:dyDescent="0.3">
      <c r="C8" s="33" t="s">
        <v>276</v>
      </c>
      <c r="D8" s="33"/>
      <c r="E8" s="33"/>
      <c r="F8" s="33"/>
      <c r="G8" s="33"/>
      <c r="H8" s="33"/>
      <c r="I8" s="33"/>
      <c r="J8" s="33"/>
      <c r="K8" s="33"/>
      <c r="L8" s="14"/>
      <c r="T8" s="464" t="s">
        <v>2</v>
      </c>
      <c r="U8" s="464"/>
      <c r="V8" s="464"/>
      <c r="W8" s="469"/>
      <c r="X8" s="469"/>
      <c r="Y8" s="469"/>
    </row>
    <row r="9" spans="2:26" s="10" customFormat="1" ht="9.75" customHeight="1" x14ac:dyDescent="0.3">
      <c r="C9" s="13"/>
      <c r="D9" s="13"/>
      <c r="E9" s="13"/>
    </row>
    <row r="10" spans="2:26" s="10" customFormat="1" ht="18.75" x14ac:dyDescent="0.3">
      <c r="C10" s="471" t="s">
        <v>56</v>
      </c>
      <c r="D10" s="471"/>
      <c r="E10" s="471"/>
      <c r="F10" s="471"/>
      <c r="G10" s="471"/>
      <c r="H10" s="471"/>
      <c r="I10" s="471"/>
      <c r="J10" s="469" t="s">
        <v>57</v>
      </c>
      <c r="K10" s="469"/>
      <c r="M10" s="10" t="s">
        <v>59</v>
      </c>
      <c r="W10" s="12"/>
      <c r="X10" s="469"/>
      <c r="Y10" s="469"/>
    </row>
    <row r="11" spans="2:26" ht="16.5" thickBot="1" x14ac:dyDescent="0.3">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2:26" ht="21.75" customHeight="1" thickBot="1" x14ac:dyDescent="0.3">
      <c r="B12" s="107"/>
      <c r="C12" s="108"/>
      <c r="D12" s="108"/>
      <c r="E12" s="108"/>
      <c r="F12" s="108"/>
      <c r="G12" s="485" t="s">
        <v>35</v>
      </c>
      <c r="H12" s="485"/>
      <c r="I12" s="485"/>
      <c r="J12" s="485"/>
      <c r="K12" s="485" t="s">
        <v>35</v>
      </c>
      <c r="L12" s="485"/>
      <c r="M12" s="485"/>
      <c r="N12" s="485"/>
      <c r="O12" s="485" t="s">
        <v>35</v>
      </c>
      <c r="P12" s="485"/>
      <c r="Q12" s="485"/>
      <c r="R12" s="485"/>
      <c r="S12" s="485" t="s">
        <v>35</v>
      </c>
      <c r="T12" s="485"/>
      <c r="U12" s="485"/>
      <c r="V12" s="485"/>
      <c r="W12" s="485" t="s">
        <v>35</v>
      </c>
      <c r="X12" s="485"/>
      <c r="Y12" s="485"/>
      <c r="Z12" s="490"/>
    </row>
    <row r="13" spans="2:26" ht="29.25" customHeight="1" x14ac:dyDescent="0.25">
      <c r="B13" s="204">
        <v>1</v>
      </c>
      <c r="C13" s="480" t="s">
        <v>9</v>
      </c>
      <c r="D13" s="480"/>
      <c r="E13" s="480"/>
      <c r="F13" s="480"/>
      <c r="G13" s="481"/>
      <c r="H13" s="481"/>
      <c r="I13" s="481"/>
      <c r="J13" s="481"/>
      <c r="K13" s="481"/>
      <c r="L13" s="481"/>
      <c r="M13" s="481"/>
      <c r="N13" s="481"/>
      <c r="O13" s="481"/>
      <c r="P13" s="481"/>
      <c r="Q13" s="481"/>
      <c r="R13" s="481"/>
      <c r="S13" s="481"/>
      <c r="T13" s="481"/>
      <c r="U13" s="481"/>
      <c r="V13" s="481"/>
      <c r="W13" s="481"/>
      <c r="X13" s="481"/>
      <c r="Y13" s="481"/>
      <c r="Z13" s="491"/>
    </row>
    <row r="14" spans="2:26" ht="35.25" customHeight="1" x14ac:dyDescent="0.25">
      <c r="B14" s="16">
        <v>2.1</v>
      </c>
      <c r="C14" s="472" t="s">
        <v>272</v>
      </c>
      <c r="D14" s="474"/>
      <c r="E14" s="483" t="s">
        <v>160</v>
      </c>
      <c r="F14" s="484"/>
      <c r="G14" s="465"/>
      <c r="H14" s="465"/>
      <c r="I14" s="465"/>
      <c r="J14" s="465"/>
      <c r="K14" s="465"/>
      <c r="L14" s="465"/>
      <c r="M14" s="465"/>
      <c r="N14" s="465"/>
      <c r="O14" s="465"/>
      <c r="P14" s="465"/>
      <c r="Q14" s="465"/>
      <c r="R14" s="465"/>
      <c r="S14" s="465"/>
      <c r="T14" s="465"/>
      <c r="U14" s="465"/>
      <c r="V14" s="465"/>
      <c r="W14" s="465"/>
      <c r="X14" s="465"/>
      <c r="Y14" s="465"/>
      <c r="Z14" s="466"/>
    </row>
    <row r="15" spans="2:26" ht="35.25" customHeight="1" x14ac:dyDescent="0.25">
      <c r="B15" s="16">
        <v>2.2000000000000002</v>
      </c>
      <c r="C15" s="487"/>
      <c r="D15" s="488"/>
      <c r="E15" s="483" t="s">
        <v>161</v>
      </c>
      <c r="F15" s="484"/>
      <c r="G15" s="465"/>
      <c r="H15" s="465"/>
      <c r="I15" s="465"/>
      <c r="J15" s="465"/>
      <c r="K15" s="465"/>
      <c r="L15" s="465"/>
      <c r="M15" s="465"/>
      <c r="N15" s="465"/>
      <c r="O15" s="465"/>
      <c r="P15" s="465"/>
      <c r="Q15" s="465"/>
      <c r="R15" s="465"/>
      <c r="S15" s="465"/>
      <c r="T15" s="465"/>
      <c r="U15" s="465"/>
      <c r="V15" s="465"/>
      <c r="W15" s="465"/>
      <c r="X15" s="465"/>
      <c r="Y15" s="465"/>
      <c r="Z15" s="466"/>
    </row>
    <row r="16" spans="2:26" ht="36" customHeight="1" x14ac:dyDescent="0.25">
      <c r="B16" s="16">
        <v>2.2999999999999998</v>
      </c>
      <c r="C16" s="475"/>
      <c r="D16" s="477"/>
      <c r="E16" s="483" t="s">
        <v>269</v>
      </c>
      <c r="F16" s="484"/>
      <c r="G16" s="465"/>
      <c r="H16" s="465"/>
      <c r="I16" s="465"/>
      <c r="J16" s="465"/>
      <c r="K16" s="465"/>
      <c r="L16" s="465"/>
      <c r="M16" s="465"/>
      <c r="N16" s="465"/>
      <c r="O16" s="465"/>
      <c r="P16" s="465"/>
      <c r="Q16" s="465"/>
      <c r="R16" s="465"/>
      <c r="S16" s="465"/>
      <c r="T16" s="465"/>
      <c r="U16" s="465"/>
      <c r="V16" s="465"/>
      <c r="W16" s="465"/>
      <c r="X16" s="465"/>
      <c r="Y16" s="465"/>
      <c r="Z16" s="466"/>
    </row>
    <row r="17" spans="2:26" ht="60.75" customHeight="1" x14ac:dyDescent="0.25">
      <c r="B17" s="16">
        <v>3</v>
      </c>
      <c r="C17" s="462" t="s">
        <v>116</v>
      </c>
      <c r="D17" s="462"/>
      <c r="E17" s="462"/>
      <c r="F17" s="462"/>
      <c r="G17" s="459" t="s">
        <v>184</v>
      </c>
      <c r="H17" s="460"/>
      <c r="I17" s="460"/>
      <c r="J17" s="482"/>
      <c r="K17" s="459" t="s">
        <v>184</v>
      </c>
      <c r="L17" s="460"/>
      <c r="M17" s="460"/>
      <c r="N17" s="482"/>
      <c r="O17" s="459" t="s">
        <v>184</v>
      </c>
      <c r="P17" s="460"/>
      <c r="Q17" s="460"/>
      <c r="R17" s="482"/>
      <c r="S17" s="459" t="s">
        <v>184</v>
      </c>
      <c r="T17" s="460"/>
      <c r="U17" s="460"/>
      <c r="V17" s="482"/>
      <c r="W17" s="459" t="s">
        <v>184</v>
      </c>
      <c r="X17" s="460"/>
      <c r="Y17" s="460"/>
      <c r="Z17" s="461"/>
    </row>
    <row r="18" spans="2:26" ht="44.25" customHeight="1" x14ac:dyDescent="0.25">
      <c r="B18" s="16">
        <v>4</v>
      </c>
      <c r="C18" s="462" t="s">
        <v>166</v>
      </c>
      <c r="D18" s="462"/>
      <c r="E18" s="462"/>
      <c r="F18" s="462"/>
      <c r="G18" s="465"/>
      <c r="H18" s="465"/>
      <c r="I18" s="465"/>
      <c r="J18" s="465"/>
      <c r="K18" s="465"/>
      <c r="L18" s="465"/>
      <c r="M18" s="465"/>
      <c r="N18" s="465"/>
      <c r="O18" s="465"/>
      <c r="P18" s="465"/>
      <c r="Q18" s="465"/>
      <c r="R18" s="465"/>
      <c r="S18" s="465"/>
      <c r="T18" s="465"/>
      <c r="U18" s="465"/>
      <c r="V18" s="465"/>
      <c r="W18" s="465"/>
      <c r="X18" s="465"/>
      <c r="Y18" s="465"/>
      <c r="Z18" s="466"/>
    </row>
    <row r="19" spans="2:26" ht="44.25" customHeight="1" x14ac:dyDescent="0.25">
      <c r="B19" s="16">
        <v>5</v>
      </c>
      <c r="C19" s="462" t="s">
        <v>270</v>
      </c>
      <c r="D19" s="462"/>
      <c r="E19" s="462"/>
      <c r="F19" s="462"/>
      <c r="G19" s="470" t="s">
        <v>271</v>
      </c>
      <c r="H19" s="470"/>
      <c r="I19" s="470"/>
      <c r="J19" s="470"/>
      <c r="K19" s="470" t="s">
        <v>271</v>
      </c>
      <c r="L19" s="470"/>
      <c r="M19" s="470"/>
      <c r="N19" s="470"/>
      <c r="O19" s="470" t="s">
        <v>271</v>
      </c>
      <c r="P19" s="470"/>
      <c r="Q19" s="470"/>
      <c r="R19" s="470"/>
      <c r="S19" s="470" t="s">
        <v>271</v>
      </c>
      <c r="T19" s="470"/>
      <c r="U19" s="470"/>
      <c r="V19" s="470"/>
      <c r="W19" s="470" t="s">
        <v>271</v>
      </c>
      <c r="X19" s="470"/>
      <c r="Y19" s="470"/>
      <c r="Z19" s="489"/>
    </row>
    <row r="20" spans="2:26" ht="60.75" customHeight="1" x14ac:dyDescent="0.25">
      <c r="B20" s="16">
        <v>6</v>
      </c>
      <c r="C20" s="462" t="s">
        <v>167</v>
      </c>
      <c r="D20" s="462"/>
      <c r="E20" s="462"/>
      <c r="F20" s="462"/>
      <c r="G20" s="465"/>
      <c r="H20" s="465"/>
      <c r="I20" s="465"/>
      <c r="J20" s="465"/>
      <c r="K20" s="465"/>
      <c r="L20" s="465"/>
      <c r="M20" s="465"/>
      <c r="N20" s="465"/>
      <c r="O20" s="465"/>
      <c r="P20" s="465"/>
      <c r="Q20" s="465"/>
      <c r="R20" s="465"/>
      <c r="S20" s="465"/>
      <c r="T20" s="465"/>
      <c r="U20" s="465"/>
      <c r="V20" s="465"/>
      <c r="W20" s="465"/>
      <c r="X20" s="465"/>
      <c r="Y20" s="465"/>
      <c r="Z20" s="466"/>
    </row>
    <row r="21" spans="2:26" ht="39" customHeight="1" x14ac:dyDescent="0.25">
      <c r="B21" s="16">
        <v>7.1</v>
      </c>
      <c r="C21" s="472" t="s">
        <v>274</v>
      </c>
      <c r="D21" s="473"/>
      <c r="E21" s="474"/>
      <c r="F21" s="109">
        <v>1</v>
      </c>
      <c r="G21" s="465"/>
      <c r="H21" s="465"/>
      <c r="I21" s="465"/>
      <c r="J21" s="465"/>
      <c r="K21" s="465"/>
      <c r="L21" s="465"/>
      <c r="M21" s="465"/>
      <c r="N21" s="465"/>
      <c r="O21" s="465"/>
      <c r="P21" s="465"/>
      <c r="Q21" s="465"/>
      <c r="R21" s="465"/>
      <c r="S21" s="465"/>
      <c r="T21" s="465"/>
      <c r="U21" s="465"/>
      <c r="V21" s="465"/>
      <c r="W21" s="465"/>
      <c r="X21" s="465"/>
      <c r="Y21" s="465"/>
      <c r="Z21" s="466"/>
    </row>
    <row r="22" spans="2:26" ht="39" customHeight="1" x14ac:dyDescent="0.25">
      <c r="B22" s="16">
        <v>7.2</v>
      </c>
      <c r="C22" s="475"/>
      <c r="D22" s="476"/>
      <c r="E22" s="477"/>
      <c r="F22" s="109">
        <v>2</v>
      </c>
      <c r="G22" s="465"/>
      <c r="H22" s="465"/>
      <c r="I22" s="465"/>
      <c r="J22" s="465"/>
      <c r="K22" s="465"/>
      <c r="L22" s="465"/>
      <c r="M22" s="465"/>
      <c r="N22" s="465"/>
      <c r="O22" s="465"/>
      <c r="P22" s="465"/>
      <c r="Q22" s="465"/>
      <c r="R22" s="465"/>
      <c r="S22" s="465"/>
      <c r="T22" s="465"/>
      <c r="U22" s="465"/>
      <c r="V22" s="465"/>
      <c r="W22" s="465"/>
      <c r="X22" s="465"/>
      <c r="Y22" s="465"/>
      <c r="Z22" s="466"/>
    </row>
    <row r="23" spans="2:26" ht="39" customHeight="1" x14ac:dyDescent="0.25">
      <c r="B23" s="16">
        <v>8.1</v>
      </c>
      <c r="C23" s="472" t="s">
        <v>275</v>
      </c>
      <c r="D23" s="473"/>
      <c r="E23" s="474"/>
      <c r="F23" s="109">
        <v>1</v>
      </c>
      <c r="G23" s="465"/>
      <c r="H23" s="465"/>
      <c r="I23" s="465"/>
      <c r="J23" s="465"/>
      <c r="K23" s="465"/>
      <c r="L23" s="465"/>
      <c r="M23" s="465"/>
      <c r="N23" s="465"/>
      <c r="O23" s="465"/>
      <c r="P23" s="465"/>
      <c r="Q23" s="465"/>
      <c r="R23" s="465"/>
      <c r="S23" s="465"/>
      <c r="T23" s="465"/>
      <c r="U23" s="465"/>
      <c r="V23" s="465"/>
      <c r="W23" s="465"/>
      <c r="X23" s="465"/>
      <c r="Y23" s="465"/>
      <c r="Z23" s="466"/>
    </row>
    <row r="24" spans="2:26" ht="39" customHeight="1" x14ac:dyDescent="0.25">
      <c r="B24" s="16">
        <v>8.1999999999999993</v>
      </c>
      <c r="C24" s="475"/>
      <c r="D24" s="476"/>
      <c r="E24" s="477"/>
      <c r="F24" s="109">
        <v>2</v>
      </c>
      <c r="G24" s="465"/>
      <c r="H24" s="465"/>
      <c r="I24" s="465"/>
      <c r="J24" s="465"/>
      <c r="K24" s="465"/>
      <c r="L24" s="465"/>
      <c r="M24" s="465"/>
      <c r="N24" s="465"/>
      <c r="O24" s="465"/>
      <c r="P24" s="465"/>
      <c r="Q24" s="465"/>
      <c r="R24" s="465"/>
      <c r="S24" s="465"/>
      <c r="T24" s="465"/>
      <c r="U24" s="465"/>
      <c r="V24" s="465"/>
      <c r="W24" s="465"/>
      <c r="X24" s="465"/>
      <c r="Y24" s="465"/>
      <c r="Z24" s="466"/>
    </row>
    <row r="25" spans="2:26" ht="33.75" customHeight="1" x14ac:dyDescent="0.25">
      <c r="B25" s="16">
        <v>9</v>
      </c>
      <c r="C25" s="462" t="s">
        <v>115</v>
      </c>
      <c r="D25" s="462"/>
      <c r="E25" s="462"/>
      <c r="F25" s="462"/>
      <c r="G25" s="465"/>
      <c r="H25" s="465"/>
      <c r="I25" s="465"/>
      <c r="J25" s="465"/>
      <c r="K25" s="465"/>
      <c r="L25" s="465"/>
      <c r="M25" s="465"/>
      <c r="N25" s="465"/>
      <c r="O25" s="465"/>
      <c r="P25" s="465"/>
      <c r="Q25" s="465"/>
      <c r="R25" s="465"/>
      <c r="S25" s="465"/>
      <c r="T25" s="465"/>
      <c r="U25" s="465"/>
      <c r="V25" s="465"/>
      <c r="W25" s="465"/>
      <c r="X25" s="465"/>
      <c r="Y25" s="465"/>
      <c r="Z25" s="466"/>
    </row>
    <row r="26" spans="2:26" ht="45" customHeight="1" x14ac:dyDescent="0.25">
      <c r="B26" s="16">
        <v>10</v>
      </c>
      <c r="C26" s="462" t="s">
        <v>168</v>
      </c>
      <c r="D26" s="462"/>
      <c r="E26" s="462"/>
      <c r="F26" s="462"/>
      <c r="G26" s="465"/>
      <c r="H26" s="465"/>
      <c r="I26" s="465"/>
      <c r="J26" s="465"/>
      <c r="K26" s="465"/>
      <c r="L26" s="465"/>
      <c r="M26" s="465"/>
      <c r="N26" s="465"/>
      <c r="O26" s="465"/>
      <c r="P26" s="465"/>
      <c r="Q26" s="465"/>
      <c r="R26" s="465"/>
      <c r="S26" s="465"/>
      <c r="T26" s="465"/>
      <c r="U26" s="465"/>
      <c r="V26" s="465"/>
      <c r="W26" s="465"/>
      <c r="X26" s="465"/>
      <c r="Y26" s="465"/>
      <c r="Z26" s="466"/>
    </row>
    <row r="27" spans="2:26" ht="31.5" customHeight="1" x14ac:dyDescent="0.25">
      <c r="B27" s="16">
        <v>11</v>
      </c>
      <c r="C27" s="462" t="s">
        <v>33</v>
      </c>
      <c r="D27" s="462"/>
      <c r="E27" s="462"/>
      <c r="F27" s="462"/>
      <c r="G27" s="465"/>
      <c r="H27" s="465"/>
      <c r="I27" s="465"/>
      <c r="J27" s="465"/>
      <c r="K27" s="465"/>
      <c r="L27" s="465"/>
      <c r="M27" s="465"/>
      <c r="N27" s="465"/>
      <c r="O27" s="465"/>
      <c r="P27" s="465"/>
      <c r="Q27" s="465"/>
      <c r="R27" s="465"/>
      <c r="S27" s="465"/>
      <c r="T27" s="465"/>
      <c r="U27" s="465"/>
      <c r="V27" s="465"/>
      <c r="W27" s="465"/>
      <c r="X27" s="465"/>
      <c r="Y27" s="465"/>
      <c r="Z27" s="466"/>
    </row>
    <row r="28" spans="2:26" ht="52.5" customHeight="1" thickBot="1" x14ac:dyDescent="0.3">
      <c r="B28" s="17">
        <v>12</v>
      </c>
      <c r="C28" s="478" t="s">
        <v>273</v>
      </c>
      <c r="D28" s="478"/>
      <c r="E28" s="478"/>
      <c r="F28" s="478"/>
      <c r="G28" s="479" t="s">
        <v>32</v>
      </c>
      <c r="H28" s="479"/>
      <c r="I28" s="479"/>
      <c r="J28" s="479"/>
      <c r="K28" s="479" t="s">
        <v>32</v>
      </c>
      <c r="L28" s="479"/>
      <c r="M28" s="479"/>
      <c r="N28" s="479"/>
      <c r="O28" s="479" t="s">
        <v>32</v>
      </c>
      <c r="P28" s="479"/>
      <c r="Q28" s="479"/>
      <c r="R28" s="479"/>
      <c r="S28" s="479" t="s">
        <v>32</v>
      </c>
      <c r="T28" s="479"/>
      <c r="U28" s="479"/>
      <c r="V28" s="479"/>
      <c r="W28" s="479" t="s">
        <v>32</v>
      </c>
      <c r="X28" s="479"/>
      <c r="Y28" s="479"/>
      <c r="Z28" s="486"/>
    </row>
    <row r="30" spans="2:26" ht="40.5" customHeight="1" x14ac:dyDescent="0.25"/>
    <row r="31" spans="2:26" s="10" customFormat="1" ht="18.75" x14ac:dyDescent="0.3">
      <c r="C31" s="386" t="s">
        <v>5</v>
      </c>
      <c r="D31" s="386"/>
      <c r="E31" s="386"/>
      <c r="F31" s="386"/>
      <c r="G31" s="386"/>
      <c r="T31" s="386" t="s">
        <v>4</v>
      </c>
      <c r="U31" s="386"/>
      <c r="V31" s="386"/>
      <c r="W31" s="386"/>
      <c r="X31" s="386"/>
      <c r="Y31" s="386"/>
      <c r="Z31" s="386"/>
    </row>
  </sheetData>
  <mergeCells count="115">
    <mergeCell ref="W14:Z14"/>
    <mergeCell ref="W18:Z18"/>
    <mergeCell ref="W20:Z20"/>
    <mergeCell ref="W21:Z21"/>
    <mergeCell ref="W19:Z19"/>
    <mergeCell ref="S15:V15"/>
    <mergeCell ref="W15:Z15"/>
    <mergeCell ref="W12:Z12"/>
    <mergeCell ref="W13:Z13"/>
    <mergeCell ref="S12:V12"/>
    <mergeCell ref="S13:V13"/>
    <mergeCell ref="C31:G31"/>
    <mergeCell ref="T31:Z31"/>
    <mergeCell ref="G16:J16"/>
    <mergeCell ref="K16:N16"/>
    <mergeCell ref="O16:R16"/>
    <mergeCell ref="S16:V16"/>
    <mergeCell ref="W16:Z16"/>
    <mergeCell ref="C14:D16"/>
    <mergeCell ref="E14:F14"/>
    <mergeCell ref="E16:F16"/>
    <mergeCell ref="G14:J14"/>
    <mergeCell ref="K14:N14"/>
    <mergeCell ref="O14:R14"/>
    <mergeCell ref="W24:Z24"/>
    <mergeCell ref="W26:Z26"/>
    <mergeCell ref="W27:Z27"/>
    <mergeCell ref="W22:Z22"/>
    <mergeCell ref="W23:Z23"/>
    <mergeCell ref="S18:V18"/>
    <mergeCell ref="S21:V21"/>
    <mergeCell ref="S24:V24"/>
    <mergeCell ref="S25:V25"/>
    <mergeCell ref="S17:V17"/>
    <mergeCell ref="S20:V20"/>
    <mergeCell ref="O13:R13"/>
    <mergeCell ref="O15:R15"/>
    <mergeCell ref="O17:R17"/>
    <mergeCell ref="O23:R23"/>
    <mergeCell ref="O22:R22"/>
    <mergeCell ref="O27:R27"/>
    <mergeCell ref="O26:R26"/>
    <mergeCell ref="O24:R24"/>
    <mergeCell ref="G26:J26"/>
    <mergeCell ref="G27:J27"/>
    <mergeCell ref="K27:N27"/>
    <mergeCell ref="W28:Z28"/>
    <mergeCell ref="G18:J18"/>
    <mergeCell ref="G20:J20"/>
    <mergeCell ref="G21:J21"/>
    <mergeCell ref="G22:J22"/>
    <mergeCell ref="G23:J23"/>
    <mergeCell ref="G24:J24"/>
    <mergeCell ref="O21:R21"/>
    <mergeCell ref="K21:N21"/>
    <mergeCell ref="O18:R18"/>
    <mergeCell ref="S22:V22"/>
    <mergeCell ref="K22:N22"/>
    <mergeCell ref="K23:N23"/>
    <mergeCell ref="K24:N24"/>
    <mergeCell ref="K26:N26"/>
    <mergeCell ref="S26:V26"/>
    <mergeCell ref="S23:V23"/>
    <mergeCell ref="S27:V27"/>
    <mergeCell ref="K18:N18"/>
    <mergeCell ref="K20:N20"/>
    <mergeCell ref="O20:R20"/>
    <mergeCell ref="J10:K10"/>
    <mergeCell ref="C6:E6"/>
    <mergeCell ref="C21:E22"/>
    <mergeCell ref="C23:E24"/>
    <mergeCell ref="C28:F28"/>
    <mergeCell ref="G28:J28"/>
    <mergeCell ref="K28:N28"/>
    <mergeCell ref="O28:R28"/>
    <mergeCell ref="S28:V28"/>
    <mergeCell ref="C13:F13"/>
    <mergeCell ref="C18:F18"/>
    <mergeCell ref="C20:F20"/>
    <mergeCell ref="K13:N13"/>
    <mergeCell ref="C17:F17"/>
    <mergeCell ref="G17:J17"/>
    <mergeCell ref="K17:N17"/>
    <mergeCell ref="E15:F15"/>
    <mergeCell ref="G15:J15"/>
    <mergeCell ref="K15:N15"/>
    <mergeCell ref="G12:J12"/>
    <mergeCell ref="K12:N12"/>
    <mergeCell ref="O12:R12"/>
    <mergeCell ref="S14:V14"/>
    <mergeCell ref="G13:J13"/>
    <mergeCell ref="N6:Q6"/>
    <mergeCell ref="W17:Z17"/>
    <mergeCell ref="C27:F27"/>
    <mergeCell ref="C26:F26"/>
    <mergeCell ref="F1:U1"/>
    <mergeCell ref="T8:V8"/>
    <mergeCell ref="W25:Z25"/>
    <mergeCell ref="B3:Z3"/>
    <mergeCell ref="B4:Z4"/>
    <mergeCell ref="V6:Y6"/>
    <mergeCell ref="R6:U6"/>
    <mergeCell ref="W8:Y8"/>
    <mergeCell ref="X10:Y10"/>
    <mergeCell ref="C19:F19"/>
    <mergeCell ref="G19:J19"/>
    <mergeCell ref="K19:N19"/>
    <mergeCell ref="O19:R19"/>
    <mergeCell ref="S19:V19"/>
    <mergeCell ref="F6:I6"/>
    <mergeCell ref="C25:F25"/>
    <mergeCell ref="G25:J25"/>
    <mergeCell ref="K25:N25"/>
    <mergeCell ref="O25:R25"/>
    <mergeCell ref="C10:I10"/>
  </mergeCells>
  <printOptions horizontalCentered="1"/>
  <pageMargins left="0.5" right="0.5" top="0.75" bottom="0.5" header="0.3" footer="0.05"/>
  <pageSetup paperSize="9" scale="5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R522"/>
  <sheetViews>
    <sheetView zoomScaleNormal="100" workbookViewId="0">
      <pane xSplit="16" ySplit="9" topLeftCell="Q10" activePane="bottomRight" state="frozen"/>
      <selection pane="topRight" activeCell="Q1" sqref="Q1"/>
      <selection pane="bottomLeft" activeCell="A10" sqref="A10"/>
      <selection pane="bottomRight"/>
    </sheetView>
  </sheetViews>
  <sheetFormatPr defaultColWidth="9.140625" defaultRowHeight="15" x14ac:dyDescent="0.25"/>
  <cols>
    <col min="1" max="1" width="3.42578125" style="1" customWidth="1"/>
    <col min="2" max="7" width="7.7109375" style="1" customWidth="1"/>
    <col min="8" max="18" width="11.28515625" style="1" customWidth="1"/>
    <col min="19" max="16384" width="9.140625" style="1"/>
  </cols>
  <sheetData>
    <row r="1" spans="2:18" s="2" customFormat="1" ht="35.25" customHeight="1" x14ac:dyDescent="0.25">
      <c r="B1" s="226"/>
      <c r="C1" s="226"/>
      <c r="F1" s="492" t="s">
        <v>295</v>
      </c>
      <c r="G1" s="492"/>
      <c r="H1" s="492"/>
      <c r="I1" s="492"/>
      <c r="J1" s="492"/>
      <c r="K1" s="492"/>
      <c r="L1" s="492"/>
      <c r="M1" s="492"/>
    </row>
    <row r="2" spans="2:18" ht="34.5" customHeight="1" x14ac:dyDescent="0.25">
      <c r="B2" s="444" t="s">
        <v>292</v>
      </c>
      <c r="C2" s="444"/>
      <c r="D2" s="444"/>
      <c r="E2" s="444"/>
      <c r="F2" s="444"/>
      <c r="G2" s="444"/>
      <c r="H2" s="444"/>
      <c r="I2" s="444"/>
      <c r="J2" s="444"/>
      <c r="K2" s="444"/>
      <c r="L2" s="444"/>
      <c r="M2" s="444"/>
      <c r="N2" s="444"/>
      <c r="O2" s="444"/>
      <c r="P2" s="444"/>
      <c r="Q2" s="205"/>
      <c r="R2" s="205"/>
    </row>
    <row r="3" spans="2:18" ht="13.5" customHeight="1" x14ac:dyDescent="0.25">
      <c r="B3" s="497" t="s">
        <v>287</v>
      </c>
      <c r="C3" s="497"/>
      <c r="D3" s="497"/>
      <c r="E3" s="497"/>
      <c r="F3" s="497"/>
      <c r="G3" s="497"/>
      <c r="H3" s="497"/>
      <c r="I3" s="497"/>
      <c r="J3" s="497"/>
      <c r="K3" s="497"/>
      <c r="L3" s="497"/>
      <c r="M3" s="497"/>
      <c r="N3" s="497"/>
      <c r="O3" s="497"/>
      <c r="P3" s="497"/>
      <c r="Q3" s="18"/>
      <c r="R3" s="18"/>
    </row>
    <row r="4" spans="2:18" ht="24" customHeight="1" x14ac:dyDescent="0.25"/>
    <row r="5" spans="2:18" s="18" customFormat="1" ht="15.75" x14ac:dyDescent="0.25">
      <c r="B5" s="319" t="s">
        <v>0</v>
      </c>
      <c r="C5" s="319"/>
      <c r="D5" s="319"/>
      <c r="E5" s="498" t="str">
        <f>IF(Var!D7=0,"",Var!D7)</f>
        <v/>
      </c>
      <c r="F5" s="498"/>
      <c r="G5" s="498"/>
      <c r="H5" s="319" t="s">
        <v>7</v>
      </c>
      <c r="I5" s="319"/>
      <c r="J5" s="498" t="str">
        <f>IF(Var!I7=0,"",Var!I7)</f>
        <v/>
      </c>
      <c r="K5" s="498"/>
      <c r="L5" s="498"/>
      <c r="M5" s="319" t="s">
        <v>6</v>
      </c>
      <c r="N5" s="319"/>
      <c r="O5" s="498" t="str">
        <f>IF(Var!N7=0,"",Var!N7)</f>
        <v/>
      </c>
      <c r="P5" s="498"/>
    </row>
    <row r="6" spans="2:18" ht="15.75" x14ac:dyDescent="0.25">
      <c r="B6" s="15"/>
      <c r="C6" s="15"/>
      <c r="D6" s="15"/>
      <c r="E6" s="15"/>
      <c r="F6" s="15"/>
      <c r="G6" s="15"/>
      <c r="H6" s="15"/>
      <c r="I6" s="15"/>
      <c r="J6" s="15"/>
      <c r="K6" s="15"/>
      <c r="L6" s="15"/>
      <c r="M6" s="15"/>
      <c r="N6" s="15"/>
      <c r="O6" s="15"/>
      <c r="P6" s="15"/>
      <c r="Q6" s="15"/>
    </row>
    <row r="7" spans="2:18" s="15" customFormat="1" ht="24.75" customHeight="1" x14ac:dyDescent="0.25">
      <c r="B7" s="495" t="s">
        <v>8</v>
      </c>
      <c r="C7" s="495"/>
      <c r="D7" s="495"/>
      <c r="E7" s="495" t="s">
        <v>288</v>
      </c>
      <c r="F7" s="495"/>
      <c r="G7" s="495"/>
      <c r="H7" s="496" t="s">
        <v>289</v>
      </c>
      <c r="I7" s="496"/>
      <c r="J7" s="496"/>
      <c r="K7" s="496"/>
      <c r="L7" s="496"/>
      <c r="M7" s="496"/>
      <c r="N7" s="495" t="s">
        <v>290</v>
      </c>
      <c r="O7" s="495"/>
      <c r="P7" s="495"/>
      <c r="Q7" s="1"/>
      <c r="R7" s="1"/>
    </row>
    <row r="8" spans="2:18" s="15" customFormat="1" ht="15.75" customHeight="1" x14ac:dyDescent="0.25">
      <c r="B8" s="495"/>
      <c r="C8" s="495"/>
      <c r="D8" s="495"/>
      <c r="E8" s="495"/>
      <c r="F8" s="495"/>
      <c r="G8" s="495"/>
      <c r="H8" s="496" t="s">
        <v>11</v>
      </c>
      <c r="I8" s="496"/>
      <c r="J8" s="496"/>
      <c r="K8" s="496" t="s">
        <v>291</v>
      </c>
      <c r="L8" s="496"/>
      <c r="M8" s="496"/>
      <c r="N8" s="495"/>
      <c r="O8" s="495"/>
      <c r="P8" s="495"/>
      <c r="Q8" s="1"/>
      <c r="R8" s="1"/>
    </row>
    <row r="9" spans="2:18" s="15" customFormat="1" ht="15.75" customHeight="1" x14ac:dyDescent="0.25">
      <c r="B9" s="495"/>
      <c r="C9" s="495"/>
      <c r="D9" s="495"/>
      <c r="E9" s="495"/>
      <c r="F9" s="495"/>
      <c r="G9" s="495"/>
      <c r="H9" s="496"/>
      <c r="I9" s="496"/>
      <c r="J9" s="496"/>
      <c r="K9" s="496"/>
      <c r="L9" s="496"/>
      <c r="M9" s="496"/>
      <c r="N9" s="495"/>
      <c r="O9" s="495"/>
      <c r="P9" s="495"/>
      <c r="Q9" s="1"/>
      <c r="R9" s="1"/>
    </row>
    <row r="10" spans="2:18" s="221" customFormat="1" ht="20.100000000000001" customHeight="1" x14ac:dyDescent="0.25">
      <c r="B10" s="314"/>
      <c r="C10" s="314"/>
      <c r="D10" s="314"/>
      <c r="E10" s="314"/>
      <c r="F10" s="314"/>
      <c r="G10" s="314"/>
      <c r="H10" s="315"/>
      <c r="I10" s="315"/>
      <c r="J10" s="315"/>
      <c r="K10" s="315"/>
      <c r="L10" s="315"/>
      <c r="M10" s="315"/>
      <c r="N10" s="315"/>
      <c r="O10" s="315"/>
      <c r="P10" s="315"/>
    </row>
    <row r="11" spans="2:18" s="221" customFormat="1" ht="20.100000000000001" customHeight="1" x14ac:dyDescent="0.25">
      <c r="B11" s="493"/>
      <c r="C11" s="493"/>
      <c r="D11" s="493"/>
      <c r="E11" s="493"/>
      <c r="F11" s="493"/>
      <c r="G11" s="493"/>
      <c r="H11" s="494"/>
      <c r="I11" s="494"/>
      <c r="J11" s="494"/>
      <c r="K11" s="494"/>
      <c r="L11" s="494"/>
      <c r="M11" s="494"/>
      <c r="N11" s="494"/>
      <c r="O11" s="494"/>
      <c r="P11" s="494"/>
    </row>
    <row r="12" spans="2:18" s="221" customFormat="1" ht="20.100000000000001" customHeight="1" x14ac:dyDescent="0.25">
      <c r="B12" s="314"/>
      <c r="C12" s="314"/>
      <c r="D12" s="314"/>
      <c r="E12" s="314"/>
      <c r="F12" s="314"/>
      <c r="G12" s="314"/>
      <c r="H12" s="315"/>
      <c r="I12" s="315"/>
      <c r="J12" s="315"/>
      <c r="K12" s="315"/>
      <c r="L12" s="315"/>
      <c r="M12" s="315"/>
      <c r="N12" s="315"/>
      <c r="O12" s="315"/>
      <c r="P12" s="315"/>
    </row>
    <row r="13" spans="2:18" s="221" customFormat="1" ht="20.100000000000001" customHeight="1" x14ac:dyDescent="0.25">
      <c r="B13" s="493"/>
      <c r="C13" s="493"/>
      <c r="D13" s="493"/>
      <c r="E13" s="493"/>
      <c r="F13" s="493"/>
      <c r="G13" s="493"/>
      <c r="H13" s="494"/>
      <c r="I13" s="494"/>
      <c r="J13" s="494"/>
      <c r="K13" s="494"/>
      <c r="L13" s="494"/>
      <c r="M13" s="494"/>
      <c r="N13" s="494"/>
      <c r="O13" s="494"/>
      <c r="P13" s="494"/>
    </row>
    <row r="14" spans="2:18" s="221" customFormat="1" ht="20.100000000000001" customHeight="1" x14ac:dyDescent="0.25">
      <c r="B14" s="314"/>
      <c r="C14" s="314"/>
      <c r="D14" s="314"/>
      <c r="E14" s="314"/>
      <c r="F14" s="314"/>
      <c r="G14" s="314"/>
      <c r="H14" s="315"/>
      <c r="I14" s="315"/>
      <c r="J14" s="315"/>
      <c r="K14" s="315"/>
      <c r="L14" s="315"/>
      <c r="M14" s="315"/>
      <c r="N14" s="315"/>
      <c r="O14" s="315"/>
      <c r="P14" s="315"/>
    </row>
    <row r="15" spans="2:18" s="221" customFormat="1" ht="20.100000000000001" customHeight="1" x14ac:dyDescent="0.25">
      <c r="B15" s="493"/>
      <c r="C15" s="493"/>
      <c r="D15" s="493"/>
      <c r="E15" s="493"/>
      <c r="F15" s="493"/>
      <c r="G15" s="493"/>
      <c r="H15" s="494"/>
      <c r="I15" s="494"/>
      <c r="J15" s="494"/>
      <c r="K15" s="494"/>
      <c r="L15" s="494"/>
      <c r="M15" s="494"/>
      <c r="N15" s="494"/>
      <c r="O15" s="494"/>
      <c r="P15" s="494"/>
    </row>
    <row r="16" spans="2:18" s="221" customFormat="1" ht="20.100000000000001" customHeight="1" x14ac:dyDescent="0.25">
      <c r="B16" s="314"/>
      <c r="C16" s="314"/>
      <c r="D16" s="314"/>
      <c r="E16" s="314"/>
      <c r="F16" s="314"/>
      <c r="G16" s="314"/>
      <c r="H16" s="315"/>
      <c r="I16" s="315"/>
      <c r="J16" s="315"/>
      <c r="K16" s="315"/>
      <c r="L16" s="315"/>
      <c r="M16" s="315"/>
      <c r="N16" s="315"/>
      <c r="O16" s="315"/>
      <c r="P16" s="315"/>
    </row>
    <row r="17" spans="2:16" s="221" customFormat="1" ht="20.100000000000001" customHeight="1" x14ac:dyDescent="0.25">
      <c r="B17" s="493"/>
      <c r="C17" s="493"/>
      <c r="D17" s="493"/>
      <c r="E17" s="493"/>
      <c r="F17" s="493"/>
      <c r="G17" s="493"/>
      <c r="H17" s="494"/>
      <c r="I17" s="494"/>
      <c r="J17" s="494"/>
      <c r="K17" s="494"/>
      <c r="L17" s="494"/>
      <c r="M17" s="494"/>
      <c r="N17" s="494"/>
      <c r="O17" s="494"/>
      <c r="P17" s="494"/>
    </row>
    <row r="18" spans="2:16" s="221" customFormat="1" ht="20.100000000000001" customHeight="1" x14ac:dyDescent="0.25">
      <c r="B18" s="314"/>
      <c r="C18" s="314"/>
      <c r="D18" s="314"/>
      <c r="E18" s="314"/>
      <c r="F18" s="314"/>
      <c r="G18" s="314"/>
      <c r="H18" s="315"/>
      <c r="I18" s="315"/>
      <c r="J18" s="315"/>
      <c r="K18" s="315"/>
      <c r="L18" s="315"/>
      <c r="M18" s="315"/>
      <c r="N18" s="315"/>
      <c r="O18" s="315"/>
      <c r="P18" s="315"/>
    </row>
    <row r="19" spans="2:16" s="221" customFormat="1" ht="20.100000000000001" customHeight="1" x14ac:dyDescent="0.25">
      <c r="B19" s="493"/>
      <c r="C19" s="493"/>
      <c r="D19" s="493"/>
      <c r="E19" s="493"/>
      <c r="F19" s="493"/>
      <c r="G19" s="493"/>
      <c r="H19" s="494"/>
      <c r="I19" s="494"/>
      <c r="J19" s="494"/>
      <c r="K19" s="494"/>
      <c r="L19" s="494"/>
      <c r="M19" s="494"/>
      <c r="N19" s="494"/>
      <c r="O19" s="494"/>
      <c r="P19" s="494"/>
    </row>
    <row r="20" spans="2:16" s="221" customFormat="1" ht="20.100000000000001" customHeight="1" x14ac:dyDescent="0.25">
      <c r="B20" s="314"/>
      <c r="C20" s="314"/>
      <c r="D20" s="314"/>
      <c r="E20" s="314"/>
      <c r="F20" s="314"/>
      <c r="G20" s="314"/>
      <c r="H20" s="315"/>
      <c r="I20" s="315"/>
      <c r="J20" s="315"/>
      <c r="K20" s="315"/>
      <c r="L20" s="315"/>
      <c r="M20" s="315"/>
      <c r="N20" s="315"/>
      <c r="O20" s="315"/>
      <c r="P20" s="315"/>
    </row>
    <row r="21" spans="2:16" s="221" customFormat="1" ht="20.100000000000001" customHeight="1" x14ac:dyDescent="0.25">
      <c r="B21" s="493"/>
      <c r="C21" s="493"/>
      <c r="D21" s="493"/>
      <c r="E21" s="493"/>
      <c r="F21" s="493"/>
      <c r="G21" s="493"/>
      <c r="H21" s="494"/>
      <c r="I21" s="494"/>
      <c r="J21" s="494"/>
      <c r="K21" s="494"/>
      <c r="L21" s="494"/>
      <c r="M21" s="494"/>
      <c r="N21" s="494"/>
      <c r="O21" s="494"/>
      <c r="P21" s="494"/>
    </row>
    <row r="22" spans="2:16" s="221" customFormat="1" ht="20.100000000000001" customHeight="1" x14ac:dyDescent="0.25">
      <c r="B22" s="314"/>
      <c r="C22" s="314"/>
      <c r="D22" s="314"/>
      <c r="E22" s="314"/>
      <c r="F22" s="314"/>
      <c r="G22" s="314"/>
      <c r="H22" s="315"/>
      <c r="I22" s="315"/>
      <c r="J22" s="315"/>
      <c r="K22" s="315"/>
      <c r="L22" s="315"/>
      <c r="M22" s="315"/>
      <c r="N22" s="315"/>
      <c r="O22" s="315"/>
      <c r="P22" s="315"/>
    </row>
    <row r="23" spans="2:16" s="221" customFormat="1" ht="20.100000000000001" customHeight="1" x14ac:dyDescent="0.25">
      <c r="B23" s="493"/>
      <c r="C23" s="493"/>
      <c r="D23" s="493"/>
      <c r="E23" s="493"/>
      <c r="F23" s="493"/>
      <c r="G23" s="493"/>
      <c r="H23" s="494"/>
      <c r="I23" s="494"/>
      <c r="J23" s="494"/>
      <c r="K23" s="494"/>
      <c r="L23" s="494"/>
      <c r="M23" s="494"/>
      <c r="N23" s="494"/>
      <c r="O23" s="494"/>
      <c r="P23" s="494"/>
    </row>
    <row r="24" spans="2:16" s="221" customFormat="1" ht="20.100000000000001" customHeight="1" x14ac:dyDescent="0.25">
      <c r="B24" s="314"/>
      <c r="C24" s="314"/>
      <c r="D24" s="314"/>
      <c r="E24" s="314"/>
      <c r="F24" s="314"/>
      <c r="G24" s="314"/>
      <c r="H24" s="315"/>
      <c r="I24" s="315"/>
      <c r="J24" s="315"/>
      <c r="K24" s="315"/>
      <c r="L24" s="315"/>
      <c r="M24" s="315"/>
      <c r="N24" s="315"/>
      <c r="O24" s="315"/>
      <c r="P24" s="315"/>
    </row>
    <row r="25" spans="2:16" s="221" customFormat="1" ht="20.100000000000001" customHeight="1" x14ac:dyDescent="0.25">
      <c r="B25" s="493"/>
      <c r="C25" s="493"/>
      <c r="D25" s="493"/>
      <c r="E25" s="493"/>
      <c r="F25" s="493"/>
      <c r="G25" s="493"/>
      <c r="H25" s="494"/>
      <c r="I25" s="494"/>
      <c r="J25" s="494"/>
      <c r="K25" s="494"/>
      <c r="L25" s="494"/>
      <c r="M25" s="494"/>
      <c r="N25" s="494"/>
      <c r="O25" s="494"/>
      <c r="P25" s="494"/>
    </row>
    <row r="26" spans="2:16" s="221" customFormat="1" ht="20.100000000000001" customHeight="1" x14ac:dyDescent="0.25">
      <c r="B26" s="314"/>
      <c r="C26" s="314"/>
      <c r="D26" s="314"/>
      <c r="E26" s="314"/>
      <c r="F26" s="314"/>
      <c r="G26" s="314"/>
      <c r="H26" s="315"/>
      <c r="I26" s="315"/>
      <c r="J26" s="315"/>
      <c r="K26" s="315"/>
      <c r="L26" s="315"/>
      <c r="M26" s="315"/>
      <c r="N26" s="315"/>
      <c r="O26" s="315"/>
      <c r="P26" s="315"/>
    </row>
    <row r="27" spans="2:16" s="221" customFormat="1" ht="20.100000000000001" customHeight="1" x14ac:dyDescent="0.25">
      <c r="B27" s="493"/>
      <c r="C27" s="493"/>
      <c r="D27" s="493"/>
      <c r="E27" s="493"/>
      <c r="F27" s="493"/>
      <c r="G27" s="493"/>
      <c r="H27" s="494"/>
      <c r="I27" s="494"/>
      <c r="J27" s="494"/>
      <c r="K27" s="494"/>
      <c r="L27" s="494"/>
      <c r="M27" s="494"/>
      <c r="N27" s="494"/>
      <c r="O27" s="494"/>
      <c r="P27" s="494"/>
    </row>
    <row r="28" spans="2:16" s="221" customFormat="1" ht="20.100000000000001" customHeight="1" x14ac:dyDescent="0.25">
      <c r="B28" s="314"/>
      <c r="C28" s="314"/>
      <c r="D28" s="314"/>
      <c r="E28" s="314"/>
      <c r="F28" s="314"/>
      <c r="G28" s="314"/>
      <c r="H28" s="315"/>
      <c r="I28" s="315"/>
      <c r="J28" s="315"/>
      <c r="K28" s="315"/>
      <c r="L28" s="315"/>
      <c r="M28" s="315"/>
      <c r="N28" s="315"/>
      <c r="O28" s="315"/>
      <c r="P28" s="315"/>
    </row>
    <row r="29" spans="2:16" s="221" customFormat="1" ht="20.100000000000001" customHeight="1" x14ac:dyDescent="0.25">
      <c r="B29" s="493"/>
      <c r="C29" s="493"/>
      <c r="D29" s="493"/>
      <c r="E29" s="493"/>
      <c r="F29" s="493"/>
      <c r="G29" s="493"/>
      <c r="H29" s="494"/>
      <c r="I29" s="494"/>
      <c r="J29" s="494"/>
      <c r="K29" s="494"/>
      <c r="L29" s="494"/>
      <c r="M29" s="494"/>
      <c r="N29" s="494"/>
      <c r="O29" s="494"/>
      <c r="P29" s="494"/>
    </row>
    <row r="30" spans="2:16" s="221" customFormat="1" ht="20.100000000000001" customHeight="1" x14ac:dyDescent="0.25">
      <c r="B30" s="314"/>
      <c r="C30" s="314"/>
      <c r="D30" s="314"/>
      <c r="E30" s="314"/>
      <c r="F30" s="314"/>
      <c r="G30" s="314"/>
      <c r="H30" s="315"/>
      <c r="I30" s="315"/>
      <c r="J30" s="315"/>
      <c r="K30" s="315"/>
      <c r="L30" s="315"/>
      <c r="M30" s="315"/>
      <c r="N30" s="315"/>
      <c r="O30" s="315"/>
      <c r="P30" s="315"/>
    </row>
    <row r="31" spans="2:16" s="221" customFormat="1" ht="20.100000000000001" customHeight="1" x14ac:dyDescent="0.25">
      <c r="B31" s="493"/>
      <c r="C31" s="493"/>
      <c r="D31" s="493"/>
      <c r="E31" s="493"/>
      <c r="F31" s="493"/>
      <c r="G31" s="493"/>
      <c r="H31" s="494"/>
      <c r="I31" s="494"/>
      <c r="J31" s="494"/>
      <c r="K31" s="494"/>
      <c r="L31" s="494"/>
      <c r="M31" s="494"/>
      <c r="N31" s="494"/>
      <c r="O31" s="494"/>
      <c r="P31" s="494"/>
    </row>
    <row r="32" spans="2:16" s="221" customFormat="1" ht="20.100000000000001" customHeight="1" x14ac:dyDescent="0.25">
      <c r="B32" s="314"/>
      <c r="C32" s="314"/>
      <c r="D32" s="314"/>
      <c r="E32" s="314"/>
      <c r="F32" s="314"/>
      <c r="G32" s="314"/>
      <c r="H32" s="315"/>
      <c r="I32" s="315"/>
      <c r="J32" s="315"/>
      <c r="K32" s="315"/>
      <c r="L32" s="315"/>
      <c r="M32" s="315"/>
      <c r="N32" s="315"/>
      <c r="O32" s="315"/>
      <c r="P32" s="315"/>
    </row>
    <row r="33" spans="2:16" s="221" customFormat="1" ht="20.100000000000001" customHeight="1" x14ac:dyDescent="0.25">
      <c r="B33" s="493"/>
      <c r="C33" s="493"/>
      <c r="D33" s="493"/>
      <c r="E33" s="493"/>
      <c r="F33" s="493"/>
      <c r="G33" s="493"/>
      <c r="H33" s="494"/>
      <c r="I33" s="494"/>
      <c r="J33" s="494"/>
      <c r="K33" s="494"/>
      <c r="L33" s="494"/>
      <c r="M33" s="494"/>
      <c r="N33" s="494"/>
      <c r="O33" s="494"/>
      <c r="P33" s="494"/>
    </row>
    <row r="34" spans="2:16" s="221" customFormat="1" ht="20.100000000000001" customHeight="1" x14ac:dyDescent="0.25">
      <c r="B34" s="314"/>
      <c r="C34" s="314"/>
      <c r="D34" s="314"/>
      <c r="E34" s="314"/>
      <c r="F34" s="314"/>
      <c r="G34" s="314"/>
      <c r="H34" s="315"/>
      <c r="I34" s="315"/>
      <c r="J34" s="315"/>
      <c r="K34" s="315"/>
      <c r="L34" s="315"/>
      <c r="M34" s="315"/>
      <c r="N34" s="315"/>
      <c r="O34" s="315"/>
      <c r="P34" s="315"/>
    </row>
    <row r="35" spans="2:16" s="221" customFormat="1" ht="20.100000000000001" customHeight="1" x14ac:dyDescent="0.25">
      <c r="B35" s="493"/>
      <c r="C35" s="493"/>
      <c r="D35" s="493"/>
      <c r="E35" s="493"/>
      <c r="F35" s="493"/>
      <c r="G35" s="493"/>
      <c r="H35" s="494"/>
      <c r="I35" s="494"/>
      <c r="J35" s="494"/>
      <c r="K35" s="494"/>
      <c r="L35" s="494"/>
      <c r="M35" s="494"/>
      <c r="N35" s="494"/>
      <c r="O35" s="494"/>
      <c r="P35" s="494"/>
    </row>
    <row r="36" spans="2:16" s="221" customFormat="1" ht="20.100000000000001" customHeight="1" x14ac:dyDescent="0.25">
      <c r="B36" s="314"/>
      <c r="C36" s="314"/>
      <c r="D36" s="314"/>
      <c r="E36" s="314"/>
      <c r="F36" s="314"/>
      <c r="G36" s="314"/>
      <c r="H36" s="315"/>
      <c r="I36" s="315"/>
      <c r="J36" s="315"/>
      <c r="K36" s="315"/>
      <c r="L36" s="315"/>
      <c r="M36" s="315"/>
      <c r="N36" s="315"/>
      <c r="O36" s="315"/>
      <c r="P36" s="315"/>
    </row>
    <row r="37" spans="2:16" s="221" customFormat="1" ht="20.100000000000001" customHeight="1" x14ac:dyDescent="0.25">
      <c r="B37" s="493"/>
      <c r="C37" s="493"/>
      <c r="D37" s="493"/>
      <c r="E37" s="493"/>
      <c r="F37" s="493"/>
      <c r="G37" s="493"/>
      <c r="H37" s="494"/>
      <c r="I37" s="494"/>
      <c r="J37" s="494"/>
      <c r="K37" s="494"/>
      <c r="L37" s="494"/>
      <c r="M37" s="494"/>
      <c r="N37" s="494"/>
      <c r="O37" s="494"/>
      <c r="P37" s="494"/>
    </row>
    <row r="38" spans="2:16" s="221" customFormat="1" ht="20.100000000000001" customHeight="1" x14ac:dyDescent="0.25">
      <c r="B38" s="314"/>
      <c r="C38" s="314"/>
      <c r="D38" s="314"/>
      <c r="E38" s="314"/>
      <c r="F38" s="314"/>
      <c r="G38" s="314"/>
      <c r="H38" s="315"/>
      <c r="I38" s="315"/>
      <c r="J38" s="315"/>
      <c r="K38" s="315"/>
      <c r="L38" s="315"/>
      <c r="M38" s="315"/>
      <c r="N38" s="315"/>
      <c r="O38" s="315"/>
      <c r="P38" s="315"/>
    </row>
    <row r="39" spans="2:16" s="221" customFormat="1" ht="20.100000000000001" customHeight="1" x14ac:dyDescent="0.25">
      <c r="B39" s="493"/>
      <c r="C39" s="493"/>
      <c r="D39" s="493"/>
      <c r="E39" s="493"/>
      <c r="F39" s="493"/>
      <c r="G39" s="493"/>
      <c r="H39" s="494"/>
      <c r="I39" s="494"/>
      <c r="J39" s="494"/>
      <c r="K39" s="494"/>
      <c r="L39" s="494"/>
      <c r="M39" s="494"/>
      <c r="N39" s="494"/>
      <c r="O39" s="494"/>
      <c r="P39" s="494"/>
    </row>
    <row r="40" spans="2:16" s="221" customFormat="1" ht="20.100000000000001" customHeight="1" x14ac:dyDescent="0.25">
      <c r="B40" s="314"/>
      <c r="C40" s="314"/>
      <c r="D40" s="314"/>
      <c r="E40" s="314"/>
      <c r="F40" s="314"/>
      <c r="G40" s="314"/>
      <c r="H40" s="315"/>
      <c r="I40" s="315"/>
      <c r="J40" s="315"/>
      <c r="K40" s="315"/>
      <c r="L40" s="315"/>
      <c r="M40" s="315"/>
      <c r="N40" s="315"/>
      <c r="O40" s="315"/>
      <c r="P40" s="315"/>
    </row>
    <row r="41" spans="2:16" s="221" customFormat="1" ht="20.100000000000001" customHeight="1" x14ac:dyDescent="0.25">
      <c r="B41" s="493"/>
      <c r="C41" s="493"/>
      <c r="D41" s="493"/>
      <c r="E41" s="493"/>
      <c r="F41" s="493"/>
      <c r="G41" s="493"/>
      <c r="H41" s="494"/>
      <c r="I41" s="494"/>
      <c r="J41" s="494"/>
      <c r="K41" s="494"/>
      <c r="L41" s="494"/>
      <c r="M41" s="494"/>
      <c r="N41" s="494"/>
      <c r="O41" s="494"/>
      <c r="P41" s="494"/>
    </row>
    <row r="42" spans="2:16" s="221" customFormat="1" ht="20.100000000000001" customHeight="1" x14ac:dyDescent="0.25">
      <c r="B42" s="314"/>
      <c r="C42" s="314"/>
      <c r="D42" s="314"/>
      <c r="E42" s="314"/>
      <c r="F42" s="314"/>
      <c r="G42" s="314"/>
      <c r="H42" s="315"/>
      <c r="I42" s="315"/>
      <c r="J42" s="315"/>
      <c r="K42" s="315"/>
      <c r="L42" s="315"/>
      <c r="M42" s="315"/>
      <c r="N42" s="315"/>
      <c r="O42" s="315"/>
      <c r="P42" s="315"/>
    </row>
    <row r="43" spans="2:16" s="221" customFormat="1" ht="20.100000000000001" customHeight="1" x14ac:dyDescent="0.25">
      <c r="B43" s="493"/>
      <c r="C43" s="493"/>
      <c r="D43" s="493"/>
      <c r="E43" s="493"/>
      <c r="F43" s="493"/>
      <c r="G43" s="493"/>
      <c r="H43" s="494"/>
      <c r="I43" s="494"/>
      <c r="J43" s="494"/>
      <c r="K43" s="494"/>
      <c r="L43" s="494"/>
      <c r="M43" s="494"/>
      <c r="N43" s="494"/>
      <c r="O43" s="494"/>
      <c r="P43" s="494"/>
    </row>
    <row r="44" spans="2:16" s="221" customFormat="1" ht="20.100000000000001" customHeight="1" x14ac:dyDescent="0.25">
      <c r="B44" s="314"/>
      <c r="C44" s="314"/>
      <c r="D44" s="314"/>
      <c r="E44" s="314"/>
      <c r="F44" s="314"/>
      <c r="G44" s="314"/>
      <c r="H44" s="315"/>
      <c r="I44" s="315"/>
      <c r="J44" s="315"/>
      <c r="K44" s="315"/>
      <c r="L44" s="315"/>
      <c r="M44" s="315"/>
      <c r="N44" s="315"/>
      <c r="O44" s="315"/>
      <c r="P44" s="315"/>
    </row>
    <row r="45" spans="2:16" s="221" customFormat="1" ht="20.100000000000001" customHeight="1" x14ac:dyDescent="0.25">
      <c r="B45" s="493"/>
      <c r="C45" s="493"/>
      <c r="D45" s="493"/>
      <c r="E45" s="493"/>
      <c r="F45" s="493"/>
      <c r="G45" s="493"/>
      <c r="H45" s="494"/>
      <c r="I45" s="494"/>
      <c r="J45" s="494"/>
      <c r="K45" s="494"/>
      <c r="L45" s="494"/>
      <c r="M45" s="494"/>
      <c r="N45" s="494"/>
      <c r="O45" s="494"/>
      <c r="P45" s="494"/>
    </row>
    <row r="46" spans="2:16" s="221" customFormat="1" ht="20.100000000000001" customHeight="1" x14ac:dyDescent="0.25">
      <c r="B46" s="314"/>
      <c r="C46" s="314"/>
      <c r="D46" s="314"/>
      <c r="E46" s="314"/>
      <c r="F46" s="314"/>
      <c r="G46" s="314"/>
      <c r="H46" s="315"/>
      <c r="I46" s="315"/>
      <c r="J46" s="315"/>
      <c r="K46" s="315"/>
      <c r="L46" s="315"/>
      <c r="M46" s="315"/>
      <c r="N46" s="315"/>
      <c r="O46" s="315"/>
      <c r="P46" s="315"/>
    </row>
    <row r="47" spans="2:16" s="221" customFormat="1" ht="20.100000000000001" customHeight="1" x14ac:dyDescent="0.25">
      <c r="B47" s="493"/>
      <c r="C47" s="493"/>
      <c r="D47" s="493"/>
      <c r="E47" s="493"/>
      <c r="F47" s="493"/>
      <c r="G47" s="493"/>
      <c r="H47" s="494"/>
      <c r="I47" s="494"/>
      <c r="J47" s="494"/>
      <c r="K47" s="494"/>
      <c r="L47" s="494"/>
      <c r="M47" s="494"/>
      <c r="N47" s="494"/>
      <c r="O47" s="494"/>
      <c r="P47" s="494"/>
    </row>
    <row r="48" spans="2:16" s="221" customFormat="1" ht="20.100000000000001" customHeight="1" x14ac:dyDescent="0.25">
      <c r="B48" s="314"/>
      <c r="C48" s="314"/>
      <c r="D48" s="314"/>
      <c r="E48" s="314"/>
      <c r="F48" s="314"/>
      <c r="G48" s="314"/>
      <c r="H48" s="315"/>
      <c r="I48" s="315"/>
      <c r="J48" s="315"/>
      <c r="K48" s="315"/>
      <c r="L48" s="315"/>
      <c r="M48" s="315"/>
      <c r="N48" s="315"/>
      <c r="O48" s="315"/>
      <c r="P48" s="315"/>
    </row>
    <row r="49" spans="2:16" s="221" customFormat="1" ht="20.100000000000001" customHeight="1" x14ac:dyDescent="0.25">
      <c r="B49" s="493"/>
      <c r="C49" s="493"/>
      <c r="D49" s="493"/>
      <c r="E49" s="493"/>
      <c r="F49" s="493"/>
      <c r="G49" s="493"/>
      <c r="H49" s="494"/>
      <c r="I49" s="494"/>
      <c r="J49" s="494"/>
      <c r="K49" s="494"/>
      <c r="L49" s="494"/>
      <c r="M49" s="494"/>
      <c r="N49" s="494"/>
      <c r="O49" s="494"/>
      <c r="P49" s="494"/>
    </row>
    <row r="50" spans="2:16" s="221" customFormat="1" ht="20.100000000000001" customHeight="1" x14ac:dyDescent="0.25">
      <c r="B50" s="314"/>
      <c r="C50" s="314"/>
      <c r="D50" s="314"/>
      <c r="E50" s="314"/>
      <c r="F50" s="314"/>
      <c r="G50" s="314"/>
      <c r="H50" s="315"/>
      <c r="I50" s="315"/>
      <c r="J50" s="315"/>
      <c r="K50" s="315"/>
      <c r="L50" s="315"/>
      <c r="M50" s="315"/>
      <c r="N50" s="315"/>
      <c r="O50" s="315"/>
      <c r="P50" s="315"/>
    </row>
    <row r="51" spans="2:16" s="221" customFormat="1" ht="20.100000000000001" customHeight="1" x14ac:dyDescent="0.25">
      <c r="B51" s="493"/>
      <c r="C51" s="493"/>
      <c r="D51" s="493"/>
      <c r="E51" s="493"/>
      <c r="F51" s="493"/>
      <c r="G51" s="493"/>
      <c r="H51" s="494"/>
      <c r="I51" s="494"/>
      <c r="J51" s="494"/>
      <c r="K51" s="494"/>
      <c r="L51" s="494"/>
      <c r="M51" s="494"/>
      <c r="N51" s="494"/>
      <c r="O51" s="494"/>
      <c r="P51" s="494"/>
    </row>
    <row r="52" spans="2:16" s="221" customFormat="1" ht="20.100000000000001" customHeight="1" x14ac:dyDescent="0.25">
      <c r="B52" s="314"/>
      <c r="C52" s="314"/>
      <c r="D52" s="314"/>
      <c r="E52" s="314"/>
      <c r="F52" s="314"/>
      <c r="G52" s="314"/>
      <c r="H52" s="315"/>
      <c r="I52" s="315"/>
      <c r="J52" s="315"/>
      <c r="K52" s="315"/>
      <c r="L52" s="315"/>
      <c r="M52" s="315"/>
      <c r="N52" s="315"/>
      <c r="O52" s="315"/>
      <c r="P52" s="315"/>
    </row>
    <row r="53" spans="2:16" s="221" customFormat="1" ht="20.100000000000001" customHeight="1" x14ac:dyDescent="0.25">
      <c r="B53" s="493"/>
      <c r="C53" s="493"/>
      <c r="D53" s="493"/>
      <c r="E53" s="493"/>
      <c r="F53" s="493"/>
      <c r="G53" s="493"/>
      <c r="H53" s="494"/>
      <c r="I53" s="494"/>
      <c r="J53" s="494"/>
      <c r="K53" s="494"/>
      <c r="L53" s="494"/>
      <c r="M53" s="494"/>
      <c r="N53" s="494"/>
      <c r="O53" s="494"/>
      <c r="P53" s="494"/>
    </row>
    <row r="54" spans="2:16" s="221" customFormat="1" ht="20.100000000000001" customHeight="1" x14ac:dyDescent="0.25">
      <c r="B54" s="314"/>
      <c r="C54" s="314"/>
      <c r="D54" s="314"/>
      <c r="E54" s="314"/>
      <c r="F54" s="314"/>
      <c r="G54" s="314"/>
      <c r="H54" s="315"/>
      <c r="I54" s="315"/>
      <c r="J54" s="315"/>
      <c r="K54" s="315"/>
      <c r="L54" s="315"/>
      <c r="M54" s="315"/>
      <c r="N54" s="315"/>
      <c r="O54" s="315"/>
      <c r="P54" s="315"/>
    </row>
    <row r="55" spans="2:16" s="221" customFormat="1" ht="20.100000000000001" customHeight="1" x14ac:dyDescent="0.25">
      <c r="B55" s="493"/>
      <c r="C55" s="493"/>
      <c r="D55" s="493"/>
      <c r="E55" s="493"/>
      <c r="F55" s="493"/>
      <c r="G55" s="493"/>
      <c r="H55" s="494"/>
      <c r="I55" s="494"/>
      <c r="J55" s="494"/>
      <c r="K55" s="494"/>
      <c r="L55" s="494"/>
      <c r="M55" s="494"/>
      <c r="N55" s="494"/>
      <c r="O55" s="494"/>
      <c r="P55" s="494"/>
    </row>
    <row r="56" spans="2:16" s="221" customFormat="1" ht="20.100000000000001" customHeight="1" x14ac:dyDescent="0.25">
      <c r="B56" s="314"/>
      <c r="C56" s="314"/>
      <c r="D56" s="314"/>
      <c r="E56" s="314"/>
      <c r="F56" s="314"/>
      <c r="G56" s="314"/>
      <c r="H56" s="315"/>
      <c r="I56" s="315"/>
      <c r="J56" s="315"/>
      <c r="K56" s="315"/>
      <c r="L56" s="315"/>
      <c r="M56" s="315"/>
      <c r="N56" s="315"/>
      <c r="O56" s="315"/>
      <c r="P56" s="315"/>
    </row>
    <row r="57" spans="2:16" s="221" customFormat="1" ht="20.100000000000001" customHeight="1" x14ac:dyDescent="0.25">
      <c r="B57" s="493"/>
      <c r="C57" s="493"/>
      <c r="D57" s="493"/>
      <c r="E57" s="493"/>
      <c r="F57" s="493"/>
      <c r="G57" s="493"/>
      <c r="H57" s="494"/>
      <c r="I57" s="494"/>
      <c r="J57" s="494"/>
      <c r="K57" s="494"/>
      <c r="L57" s="494"/>
      <c r="M57" s="494"/>
      <c r="N57" s="494"/>
      <c r="O57" s="494"/>
      <c r="P57" s="494"/>
    </row>
    <row r="58" spans="2:16" s="221" customFormat="1" ht="20.100000000000001" customHeight="1" x14ac:dyDescent="0.25">
      <c r="B58" s="314"/>
      <c r="C58" s="314"/>
      <c r="D58" s="314"/>
      <c r="E58" s="314"/>
      <c r="F58" s="314"/>
      <c r="G58" s="314"/>
      <c r="H58" s="315"/>
      <c r="I58" s="315"/>
      <c r="J58" s="315"/>
      <c r="K58" s="315"/>
      <c r="L58" s="315"/>
      <c r="M58" s="315"/>
      <c r="N58" s="315"/>
      <c r="O58" s="315"/>
      <c r="P58" s="315"/>
    </row>
    <row r="59" spans="2:16" s="221" customFormat="1" ht="20.100000000000001" customHeight="1" x14ac:dyDescent="0.25">
      <c r="B59" s="493"/>
      <c r="C59" s="493"/>
      <c r="D59" s="493"/>
      <c r="E59" s="493"/>
      <c r="F59" s="493"/>
      <c r="G59" s="493"/>
      <c r="H59" s="494"/>
      <c r="I59" s="494"/>
      <c r="J59" s="494"/>
      <c r="K59" s="494"/>
      <c r="L59" s="494"/>
      <c r="M59" s="494"/>
      <c r="N59" s="494"/>
      <c r="O59" s="494"/>
      <c r="P59" s="494"/>
    </row>
    <row r="60" spans="2:16" s="221" customFormat="1" ht="20.100000000000001" customHeight="1" x14ac:dyDescent="0.25">
      <c r="B60" s="314"/>
      <c r="C60" s="314"/>
      <c r="D60" s="314"/>
      <c r="E60" s="314"/>
      <c r="F60" s="314"/>
      <c r="G60" s="314"/>
      <c r="H60" s="315"/>
      <c r="I60" s="315"/>
      <c r="J60" s="315"/>
      <c r="K60" s="315"/>
      <c r="L60" s="315"/>
      <c r="M60" s="315"/>
      <c r="N60" s="315"/>
      <c r="O60" s="315"/>
      <c r="P60" s="315"/>
    </row>
    <row r="61" spans="2:16" s="221" customFormat="1" ht="20.100000000000001" customHeight="1" x14ac:dyDescent="0.25">
      <c r="B61" s="493"/>
      <c r="C61" s="493"/>
      <c r="D61" s="493"/>
      <c r="E61" s="493"/>
      <c r="F61" s="493"/>
      <c r="G61" s="493"/>
      <c r="H61" s="494"/>
      <c r="I61" s="494"/>
      <c r="J61" s="494"/>
      <c r="K61" s="494"/>
      <c r="L61" s="494"/>
      <c r="M61" s="494"/>
      <c r="N61" s="494"/>
      <c r="O61" s="494"/>
      <c r="P61" s="494"/>
    </row>
    <row r="62" spans="2:16" s="221" customFormat="1" ht="20.100000000000001" customHeight="1" x14ac:dyDescent="0.25">
      <c r="B62" s="314"/>
      <c r="C62" s="314"/>
      <c r="D62" s="314"/>
      <c r="E62" s="314"/>
      <c r="F62" s="314"/>
      <c r="G62" s="314"/>
      <c r="H62" s="315"/>
      <c r="I62" s="315"/>
      <c r="J62" s="315"/>
      <c r="K62" s="315"/>
      <c r="L62" s="315"/>
      <c r="M62" s="315"/>
      <c r="N62" s="315"/>
      <c r="O62" s="315"/>
      <c r="P62" s="315"/>
    </row>
    <row r="63" spans="2:16" s="221" customFormat="1" ht="20.100000000000001" customHeight="1" x14ac:dyDescent="0.25">
      <c r="B63" s="493"/>
      <c r="C63" s="493"/>
      <c r="D63" s="493"/>
      <c r="E63" s="493"/>
      <c r="F63" s="493"/>
      <c r="G63" s="493"/>
      <c r="H63" s="494"/>
      <c r="I63" s="494"/>
      <c r="J63" s="494"/>
      <c r="K63" s="494"/>
      <c r="L63" s="494"/>
      <c r="M63" s="494"/>
      <c r="N63" s="494"/>
      <c r="O63" s="494"/>
      <c r="P63" s="494"/>
    </row>
    <row r="64" spans="2:16" s="221" customFormat="1" ht="20.100000000000001" customHeight="1" x14ac:dyDescent="0.25">
      <c r="B64" s="314"/>
      <c r="C64" s="314"/>
      <c r="D64" s="314"/>
      <c r="E64" s="314"/>
      <c r="F64" s="314"/>
      <c r="G64" s="314"/>
      <c r="H64" s="315"/>
      <c r="I64" s="315"/>
      <c r="J64" s="315"/>
      <c r="K64" s="315"/>
      <c r="L64" s="315"/>
      <c r="M64" s="315"/>
      <c r="N64" s="315"/>
      <c r="O64" s="315"/>
      <c r="P64" s="315"/>
    </row>
    <row r="65" spans="2:16" s="221" customFormat="1" ht="20.100000000000001" customHeight="1" x14ac:dyDescent="0.25">
      <c r="B65" s="493"/>
      <c r="C65" s="493"/>
      <c r="D65" s="493"/>
      <c r="E65" s="493"/>
      <c r="F65" s="493"/>
      <c r="G65" s="493"/>
      <c r="H65" s="494"/>
      <c r="I65" s="494"/>
      <c r="J65" s="494"/>
      <c r="K65" s="494"/>
      <c r="L65" s="494"/>
      <c r="M65" s="494"/>
      <c r="N65" s="494"/>
      <c r="O65" s="494"/>
      <c r="P65" s="494"/>
    </row>
    <row r="66" spans="2:16" s="221" customFormat="1" ht="20.100000000000001" customHeight="1" x14ac:dyDescent="0.25">
      <c r="B66" s="314"/>
      <c r="C66" s="314"/>
      <c r="D66" s="314"/>
      <c r="E66" s="314"/>
      <c r="F66" s="314"/>
      <c r="G66" s="314"/>
      <c r="H66" s="315"/>
      <c r="I66" s="315"/>
      <c r="J66" s="315"/>
      <c r="K66" s="315"/>
      <c r="L66" s="315"/>
      <c r="M66" s="315"/>
      <c r="N66" s="315"/>
      <c r="O66" s="315"/>
      <c r="P66" s="315"/>
    </row>
    <row r="67" spans="2:16" s="221" customFormat="1" ht="20.100000000000001" customHeight="1" x14ac:dyDescent="0.25">
      <c r="B67" s="493"/>
      <c r="C67" s="493"/>
      <c r="D67" s="493"/>
      <c r="E67" s="493"/>
      <c r="F67" s="493"/>
      <c r="G67" s="493"/>
      <c r="H67" s="494"/>
      <c r="I67" s="494"/>
      <c r="J67" s="494"/>
      <c r="K67" s="494"/>
      <c r="L67" s="494"/>
      <c r="M67" s="494"/>
      <c r="N67" s="494"/>
      <c r="O67" s="494"/>
      <c r="P67" s="494"/>
    </row>
    <row r="68" spans="2:16" s="221" customFormat="1" ht="20.100000000000001" customHeight="1" x14ac:dyDescent="0.25">
      <c r="B68" s="314"/>
      <c r="C68" s="314"/>
      <c r="D68" s="314"/>
      <c r="E68" s="314"/>
      <c r="F68" s="314"/>
      <c r="G68" s="314"/>
      <c r="H68" s="315"/>
      <c r="I68" s="315"/>
      <c r="J68" s="315"/>
      <c r="K68" s="315"/>
      <c r="L68" s="315"/>
      <c r="M68" s="315"/>
      <c r="N68" s="315"/>
      <c r="O68" s="315"/>
      <c r="P68" s="315"/>
    </row>
    <row r="69" spans="2:16" s="221" customFormat="1" ht="20.100000000000001" customHeight="1" x14ac:dyDescent="0.25">
      <c r="B69" s="493"/>
      <c r="C69" s="493"/>
      <c r="D69" s="493"/>
      <c r="E69" s="493"/>
      <c r="F69" s="493"/>
      <c r="G69" s="493"/>
      <c r="H69" s="494"/>
      <c r="I69" s="494"/>
      <c r="J69" s="494"/>
      <c r="K69" s="494"/>
      <c r="L69" s="494"/>
      <c r="M69" s="494"/>
      <c r="N69" s="494"/>
      <c r="O69" s="494"/>
      <c r="P69" s="494"/>
    </row>
    <row r="70" spans="2:16" s="221" customFormat="1" ht="20.100000000000001" customHeight="1" x14ac:dyDescent="0.25">
      <c r="B70" s="314"/>
      <c r="C70" s="314"/>
      <c r="D70" s="314"/>
      <c r="E70" s="314"/>
      <c r="F70" s="314"/>
      <c r="G70" s="314"/>
      <c r="H70" s="315"/>
      <c r="I70" s="315"/>
      <c r="J70" s="315"/>
      <c r="K70" s="315"/>
      <c r="L70" s="315"/>
      <c r="M70" s="315"/>
      <c r="N70" s="315"/>
      <c r="O70" s="315"/>
      <c r="P70" s="315"/>
    </row>
    <row r="71" spans="2:16" s="221" customFormat="1" ht="20.100000000000001" customHeight="1" x14ac:dyDescent="0.25">
      <c r="B71" s="493"/>
      <c r="C71" s="493"/>
      <c r="D71" s="493"/>
      <c r="E71" s="493"/>
      <c r="F71" s="493"/>
      <c r="G71" s="493"/>
      <c r="H71" s="494"/>
      <c r="I71" s="494"/>
      <c r="J71" s="494"/>
      <c r="K71" s="494"/>
      <c r="L71" s="494"/>
      <c r="M71" s="494"/>
      <c r="N71" s="494"/>
      <c r="O71" s="494"/>
      <c r="P71" s="494"/>
    </row>
    <row r="72" spans="2:16" s="221" customFormat="1" ht="20.100000000000001" customHeight="1" x14ac:dyDescent="0.25">
      <c r="B72" s="314"/>
      <c r="C72" s="314"/>
      <c r="D72" s="314"/>
      <c r="E72" s="314"/>
      <c r="F72" s="314"/>
      <c r="G72" s="314"/>
      <c r="H72" s="315"/>
      <c r="I72" s="315"/>
      <c r="J72" s="315"/>
      <c r="K72" s="315"/>
      <c r="L72" s="315"/>
      <c r="M72" s="315"/>
      <c r="N72" s="315"/>
      <c r="O72" s="315"/>
      <c r="P72" s="315"/>
    </row>
    <row r="73" spans="2:16" s="221" customFormat="1" ht="20.100000000000001" customHeight="1" x14ac:dyDescent="0.25">
      <c r="B73" s="493"/>
      <c r="C73" s="493"/>
      <c r="D73" s="493"/>
      <c r="E73" s="493"/>
      <c r="F73" s="493"/>
      <c r="G73" s="493"/>
      <c r="H73" s="494"/>
      <c r="I73" s="494"/>
      <c r="J73" s="494"/>
      <c r="K73" s="494"/>
      <c r="L73" s="494"/>
      <c r="M73" s="494"/>
      <c r="N73" s="494"/>
      <c r="O73" s="494"/>
      <c r="P73" s="494"/>
    </row>
    <row r="74" spans="2:16" s="221" customFormat="1" ht="20.100000000000001" customHeight="1" x14ac:dyDescent="0.25">
      <c r="B74" s="314"/>
      <c r="C74" s="314"/>
      <c r="D74" s="314"/>
      <c r="E74" s="314"/>
      <c r="F74" s="314"/>
      <c r="G74" s="314"/>
      <c r="H74" s="315"/>
      <c r="I74" s="315"/>
      <c r="J74" s="315"/>
      <c r="K74" s="315"/>
      <c r="L74" s="315"/>
      <c r="M74" s="315"/>
      <c r="N74" s="315"/>
      <c r="O74" s="315"/>
      <c r="P74" s="315"/>
    </row>
    <row r="75" spans="2:16" s="221" customFormat="1" ht="20.100000000000001" customHeight="1" x14ac:dyDescent="0.25">
      <c r="B75" s="493"/>
      <c r="C75" s="493"/>
      <c r="D75" s="493"/>
      <c r="E75" s="493"/>
      <c r="F75" s="493"/>
      <c r="G75" s="493"/>
      <c r="H75" s="494"/>
      <c r="I75" s="494"/>
      <c r="J75" s="494"/>
      <c r="K75" s="494"/>
      <c r="L75" s="494"/>
      <c r="M75" s="494"/>
      <c r="N75" s="494"/>
      <c r="O75" s="494"/>
      <c r="P75" s="494"/>
    </row>
    <row r="76" spans="2:16" s="221" customFormat="1" ht="20.100000000000001" customHeight="1" x14ac:dyDescent="0.25">
      <c r="B76" s="314"/>
      <c r="C76" s="314"/>
      <c r="D76" s="314"/>
      <c r="E76" s="314"/>
      <c r="F76" s="314"/>
      <c r="G76" s="314"/>
      <c r="H76" s="315"/>
      <c r="I76" s="315"/>
      <c r="J76" s="315"/>
      <c r="K76" s="315"/>
      <c r="L76" s="315"/>
      <c r="M76" s="315"/>
      <c r="N76" s="315"/>
      <c r="O76" s="315"/>
      <c r="P76" s="315"/>
    </row>
    <row r="77" spans="2:16" s="221" customFormat="1" ht="20.100000000000001" customHeight="1" x14ac:dyDescent="0.25">
      <c r="B77" s="493"/>
      <c r="C77" s="493"/>
      <c r="D77" s="493"/>
      <c r="E77" s="493"/>
      <c r="F77" s="493"/>
      <c r="G77" s="493"/>
      <c r="H77" s="494"/>
      <c r="I77" s="494"/>
      <c r="J77" s="494"/>
      <c r="K77" s="494"/>
      <c r="L77" s="494"/>
      <c r="M77" s="494"/>
      <c r="N77" s="494"/>
      <c r="O77" s="494"/>
      <c r="P77" s="494"/>
    </row>
    <row r="78" spans="2:16" s="221" customFormat="1" ht="20.100000000000001" customHeight="1" x14ac:dyDescent="0.25">
      <c r="B78" s="314"/>
      <c r="C78" s="314"/>
      <c r="D78" s="314"/>
      <c r="E78" s="314"/>
      <c r="F78" s="314"/>
      <c r="G78" s="314"/>
      <c r="H78" s="315"/>
      <c r="I78" s="315"/>
      <c r="J78" s="315"/>
      <c r="K78" s="315"/>
      <c r="L78" s="315"/>
      <c r="M78" s="315"/>
      <c r="N78" s="315"/>
      <c r="O78" s="315"/>
      <c r="P78" s="315"/>
    </row>
    <row r="79" spans="2:16" s="221" customFormat="1" ht="20.100000000000001" customHeight="1" x14ac:dyDescent="0.25">
      <c r="B79" s="493"/>
      <c r="C79" s="493"/>
      <c r="D79" s="493"/>
      <c r="E79" s="493"/>
      <c r="F79" s="493"/>
      <c r="G79" s="493"/>
      <c r="H79" s="494"/>
      <c r="I79" s="494"/>
      <c r="J79" s="494"/>
      <c r="K79" s="494"/>
      <c r="L79" s="494"/>
      <c r="M79" s="494"/>
      <c r="N79" s="494"/>
      <c r="O79" s="494"/>
      <c r="P79" s="494"/>
    </row>
    <row r="80" spans="2:16" s="221" customFormat="1" ht="20.100000000000001" customHeight="1" x14ac:dyDescent="0.25">
      <c r="B80" s="314"/>
      <c r="C80" s="314"/>
      <c r="D80" s="314"/>
      <c r="E80" s="314"/>
      <c r="F80" s="314"/>
      <c r="G80" s="314"/>
      <c r="H80" s="315"/>
      <c r="I80" s="315"/>
      <c r="J80" s="315"/>
      <c r="K80" s="315"/>
      <c r="L80" s="315"/>
      <c r="M80" s="315"/>
      <c r="N80" s="315"/>
      <c r="O80" s="315"/>
      <c r="P80" s="315"/>
    </row>
    <row r="81" spans="2:16" s="221" customFormat="1" ht="20.100000000000001" customHeight="1" x14ac:dyDescent="0.25">
      <c r="B81" s="493"/>
      <c r="C81" s="493"/>
      <c r="D81" s="493"/>
      <c r="E81" s="493"/>
      <c r="F81" s="493"/>
      <c r="G81" s="493"/>
      <c r="H81" s="494"/>
      <c r="I81" s="494"/>
      <c r="J81" s="494"/>
      <c r="K81" s="494"/>
      <c r="L81" s="494"/>
      <c r="M81" s="494"/>
      <c r="N81" s="494"/>
      <c r="O81" s="494"/>
      <c r="P81" s="494"/>
    </row>
    <row r="82" spans="2:16" s="221" customFormat="1" ht="20.100000000000001" customHeight="1" x14ac:dyDescent="0.25">
      <c r="B82" s="314"/>
      <c r="C82" s="314"/>
      <c r="D82" s="314"/>
      <c r="E82" s="314"/>
      <c r="F82" s="314"/>
      <c r="G82" s="314"/>
      <c r="H82" s="315"/>
      <c r="I82" s="315"/>
      <c r="J82" s="315"/>
      <c r="K82" s="315"/>
      <c r="L82" s="315"/>
      <c r="M82" s="315"/>
      <c r="N82" s="315"/>
      <c r="O82" s="315"/>
      <c r="P82" s="315"/>
    </row>
    <row r="83" spans="2:16" s="221" customFormat="1" ht="20.100000000000001" customHeight="1" x14ac:dyDescent="0.25">
      <c r="B83" s="493"/>
      <c r="C83" s="493"/>
      <c r="D83" s="493"/>
      <c r="E83" s="493"/>
      <c r="F83" s="493"/>
      <c r="G83" s="493"/>
      <c r="H83" s="494"/>
      <c r="I83" s="494"/>
      <c r="J83" s="494"/>
      <c r="K83" s="494"/>
      <c r="L83" s="494"/>
      <c r="M83" s="494"/>
      <c r="N83" s="494"/>
      <c r="O83" s="494"/>
      <c r="P83" s="494"/>
    </row>
    <row r="84" spans="2:16" s="221" customFormat="1" ht="20.100000000000001" customHeight="1" x14ac:dyDescent="0.25">
      <c r="B84" s="314"/>
      <c r="C84" s="314"/>
      <c r="D84" s="314"/>
      <c r="E84" s="314"/>
      <c r="F84" s="314"/>
      <c r="G84" s="314"/>
      <c r="H84" s="315"/>
      <c r="I84" s="315"/>
      <c r="J84" s="315"/>
      <c r="K84" s="315"/>
      <c r="L84" s="315"/>
      <c r="M84" s="315"/>
      <c r="N84" s="315"/>
      <c r="O84" s="315"/>
      <c r="P84" s="315"/>
    </row>
    <row r="85" spans="2:16" s="221" customFormat="1" ht="20.100000000000001" customHeight="1" x14ac:dyDescent="0.25">
      <c r="B85" s="493"/>
      <c r="C85" s="493"/>
      <c r="D85" s="493"/>
      <c r="E85" s="493"/>
      <c r="F85" s="493"/>
      <c r="G85" s="493"/>
      <c r="H85" s="494"/>
      <c r="I85" s="494"/>
      <c r="J85" s="494"/>
      <c r="K85" s="494"/>
      <c r="L85" s="494"/>
      <c r="M85" s="494"/>
      <c r="N85" s="494"/>
      <c r="O85" s="494"/>
      <c r="P85" s="494"/>
    </row>
    <row r="86" spans="2:16" s="221" customFormat="1" ht="20.100000000000001" customHeight="1" x14ac:dyDescent="0.25">
      <c r="B86" s="314"/>
      <c r="C86" s="314"/>
      <c r="D86" s="314"/>
      <c r="E86" s="314"/>
      <c r="F86" s="314"/>
      <c r="G86" s="314"/>
      <c r="H86" s="315"/>
      <c r="I86" s="315"/>
      <c r="J86" s="315"/>
      <c r="K86" s="315"/>
      <c r="L86" s="315"/>
      <c r="M86" s="315"/>
      <c r="N86" s="315"/>
      <c r="O86" s="315"/>
      <c r="P86" s="315"/>
    </row>
    <row r="87" spans="2:16" s="221" customFormat="1" ht="20.100000000000001" customHeight="1" x14ac:dyDescent="0.25">
      <c r="B87" s="493"/>
      <c r="C87" s="493"/>
      <c r="D87" s="493"/>
      <c r="E87" s="493"/>
      <c r="F87" s="493"/>
      <c r="G87" s="493"/>
      <c r="H87" s="494"/>
      <c r="I87" s="494"/>
      <c r="J87" s="494"/>
      <c r="K87" s="494"/>
      <c r="L87" s="494"/>
      <c r="M87" s="494"/>
      <c r="N87" s="494"/>
      <c r="O87" s="494"/>
      <c r="P87" s="494"/>
    </row>
    <row r="88" spans="2:16" s="221" customFormat="1" ht="20.100000000000001" customHeight="1" x14ac:dyDescent="0.25">
      <c r="B88" s="314"/>
      <c r="C88" s="314"/>
      <c r="D88" s="314"/>
      <c r="E88" s="314"/>
      <c r="F88" s="314"/>
      <c r="G88" s="314"/>
      <c r="H88" s="315"/>
      <c r="I88" s="315"/>
      <c r="J88" s="315"/>
      <c r="K88" s="315"/>
      <c r="L88" s="315"/>
      <c r="M88" s="315"/>
      <c r="N88" s="315"/>
      <c r="O88" s="315"/>
      <c r="P88" s="315"/>
    </row>
    <row r="89" spans="2:16" s="221" customFormat="1" ht="20.100000000000001" customHeight="1" x14ac:dyDescent="0.25">
      <c r="B89" s="493"/>
      <c r="C89" s="493"/>
      <c r="D89" s="493"/>
      <c r="E89" s="493"/>
      <c r="F89" s="493"/>
      <c r="G89" s="493"/>
      <c r="H89" s="494"/>
      <c r="I89" s="494"/>
      <c r="J89" s="494"/>
      <c r="K89" s="494"/>
      <c r="L89" s="494"/>
      <c r="M89" s="494"/>
      <c r="N89" s="494"/>
      <c r="O89" s="494"/>
      <c r="P89" s="494"/>
    </row>
    <row r="90" spans="2:16" s="221" customFormat="1" ht="20.100000000000001" customHeight="1" x14ac:dyDescent="0.25">
      <c r="B90" s="314"/>
      <c r="C90" s="314"/>
      <c r="D90" s="314"/>
      <c r="E90" s="314"/>
      <c r="F90" s="314"/>
      <c r="G90" s="314"/>
      <c r="H90" s="315"/>
      <c r="I90" s="315"/>
      <c r="J90" s="315"/>
      <c r="K90" s="315"/>
      <c r="L90" s="315"/>
      <c r="M90" s="315"/>
      <c r="N90" s="315"/>
      <c r="O90" s="315"/>
      <c r="P90" s="315"/>
    </row>
    <row r="91" spans="2:16" s="221" customFormat="1" ht="20.100000000000001" customHeight="1" x14ac:dyDescent="0.25">
      <c r="B91" s="493"/>
      <c r="C91" s="493"/>
      <c r="D91" s="493"/>
      <c r="E91" s="493"/>
      <c r="F91" s="493"/>
      <c r="G91" s="493"/>
      <c r="H91" s="494"/>
      <c r="I91" s="494"/>
      <c r="J91" s="494"/>
      <c r="K91" s="494"/>
      <c r="L91" s="494"/>
      <c r="M91" s="494"/>
      <c r="N91" s="494"/>
      <c r="O91" s="494"/>
      <c r="P91" s="494"/>
    </row>
    <row r="92" spans="2:16" s="221" customFormat="1" ht="20.100000000000001" customHeight="1" x14ac:dyDescent="0.25">
      <c r="B92" s="314"/>
      <c r="C92" s="314"/>
      <c r="D92" s="314"/>
      <c r="E92" s="314"/>
      <c r="F92" s="314"/>
      <c r="G92" s="314"/>
      <c r="H92" s="315"/>
      <c r="I92" s="315"/>
      <c r="J92" s="315"/>
      <c r="K92" s="315"/>
      <c r="L92" s="315"/>
      <c r="M92" s="315"/>
      <c r="N92" s="315"/>
      <c r="O92" s="315"/>
      <c r="P92" s="315"/>
    </row>
    <row r="93" spans="2:16" s="221" customFormat="1" ht="20.100000000000001" customHeight="1" x14ac:dyDescent="0.25">
      <c r="B93" s="493"/>
      <c r="C93" s="493"/>
      <c r="D93" s="493"/>
      <c r="E93" s="493"/>
      <c r="F93" s="493"/>
      <c r="G93" s="493"/>
      <c r="H93" s="494"/>
      <c r="I93" s="494"/>
      <c r="J93" s="494"/>
      <c r="K93" s="494"/>
      <c r="L93" s="494"/>
      <c r="M93" s="494"/>
      <c r="N93" s="494"/>
      <c r="O93" s="494"/>
      <c r="P93" s="494"/>
    </row>
    <row r="94" spans="2:16" s="221" customFormat="1" ht="20.100000000000001" customHeight="1" x14ac:dyDescent="0.25">
      <c r="B94" s="314"/>
      <c r="C94" s="314"/>
      <c r="D94" s="314"/>
      <c r="E94" s="314"/>
      <c r="F94" s="314"/>
      <c r="G94" s="314"/>
      <c r="H94" s="315"/>
      <c r="I94" s="315"/>
      <c r="J94" s="315"/>
      <c r="K94" s="315"/>
      <c r="L94" s="315"/>
      <c r="M94" s="315"/>
      <c r="N94" s="315"/>
      <c r="O94" s="315"/>
      <c r="P94" s="315"/>
    </row>
    <row r="95" spans="2:16" s="221" customFormat="1" ht="20.100000000000001" customHeight="1" x14ac:dyDescent="0.25">
      <c r="B95" s="493"/>
      <c r="C95" s="493"/>
      <c r="D95" s="493"/>
      <c r="E95" s="493"/>
      <c r="F95" s="493"/>
      <c r="G95" s="493"/>
      <c r="H95" s="494"/>
      <c r="I95" s="494"/>
      <c r="J95" s="494"/>
      <c r="K95" s="494"/>
      <c r="L95" s="494"/>
      <c r="M95" s="494"/>
      <c r="N95" s="494"/>
      <c r="O95" s="494"/>
      <c r="P95" s="494"/>
    </row>
    <row r="96" spans="2:16" s="221" customFormat="1" ht="20.100000000000001" customHeight="1" x14ac:dyDescent="0.25">
      <c r="B96" s="314"/>
      <c r="C96" s="314"/>
      <c r="D96" s="314"/>
      <c r="E96" s="314"/>
      <c r="F96" s="314"/>
      <c r="G96" s="314"/>
      <c r="H96" s="315"/>
      <c r="I96" s="315"/>
      <c r="J96" s="315"/>
      <c r="K96" s="315"/>
      <c r="L96" s="315"/>
      <c r="M96" s="315"/>
      <c r="N96" s="315"/>
      <c r="O96" s="315"/>
      <c r="P96" s="315"/>
    </row>
    <row r="97" spans="2:16" s="221" customFormat="1" ht="20.100000000000001" customHeight="1" x14ac:dyDescent="0.25">
      <c r="B97" s="493"/>
      <c r="C97" s="493"/>
      <c r="D97" s="493"/>
      <c r="E97" s="493"/>
      <c r="F97" s="493"/>
      <c r="G97" s="493"/>
      <c r="H97" s="494"/>
      <c r="I97" s="494"/>
      <c r="J97" s="494"/>
      <c r="K97" s="494"/>
      <c r="L97" s="494"/>
      <c r="M97" s="494"/>
      <c r="N97" s="494"/>
      <c r="O97" s="494"/>
      <c r="P97" s="494"/>
    </row>
    <row r="98" spans="2:16" s="221" customFormat="1" ht="20.100000000000001" customHeight="1" x14ac:dyDescent="0.25">
      <c r="B98" s="314"/>
      <c r="C98" s="314"/>
      <c r="D98" s="314"/>
      <c r="E98" s="314"/>
      <c r="F98" s="314"/>
      <c r="G98" s="314"/>
      <c r="H98" s="315"/>
      <c r="I98" s="315"/>
      <c r="J98" s="315"/>
      <c r="K98" s="315"/>
      <c r="L98" s="315"/>
      <c r="M98" s="315"/>
      <c r="N98" s="315"/>
      <c r="O98" s="315"/>
      <c r="P98" s="315"/>
    </row>
    <row r="99" spans="2:16" s="221" customFormat="1" ht="20.100000000000001" customHeight="1" x14ac:dyDescent="0.25">
      <c r="B99" s="493"/>
      <c r="C99" s="493"/>
      <c r="D99" s="493"/>
      <c r="E99" s="493"/>
      <c r="F99" s="493"/>
      <c r="G99" s="493"/>
      <c r="H99" s="494"/>
      <c r="I99" s="494"/>
      <c r="J99" s="494"/>
      <c r="K99" s="494"/>
      <c r="L99" s="494"/>
      <c r="M99" s="494"/>
      <c r="N99" s="494"/>
      <c r="O99" s="494"/>
      <c r="P99" s="494"/>
    </row>
    <row r="100" spans="2:16" s="221" customFormat="1" ht="20.100000000000001" customHeight="1" x14ac:dyDescent="0.25">
      <c r="B100" s="314"/>
      <c r="C100" s="314"/>
      <c r="D100" s="314"/>
      <c r="E100" s="314"/>
      <c r="F100" s="314"/>
      <c r="G100" s="314"/>
      <c r="H100" s="315"/>
      <c r="I100" s="315"/>
      <c r="J100" s="315"/>
      <c r="K100" s="315"/>
      <c r="L100" s="315"/>
      <c r="M100" s="315"/>
      <c r="N100" s="315"/>
      <c r="O100" s="315"/>
      <c r="P100" s="315"/>
    </row>
    <row r="101" spans="2:16" s="221" customFormat="1" ht="20.100000000000001" customHeight="1" x14ac:dyDescent="0.25">
      <c r="B101" s="493"/>
      <c r="C101" s="493"/>
      <c r="D101" s="493"/>
      <c r="E101" s="493"/>
      <c r="F101" s="493"/>
      <c r="G101" s="493"/>
      <c r="H101" s="494"/>
      <c r="I101" s="494"/>
      <c r="J101" s="494"/>
      <c r="K101" s="494"/>
      <c r="L101" s="494"/>
      <c r="M101" s="494"/>
      <c r="N101" s="494"/>
      <c r="O101" s="494"/>
      <c r="P101" s="494"/>
    </row>
    <row r="102" spans="2:16" s="221" customFormat="1" ht="20.100000000000001" customHeight="1" x14ac:dyDescent="0.25">
      <c r="B102" s="314"/>
      <c r="C102" s="314"/>
      <c r="D102" s="314"/>
      <c r="E102" s="314"/>
      <c r="F102" s="314"/>
      <c r="G102" s="314"/>
      <c r="H102" s="315"/>
      <c r="I102" s="315"/>
      <c r="J102" s="315"/>
      <c r="K102" s="315"/>
      <c r="L102" s="315"/>
      <c r="M102" s="315"/>
      <c r="N102" s="315"/>
      <c r="O102" s="315"/>
      <c r="P102" s="315"/>
    </row>
    <row r="103" spans="2:16" s="221" customFormat="1" ht="20.100000000000001" customHeight="1" x14ac:dyDescent="0.25">
      <c r="B103" s="493"/>
      <c r="C103" s="493"/>
      <c r="D103" s="493"/>
      <c r="E103" s="493"/>
      <c r="F103" s="493"/>
      <c r="G103" s="493"/>
      <c r="H103" s="494"/>
      <c r="I103" s="494"/>
      <c r="J103" s="494"/>
      <c r="K103" s="494"/>
      <c r="L103" s="494"/>
      <c r="M103" s="494"/>
      <c r="N103" s="494"/>
      <c r="O103" s="494"/>
      <c r="P103" s="494"/>
    </row>
    <row r="104" spans="2:16" s="221" customFormat="1" ht="20.100000000000001" customHeight="1" x14ac:dyDescent="0.25">
      <c r="B104" s="314"/>
      <c r="C104" s="314"/>
      <c r="D104" s="314"/>
      <c r="E104" s="314"/>
      <c r="F104" s="314"/>
      <c r="G104" s="314"/>
      <c r="H104" s="315"/>
      <c r="I104" s="315"/>
      <c r="J104" s="315"/>
      <c r="K104" s="315"/>
      <c r="L104" s="315"/>
      <c r="M104" s="315"/>
      <c r="N104" s="315"/>
      <c r="O104" s="315"/>
      <c r="P104" s="315"/>
    </row>
    <row r="105" spans="2:16" s="221" customFormat="1" ht="20.100000000000001" customHeight="1" x14ac:dyDescent="0.25">
      <c r="B105" s="493"/>
      <c r="C105" s="493"/>
      <c r="D105" s="493"/>
      <c r="E105" s="493"/>
      <c r="F105" s="493"/>
      <c r="G105" s="493"/>
      <c r="H105" s="494"/>
      <c r="I105" s="494"/>
      <c r="J105" s="494"/>
      <c r="K105" s="494"/>
      <c r="L105" s="494"/>
      <c r="M105" s="494"/>
      <c r="N105" s="494"/>
      <c r="O105" s="494"/>
      <c r="P105" s="494"/>
    </row>
    <row r="106" spans="2:16" s="221" customFormat="1" ht="20.100000000000001" customHeight="1" x14ac:dyDescent="0.25">
      <c r="B106" s="314"/>
      <c r="C106" s="314"/>
      <c r="D106" s="314"/>
      <c r="E106" s="314"/>
      <c r="F106" s="314"/>
      <c r="G106" s="314"/>
      <c r="H106" s="315"/>
      <c r="I106" s="315"/>
      <c r="J106" s="315"/>
      <c r="K106" s="315"/>
      <c r="L106" s="315"/>
      <c r="M106" s="315"/>
      <c r="N106" s="315"/>
      <c r="O106" s="315"/>
      <c r="P106" s="315"/>
    </row>
    <row r="107" spans="2:16" s="221" customFormat="1" ht="20.100000000000001" customHeight="1" x14ac:dyDescent="0.25">
      <c r="B107" s="493"/>
      <c r="C107" s="493"/>
      <c r="D107" s="493"/>
      <c r="E107" s="493"/>
      <c r="F107" s="493"/>
      <c r="G107" s="493"/>
      <c r="H107" s="494"/>
      <c r="I107" s="494"/>
      <c r="J107" s="494"/>
      <c r="K107" s="494"/>
      <c r="L107" s="494"/>
      <c r="M107" s="494"/>
      <c r="N107" s="494"/>
      <c r="O107" s="494"/>
      <c r="P107" s="494"/>
    </row>
    <row r="108" spans="2:16" s="221" customFormat="1" ht="20.100000000000001" customHeight="1" x14ac:dyDescent="0.25">
      <c r="B108" s="314"/>
      <c r="C108" s="314"/>
      <c r="D108" s="314"/>
      <c r="E108" s="314"/>
      <c r="F108" s="314"/>
      <c r="G108" s="314"/>
      <c r="H108" s="315"/>
      <c r="I108" s="315"/>
      <c r="J108" s="315"/>
      <c r="K108" s="315"/>
      <c r="L108" s="315"/>
      <c r="M108" s="315"/>
      <c r="N108" s="315"/>
      <c r="O108" s="315"/>
      <c r="P108" s="315"/>
    </row>
    <row r="109" spans="2:16" s="221" customFormat="1" ht="20.100000000000001" customHeight="1" x14ac:dyDescent="0.25">
      <c r="B109" s="493"/>
      <c r="C109" s="493"/>
      <c r="D109" s="493"/>
      <c r="E109" s="493"/>
      <c r="F109" s="493"/>
      <c r="G109" s="493"/>
      <c r="H109" s="494"/>
      <c r="I109" s="494"/>
      <c r="J109" s="494"/>
      <c r="K109" s="494"/>
      <c r="L109" s="494"/>
      <c r="M109" s="494"/>
      <c r="N109" s="494"/>
      <c r="O109" s="494"/>
      <c r="P109" s="494"/>
    </row>
    <row r="110" spans="2:16" s="221" customFormat="1" ht="20.100000000000001" customHeight="1" x14ac:dyDescent="0.25">
      <c r="B110" s="314"/>
      <c r="C110" s="314"/>
      <c r="D110" s="314"/>
      <c r="E110" s="314"/>
      <c r="F110" s="314"/>
      <c r="G110" s="314"/>
      <c r="H110" s="315"/>
      <c r="I110" s="315"/>
      <c r="J110" s="315"/>
      <c r="K110" s="315"/>
      <c r="L110" s="315"/>
      <c r="M110" s="315"/>
      <c r="N110" s="315"/>
      <c r="O110" s="315"/>
      <c r="P110" s="315"/>
    </row>
    <row r="111" spans="2:16" s="221" customFormat="1" ht="20.100000000000001" customHeight="1" x14ac:dyDescent="0.25">
      <c r="B111" s="493"/>
      <c r="C111" s="493"/>
      <c r="D111" s="493"/>
      <c r="E111" s="493"/>
      <c r="F111" s="493"/>
      <c r="G111" s="493"/>
      <c r="H111" s="494"/>
      <c r="I111" s="494"/>
      <c r="J111" s="494"/>
      <c r="K111" s="494"/>
      <c r="L111" s="494"/>
      <c r="M111" s="494"/>
      <c r="N111" s="494"/>
      <c r="O111" s="494"/>
      <c r="P111" s="494"/>
    </row>
    <row r="112" spans="2:16" s="221" customFormat="1" ht="20.100000000000001" customHeight="1" x14ac:dyDescent="0.25">
      <c r="B112" s="314"/>
      <c r="C112" s="314"/>
      <c r="D112" s="314"/>
      <c r="E112" s="314"/>
      <c r="F112" s="314"/>
      <c r="G112" s="314"/>
      <c r="H112" s="315"/>
      <c r="I112" s="315"/>
      <c r="J112" s="315"/>
      <c r="K112" s="315"/>
      <c r="L112" s="315"/>
      <c r="M112" s="315"/>
      <c r="N112" s="315"/>
      <c r="O112" s="315"/>
      <c r="P112" s="315"/>
    </row>
    <row r="113" spans="2:16" s="221" customFormat="1" ht="20.100000000000001" customHeight="1" x14ac:dyDescent="0.25">
      <c r="B113" s="493"/>
      <c r="C113" s="493"/>
      <c r="D113" s="493"/>
      <c r="E113" s="493"/>
      <c r="F113" s="493"/>
      <c r="G113" s="493"/>
      <c r="H113" s="494"/>
      <c r="I113" s="494"/>
      <c r="J113" s="494"/>
      <c r="K113" s="494"/>
      <c r="L113" s="494"/>
      <c r="M113" s="494"/>
      <c r="N113" s="494"/>
      <c r="O113" s="494"/>
      <c r="P113" s="494"/>
    </row>
    <row r="114" spans="2:16" s="221" customFormat="1" ht="20.100000000000001" customHeight="1" x14ac:dyDescent="0.25">
      <c r="B114" s="314"/>
      <c r="C114" s="314"/>
      <c r="D114" s="314"/>
      <c r="E114" s="314"/>
      <c r="F114" s="314"/>
      <c r="G114" s="314"/>
      <c r="H114" s="315"/>
      <c r="I114" s="315"/>
      <c r="J114" s="315"/>
      <c r="K114" s="315"/>
      <c r="L114" s="315"/>
      <c r="M114" s="315"/>
      <c r="N114" s="315"/>
      <c r="O114" s="315"/>
      <c r="P114" s="315"/>
    </row>
    <row r="115" spans="2:16" s="221" customFormat="1" ht="20.100000000000001" customHeight="1" x14ac:dyDescent="0.25">
      <c r="B115" s="493"/>
      <c r="C115" s="493"/>
      <c r="D115" s="493"/>
      <c r="E115" s="493"/>
      <c r="F115" s="493"/>
      <c r="G115" s="493"/>
      <c r="H115" s="494"/>
      <c r="I115" s="494"/>
      <c r="J115" s="494"/>
      <c r="K115" s="494"/>
      <c r="L115" s="494"/>
      <c r="M115" s="494"/>
      <c r="N115" s="494"/>
      <c r="O115" s="494"/>
      <c r="P115" s="494"/>
    </row>
    <row r="116" spans="2:16" s="221" customFormat="1" ht="20.100000000000001" customHeight="1" x14ac:dyDescent="0.25">
      <c r="B116" s="314"/>
      <c r="C116" s="314"/>
      <c r="D116" s="314"/>
      <c r="E116" s="314"/>
      <c r="F116" s="314"/>
      <c r="G116" s="314"/>
      <c r="H116" s="315"/>
      <c r="I116" s="315"/>
      <c r="J116" s="315"/>
      <c r="K116" s="315"/>
      <c r="L116" s="315"/>
      <c r="M116" s="315"/>
      <c r="N116" s="315"/>
      <c r="O116" s="315"/>
      <c r="P116" s="315"/>
    </row>
    <row r="117" spans="2:16" s="221" customFormat="1" ht="20.100000000000001" customHeight="1" x14ac:dyDescent="0.25">
      <c r="B117" s="493"/>
      <c r="C117" s="493"/>
      <c r="D117" s="493"/>
      <c r="E117" s="493"/>
      <c r="F117" s="493"/>
      <c r="G117" s="493"/>
      <c r="H117" s="494"/>
      <c r="I117" s="494"/>
      <c r="J117" s="494"/>
      <c r="K117" s="494"/>
      <c r="L117" s="494"/>
      <c r="M117" s="494"/>
      <c r="N117" s="494"/>
      <c r="O117" s="494"/>
      <c r="P117" s="494"/>
    </row>
    <row r="118" spans="2:16" s="221" customFormat="1" ht="20.100000000000001" customHeight="1" x14ac:dyDescent="0.25">
      <c r="B118" s="314"/>
      <c r="C118" s="314"/>
      <c r="D118" s="314"/>
      <c r="E118" s="314"/>
      <c r="F118" s="314"/>
      <c r="G118" s="314"/>
      <c r="H118" s="315"/>
      <c r="I118" s="315"/>
      <c r="J118" s="315"/>
      <c r="K118" s="315"/>
      <c r="L118" s="315"/>
      <c r="M118" s="315"/>
      <c r="N118" s="315"/>
      <c r="O118" s="315"/>
      <c r="P118" s="315"/>
    </row>
    <row r="119" spans="2:16" s="221" customFormat="1" ht="20.100000000000001" customHeight="1" x14ac:dyDescent="0.25">
      <c r="B119" s="493"/>
      <c r="C119" s="493"/>
      <c r="D119" s="493"/>
      <c r="E119" s="493"/>
      <c r="F119" s="493"/>
      <c r="G119" s="493"/>
      <c r="H119" s="494"/>
      <c r="I119" s="494"/>
      <c r="J119" s="494"/>
      <c r="K119" s="494"/>
      <c r="L119" s="494"/>
      <c r="M119" s="494"/>
      <c r="N119" s="494"/>
      <c r="O119" s="494"/>
      <c r="P119" s="494"/>
    </row>
    <row r="120" spans="2:16" s="221" customFormat="1" ht="20.100000000000001" customHeight="1" x14ac:dyDescent="0.25">
      <c r="B120" s="314"/>
      <c r="C120" s="314"/>
      <c r="D120" s="314"/>
      <c r="E120" s="314"/>
      <c r="F120" s="314"/>
      <c r="G120" s="314"/>
      <c r="H120" s="315"/>
      <c r="I120" s="315"/>
      <c r="J120" s="315"/>
      <c r="K120" s="315"/>
      <c r="L120" s="315"/>
      <c r="M120" s="315"/>
      <c r="N120" s="315"/>
      <c r="O120" s="315"/>
      <c r="P120" s="315"/>
    </row>
    <row r="121" spans="2:16" s="221" customFormat="1" ht="20.100000000000001" customHeight="1" x14ac:dyDescent="0.25">
      <c r="B121" s="493"/>
      <c r="C121" s="493"/>
      <c r="D121" s="493"/>
      <c r="E121" s="493"/>
      <c r="F121" s="493"/>
      <c r="G121" s="493"/>
      <c r="H121" s="494"/>
      <c r="I121" s="494"/>
      <c r="J121" s="494"/>
      <c r="K121" s="494"/>
      <c r="L121" s="494"/>
      <c r="M121" s="494"/>
      <c r="N121" s="494"/>
      <c r="O121" s="494"/>
      <c r="P121" s="494"/>
    </row>
    <row r="122" spans="2:16" s="221" customFormat="1" ht="20.100000000000001" customHeight="1" x14ac:dyDescent="0.25">
      <c r="B122" s="314"/>
      <c r="C122" s="314"/>
      <c r="D122" s="314"/>
      <c r="E122" s="314"/>
      <c r="F122" s="314"/>
      <c r="G122" s="314"/>
      <c r="H122" s="315"/>
      <c r="I122" s="315"/>
      <c r="J122" s="315"/>
      <c r="K122" s="315"/>
      <c r="L122" s="315"/>
      <c r="M122" s="315"/>
      <c r="N122" s="315"/>
      <c r="O122" s="315"/>
      <c r="P122" s="315"/>
    </row>
    <row r="123" spans="2:16" s="221" customFormat="1" ht="20.100000000000001" customHeight="1" x14ac:dyDescent="0.25">
      <c r="B123" s="493"/>
      <c r="C123" s="493"/>
      <c r="D123" s="493"/>
      <c r="E123" s="493"/>
      <c r="F123" s="493"/>
      <c r="G123" s="493"/>
      <c r="H123" s="494"/>
      <c r="I123" s="494"/>
      <c r="J123" s="494"/>
      <c r="K123" s="494"/>
      <c r="L123" s="494"/>
      <c r="M123" s="494"/>
      <c r="N123" s="494"/>
      <c r="O123" s="494"/>
      <c r="P123" s="494"/>
    </row>
    <row r="124" spans="2:16" s="221" customFormat="1" ht="20.100000000000001" customHeight="1" x14ac:dyDescent="0.25">
      <c r="B124" s="314"/>
      <c r="C124" s="314"/>
      <c r="D124" s="314"/>
      <c r="E124" s="314"/>
      <c r="F124" s="314"/>
      <c r="G124" s="314"/>
      <c r="H124" s="315"/>
      <c r="I124" s="315"/>
      <c r="J124" s="315"/>
      <c r="K124" s="315"/>
      <c r="L124" s="315"/>
      <c r="M124" s="315"/>
      <c r="N124" s="315"/>
      <c r="O124" s="315"/>
      <c r="P124" s="315"/>
    </row>
    <row r="125" spans="2:16" s="221" customFormat="1" ht="20.100000000000001" customHeight="1" x14ac:dyDescent="0.25">
      <c r="B125" s="493"/>
      <c r="C125" s="493"/>
      <c r="D125" s="493"/>
      <c r="E125" s="493"/>
      <c r="F125" s="493"/>
      <c r="G125" s="493"/>
      <c r="H125" s="494"/>
      <c r="I125" s="494"/>
      <c r="J125" s="494"/>
      <c r="K125" s="494"/>
      <c r="L125" s="494"/>
      <c r="M125" s="494"/>
      <c r="N125" s="494"/>
      <c r="O125" s="494"/>
      <c r="P125" s="494"/>
    </row>
    <row r="126" spans="2:16" s="221" customFormat="1" ht="20.100000000000001" customHeight="1" x14ac:dyDescent="0.25">
      <c r="B126" s="314"/>
      <c r="C126" s="314"/>
      <c r="D126" s="314"/>
      <c r="E126" s="314"/>
      <c r="F126" s="314"/>
      <c r="G126" s="314"/>
      <c r="H126" s="315"/>
      <c r="I126" s="315"/>
      <c r="J126" s="315"/>
      <c r="K126" s="315"/>
      <c r="L126" s="315"/>
      <c r="M126" s="315"/>
      <c r="N126" s="315"/>
      <c r="O126" s="315"/>
      <c r="P126" s="315"/>
    </row>
    <row r="127" spans="2:16" s="221" customFormat="1" ht="20.100000000000001" customHeight="1" x14ac:dyDescent="0.25">
      <c r="B127" s="493"/>
      <c r="C127" s="493"/>
      <c r="D127" s="493"/>
      <c r="E127" s="493"/>
      <c r="F127" s="493"/>
      <c r="G127" s="493"/>
      <c r="H127" s="494"/>
      <c r="I127" s="494"/>
      <c r="J127" s="494"/>
      <c r="K127" s="494"/>
      <c r="L127" s="494"/>
      <c r="M127" s="494"/>
      <c r="N127" s="494"/>
      <c r="O127" s="494"/>
      <c r="P127" s="494"/>
    </row>
    <row r="128" spans="2:16" s="221" customFormat="1" ht="20.100000000000001" customHeight="1" x14ac:dyDescent="0.25">
      <c r="B128" s="314"/>
      <c r="C128" s="314"/>
      <c r="D128" s="314"/>
      <c r="E128" s="314"/>
      <c r="F128" s="314"/>
      <c r="G128" s="314"/>
      <c r="H128" s="315"/>
      <c r="I128" s="315"/>
      <c r="J128" s="315"/>
      <c r="K128" s="315"/>
      <c r="L128" s="315"/>
      <c r="M128" s="315"/>
      <c r="N128" s="315"/>
      <c r="O128" s="315"/>
      <c r="P128" s="315"/>
    </row>
    <row r="129" spans="2:16" s="221" customFormat="1" ht="20.100000000000001" customHeight="1" x14ac:dyDescent="0.25">
      <c r="B129" s="493"/>
      <c r="C129" s="493"/>
      <c r="D129" s="493"/>
      <c r="E129" s="493"/>
      <c r="F129" s="493"/>
      <c r="G129" s="493"/>
      <c r="H129" s="494"/>
      <c r="I129" s="494"/>
      <c r="J129" s="494"/>
      <c r="K129" s="494"/>
      <c r="L129" s="494"/>
      <c r="M129" s="494"/>
      <c r="N129" s="494"/>
      <c r="O129" s="494"/>
      <c r="P129" s="494"/>
    </row>
    <row r="130" spans="2:16" s="221" customFormat="1" ht="20.100000000000001" customHeight="1" x14ac:dyDescent="0.25">
      <c r="B130" s="314"/>
      <c r="C130" s="314"/>
      <c r="D130" s="314"/>
      <c r="E130" s="314"/>
      <c r="F130" s="314"/>
      <c r="G130" s="314"/>
      <c r="H130" s="315"/>
      <c r="I130" s="315"/>
      <c r="J130" s="315"/>
      <c r="K130" s="315"/>
      <c r="L130" s="315"/>
      <c r="M130" s="315"/>
      <c r="N130" s="315"/>
      <c r="O130" s="315"/>
      <c r="P130" s="315"/>
    </row>
    <row r="131" spans="2:16" s="221" customFormat="1" ht="20.100000000000001" customHeight="1" x14ac:dyDescent="0.25">
      <c r="B131" s="493"/>
      <c r="C131" s="493"/>
      <c r="D131" s="493"/>
      <c r="E131" s="493"/>
      <c r="F131" s="493"/>
      <c r="G131" s="493"/>
      <c r="H131" s="494"/>
      <c r="I131" s="494"/>
      <c r="J131" s="494"/>
      <c r="K131" s="494"/>
      <c r="L131" s="494"/>
      <c r="M131" s="494"/>
      <c r="N131" s="494"/>
      <c r="O131" s="494"/>
      <c r="P131" s="494"/>
    </row>
    <row r="132" spans="2:16" s="221" customFormat="1" ht="20.100000000000001" customHeight="1" x14ac:dyDescent="0.25">
      <c r="B132" s="314"/>
      <c r="C132" s="314"/>
      <c r="D132" s="314"/>
      <c r="E132" s="314"/>
      <c r="F132" s="314"/>
      <c r="G132" s="314"/>
      <c r="H132" s="315"/>
      <c r="I132" s="315"/>
      <c r="J132" s="315"/>
      <c r="K132" s="315"/>
      <c r="L132" s="315"/>
      <c r="M132" s="315"/>
      <c r="N132" s="315"/>
      <c r="O132" s="315"/>
      <c r="P132" s="315"/>
    </row>
    <row r="133" spans="2:16" s="221" customFormat="1" ht="20.100000000000001" customHeight="1" x14ac:dyDescent="0.25">
      <c r="B133" s="493"/>
      <c r="C133" s="493"/>
      <c r="D133" s="493"/>
      <c r="E133" s="493"/>
      <c r="F133" s="493"/>
      <c r="G133" s="493"/>
      <c r="H133" s="494"/>
      <c r="I133" s="494"/>
      <c r="J133" s="494"/>
      <c r="K133" s="494"/>
      <c r="L133" s="494"/>
      <c r="M133" s="494"/>
      <c r="N133" s="494"/>
      <c r="O133" s="494"/>
      <c r="P133" s="494"/>
    </row>
    <row r="134" spans="2:16" s="221" customFormat="1" ht="20.100000000000001" customHeight="1" x14ac:dyDescent="0.25">
      <c r="B134" s="314"/>
      <c r="C134" s="314"/>
      <c r="D134" s="314"/>
      <c r="E134" s="314"/>
      <c r="F134" s="314"/>
      <c r="G134" s="314"/>
      <c r="H134" s="315"/>
      <c r="I134" s="315"/>
      <c r="J134" s="315"/>
      <c r="K134" s="315"/>
      <c r="L134" s="315"/>
      <c r="M134" s="315"/>
      <c r="N134" s="315"/>
      <c r="O134" s="315"/>
      <c r="P134" s="315"/>
    </row>
    <row r="135" spans="2:16" s="221" customFormat="1" ht="20.100000000000001" customHeight="1" x14ac:dyDescent="0.25">
      <c r="B135" s="493"/>
      <c r="C135" s="493"/>
      <c r="D135" s="493"/>
      <c r="E135" s="493"/>
      <c r="F135" s="493"/>
      <c r="G135" s="493"/>
      <c r="H135" s="494"/>
      <c r="I135" s="494"/>
      <c r="J135" s="494"/>
      <c r="K135" s="494"/>
      <c r="L135" s="494"/>
      <c r="M135" s="494"/>
      <c r="N135" s="494"/>
      <c r="O135" s="494"/>
      <c r="P135" s="494"/>
    </row>
    <row r="136" spans="2:16" s="221" customFormat="1" ht="20.100000000000001" customHeight="1" x14ac:dyDescent="0.25">
      <c r="B136" s="314"/>
      <c r="C136" s="314"/>
      <c r="D136" s="314"/>
      <c r="E136" s="314"/>
      <c r="F136" s="314"/>
      <c r="G136" s="314"/>
      <c r="H136" s="315"/>
      <c r="I136" s="315"/>
      <c r="J136" s="315"/>
      <c r="K136" s="315"/>
      <c r="L136" s="315"/>
      <c r="M136" s="315"/>
      <c r="N136" s="315"/>
      <c r="O136" s="315"/>
      <c r="P136" s="315"/>
    </row>
    <row r="137" spans="2:16" s="221" customFormat="1" ht="20.100000000000001" customHeight="1" x14ac:dyDescent="0.25">
      <c r="B137" s="493"/>
      <c r="C137" s="493"/>
      <c r="D137" s="493"/>
      <c r="E137" s="493"/>
      <c r="F137" s="493"/>
      <c r="G137" s="493"/>
      <c r="H137" s="494"/>
      <c r="I137" s="494"/>
      <c r="J137" s="494"/>
      <c r="K137" s="494"/>
      <c r="L137" s="494"/>
      <c r="M137" s="494"/>
      <c r="N137" s="494"/>
      <c r="O137" s="494"/>
      <c r="P137" s="494"/>
    </row>
    <row r="138" spans="2:16" s="221" customFormat="1" ht="20.100000000000001" customHeight="1" x14ac:dyDescent="0.25">
      <c r="B138" s="314"/>
      <c r="C138" s="314"/>
      <c r="D138" s="314"/>
      <c r="E138" s="314"/>
      <c r="F138" s="314"/>
      <c r="G138" s="314"/>
      <c r="H138" s="315"/>
      <c r="I138" s="315"/>
      <c r="J138" s="315"/>
      <c r="K138" s="315"/>
      <c r="L138" s="315"/>
      <c r="M138" s="315"/>
      <c r="N138" s="315"/>
      <c r="O138" s="315"/>
      <c r="P138" s="315"/>
    </row>
    <row r="139" spans="2:16" s="221" customFormat="1" ht="20.100000000000001" customHeight="1" x14ac:dyDescent="0.25">
      <c r="B139" s="493"/>
      <c r="C139" s="493"/>
      <c r="D139" s="493"/>
      <c r="E139" s="493"/>
      <c r="F139" s="493"/>
      <c r="G139" s="493"/>
      <c r="H139" s="494"/>
      <c r="I139" s="494"/>
      <c r="J139" s="494"/>
      <c r="K139" s="494"/>
      <c r="L139" s="494"/>
      <c r="M139" s="494"/>
      <c r="N139" s="494"/>
      <c r="O139" s="494"/>
      <c r="P139" s="494"/>
    </row>
    <row r="140" spans="2:16" s="221" customFormat="1" ht="20.100000000000001" customHeight="1" x14ac:dyDescent="0.25">
      <c r="B140" s="314"/>
      <c r="C140" s="314"/>
      <c r="D140" s="314"/>
      <c r="E140" s="314"/>
      <c r="F140" s="314"/>
      <c r="G140" s="314"/>
      <c r="H140" s="315"/>
      <c r="I140" s="315"/>
      <c r="J140" s="315"/>
      <c r="K140" s="315"/>
      <c r="L140" s="315"/>
      <c r="M140" s="315"/>
      <c r="N140" s="315"/>
      <c r="O140" s="315"/>
      <c r="P140" s="315"/>
    </row>
    <row r="141" spans="2:16" s="221" customFormat="1" ht="20.100000000000001" customHeight="1" x14ac:dyDescent="0.25">
      <c r="B141" s="493"/>
      <c r="C141" s="493"/>
      <c r="D141" s="493"/>
      <c r="E141" s="493"/>
      <c r="F141" s="493"/>
      <c r="G141" s="493"/>
      <c r="H141" s="494"/>
      <c r="I141" s="494"/>
      <c r="J141" s="494"/>
      <c r="K141" s="494"/>
      <c r="L141" s="494"/>
      <c r="M141" s="494"/>
      <c r="N141" s="494"/>
      <c r="O141" s="494"/>
      <c r="P141" s="494"/>
    </row>
    <row r="142" spans="2:16" s="221" customFormat="1" ht="20.100000000000001" customHeight="1" x14ac:dyDescent="0.25">
      <c r="B142" s="314"/>
      <c r="C142" s="314"/>
      <c r="D142" s="314"/>
      <c r="E142" s="314"/>
      <c r="F142" s="314"/>
      <c r="G142" s="314"/>
      <c r="H142" s="315"/>
      <c r="I142" s="315"/>
      <c r="J142" s="315"/>
      <c r="K142" s="315"/>
      <c r="L142" s="315"/>
      <c r="M142" s="315"/>
      <c r="N142" s="315"/>
      <c r="O142" s="315"/>
      <c r="P142" s="315"/>
    </row>
    <row r="143" spans="2:16" s="221" customFormat="1" ht="20.100000000000001" customHeight="1" x14ac:dyDescent="0.25">
      <c r="B143" s="493"/>
      <c r="C143" s="493"/>
      <c r="D143" s="493"/>
      <c r="E143" s="493"/>
      <c r="F143" s="493"/>
      <c r="G143" s="493"/>
      <c r="H143" s="494"/>
      <c r="I143" s="494"/>
      <c r="J143" s="494"/>
      <c r="K143" s="494"/>
      <c r="L143" s="494"/>
      <c r="M143" s="494"/>
      <c r="N143" s="494"/>
      <c r="O143" s="494"/>
      <c r="P143" s="494"/>
    </row>
    <row r="144" spans="2:16" s="221" customFormat="1" ht="20.100000000000001" customHeight="1" x14ac:dyDescent="0.25">
      <c r="B144" s="314"/>
      <c r="C144" s="314"/>
      <c r="D144" s="314"/>
      <c r="E144" s="314"/>
      <c r="F144" s="314"/>
      <c r="G144" s="314"/>
      <c r="H144" s="315"/>
      <c r="I144" s="315"/>
      <c r="J144" s="315"/>
      <c r="K144" s="315"/>
      <c r="L144" s="315"/>
      <c r="M144" s="315"/>
      <c r="N144" s="315"/>
      <c r="O144" s="315"/>
      <c r="P144" s="315"/>
    </row>
    <row r="145" spans="2:16" s="221" customFormat="1" ht="20.100000000000001" customHeight="1" x14ac:dyDescent="0.25">
      <c r="B145" s="493"/>
      <c r="C145" s="493"/>
      <c r="D145" s="493"/>
      <c r="E145" s="493"/>
      <c r="F145" s="493"/>
      <c r="G145" s="493"/>
      <c r="H145" s="494"/>
      <c r="I145" s="494"/>
      <c r="J145" s="494"/>
      <c r="K145" s="494"/>
      <c r="L145" s="494"/>
      <c r="M145" s="494"/>
      <c r="N145" s="494"/>
      <c r="O145" s="494"/>
      <c r="P145" s="494"/>
    </row>
    <row r="146" spans="2:16" s="221" customFormat="1" ht="20.100000000000001" customHeight="1" x14ac:dyDescent="0.25">
      <c r="B146" s="314"/>
      <c r="C146" s="314"/>
      <c r="D146" s="314"/>
      <c r="E146" s="314"/>
      <c r="F146" s="314"/>
      <c r="G146" s="314"/>
      <c r="H146" s="315"/>
      <c r="I146" s="315"/>
      <c r="J146" s="315"/>
      <c r="K146" s="315"/>
      <c r="L146" s="315"/>
      <c r="M146" s="315"/>
      <c r="N146" s="315"/>
      <c r="O146" s="315"/>
      <c r="P146" s="315"/>
    </row>
    <row r="147" spans="2:16" s="221" customFormat="1" ht="20.100000000000001" customHeight="1" x14ac:dyDescent="0.25">
      <c r="B147" s="493"/>
      <c r="C147" s="493"/>
      <c r="D147" s="493"/>
      <c r="E147" s="493"/>
      <c r="F147" s="493"/>
      <c r="G147" s="493"/>
      <c r="H147" s="494"/>
      <c r="I147" s="494"/>
      <c r="J147" s="494"/>
      <c r="K147" s="494"/>
      <c r="L147" s="494"/>
      <c r="M147" s="494"/>
      <c r="N147" s="494"/>
      <c r="O147" s="494"/>
      <c r="P147" s="494"/>
    </row>
    <row r="148" spans="2:16" s="221" customFormat="1" ht="20.100000000000001" customHeight="1" x14ac:dyDescent="0.25">
      <c r="B148" s="314"/>
      <c r="C148" s="314"/>
      <c r="D148" s="314"/>
      <c r="E148" s="314"/>
      <c r="F148" s="314"/>
      <c r="G148" s="314"/>
      <c r="H148" s="315"/>
      <c r="I148" s="315"/>
      <c r="J148" s="315"/>
      <c r="K148" s="315"/>
      <c r="L148" s="315"/>
      <c r="M148" s="315"/>
      <c r="N148" s="315"/>
      <c r="O148" s="315"/>
      <c r="P148" s="315"/>
    </row>
    <row r="149" spans="2:16" s="221" customFormat="1" ht="20.100000000000001" customHeight="1" x14ac:dyDescent="0.25">
      <c r="B149" s="493"/>
      <c r="C149" s="493"/>
      <c r="D149" s="493"/>
      <c r="E149" s="493"/>
      <c r="F149" s="493"/>
      <c r="G149" s="493"/>
      <c r="H149" s="494"/>
      <c r="I149" s="494"/>
      <c r="J149" s="494"/>
      <c r="K149" s="494"/>
      <c r="L149" s="494"/>
      <c r="M149" s="494"/>
      <c r="N149" s="494"/>
      <c r="O149" s="494"/>
      <c r="P149" s="494"/>
    </row>
    <row r="150" spans="2:16" s="221" customFormat="1" ht="20.100000000000001" customHeight="1" x14ac:dyDescent="0.25">
      <c r="B150" s="314"/>
      <c r="C150" s="314"/>
      <c r="D150" s="314"/>
      <c r="E150" s="314"/>
      <c r="F150" s="314"/>
      <c r="G150" s="314"/>
      <c r="H150" s="315"/>
      <c r="I150" s="315"/>
      <c r="J150" s="315"/>
      <c r="K150" s="315"/>
      <c r="L150" s="315"/>
      <c r="M150" s="315"/>
      <c r="N150" s="315"/>
      <c r="O150" s="315"/>
      <c r="P150" s="315"/>
    </row>
    <row r="151" spans="2:16" s="221" customFormat="1" ht="20.100000000000001" customHeight="1" x14ac:dyDescent="0.25">
      <c r="B151" s="493"/>
      <c r="C151" s="493"/>
      <c r="D151" s="493"/>
      <c r="E151" s="493"/>
      <c r="F151" s="493"/>
      <c r="G151" s="493"/>
      <c r="H151" s="494"/>
      <c r="I151" s="494"/>
      <c r="J151" s="494"/>
      <c r="K151" s="494"/>
      <c r="L151" s="494"/>
      <c r="M151" s="494"/>
      <c r="N151" s="494"/>
      <c r="O151" s="494"/>
      <c r="P151" s="494"/>
    </row>
    <row r="152" spans="2:16" s="221" customFormat="1" ht="20.100000000000001" customHeight="1" x14ac:dyDescent="0.25">
      <c r="B152" s="314"/>
      <c r="C152" s="314"/>
      <c r="D152" s="314"/>
      <c r="E152" s="314"/>
      <c r="F152" s="314"/>
      <c r="G152" s="314"/>
      <c r="H152" s="315"/>
      <c r="I152" s="315"/>
      <c r="J152" s="315"/>
      <c r="K152" s="315"/>
      <c r="L152" s="315"/>
      <c r="M152" s="315"/>
      <c r="N152" s="315"/>
      <c r="O152" s="315"/>
      <c r="P152" s="315"/>
    </row>
    <row r="153" spans="2:16" s="221" customFormat="1" ht="20.100000000000001" customHeight="1" x14ac:dyDescent="0.25">
      <c r="B153" s="493"/>
      <c r="C153" s="493"/>
      <c r="D153" s="493"/>
      <c r="E153" s="493"/>
      <c r="F153" s="493"/>
      <c r="G153" s="493"/>
      <c r="H153" s="494"/>
      <c r="I153" s="494"/>
      <c r="J153" s="494"/>
      <c r="K153" s="494"/>
      <c r="L153" s="494"/>
      <c r="M153" s="494"/>
      <c r="N153" s="494"/>
      <c r="O153" s="494"/>
      <c r="P153" s="494"/>
    </row>
    <row r="154" spans="2:16" s="221" customFormat="1" ht="20.100000000000001" customHeight="1" x14ac:dyDescent="0.25">
      <c r="B154" s="314"/>
      <c r="C154" s="314"/>
      <c r="D154" s="314"/>
      <c r="E154" s="314"/>
      <c r="F154" s="314"/>
      <c r="G154" s="314"/>
      <c r="H154" s="315"/>
      <c r="I154" s="315"/>
      <c r="J154" s="315"/>
      <c r="K154" s="315"/>
      <c r="L154" s="315"/>
      <c r="M154" s="315"/>
      <c r="N154" s="315"/>
      <c r="O154" s="315"/>
      <c r="P154" s="315"/>
    </row>
    <row r="155" spans="2:16" s="221" customFormat="1" ht="20.100000000000001" customHeight="1" x14ac:dyDescent="0.25">
      <c r="B155" s="493"/>
      <c r="C155" s="493"/>
      <c r="D155" s="493"/>
      <c r="E155" s="493"/>
      <c r="F155" s="493"/>
      <c r="G155" s="493"/>
      <c r="H155" s="494"/>
      <c r="I155" s="494"/>
      <c r="J155" s="494"/>
      <c r="K155" s="494"/>
      <c r="L155" s="494"/>
      <c r="M155" s="494"/>
      <c r="N155" s="494"/>
      <c r="O155" s="494"/>
      <c r="P155" s="494"/>
    </row>
    <row r="156" spans="2:16" s="221" customFormat="1" ht="20.100000000000001" customHeight="1" x14ac:dyDescent="0.25">
      <c r="B156" s="314"/>
      <c r="C156" s="314"/>
      <c r="D156" s="314"/>
      <c r="E156" s="314"/>
      <c r="F156" s="314"/>
      <c r="G156" s="314"/>
      <c r="H156" s="315"/>
      <c r="I156" s="315"/>
      <c r="J156" s="315"/>
      <c r="K156" s="315"/>
      <c r="L156" s="315"/>
      <c r="M156" s="315"/>
      <c r="N156" s="315"/>
      <c r="O156" s="315"/>
      <c r="P156" s="315"/>
    </row>
    <row r="157" spans="2:16" s="221" customFormat="1" ht="20.100000000000001" customHeight="1" x14ac:dyDescent="0.25">
      <c r="B157" s="493"/>
      <c r="C157" s="493"/>
      <c r="D157" s="493"/>
      <c r="E157" s="493"/>
      <c r="F157" s="493"/>
      <c r="G157" s="493"/>
      <c r="H157" s="494"/>
      <c r="I157" s="494"/>
      <c r="J157" s="494"/>
      <c r="K157" s="494"/>
      <c r="L157" s="494"/>
      <c r="M157" s="494"/>
      <c r="N157" s="494"/>
      <c r="O157" s="494"/>
      <c r="P157" s="494"/>
    </row>
    <row r="158" spans="2:16" s="221" customFormat="1" ht="20.100000000000001" customHeight="1" x14ac:dyDescent="0.25">
      <c r="B158" s="314"/>
      <c r="C158" s="314"/>
      <c r="D158" s="314"/>
      <c r="E158" s="314"/>
      <c r="F158" s="314"/>
      <c r="G158" s="314"/>
      <c r="H158" s="315"/>
      <c r="I158" s="315"/>
      <c r="J158" s="315"/>
      <c r="K158" s="315"/>
      <c r="L158" s="315"/>
      <c r="M158" s="315"/>
      <c r="N158" s="315"/>
      <c r="O158" s="315"/>
      <c r="P158" s="315"/>
    </row>
    <row r="159" spans="2:16" s="221" customFormat="1" ht="20.100000000000001" customHeight="1" x14ac:dyDescent="0.25">
      <c r="B159" s="493"/>
      <c r="C159" s="493"/>
      <c r="D159" s="493"/>
      <c r="E159" s="493"/>
      <c r="F159" s="493"/>
      <c r="G159" s="493"/>
      <c r="H159" s="494"/>
      <c r="I159" s="494"/>
      <c r="J159" s="494"/>
      <c r="K159" s="494"/>
      <c r="L159" s="494"/>
      <c r="M159" s="494"/>
      <c r="N159" s="494"/>
      <c r="O159" s="494"/>
      <c r="P159" s="494"/>
    </row>
    <row r="160" spans="2:16" s="221" customFormat="1" ht="20.100000000000001" customHeight="1" x14ac:dyDescent="0.25">
      <c r="B160" s="314"/>
      <c r="C160" s="314"/>
      <c r="D160" s="314"/>
      <c r="E160" s="314"/>
      <c r="F160" s="314"/>
      <c r="G160" s="314"/>
      <c r="H160" s="315"/>
      <c r="I160" s="315"/>
      <c r="J160" s="315"/>
      <c r="K160" s="315"/>
      <c r="L160" s="315"/>
      <c r="M160" s="315"/>
      <c r="N160" s="315"/>
      <c r="O160" s="315"/>
      <c r="P160" s="315"/>
    </row>
    <row r="161" spans="2:16" s="221" customFormat="1" ht="20.100000000000001" customHeight="1" x14ac:dyDescent="0.25">
      <c r="B161" s="493"/>
      <c r="C161" s="493"/>
      <c r="D161" s="493"/>
      <c r="E161" s="493"/>
      <c r="F161" s="493"/>
      <c r="G161" s="493"/>
      <c r="H161" s="494"/>
      <c r="I161" s="494"/>
      <c r="J161" s="494"/>
      <c r="K161" s="494"/>
      <c r="L161" s="494"/>
      <c r="M161" s="494"/>
      <c r="N161" s="494"/>
      <c r="O161" s="494"/>
      <c r="P161" s="494"/>
    </row>
    <row r="162" spans="2:16" s="221" customFormat="1" ht="20.100000000000001" customHeight="1" x14ac:dyDescent="0.25">
      <c r="B162" s="314"/>
      <c r="C162" s="314"/>
      <c r="D162" s="314"/>
      <c r="E162" s="314"/>
      <c r="F162" s="314"/>
      <c r="G162" s="314"/>
      <c r="H162" s="315"/>
      <c r="I162" s="315"/>
      <c r="J162" s="315"/>
      <c r="K162" s="315"/>
      <c r="L162" s="315"/>
      <c r="M162" s="315"/>
      <c r="N162" s="315"/>
      <c r="O162" s="315"/>
      <c r="P162" s="315"/>
    </row>
    <row r="163" spans="2:16" s="221" customFormat="1" ht="20.100000000000001" customHeight="1" x14ac:dyDescent="0.25">
      <c r="B163" s="493"/>
      <c r="C163" s="493"/>
      <c r="D163" s="493"/>
      <c r="E163" s="493"/>
      <c r="F163" s="493"/>
      <c r="G163" s="493"/>
      <c r="H163" s="494"/>
      <c r="I163" s="494"/>
      <c r="J163" s="494"/>
      <c r="K163" s="494"/>
      <c r="L163" s="494"/>
      <c r="M163" s="494"/>
      <c r="N163" s="494"/>
      <c r="O163" s="494"/>
      <c r="P163" s="494"/>
    </row>
    <row r="164" spans="2:16" s="221" customFormat="1" ht="20.100000000000001" customHeight="1" x14ac:dyDescent="0.25">
      <c r="B164" s="314"/>
      <c r="C164" s="314"/>
      <c r="D164" s="314"/>
      <c r="E164" s="314"/>
      <c r="F164" s="314"/>
      <c r="G164" s="314"/>
      <c r="H164" s="315"/>
      <c r="I164" s="315"/>
      <c r="J164" s="315"/>
      <c r="K164" s="315"/>
      <c r="L164" s="315"/>
      <c r="M164" s="315"/>
      <c r="N164" s="315"/>
      <c r="O164" s="315"/>
      <c r="P164" s="315"/>
    </row>
    <row r="165" spans="2:16" s="221" customFormat="1" ht="20.100000000000001" customHeight="1" x14ac:dyDescent="0.25">
      <c r="B165" s="493"/>
      <c r="C165" s="493"/>
      <c r="D165" s="493"/>
      <c r="E165" s="493"/>
      <c r="F165" s="493"/>
      <c r="G165" s="493"/>
      <c r="H165" s="494"/>
      <c r="I165" s="494"/>
      <c r="J165" s="494"/>
      <c r="K165" s="494"/>
      <c r="L165" s="494"/>
      <c r="M165" s="494"/>
      <c r="N165" s="494"/>
      <c r="O165" s="494"/>
      <c r="P165" s="494"/>
    </row>
    <row r="166" spans="2:16" s="221" customFormat="1" ht="20.100000000000001" customHeight="1" x14ac:dyDescent="0.25">
      <c r="B166" s="314"/>
      <c r="C166" s="314"/>
      <c r="D166" s="314"/>
      <c r="E166" s="314"/>
      <c r="F166" s="314"/>
      <c r="G166" s="314"/>
      <c r="H166" s="315"/>
      <c r="I166" s="315"/>
      <c r="J166" s="315"/>
      <c r="K166" s="315"/>
      <c r="L166" s="315"/>
      <c r="M166" s="315"/>
      <c r="N166" s="315"/>
      <c r="O166" s="315"/>
      <c r="P166" s="315"/>
    </row>
    <row r="167" spans="2:16" s="221" customFormat="1" ht="20.100000000000001" customHeight="1" x14ac:dyDescent="0.25">
      <c r="B167" s="493"/>
      <c r="C167" s="493"/>
      <c r="D167" s="493"/>
      <c r="E167" s="493"/>
      <c r="F167" s="493"/>
      <c r="G167" s="493"/>
      <c r="H167" s="494"/>
      <c r="I167" s="494"/>
      <c r="J167" s="494"/>
      <c r="K167" s="494"/>
      <c r="L167" s="494"/>
      <c r="M167" s="494"/>
      <c r="N167" s="494"/>
      <c r="O167" s="494"/>
      <c r="P167" s="494"/>
    </row>
    <row r="168" spans="2:16" s="221" customFormat="1" ht="20.100000000000001" customHeight="1" x14ac:dyDescent="0.25">
      <c r="B168" s="314"/>
      <c r="C168" s="314"/>
      <c r="D168" s="314"/>
      <c r="E168" s="314"/>
      <c r="F168" s="314"/>
      <c r="G168" s="314"/>
      <c r="H168" s="315"/>
      <c r="I168" s="315"/>
      <c r="J168" s="315"/>
      <c r="K168" s="315"/>
      <c r="L168" s="315"/>
      <c r="M168" s="315"/>
      <c r="N168" s="315"/>
      <c r="O168" s="315"/>
      <c r="P168" s="315"/>
    </row>
    <row r="169" spans="2:16" s="221" customFormat="1" ht="20.100000000000001" customHeight="1" x14ac:dyDescent="0.25">
      <c r="B169" s="493"/>
      <c r="C169" s="493"/>
      <c r="D169" s="493"/>
      <c r="E169" s="493"/>
      <c r="F169" s="493"/>
      <c r="G169" s="493"/>
      <c r="H169" s="494"/>
      <c r="I169" s="494"/>
      <c r="J169" s="494"/>
      <c r="K169" s="494"/>
      <c r="L169" s="494"/>
      <c r="M169" s="494"/>
      <c r="N169" s="494"/>
      <c r="O169" s="494"/>
      <c r="P169" s="494"/>
    </row>
    <row r="170" spans="2:16" s="221" customFormat="1" ht="20.100000000000001" customHeight="1" x14ac:dyDescent="0.25">
      <c r="B170" s="314"/>
      <c r="C170" s="314"/>
      <c r="D170" s="314"/>
      <c r="E170" s="314"/>
      <c r="F170" s="314"/>
      <c r="G170" s="314"/>
      <c r="H170" s="315"/>
      <c r="I170" s="315"/>
      <c r="J170" s="315"/>
      <c r="K170" s="315"/>
      <c r="L170" s="315"/>
      <c r="M170" s="315"/>
      <c r="N170" s="315"/>
      <c r="O170" s="315"/>
      <c r="P170" s="315"/>
    </row>
    <row r="171" spans="2:16" s="221" customFormat="1" ht="20.100000000000001" customHeight="1" x14ac:dyDescent="0.25">
      <c r="B171" s="493"/>
      <c r="C171" s="493"/>
      <c r="D171" s="493"/>
      <c r="E171" s="493"/>
      <c r="F171" s="493"/>
      <c r="G171" s="493"/>
      <c r="H171" s="494"/>
      <c r="I171" s="494"/>
      <c r="J171" s="494"/>
      <c r="K171" s="494"/>
      <c r="L171" s="494"/>
      <c r="M171" s="494"/>
      <c r="N171" s="494"/>
      <c r="O171" s="494"/>
      <c r="P171" s="494"/>
    </row>
    <row r="172" spans="2:16" s="221" customFormat="1" ht="20.100000000000001" customHeight="1" x14ac:dyDescent="0.25">
      <c r="B172" s="314"/>
      <c r="C172" s="314"/>
      <c r="D172" s="314"/>
      <c r="E172" s="314"/>
      <c r="F172" s="314"/>
      <c r="G172" s="314"/>
      <c r="H172" s="315"/>
      <c r="I172" s="315"/>
      <c r="J172" s="315"/>
      <c r="K172" s="315"/>
      <c r="L172" s="315"/>
      <c r="M172" s="315"/>
      <c r="N172" s="315"/>
      <c r="O172" s="315"/>
      <c r="P172" s="315"/>
    </row>
    <row r="173" spans="2:16" s="221" customFormat="1" ht="20.100000000000001" customHeight="1" x14ac:dyDescent="0.25">
      <c r="B173" s="493"/>
      <c r="C173" s="493"/>
      <c r="D173" s="493"/>
      <c r="E173" s="493"/>
      <c r="F173" s="493"/>
      <c r="G173" s="493"/>
      <c r="H173" s="494"/>
      <c r="I173" s="494"/>
      <c r="J173" s="494"/>
      <c r="K173" s="494"/>
      <c r="L173" s="494"/>
      <c r="M173" s="494"/>
      <c r="N173" s="494"/>
      <c r="O173" s="494"/>
      <c r="P173" s="494"/>
    </row>
    <row r="174" spans="2:16" s="221" customFormat="1" ht="20.100000000000001" customHeight="1" x14ac:dyDescent="0.25">
      <c r="B174" s="314"/>
      <c r="C174" s="314"/>
      <c r="D174" s="314"/>
      <c r="E174" s="314"/>
      <c r="F174" s="314"/>
      <c r="G174" s="314"/>
      <c r="H174" s="315"/>
      <c r="I174" s="315"/>
      <c r="J174" s="315"/>
      <c r="K174" s="315"/>
      <c r="L174" s="315"/>
      <c r="M174" s="315"/>
      <c r="N174" s="315"/>
      <c r="O174" s="315"/>
      <c r="P174" s="315"/>
    </row>
    <row r="175" spans="2:16" s="221" customFormat="1" ht="20.100000000000001" customHeight="1" x14ac:dyDescent="0.25">
      <c r="B175" s="493"/>
      <c r="C175" s="493"/>
      <c r="D175" s="493"/>
      <c r="E175" s="493"/>
      <c r="F175" s="493"/>
      <c r="G175" s="493"/>
      <c r="H175" s="494"/>
      <c r="I175" s="494"/>
      <c r="J175" s="494"/>
      <c r="K175" s="494"/>
      <c r="L175" s="494"/>
      <c r="M175" s="494"/>
      <c r="N175" s="494"/>
      <c r="O175" s="494"/>
      <c r="P175" s="494"/>
    </row>
    <row r="176" spans="2:16" s="221" customFormat="1" ht="20.100000000000001" customHeight="1" x14ac:dyDescent="0.25">
      <c r="B176" s="314"/>
      <c r="C176" s="314"/>
      <c r="D176" s="314"/>
      <c r="E176" s="314"/>
      <c r="F176" s="314"/>
      <c r="G176" s="314"/>
      <c r="H176" s="315"/>
      <c r="I176" s="315"/>
      <c r="J176" s="315"/>
      <c r="K176" s="315"/>
      <c r="L176" s="315"/>
      <c r="M176" s="315"/>
      <c r="N176" s="315"/>
      <c r="O176" s="315"/>
      <c r="P176" s="315"/>
    </row>
    <row r="177" spans="2:16" s="221" customFormat="1" ht="20.100000000000001" customHeight="1" x14ac:dyDescent="0.25">
      <c r="B177" s="493"/>
      <c r="C177" s="493"/>
      <c r="D177" s="493"/>
      <c r="E177" s="493"/>
      <c r="F177" s="493"/>
      <c r="G177" s="493"/>
      <c r="H177" s="494"/>
      <c r="I177" s="494"/>
      <c r="J177" s="494"/>
      <c r="K177" s="494"/>
      <c r="L177" s="494"/>
      <c r="M177" s="494"/>
      <c r="N177" s="494"/>
      <c r="O177" s="494"/>
      <c r="P177" s="494"/>
    </row>
    <row r="178" spans="2:16" s="221" customFormat="1" ht="20.100000000000001" customHeight="1" x14ac:dyDescent="0.25">
      <c r="B178" s="314"/>
      <c r="C178" s="314"/>
      <c r="D178" s="314"/>
      <c r="E178" s="314"/>
      <c r="F178" s="314"/>
      <c r="G178" s="314"/>
      <c r="H178" s="315"/>
      <c r="I178" s="315"/>
      <c r="J178" s="315"/>
      <c r="K178" s="315"/>
      <c r="L178" s="315"/>
      <c r="M178" s="315"/>
      <c r="N178" s="315"/>
      <c r="O178" s="315"/>
      <c r="P178" s="315"/>
    </row>
    <row r="179" spans="2:16" s="221" customFormat="1" ht="20.100000000000001" customHeight="1" x14ac:dyDescent="0.25">
      <c r="B179" s="493"/>
      <c r="C179" s="493"/>
      <c r="D179" s="493"/>
      <c r="E179" s="493"/>
      <c r="F179" s="493"/>
      <c r="G179" s="493"/>
      <c r="H179" s="494"/>
      <c r="I179" s="494"/>
      <c r="J179" s="494"/>
      <c r="K179" s="494"/>
      <c r="L179" s="494"/>
      <c r="M179" s="494"/>
      <c r="N179" s="494"/>
      <c r="O179" s="494"/>
      <c r="P179" s="494"/>
    </row>
    <row r="180" spans="2:16" s="221" customFormat="1" ht="20.100000000000001" customHeight="1" x14ac:dyDescent="0.25">
      <c r="B180" s="314"/>
      <c r="C180" s="314"/>
      <c r="D180" s="314"/>
      <c r="E180" s="314"/>
      <c r="F180" s="314"/>
      <c r="G180" s="314"/>
      <c r="H180" s="315"/>
      <c r="I180" s="315"/>
      <c r="J180" s="315"/>
      <c r="K180" s="315"/>
      <c r="L180" s="315"/>
      <c r="M180" s="315"/>
      <c r="N180" s="315"/>
      <c r="O180" s="315"/>
      <c r="P180" s="315"/>
    </row>
    <row r="181" spans="2:16" s="221" customFormat="1" ht="20.100000000000001" customHeight="1" x14ac:dyDescent="0.25">
      <c r="B181" s="493"/>
      <c r="C181" s="493"/>
      <c r="D181" s="493"/>
      <c r="E181" s="493"/>
      <c r="F181" s="493"/>
      <c r="G181" s="493"/>
      <c r="H181" s="494"/>
      <c r="I181" s="494"/>
      <c r="J181" s="494"/>
      <c r="K181" s="494"/>
      <c r="L181" s="494"/>
      <c r="M181" s="494"/>
      <c r="N181" s="494"/>
      <c r="O181" s="494"/>
      <c r="P181" s="494"/>
    </row>
    <row r="182" spans="2:16" s="221" customFormat="1" ht="20.100000000000001" customHeight="1" x14ac:dyDescent="0.25">
      <c r="B182" s="314"/>
      <c r="C182" s="314"/>
      <c r="D182" s="314"/>
      <c r="E182" s="314"/>
      <c r="F182" s="314"/>
      <c r="G182" s="314"/>
      <c r="H182" s="315"/>
      <c r="I182" s="315"/>
      <c r="J182" s="315"/>
      <c r="K182" s="315"/>
      <c r="L182" s="315"/>
      <c r="M182" s="315"/>
      <c r="N182" s="315"/>
      <c r="O182" s="315"/>
      <c r="P182" s="315"/>
    </row>
    <row r="183" spans="2:16" s="221" customFormat="1" ht="20.100000000000001" customHeight="1" x14ac:dyDescent="0.25">
      <c r="B183" s="493"/>
      <c r="C183" s="493"/>
      <c r="D183" s="493"/>
      <c r="E183" s="493"/>
      <c r="F183" s="493"/>
      <c r="G183" s="493"/>
      <c r="H183" s="494"/>
      <c r="I183" s="494"/>
      <c r="J183" s="494"/>
      <c r="K183" s="494"/>
      <c r="L183" s="494"/>
      <c r="M183" s="494"/>
      <c r="N183" s="494"/>
      <c r="O183" s="494"/>
      <c r="P183" s="494"/>
    </row>
    <row r="184" spans="2:16" s="221" customFormat="1" ht="20.100000000000001" customHeight="1" x14ac:dyDescent="0.25">
      <c r="B184" s="314"/>
      <c r="C184" s="314"/>
      <c r="D184" s="314"/>
      <c r="E184" s="314"/>
      <c r="F184" s="314"/>
      <c r="G184" s="314"/>
      <c r="H184" s="315"/>
      <c r="I184" s="315"/>
      <c r="J184" s="315"/>
      <c r="K184" s="315"/>
      <c r="L184" s="315"/>
      <c r="M184" s="315"/>
      <c r="N184" s="315"/>
      <c r="O184" s="315"/>
      <c r="P184" s="315"/>
    </row>
    <row r="185" spans="2:16" s="221" customFormat="1" ht="20.100000000000001" customHeight="1" x14ac:dyDescent="0.25">
      <c r="B185" s="493"/>
      <c r="C185" s="493"/>
      <c r="D185" s="493"/>
      <c r="E185" s="493"/>
      <c r="F185" s="493"/>
      <c r="G185" s="493"/>
      <c r="H185" s="494"/>
      <c r="I185" s="494"/>
      <c r="J185" s="494"/>
      <c r="K185" s="494"/>
      <c r="L185" s="494"/>
      <c r="M185" s="494"/>
      <c r="N185" s="494"/>
      <c r="O185" s="494"/>
      <c r="P185" s="494"/>
    </row>
    <row r="186" spans="2:16" s="221" customFormat="1" ht="20.100000000000001" customHeight="1" x14ac:dyDescent="0.25">
      <c r="B186" s="314"/>
      <c r="C186" s="314"/>
      <c r="D186" s="314"/>
      <c r="E186" s="314"/>
      <c r="F186" s="314"/>
      <c r="G186" s="314"/>
      <c r="H186" s="315"/>
      <c r="I186" s="315"/>
      <c r="J186" s="315"/>
      <c r="K186" s="315"/>
      <c r="L186" s="315"/>
      <c r="M186" s="315"/>
      <c r="N186" s="315"/>
      <c r="O186" s="315"/>
      <c r="P186" s="315"/>
    </row>
    <row r="187" spans="2:16" s="221" customFormat="1" ht="20.100000000000001" customHeight="1" x14ac:dyDescent="0.25">
      <c r="B187" s="493"/>
      <c r="C187" s="493"/>
      <c r="D187" s="493"/>
      <c r="E187" s="493"/>
      <c r="F187" s="493"/>
      <c r="G187" s="493"/>
      <c r="H187" s="494"/>
      <c r="I187" s="494"/>
      <c r="J187" s="494"/>
      <c r="K187" s="494"/>
      <c r="L187" s="494"/>
      <c r="M187" s="494"/>
      <c r="N187" s="494"/>
      <c r="O187" s="494"/>
      <c r="P187" s="494"/>
    </row>
    <row r="188" spans="2:16" s="221" customFormat="1" ht="20.100000000000001" customHeight="1" x14ac:dyDescent="0.25">
      <c r="B188" s="314"/>
      <c r="C188" s="314"/>
      <c r="D188" s="314"/>
      <c r="E188" s="314"/>
      <c r="F188" s="314"/>
      <c r="G188" s="314"/>
      <c r="H188" s="315"/>
      <c r="I188" s="315"/>
      <c r="J188" s="315"/>
      <c r="K188" s="315"/>
      <c r="L188" s="315"/>
      <c r="M188" s="315"/>
      <c r="N188" s="315"/>
      <c r="O188" s="315"/>
      <c r="P188" s="315"/>
    </row>
    <row r="189" spans="2:16" s="221" customFormat="1" ht="20.100000000000001" customHeight="1" x14ac:dyDescent="0.25">
      <c r="B189" s="493"/>
      <c r="C189" s="493"/>
      <c r="D189" s="493"/>
      <c r="E189" s="493"/>
      <c r="F189" s="493"/>
      <c r="G189" s="493"/>
      <c r="H189" s="494"/>
      <c r="I189" s="494"/>
      <c r="J189" s="494"/>
      <c r="K189" s="494"/>
      <c r="L189" s="494"/>
      <c r="M189" s="494"/>
      <c r="N189" s="494"/>
      <c r="O189" s="494"/>
      <c r="P189" s="494"/>
    </row>
    <row r="190" spans="2:16" s="221" customFormat="1" ht="20.100000000000001" customHeight="1" x14ac:dyDescent="0.25">
      <c r="B190" s="314"/>
      <c r="C190" s="314"/>
      <c r="D190" s="314"/>
      <c r="E190" s="314"/>
      <c r="F190" s="314"/>
      <c r="G190" s="314"/>
      <c r="H190" s="315"/>
      <c r="I190" s="315"/>
      <c r="J190" s="315"/>
      <c r="K190" s="315"/>
      <c r="L190" s="315"/>
      <c r="M190" s="315"/>
      <c r="N190" s="315"/>
      <c r="O190" s="315"/>
      <c r="P190" s="315"/>
    </row>
    <row r="191" spans="2:16" s="221" customFormat="1" ht="20.100000000000001" customHeight="1" x14ac:dyDescent="0.25">
      <c r="B191" s="493"/>
      <c r="C191" s="493"/>
      <c r="D191" s="493"/>
      <c r="E191" s="493"/>
      <c r="F191" s="493"/>
      <c r="G191" s="493"/>
      <c r="H191" s="494"/>
      <c r="I191" s="494"/>
      <c r="J191" s="494"/>
      <c r="K191" s="494"/>
      <c r="L191" s="494"/>
      <c r="M191" s="494"/>
      <c r="N191" s="494"/>
      <c r="O191" s="494"/>
      <c r="P191" s="494"/>
    </row>
    <row r="192" spans="2:16" s="221" customFormat="1" ht="20.100000000000001" customHeight="1" x14ac:dyDescent="0.25">
      <c r="B192" s="314"/>
      <c r="C192" s="314"/>
      <c r="D192" s="314"/>
      <c r="E192" s="314"/>
      <c r="F192" s="314"/>
      <c r="G192" s="314"/>
      <c r="H192" s="315"/>
      <c r="I192" s="315"/>
      <c r="J192" s="315"/>
      <c r="K192" s="315"/>
      <c r="L192" s="315"/>
      <c r="M192" s="315"/>
      <c r="N192" s="315"/>
      <c r="O192" s="315"/>
      <c r="P192" s="315"/>
    </row>
    <row r="193" spans="2:16" s="221" customFormat="1" ht="20.100000000000001" customHeight="1" x14ac:dyDescent="0.25">
      <c r="B193" s="493"/>
      <c r="C193" s="493"/>
      <c r="D193" s="493"/>
      <c r="E193" s="493"/>
      <c r="F193" s="493"/>
      <c r="G193" s="493"/>
      <c r="H193" s="494"/>
      <c r="I193" s="494"/>
      <c r="J193" s="494"/>
      <c r="K193" s="494"/>
      <c r="L193" s="494"/>
      <c r="M193" s="494"/>
      <c r="N193" s="494"/>
      <c r="O193" s="494"/>
      <c r="P193" s="494"/>
    </row>
    <row r="194" spans="2:16" s="221" customFormat="1" ht="20.100000000000001" customHeight="1" x14ac:dyDescent="0.25">
      <c r="B194" s="314"/>
      <c r="C194" s="314"/>
      <c r="D194" s="314"/>
      <c r="E194" s="314"/>
      <c r="F194" s="314"/>
      <c r="G194" s="314"/>
      <c r="H194" s="315"/>
      <c r="I194" s="315"/>
      <c r="J194" s="315"/>
      <c r="K194" s="315"/>
      <c r="L194" s="315"/>
      <c r="M194" s="315"/>
      <c r="N194" s="315"/>
      <c r="O194" s="315"/>
      <c r="P194" s="315"/>
    </row>
    <row r="195" spans="2:16" s="221" customFormat="1" ht="20.100000000000001" customHeight="1" x14ac:dyDescent="0.25">
      <c r="B195" s="493"/>
      <c r="C195" s="493"/>
      <c r="D195" s="493"/>
      <c r="E195" s="493"/>
      <c r="F195" s="493"/>
      <c r="G195" s="493"/>
      <c r="H195" s="494"/>
      <c r="I195" s="494"/>
      <c r="J195" s="494"/>
      <c r="K195" s="494"/>
      <c r="L195" s="494"/>
      <c r="M195" s="494"/>
      <c r="N195" s="494"/>
      <c r="O195" s="494"/>
      <c r="P195" s="494"/>
    </row>
    <row r="196" spans="2:16" s="221" customFormat="1" ht="20.100000000000001" customHeight="1" x14ac:dyDescent="0.25">
      <c r="B196" s="314"/>
      <c r="C196" s="314"/>
      <c r="D196" s="314"/>
      <c r="E196" s="314"/>
      <c r="F196" s="314"/>
      <c r="G196" s="314"/>
      <c r="H196" s="315"/>
      <c r="I196" s="315"/>
      <c r="J196" s="315"/>
      <c r="K196" s="315"/>
      <c r="L196" s="315"/>
      <c r="M196" s="315"/>
      <c r="N196" s="315"/>
      <c r="O196" s="315"/>
      <c r="P196" s="315"/>
    </row>
    <row r="197" spans="2:16" s="221" customFormat="1" ht="20.100000000000001" customHeight="1" x14ac:dyDescent="0.25">
      <c r="B197" s="493"/>
      <c r="C197" s="493"/>
      <c r="D197" s="493"/>
      <c r="E197" s="493"/>
      <c r="F197" s="493"/>
      <c r="G197" s="493"/>
      <c r="H197" s="494"/>
      <c r="I197" s="494"/>
      <c r="J197" s="494"/>
      <c r="K197" s="494"/>
      <c r="L197" s="494"/>
      <c r="M197" s="494"/>
      <c r="N197" s="494"/>
      <c r="O197" s="494"/>
      <c r="P197" s="494"/>
    </row>
    <row r="198" spans="2:16" s="221" customFormat="1" ht="20.100000000000001" customHeight="1" x14ac:dyDescent="0.25">
      <c r="B198" s="314"/>
      <c r="C198" s="314"/>
      <c r="D198" s="314"/>
      <c r="E198" s="314"/>
      <c r="F198" s="314"/>
      <c r="G198" s="314"/>
      <c r="H198" s="315"/>
      <c r="I198" s="315"/>
      <c r="J198" s="315"/>
      <c r="K198" s="315"/>
      <c r="L198" s="315"/>
      <c r="M198" s="315"/>
      <c r="N198" s="315"/>
      <c r="O198" s="315"/>
      <c r="P198" s="315"/>
    </row>
    <row r="199" spans="2:16" s="221" customFormat="1" ht="20.100000000000001" customHeight="1" x14ac:dyDescent="0.25">
      <c r="B199" s="493"/>
      <c r="C199" s="493"/>
      <c r="D199" s="493"/>
      <c r="E199" s="493"/>
      <c r="F199" s="493"/>
      <c r="G199" s="493"/>
      <c r="H199" s="494"/>
      <c r="I199" s="494"/>
      <c r="J199" s="494"/>
      <c r="K199" s="494"/>
      <c r="L199" s="494"/>
      <c r="M199" s="494"/>
      <c r="N199" s="494"/>
      <c r="O199" s="494"/>
      <c r="P199" s="494"/>
    </row>
    <row r="200" spans="2:16" s="221" customFormat="1" ht="20.100000000000001" customHeight="1" x14ac:dyDescent="0.25">
      <c r="B200" s="314"/>
      <c r="C200" s="314"/>
      <c r="D200" s="314"/>
      <c r="E200" s="314"/>
      <c r="F200" s="314"/>
      <c r="G200" s="314"/>
      <c r="H200" s="315"/>
      <c r="I200" s="315"/>
      <c r="J200" s="315"/>
      <c r="K200" s="315"/>
      <c r="L200" s="315"/>
      <c r="M200" s="315"/>
      <c r="N200" s="315"/>
      <c r="O200" s="315"/>
      <c r="P200" s="315"/>
    </row>
    <row r="201" spans="2:16" s="221" customFormat="1" ht="20.100000000000001" customHeight="1" x14ac:dyDescent="0.25">
      <c r="B201" s="493"/>
      <c r="C201" s="493"/>
      <c r="D201" s="493"/>
      <c r="E201" s="493"/>
      <c r="F201" s="493"/>
      <c r="G201" s="493"/>
      <c r="H201" s="494"/>
      <c r="I201" s="494"/>
      <c r="J201" s="494"/>
      <c r="K201" s="494"/>
      <c r="L201" s="494"/>
      <c r="M201" s="494"/>
      <c r="N201" s="494"/>
      <c r="O201" s="494"/>
      <c r="P201" s="494"/>
    </row>
    <row r="202" spans="2:16" s="221" customFormat="1" ht="20.100000000000001" customHeight="1" x14ac:dyDescent="0.25">
      <c r="B202" s="314"/>
      <c r="C202" s="314"/>
      <c r="D202" s="314"/>
      <c r="E202" s="314"/>
      <c r="F202" s="314"/>
      <c r="G202" s="314"/>
      <c r="H202" s="315"/>
      <c r="I202" s="315"/>
      <c r="J202" s="315"/>
      <c r="K202" s="315"/>
      <c r="L202" s="315"/>
      <c r="M202" s="315"/>
      <c r="N202" s="315"/>
      <c r="O202" s="315"/>
      <c r="P202" s="315"/>
    </row>
    <row r="203" spans="2:16" s="221" customFormat="1" ht="20.100000000000001" customHeight="1" x14ac:dyDescent="0.25">
      <c r="B203" s="493"/>
      <c r="C203" s="493"/>
      <c r="D203" s="493"/>
      <c r="E203" s="493"/>
      <c r="F203" s="493"/>
      <c r="G203" s="493"/>
      <c r="H203" s="494"/>
      <c r="I203" s="494"/>
      <c r="J203" s="494"/>
      <c r="K203" s="494"/>
      <c r="L203" s="494"/>
      <c r="M203" s="494"/>
      <c r="N203" s="494"/>
      <c r="O203" s="494"/>
      <c r="P203" s="494"/>
    </row>
    <row r="204" spans="2:16" s="221" customFormat="1" ht="20.100000000000001" customHeight="1" x14ac:dyDescent="0.25">
      <c r="B204" s="314"/>
      <c r="C204" s="314"/>
      <c r="D204" s="314"/>
      <c r="E204" s="314"/>
      <c r="F204" s="314"/>
      <c r="G204" s="314"/>
      <c r="H204" s="315"/>
      <c r="I204" s="315"/>
      <c r="J204" s="315"/>
      <c r="K204" s="315"/>
      <c r="L204" s="315"/>
      <c r="M204" s="315"/>
      <c r="N204" s="315"/>
      <c r="O204" s="315"/>
      <c r="P204" s="315"/>
    </row>
    <row r="205" spans="2:16" s="221" customFormat="1" ht="20.100000000000001" customHeight="1" x14ac:dyDescent="0.25">
      <c r="B205" s="493"/>
      <c r="C205" s="493"/>
      <c r="D205" s="493"/>
      <c r="E205" s="493"/>
      <c r="F205" s="493"/>
      <c r="G205" s="493"/>
      <c r="H205" s="494"/>
      <c r="I205" s="494"/>
      <c r="J205" s="494"/>
      <c r="K205" s="494"/>
      <c r="L205" s="494"/>
      <c r="M205" s="494"/>
      <c r="N205" s="494"/>
      <c r="O205" s="494"/>
      <c r="P205" s="494"/>
    </row>
    <row r="206" spans="2:16" s="221" customFormat="1" ht="20.100000000000001" customHeight="1" x14ac:dyDescent="0.25">
      <c r="B206" s="314"/>
      <c r="C206" s="314"/>
      <c r="D206" s="314"/>
      <c r="E206" s="314"/>
      <c r="F206" s="314"/>
      <c r="G206" s="314"/>
      <c r="H206" s="315"/>
      <c r="I206" s="315"/>
      <c r="J206" s="315"/>
      <c r="K206" s="315"/>
      <c r="L206" s="315"/>
      <c r="M206" s="315"/>
      <c r="N206" s="315"/>
      <c r="O206" s="315"/>
      <c r="P206" s="315"/>
    </row>
    <row r="207" spans="2:16" s="221" customFormat="1" ht="20.100000000000001" customHeight="1" x14ac:dyDescent="0.25">
      <c r="B207" s="493"/>
      <c r="C207" s="493"/>
      <c r="D207" s="493"/>
      <c r="E207" s="493"/>
      <c r="F207" s="493"/>
      <c r="G207" s="493"/>
      <c r="H207" s="494"/>
      <c r="I207" s="494"/>
      <c r="J207" s="494"/>
      <c r="K207" s="494"/>
      <c r="L207" s="494"/>
      <c r="M207" s="494"/>
      <c r="N207" s="494"/>
      <c r="O207" s="494"/>
      <c r="P207" s="494"/>
    </row>
    <row r="208" spans="2:16" s="221" customFormat="1" ht="20.100000000000001" customHeight="1" x14ac:dyDescent="0.25">
      <c r="B208" s="314"/>
      <c r="C208" s="314"/>
      <c r="D208" s="314"/>
      <c r="E208" s="314"/>
      <c r="F208" s="314"/>
      <c r="G208" s="314"/>
      <c r="H208" s="315"/>
      <c r="I208" s="315"/>
      <c r="J208" s="315"/>
      <c r="K208" s="315"/>
      <c r="L208" s="315"/>
      <c r="M208" s="315"/>
      <c r="N208" s="315"/>
      <c r="O208" s="315"/>
      <c r="P208" s="315"/>
    </row>
    <row r="209" spans="2:16" s="221" customFormat="1" ht="20.100000000000001" customHeight="1" x14ac:dyDescent="0.25">
      <c r="B209" s="493"/>
      <c r="C209" s="493"/>
      <c r="D209" s="493"/>
      <c r="E209" s="493"/>
      <c r="F209" s="493"/>
      <c r="G209" s="493"/>
      <c r="H209" s="494"/>
      <c r="I209" s="494"/>
      <c r="J209" s="494"/>
      <c r="K209" s="494"/>
      <c r="L209" s="494"/>
      <c r="M209" s="494"/>
      <c r="N209" s="494"/>
      <c r="O209" s="494"/>
      <c r="P209" s="494"/>
    </row>
    <row r="210" spans="2:16" s="221" customFormat="1" ht="20.100000000000001" customHeight="1" x14ac:dyDescent="0.25">
      <c r="B210" s="314"/>
      <c r="C210" s="314"/>
      <c r="D210" s="314"/>
      <c r="E210" s="314"/>
      <c r="F210" s="314"/>
      <c r="G210" s="314"/>
      <c r="H210" s="315"/>
      <c r="I210" s="315"/>
      <c r="J210" s="315"/>
      <c r="K210" s="315"/>
      <c r="L210" s="315"/>
      <c r="M210" s="315"/>
      <c r="N210" s="315"/>
      <c r="O210" s="315"/>
      <c r="P210" s="315"/>
    </row>
    <row r="211" spans="2:16" s="221" customFormat="1" ht="20.100000000000001" customHeight="1" x14ac:dyDescent="0.25">
      <c r="B211" s="493"/>
      <c r="C211" s="493"/>
      <c r="D211" s="493"/>
      <c r="E211" s="493"/>
      <c r="F211" s="493"/>
      <c r="G211" s="493"/>
      <c r="H211" s="494"/>
      <c r="I211" s="494"/>
      <c r="J211" s="494"/>
      <c r="K211" s="494"/>
      <c r="L211" s="494"/>
      <c r="M211" s="494"/>
      <c r="N211" s="494"/>
      <c r="O211" s="494"/>
      <c r="P211" s="494"/>
    </row>
    <row r="212" spans="2:16" s="221" customFormat="1" ht="20.100000000000001" customHeight="1" x14ac:dyDescent="0.25">
      <c r="B212" s="314"/>
      <c r="C212" s="314"/>
      <c r="D212" s="314"/>
      <c r="E212" s="314"/>
      <c r="F212" s="314"/>
      <c r="G212" s="314"/>
      <c r="H212" s="315"/>
      <c r="I212" s="315"/>
      <c r="J212" s="315"/>
      <c r="K212" s="315"/>
      <c r="L212" s="315"/>
      <c r="M212" s="315"/>
      <c r="N212" s="315"/>
      <c r="O212" s="315"/>
      <c r="P212" s="315"/>
    </row>
    <row r="213" spans="2:16" s="221" customFormat="1" ht="20.100000000000001" customHeight="1" x14ac:dyDescent="0.25">
      <c r="B213" s="493"/>
      <c r="C213" s="493"/>
      <c r="D213" s="493"/>
      <c r="E213" s="493"/>
      <c r="F213" s="493"/>
      <c r="G213" s="493"/>
      <c r="H213" s="494"/>
      <c r="I213" s="494"/>
      <c r="J213" s="494"/>
      <c r="K213" s="494"/>
      <c r="L213" s="494"/>
      <c r="M213" s="494"/>
      <c r="N213" s="494"/>
      <c r="O213" s="494"/>
      <c r="P213" s="494"/>
    </row>
    <row r="214" spans="2:16" s="221" customFormat="1" ht="20.100000000000001" customHeight="1" x14ac:dyDescent="0.25">
      <c r="B214" s="314"/>
      <c r="C214" s="314"/>
      <c r="D214" s="314"/>
      <c r="E214" s="314"/>
      <c r="F214" s="314"/>
      <c r="G214" s="314"/>
      <c r="H214" s="315"/>
      <c r="I214" s="315"/>
      <c r="J214" s="315"/>
      <c r="K214" s="315"/>
      <c r="L214" s="315"/>
      <c r="M214" s="315"/>
      <c r="N214" s="315"/>
      <c r="O214" s="315"/>
      <c r="P214" s="315"/>
    </row>
    <row r="215" spans="2:16" s="221" customFormat="1" ht="20.100000000000001" customHeight="1" x14ac:dyDescent="0.25">
      <c r="B215" s="493"/>
      <c r="C215" s="493"/>
      <c r="D215" s="493"/>
      <c r="E215" s="493"/>
      <c r="F215" s="493"/>
      <c r="G215" s="493"/>
      <c r="H215" s="494"/>
      <c r="I215" s="494"/>
      <c r="J215" s="494"/>
      <c r="K215" s="494"/>
      <c r="L215" s="494"/>
      <c r="M215" s="494"/>
      <c r="N215" s="494"/>
      <c r="O215" s="494"/>
      <c r="P215" s="494"/>
    </row>
    <row r="216" spans="2:16" s="221" customFormat="1" ht="20.100000000000001" customHeight="1" x14ac:dyDescent="0.25">
      <c r="B216" s="314"/>
      <c r="C216" s="314"/>
      <c r="D216" s="314"/>
      <c r="E216" s="314"/>
      <c r="F216" s="314"/>
      <c r="G216" s="314"/>
      <c r="H216" s="315"/>
      <c r="I216" s="315"/>
      <c r="J216" s="315"/>
      <c r="K216" s="315"/>
      <c r="L216" s="315"/>
      <c r="M216" s="315"/>
      <c r="N216" s="315"/>
      <c r="O216" s="315"/>
      <c r="P216" s="315"/>
    </row>
    <row r="217" spans="2:16" s="221" customFormat="1" ht="20.100000000000001" customHeight="1" x14ac:dyDescent="0.25">
      <c r="B217" s="493"/>
      <c r="C217" s="493"/>
      <c r="D217" s="493"/>
      <c r="E217" s="493"/>
      <c r="F217" s="493"/>
      <c r="G217" s="493"/>
      <c r="H217" s="494"/>
      <c r="I217" s="494"/>
      <c r="J217" s="494"/>
      <c r="K217" s="494"/>
      <c r="L217" s="494"/>
      <c r="M217" s="494"/>
      <c r="N217" s="494"/>
      <c r="O217" s="494"/>
      <c r="P217" s="494"/>
    </row>
    <row r="218" spans="2:16" s="221" customFormat="1" ht="20.100000000000001" customHeight="1" x14ac:dyDescent="0.25">
      <c r="B218" s="314"/>
      <c r="C218" s="314"/>
      <c r="D218" s="314"/>
      <c r="E218" s="314"/>
      <c r="F218" s="314"/>
      <c r="G218" s="314"/>
      <c r="H218" s="315"/>
      <c r="I218" s="315"/>
      <c r="J218" s="315"/>
      <c r="K218" s="315"/>
      <c r="L218" s="315"/>
      <c r="M218" s="315"/>
      <c r="N218" s="315"/>
      <c r="O218" s="315"/>
      <c r="P218" s="315"/>
    </row>
    <row r="219" spans="2:16" s="221" customFormat="1" ht="20.100000000000001" customHeight="1" x14ac:dyDescent="0.25">
      <c r="B219" s="493"/>
      <c r="C219" s="493"/>
      <c r="D219" s="493"/>
      <c r="E219" s="493"/>
      <c r="F219" s="493"/>
      <c r="G219" s="493"/>
      <c r="H219" s="494"/>
      <c r="I219" s="494"/>
      <c r="J219" s="494"/>
      <c r="K219" s="494"/>
      <c r="L219" s="494"/>
      <c r="M219" s="494"/>
      <c r="N219" s="494"/>
      <c r="O219" s="494"/>
      <c r="P219" s="494"/>
    </row>
    <row r="220" spans="2:16" s="221" customFormat="1" ht="20.100000000000001" customHeight="1" x14ac:dyDescent="0.25">
      <c r="B220" s="314"/>
      <c r="C220" s="314"/>
      <c r="D220" s="314"/>
      <c r="E220" s="314"/>
      <c r="F220" s="314"/>
      <c r="G220" s="314"/>
      <c r="H220" s="315"/>
      <c r="I220" s="315"/>
      <c r="J220" s="315"/>
      <c r="K220" s="315"/>
      <c r="L220" s="315"/>
      <c r="M220" s="315"/>
      <c r="N220" s="315"/>
      <c r="O220" s="315"/>
      <c r="P220" s="315"/>
    </row>
    <row r="221" spans="2:16" s="221" customFormat="1" ht="20.100000000000001" customHeight="1" x14ac:dyDescent="0.25">
      <c r="B221" s="493"/>
      <c r="C221" s="493"/>
      <c r="D221" s="493"/>
      <c r="E221" s="493"/>
      <c r="F221" s="493"/>
      <c r="G221" s="493"/>
      <c r="H221" s="494"/>
      <c r="I221" s="494"/>
      <c r="J221" s="494"/>
      <c r="K221" s="494"/>
      <c r="L221" s="494"/>
      <c r="M221" s="494"/>
      <c r="N221" s="494"/>
      <c r="O221" s="494"/>
      <c r="P221" s="494"/>
    </row>
    <row r="222" spans="2:16" s="221" customFormat="1" ht="20.100000000000001" customHeight="1" x14ac:dyDescent="0.25">
      <c r="B222" s="314"/>
      <c r="C222" s="314"/>
      <c r="D222" s="314"/>
      <c r="E222" s="314"/>
      <c r="F222" s="314"/>
      <c r="G222" s="314"/>
      <c r="H222" s="315"/>
      <c r="I222" s="315"/>
      <c r="J222" s="315"/>
      <c r="K222" s="315"/>
      <c r="L222" s="315"/>
      <c r="M222" s="315"/>
      <c r="N222" s="315"/>
      <c r="O222" s="315"/>
      <c r="P222" s="315"/>
    </row>
    <row r="223" spans="2:16" s="221" customFormat="1" ht="20.100000000000001" customHeight="1" x14ac:dyDescent="0.25">
      <c r="B223" s="493"/>
      <c r="C223" s="493"/>
      <c r="D223" s="493"/>
      <c r="E223" s="493"/>
      <c r="F223" s="493"/>
      <c r="G223" s="493"/>
      <c r="H223" s="494"/>
      <c r="I223" s="494"/>
      <c r="J223" s="494"/>
      <c r="K223" s="494"/>
      <c r="L223" s="494"/>
      <c r="M223" s="494"/>
      <c r="N223" s="494"/>
      <c r="O223" s="494"/>
      <c r="P223" s="494"/>
    </row>
    <row r="224" spans="2:16" s="221" customFormat="1" ht="20.100000000000001" customHeight="1" x14ac:dyDescent="0.25">
      <c r="B224" s="314"/>
      <c r="C224" s="314"/>
      <c r="D224" s="314"/>
      <c r="E224" s="314"/>
      <c r="F224" s="314"/>
      <c r="G224" s="314"/>
      <c r="H224" s="315"/>
      <c r="I224" s="315"/>
      <c r="J224" s="315"/>
      <c r="K224" s="315"/>
      <c r="L224" s="315"/>
      <c r="M224" s="315"/>
      <c r="N224" s="315"/>
      <c r="O224" s="315"/>
      <c r="P224" s="315"/>
    </row>
    <row r="225" spans="2:16" s="221" customFormat="1" ht="20.100000000000001" customHeight="1" x14ac:dyDescent="0.25">
      <c r="B225" s="493"/>
      <c r="C225" s="493"/>
      <c r="D225" s="493"/>
      <c r="E225" s="493"/>
      <c r="F225" s="493"/>
      <c r="G225" s="493"/>
      <c r="H225" s="494"/>
      <c r="I225" s="494"/>
      <c r="J225" s="494"/>
      <c r="K225" s="494"/>
      <c r="L225" s="494"/>
      <c r="M225" s="494"/>
      <c r="N225" s="494"/>
      <c r="O225" s="494"/>
      <c r="P225" s="494"/>
    </row>
    <row r="226" spans="2:16" s="221" customFormat="1" ht="20.100000000000001" customHeight="1" x14ac:dyDescent="0.25">
      <c r="B226" s="314"/>
      <c r="C226" s="314"/>
      <c r="D226" s="314"/>
      <c r="E226" s="314"/>
      <c r="F226" s="314"/>
      <c r="G226" s="314"/>
      <c r="H226" s="315"/>
      <c r="I226" s="315"/>
      <c r="J226" s="315"/>
      <c r="K226" s="315"/>
      <c r="L226" s="315"/>
      <c r="M226" s="315"/>
      <c r="N226" s="315"/>
      <c r="O226" s="315"/>
      <c r="P226" s="315"/>
    </row>
    <row r="227" spans="2:16" s="221" customFormat="1" ht="20.100000000000001" customHeight="1" x14ac:dyDescent="0.25">
      <c r="B227" s="493"/>
      <c r="C227" s="493"/>
      <c r="D227" s="493"/>
      <c r="E227" s="493"/>
      <c r="F227" s="493"/>
      <c r="G227" s="493"/>
      <c r="H227" s="494"/>
      <c r="I227" s="494"/>
      <c r="J227" s="494"/>
      <c r="K227" s="494"/>
      <c r="L227" s="494"/>
      <c r="M227" s="494"/>
      <c r="N227" s="494"/>
      <c r="O227" s="494"/>
      <c r="P227" s="494"/>
    </row>
    <row r="228" spans="2:16" s="221" customFormat="1" ht="20.100000000000001" customHeight="1" x14ac:dyDescent="0.25">
      <c r="B228" s="314"/>
      <c r="C228" s="314"/>
      <c r="D228" s="314"/>
      <c r="E228" s="314"/>
      <c r="F228" s="314"/>
      <c r="G228" s="314"/>
      <c r="H228" s="315"/>
      <c r="I228" s="315"/>
      <c r="J228" s="315"/>
      <c r="K228" s="315"/>
      <c r="L228" s="315"/>
      <c r="M228" s="315"/>
      <c r="N228" s="315"/>
      <c r="O228" s="315"/>
      <c r="P228" s="315"/>
    </row>
    <row r="229" spans="2:16" s="221" customFormat="1" ht="20.100000000000001" customHeight="1" x14ac:dyDescent="0.25">
      <c r="B229" s="493"/>
      <c r="C229" s="493"/>
      <c r="D229" s="493"/>
      <c r="E229" s="493"/>
      <c r="F229" s="493"/>
      <c r="G229" s="493"/>
      <c r="H229" s="494"/>
      <c r="I229" s="494"/>
      <c r="J229" s="494"/>
      <c r="K229" s="494"/>
      <c r="L229" s="494"/>
      <c r="M229" s="494"/>
      <c r="N229" s="494"/>
      <c r="O229" s="494"/>
      <c r="P229" s="494"/>
    </row>
    <row r="230" spans="2:16" s="221" customFormat="1" ht="20.100000000000001" customHeight="1" x14ac:dyDescent="0.25">
      <c r="B230" s="314"/>
      <c r="C230" s="314"/>
      <c r="D230" s="314"/>
      <c r="E230" s="314"/>
      <c r="F230" s="314"/>
      <c r="G230" s="314"/>
      <c r="H230" s="315"/>
      <c r="I230" s="315"/>
      <c r="J230" s="315"/>
      <c r="K230" s="315"/>
      <c r="L230" s="315"/>
      <c r="M230" s="315"/>
      <c r="N230" s="315"/>
      <c r="O230" s="315"/>
      <c r="P230" s="315"/>
    </row>
    <row r="231" spans="2:16" s="221" customFormat="1" ht="20.100000000000001" customHeight="1" x14ac:dyDescent="0.25">
      <c r="B231" s="493"/>
      <c r="C231" s="493"/>
      <c r="D231" s="493"/>
      <c r="E231" s="493"/>
      <c r="F231" s="493"/>
      <c r="G231" s="493"/>
      <c r="H231" s="494"/>
      <c r="I231" s="494"/>
      <c r="J231" s="494"/>
      <c r="K231" s="494"/>
      <c r="L231" s="494"/>
      <c r="M231" s="494"/>
      <c r="N231" s="494"/>
      <c r="O231" s="494"/>
      <c r="P231" s="494"/>
    </row>
    <row r="232" spans="2:16" s="221" customFormat="1" ht="20.100000000000001" customHeight="1" x14ac:dyDescent="0.25">
      <c r="B232" s="314"/>
      <c r="C232" s="314"/>
      <c r="D232" s="314"/>
      <c r="E232" s="314"/>
      <c r="F232" s="314"/>
      <c r="G232" s="314"/>
      <c r="H232" s="315"/>
      <c r="I232" s="315"/>
      <c r="J232" s="315"/>
      <c r="K232" s="315"/>
      <c r="L232" s="315"/>
      <c r="M232" s="315"/>
      <c r="N232" s="315"/>
      <c r="O232" s="315"/>
      <c r="P232" s="315"/>
    </row>
    <row r="233" spans="2:16" s="221" customFormat="1" ht="20.100000000000001" customHeight="1" x14ac:dyDescent="0.25">
      <c r="B233" s="493"/>
      <c r="C233" s="493"/>
      <c r="D233" s="493"/>
      <c r="E233" s="493"/>
      <c r="F233" s="493"/>
      <c r="G233" s="493"/>
      <c r="H233" s="494"/>
      <c r="I233" s="494"/>
      <c r="J233" s="494"/>
      <c r="K233" s="494"/>
      <c r="L233" s="494"/>
      <c r="M233" s="494"/>
      <c r="N233" s="494"/>
      <c r="O233" s="494"/>
      <c r="P233" s="494"/>
    </row>
    <row r="234" spans="2:16" s="221" customFormat="1" ht="20.100000000000001" customHeight="1" x14ac:dyDescent="0.25">
      <c r="B234" s="314"/>
      <c r="C234" s="314"/>
      <c r="D234" s="314"/>
      <c r="E234" s="314"/>
      <c r="F234" s="314"/>
      <c r="G234" s="314"/>
      <c r="H234" s="315"/>
      <c r="I234" s="315"/>
      <c r="J234" s="315"/>
      <c r="K234" s="315"/>
      <c r="L234" s="315"/>
      <c r="M234" s="315"/>
      <c r="N234" s="315"/>
      <c r="O234" s="315"/>
      <c r="P234" s="315"/>
    </row>
    <row r="235" spans="2:16" s="221" customFormat="1" ht="20.100000000000001" customHeight="1" x14ac:dyDescent="0.25">
      <c r="B235" s="493"/>
      <c r="C235" s="493"/>
      <c r="D235" s="493"/>
      <c r="E235" s="493"/>
      <c r="F235" s="493"/>
      <c r="G235" s="493"/>
      <c r="H235" s="494"/>
      <c r="I235" s="494"/>
      <c r="J235" s="494"/>
      <c r="K235" s="494"/>
      <c r="L235" s="494"/>
      <c r="M235" s="494"/>
      <c r="N235" s="494"/>
      <c r="O235" s="494"/>
      <c r="P235" s="494"/>
    </row>
    <row r="236" spans="2:16" s="221" customFormat="1" ht="20.100000000000001" customHeight="1" x14ac:dyDescent="0.25">
      <c r="B236" s="314"/>
      <c r="C236" s="314"/>
      <c r="D236" s="314"/>
      <c r="E236" s="314"/>
      <c r="F236" s="314"/>
      <c r="G236" s="314"/>
      <c r="H236" s="315"/>
      <c r="I236" s="315"/>
      <c r="J236" s="315"/>
      <c r="K236" s="315"/>
      <c r="L236" s="315"/>
      <c r="M236" s="315"/>
      <c r="N236" s="315"/>
      <c r="O236" s="315"/>
      <c r="P236" s="315"/>
    </row>
    <row r="237" spans="2:16" s="221" customFormat="1" ht="20.100000000000001" customHeight="1" x14ac:dyDescent="0.25">
      <c r="B237" s="493"/>
      <c r="C237" s="493"/>
      <c r="D237" s="493"/>
      <c r="E237" s="493"/>
      <c r="F237" s="493"/>
      <c r="G237" s="493"/>
      <c r="H237" s="494"/>
      <c r="I237" s="494"/>
      <c r="J237" s="494"/>
      <c r="K237" s="494"/>
      <c r="L237" s="494"/>
      <c r="M237" s="494"/>
      <c r="N237" s="494"/>
      <c r="O237" s="494"/>
      <c r="P237" s="494"/>
    </row>
    <row r="238" spans="2:16" s="221" customFormat="1" ht="20.100000000000001" customHeight="1" x14ac:dyDescent="0.25">
      <c r="B238" s="314"/>
      <c r="C238" s="314"/>
      <c r="D238" s="314"/>
      <c r="E238" s="314"/>
      <c r="F238" s="314"/>
      <c r="G238" s="314"/>
      <c r="H238" s="315"/>
      <c r="I238" s="315"/>
      <c r="J238" s="315"/>
      <c r="K238" s="315"/>
      <c r="L238" s="315"/>
      <c r="M238" s="315"/>
      <c r="N238" s="315"/>
      <c r="O238" s="315"/>
      <c r="P238" s="315"/>
    </row>
    <row r="239" spans="2:16" s="221" customFormat="1" ht="20.100000000000001" customHeight="1" x14ac:dyDescent="0.25">
      <c r="B239" s="493"/>
      <c r="C239" s="493"/>
      <c r="D239" s="493"/>
      <c r="E239" s="493"/>
      <c r="F239" s="493"/>
      <c r="G239" s="493"/>
      <c r="H239" s="494"/>
      <c r="I239" s="494"/>
      <c r="J239" s="494"/>
      <c r="K239" s="494"/>
      <c r="L239" s="494"/>
      <c r="M239" s="494"/>
      <c r="N239" s="494"/>
      <c r="O239" s="494"/>
      <c r="P239" s="494"/>
    </row>
    <row r="240" spans="2:16" s="221" customFormat="1" ht="20.100000000000001" customHeight="1" x14ac:dyDescent="0.25">
      <c r="B240" s="314"/>
      <c r="C240" s="314"/>
      <c r="D240" s="314"/>
      <c r="E240" s="314"/>
      <c r="F240" s="314"/>
      <c r="G240" s="314"/>
      <c r="H240" s="315"/>
      <c r="I240" s="315"/>
      <c r="J240" s="315"/>
      <c r="K240" s="315"/>
      <c r="L240" s="315"/>
      <c r="M240" s="315"/>
      <c r="N240" s="315"/>
      <c r="O240" s="315"/>
      <c r="P240" s="315"/>
    </row>
    <row r="241" spans="2:16" s="221" customFormat="1" ht="20.100000000000001" customHeight="1" x14ac:dyDescent="0.25">
      <c r="B241" s="493"/>
      <c r="C241" s="493"/>
      <c r="D241" s="493"/>
      <c r="E241" s="493"/>
      <c r="F241" s="493"/>
      <c r="G241" s="493"/>
      <c r="H241" s="494"/>
      <c r="I241" s="494"/>
      <c r="J241" s="494"/>
      <c r="K241" s="494"/>
      <c r="L241" s="494"/>
      <c r="M241" s="494"/>
      <c r="N241" s="494"/>
      <c r="O241" s="494"/>
      <c r="P241" s="494"/>
    </row>
    <row r="242" spans="2:16" s="221" customFormat="1" ht="20.100000000000001" customHeight="1" x14ac:dyDescent="0.25">
      <c r="B242" s="314"/>
      <c r="C242" s="314"/>
      <c r="D242" s="314"/>
      <c r="E242" s="314"/>
      <c r="F242" s="314"/>
      <c r="G242" s="314"/>
      <c r="H242" s="315"/>
      <c r="I242" s="315"/>
      <c r="J242" s="315"/>
      <c r="K242" s="315"/>
      <c r="L242" s="315"/>
      <c r="M242" s="315"/>
      <c r="N242" s="315"/>
      <c r="O242" s="315"/>
      <c r="P242" s="315"/>
    </row>
    <row r="243" spans="2:16" s="221" customFormat="1" ht="20.100000000000001" customHeight="1" x14ac:dyDescent="0.25">
      <c r="B243" s="493"/>
      <c r="C243" s="493"/>
      <c r="D243" s="493"/>
      <c r="E243" s="493"/>
      <c r="F243" s="493"/>
      <c r="G243" s="493"/>
      <c r="H243" s="494"/>
      <c r="I243" s="494"/>
      <c r="J243" s="494"/>
      <c r="K243" s="494"/>
      <c r="L243" s="494"/>
      <c r="M243" s="494"/>
      <c r="N243" s="494"/>
      <c r="O243" s="494"/>
      <c r="P243" s="494"/>
    </row>
    <row r="244" spans="2:16" s="221" customFormat="1" ht="20.100000000000001" customHeight="1" x14ac:dyDescent="0.25">
      <c r="B244" s="314"/>
      <c r="C244" s="314"/>
      <c r="D244" s="314"/>
      <c r="E244" s="314"/>
      <c r="F244" s="314"/>
      <c r="G244" s="314"/>
      <c r="H244" s="315"/>
      <c r="I244" s="315"/>
      <c r="J244" s="315"/>
      <c r="K244" s="315"/>
      <c r="L244" s="315"/>
      <c r="M244" s="315"/>
      <c r="N244" s="315"/>
      <c r="O244" s="315"/>
      <c r="P244" s="315"/>
    </row>
    <row r="245" spans="2:16" s="221" customFormat="1" ht="20.100000000000001" customHeight="1" x14ac:dyDescent="0.25">
      <c r="B245" s="493"/>
      <c r="C245" s="493"/>
      <c r="D245" s="493"/>
      <c r="E245" s="493"/>
      <c r="F245" s="493"/>
      <c r="G245" s="493"/>
      <c r="H245" s="494"/>
      <c r="I245" s="494"/>
      <c r="J245" s="494"/>
      <c r="K245" s="494"/>
      <c r="L245" s="494"/>
      <c r="M245" s="494"/>
      <c r="N245" s="494"/>
      <c r="O245" s="494"/>
      <c r="P245" s="494"/>
    </row>
    <row r="246" spans="2:16" s="221" customFormat="1" ht="20.100000000000001" customHeight="1" x14ac:dyDescent="0.25">
      <c r="B246" s="314"/>
      <c r="C246" s="314"/>
      <c r="D246" s="314"/>
      <c r="E246" s="314"/>
      <c r="F246" s="314"/>
      <c r="G246" s="314"/>
      <c r="H246" s="315"/>
      <c r="I246" s="315"/>
      <c r="J246" s="315"/>
      <c r="K246" s="315"/>
      <c r="L246" s="315"/>
      <c r="M246" s="315"/>
      <c r="N246" s="315"/>
      <c r="O246" s="315"/>
      <c r="P246" s="315"/>
    </row>
    <row r="247" spans="2:16" s="221" customFormat="1" ht="20.100000000000001" customHeight="1" x14ac:dyDescent="0.25">
      <c r="B247" s="493"/>
      <c r="C247" s="493"/>
      <c r="D247" s="493"/>
      <c r="E247" s="493"/>
      <c r="F247" s="493"/>
      <c r="G247" s="493"/>
      <c r="H247" s="494"/>
      <c r="I247" s="494"/>
      <c r="J247" s="494"/>
      <c r="K247" s="494"/>
      <c r="L247" s="494"/>
      <c r="M247" s="494"/>
      <c r="N247" s="494"/>
      <c r="O247" s="494"/>
      <c r="P247" s="494"/>
    </row>
    <row r="248" spans="2:16" s="221" customFormat="1" ht="20.100000000000001" customHeight="1" x14ac:dyDescent="0.25">
      <c r="B248" s="314"/>
      <c r="C248" s="314"/>
      <c r="D248" s="314"/>
      <c r="E248" s="314"/>
      <c r="F248" s="314"/>
      <c r="G248" s="314"/>
      <c r="H248" s="315"/>
      <c r="I248" s="315"/>
      <c r="J248" s="315"/>
      <c r="K248" s="315"/>
      <c r="L248" s="315"/>
      <c r="M248" s="315"/>
      <c r="N248" s="315"/>
      <c r="O248" s="315"/>
      <c r="P248" s="315"/>
    </row>
    <row r="249" spans="2:16" s="221" customFormat="1" ht="20.100000000000001" customHeight="1" x14ac:dyDescent="0.25">
      <c r="B249" s="493"/>
      <c r="C249" s="493"/>
      <c r="D249" s="493"/>
      <c r="E249" s="493"/>
      <c r="F249" s="493"/>
      <c r="G249" s="493"/>
      <c r="H249" s="494"/>
      <c r="I249" s="494"/>
      <c r="J249" s="494"/>
      <c r="K249" s="494"/>
      <c r="L249" s="494"/>
      <c r="M249" s="494"/>
      <c r="N249" s="494"/>
      <c r="O249" s="494"/>
      <c r="P249" s="494"/>
    </row>
    <row r="250" spans="2:16" s="221" customFormat="1" ht="20.100000000000001" customHeight="1" x14ac:dyDescent="0.25">
      <c r="B250" s="314"/>
      <c r="C250" s="314"/>
      <c r="D250" s="314"/>
      <c r="E250" s="314"/>
      <c r="F250" s="314"/>
      <c r="G250" s="314"/>
      <c r="H250" s="315"/>
      <c r="I250" s="315"/>
      <c r="J250" s="315"/>
      <c r="K250" s="315"/>
      <c r="L250" s="315"/>
      <c r="M250" s="315"/>
      <c r="N250" s="315"/>
      <c r="O250" s="315"/>
      <c r="P250" s="315"/>
    </row>
    <row r="251" spans="2:16" s="221" customFormat="1" ht="20.100000000000001" customHeight="1" x14ac:dyDescent="0.25">
      <c r="B251" s="493"/>
      <c r="C251" s="493"/>
      <c r="D251" s="493"/>
      <c r="E251" s="493"/>
      <c r="F251" s="493"/>
      <c r="G251" s="493"/>
      <c r="H251" s="494"/>
      <c r="I251" s="494"/>
      <c r="J251" s="494"/>
      <c r="K251" s="494"/>
      <c r="L251" s="494"/>
      <c r="M251" s="494"/>
      <c r="N251" s="494"/>
      <c r="O251" s="494"/>
      <c r="P251" s="494"/>
    </row>
    <row r="252" spans="2:16" s="221" customFormat="1" ht="20.100000000000001" customHeight="1" x14ac:dyDescent="0.25">
      <c r="B252" s="314"/>
      <c r="C252" s="314"/>
      <c r="D252" s="314"/>
      <c r="E252" s="314"/>
      <c r="F252" s="314"/>
      <c r="G252" s="314"/>
      <c r="H252" s="315"/>
      <c r="I252" s="315"/>
      <c r="J252" s="315"/>
      <c r="K252" s="315"/>
      <c r="L252" s="315"/>
      <c r="M252" s="315"/>
      <c r="N252" s="315"/>
      <c r="O252" s="315"/>
      <c r="P252" s="315"/>
    </row>
    <row r="253" spans="2:16" s="221" customFormat="1" ht="20.100000000000001" customHeight="1" x14ac:dyDescent="0.25">
      <c r="B253" s="493"/>
      <c r="C253" s="493"/>
      <c r="D253" s="493"/>
      <c r="E253" s="493"/>
      <c r="F253" s="493"/>
      <c r="G253" s="493"/>
      <c r="H253" s="494"/>
      <c r="I253" s="494"/>
      <c r="J253" s="494"/>
      <c r="K253" s="494"/>
      <c r="L253" s="494"/>
      <c r="M253" s="494"/>
      <c r="N253" s="494"/>
      <c r="O253" s="494"/>
      <c r="P253" s="494"/>
    </row>
    <row r="254" spans="2:16" s="221" customFormat="1" ht="20.100000000000001" customHeight="1" x14ac:dyDescent="0.25">
      <c r="B254" s="314"/>
      <c r="C254" s="314"/>
      <c r="D254" s="314"/>
      <c r="E254" s="314"/>
      <c r="F254" s="314"/>
      <c r="G254" s="314"/>
      <c r="H254" s="315"/>
      <c r="I254" s="315"/>
      <c r="J254" s="315"/>
      <c r="K254" s="315"/>
      <c r="L254" s="315"/>
      <c r="M254" s="315"/>
      <c r="N254" s="315"/>
      <c r="O254" s="315"/>
      <c r="P254" s="315"/>
    </row>
    <row r="255" spans="2:16" s="221" customFormat="1" ht="20.100000000000001" customHeight="1" x14ac:dyDescent="0.25">
      <c r="B255" s="493"/>
      <c r="C255" s="493"/>
      <c r="D255" s="493"/>
      <c r="E255" s="493"/>
      <c r="F255" s="493"/>
      <c r="G255" s="493"/>
      <c r="H255" s="494"/>
      <c r="I255" s="494"/>
      <c r="J255" s="494"/>
      <c r="K255" s="494"/>
      <c r="L255" s="494"/>
      <c r="M255" s="494"/>
      <c r="N255" s="494"/>
      <c r="O255" s="494"/>
      <c r="P255" s="494"/>
    </row>
    <row r="256" spans="2:16" s="221" customFormat="1" ht="20.100000000000001" customHeight="1" x14ac:dyDescent="0.25">
      <c r="B256" s="314"/>
      <c r="C256" s="314"/>
      <c r="D256" s="314"/>
      <c r="E256" s="314"/>
      <c r="F256" s="314"/>
      <c r="G256" s="314"/>
      <c r="H256" s="315"/>
      <c r="I256" s="315"/>
      <c r="J256" s="315"/>
      <c r="K256" s="315"/>
      <c r="L256" s="315"/>
      <c r="M256" s="315"/>
      <c r="N256" s="315"/>
      <c r="O256" s="315"/>
      <c r="P256" s="315"/>
    </row>
    <row r="257" spans="2:16" s="221" customFormat="1" ht="20.100000000000001" customHeight="1" x14ac:dyDescent="0.25">
      <c r="B257" s="493"/>
      <c r="C257" s="493"/>
      <c r="D257" s="493"/>
      <c r="E257" s="493"/>
      <c r="F257" s="493"/>
      <c r="G257" s="493"/>
      <c r="H257" s="494"/>
      <c r="I257" s="494"/>
      <c r="J257" s="494"/>
      <c r="K257" s="494"/>
      <c r="L257" s="494"/>
      <c r="M257" s="494"/>
      <c r="N257" s="494"/>
      <c r="O257" s="494"/>
      <c r="P257" s="494"/>
    </row>
    <row r="258" spans="2:16" s="221" customFormat="1" ht="20.100000000000001" customHeight="1" x14ac:dyDescent="0.25">
      <c r="B258" s="314"/>
      <c r="C258" s="314"/>
      <c r="D258" s="314"/>
      <c r="E258" s="314"/>
      <c r="F258" s="314"/>
      <c r="G258" s="314"/>
      <c r="H258" s="315"/>
      <c r="I258" s="315"/>
      <c r="J258" s="315"/>
      <c r="K258" s="315"/>
      <c r="L258" s="315"/>
      <c r="M258" s="315"/>
      <c r="N258" s="315"/>
      <c r="O258" s="315"/>
      <c r="P258" s="315"/>
    </row>
    <row r="259" spans="2:16" s="221" customFormat="1" ht="20.100000000000001" customHeight="1" x14ac:dyDescent="0.25">
      <c r="B259" s="493"/>
      <c r="C259" s="493"/>
      <c r="D259" s="493"/>
      <c r="E259" s="493"/>
      <c r="F259" s="493"/>
      <c r="G259" s="493"/>
      <c r="H259" s="494"/>
      <c r="I259" s="494"/>
      <c r="J259" s="494"/>
      <c r="K259" s="494"/>
      <c r="L259" s="494"/>
      <c r="M259" s="494"/>
      <c r="N259" s="494"/>
      <c r="O259" s="494"/>
      <c r="P259" s="494"/>
    </row>
    <row r="260" spans="2:16" s="221" customFormat="1" ht="20.100000000000001" customHeight="1" x14ac:dyDescent="0.25">
      <c r="B260" s="314"/>
      <c r="C260" s="314"/>
      <c r="D260" s="314"/>
      <c r="E260" s="314"/>
      <c r="F260" s="314"/>
      <c r="G260" s="314"/>
      <c r="H260" s="315"/>
      <c r="I260" s="315"/>
      <c r="J260" s="315"/>
      <c r="K260" s="315"/>
      <c r="L260" s="315"/>
      <c r="M260" s="315"/>
      <c r="N260" s="315"/>
      <c r="O260" s="315"/>
      <c r="P260" s="315"/>
    </row>
    <row r="261" spans="2:16" s="221" customFormat="1" ht="20.100000000000001" customHeight="1" x14ac:dyDescent="0.25">
      <c r="B261" s="493"/>
      <c r="C261" s="493"/>
      <c r="D261" s="493"/>
      <c r="E261" s="493"/>
      <c r="F261" s="493"/>
      <c r="G261" s="493"/>
      <c r="H261" s="494"/>
      <c r="I261" s="494"/>
      <c r="J261" s="494"/>
      <c r="K261" s="494"/>
      <c r="L261" s="494"/>
      <c r="M261" s="494"/>
      <c r="N261" s="494"/>
      <c r="O261" s="494"/>
      <c r="P261" s="494"/>
    </row>
    <row r="262" spans="2:16" s="221" customFormat="1" ht="20.100000000000001" customHeight="1" x14ac:dyDescent="0.25">
      <c r="B262" s="314"/>
      <c r="C262" s="314"/>
      <c r="D262" s="314"/>
      <c r="E262" s="314"/>
      <c r="F262" s="314"/>
      <c r="G262" s="314"/>
      <c r="H262" s="315"/>
      <c r="I262" s="315"/>
      <c r="J262" s="315"/>
      <c r="K262" s="315"/>
      <c r="L262" s="315"/>
      <c r="M262" s="315"/>
      <c r="N262" s="315"/>
      <c r="O262" s="315"/>
      <c r="P262" s="315"/>
    </row>
    <row r="263" spans="2:16" s="221" customFormat="1" ht="20.100000000000001" customHeight="1" x14ac:dyDescent="0.25">
      <c r="B263" s="493"/>
      <c r="C263" s="493"/>
      <c r="D263" s="493"/>
      <c r="E263" s="493"/>
      <c r="F263" s="493"/>
      <c r="G263" s="493"/>
      <c r="H263" s="494"/>
      <c r="I263" s="494"/>
      <c r="J263" s="494"/>
      <c r="K263" s="494"/>
      <c r="L263" s="494"/>
      <c r="M263" s="494"/>
      <c r="N263" s="494"/>
      <c r="O263" s="494"/>
      <c r="P263" s="494"/>
    </row>
    <row r="264" spans="2:16" s="221" customFormat="1" ht="20.100000000000001" customHeight="1" x14ac:dyDescent="0.25">
      <c r="B264" s="314"/>
      <c r="C264" s="314"/>
      <c r="D264" s="314"/>
      <c r="E264" s="314"/>
      <c r="F264" s="314"/>
      <c r="G264" s="314"/>
      <c r="H264" s="315"/>
      <c r="I264" s="315"/>
      <c r="J264" s="315"/>
      <c r="K264" s="315"/>
      <c r="L264" s="315"/>
      <c r="M264" s="315"/>
      <c r="N264" s="315"/>
      <c r="O264" s="315"/>
      <c r="P264" s="315"/>
    </row>
    <row r="265" spans="2:16" s="221" customFormat="1" ht="20.100000000000001" customHeight="1" x14ac:dyDescent="0.25">
      <c r="B265" s="493"/>
      <c r="C265" s="493"/>
      <c r="D265" s="493"/>
      <c r="E265" s="493"/>
      <c r="F265" s="493"/>
      <c r="G265" s="493"/>
      <c r="H265" s="494"/>
      <c r="I265" s="494"/>
      <c r="J265" s="494"/>
      <c r="K265" s="494"/>
      <c r="L265" s="494"/>
      <c r="M265" s="494"/>
      <c r="N265" s="494"/>
      <c r="O265" s="494"/>
      <c r="P265" s="494"/>
    </row>
    <row r="266" spans="2:16" s="221" customFormat="1" ht="20.100000000000001" customHeight="1" x14ac:dyDescent="0.25">
      <c r="B266" s="314"/>
      <c r="C266" s="314"/>
      <c r="D266" s="314"/>
      <c r="E266" s="314"/>
      <c r="F266" s="314"/>
      <c r="G266" s="314"/>
      <c r="H266" s="315"/>
      <c r="I266" s="315"/>
      <c r="J266" s="315"/>
      <c r="K266" s="315"/>
      <c r="L266" s="315"/>
      <c r="M266" s="315"/>
      <c r="N266" s="315"/>
      <c r="O266" s="315"/>
      <c r="P266" s="315"/>
    </row>
    <row r="267" spans="2:16" s="221" customFormat="1" ht="20.100000000000001" customHeight="1" x14ac:dyDescent="0.25">
      <c r="B267" s="493"/>
      <c r="C267" s="493"/>
      <c r="D267" s="493"/>
      <c r="E267" s="493"/>
      <c r="F267" s="493"/>
      <c r="G267" s="493"/>
      <c r="H267" s="494"/>
      <c r="I267" s="494"/>
      <c r="J267" s="494"/>
      <c r="K267" s="494"/>
      <c r="L267" s="494"/>
      <c r="M267" s="494"/>
      <c r="N267" s="494"/>
      <c r="O267" s="494"/>
      <c r="P267" s="494"/>
    </row>
    <row r="268" spans="2:16" s="221" customFormat="1" ht="20.100000000000001" customHeight="1" x14ac:dyDescent="0.25">
      <c r="B268" s="314"/>
      <c r="C268" s="314"/>
      <c r="D268" s="314"/>
      <c r="E268" s="314"/>
      <c r="F268" s="314"/>
      <c r="G268" s="314"/>
      <c r="H268" s="315"/>
      <c r="I268" s="315"/>
      <c r="J268" s="315"/>
      <c r="K268" s="315"/>
      <c r="L268" s="315"/>
      <c r="M268" s="315"/>
      <c r="N268" s="315"/>
      <c r="O268" s="315"/>
      <c r="P268" s="315"/>
    </row>
    <row r="269" spans="2:16" s="221" customFormat="1" ht="20.100000000000001" customHeight="1" x14ac:dyDescent="0.25">
      <c r="B269" s="493"/>
      <c r="C269" s="493"/>
      <c r="D269" s="493"/>
      <c r="E269" s="493"/>
      <c r="F269" s="493"/>
      <c r="G269" s="493"/>
      <c r="H269" s="494"/>
      <c r="I269" s="494"/>
      <c r="J269" s="494"/>
      <c r="K269" s="494"/>
      <c r="L269" s="494"/>
      <c r="M269" s="494"/>
      <c r="N269" s="494"/>
      <c r="O269" s="494"/>
      <c r="P269" s="494"/>
    </row>
    <row r="270" spans="2:16" s="221" customFormat="1" ht="20.100000000000001" customHeight="1" x14ac:dyDescent="0.25">
      <c r="B270" s="314"/>
      <c r="C270" s="314"/>
      <c r="D270" s="314"/>
      <c r="E270" s="314"/>
      <c r="F270" s="314"/>
      <c r="G270" s="314"/>
      <c r="H270" s="315"/>
      <c r="I270" s="315"/>
      <c r="J270" s="315"/>
      <c r="K270" s="315"/>
      <c r="L270" s="315"/>
      <c r="M270" s="315"/>
      <c r="N270" s="315"/>
      <c r="O270" s="315"/>
      <c r="P270" s="315"/>
    </row>
    <row r="271" spans="2:16" s="221" customFormat="1" ht="20.100000000000001" customHeight="1" x14ac:dyDescent="0.25">
      <c r="B271" s="493"/>
      <c r="C271" s="493"/>
      <c r="D271" s="493"/>
      <c r="E271" s="493"/>
      <c r="F271" s="493"/>
      <c r="G271" s="493"/>
      <c r="H271" s="494"/>
      <c r="I271" s="494"/>
      <c r="J271" s="494"/>
      <c r="K271" s="494"/>
      <c r="L271" s="494"/>
      <c r="M271" s="494"/>
      <c r="N271" s="494"/>
      <c r="O271" s="494"/>
      <c r="P271" s="494"/>
    </row>
    <row r="272" spans="2:16" s="221" customFormat="1" ht="20.100000000000001" customHeight="1" x14ac:dyDescent="0.25">
      <c r="B272" s="314"/>
      <c r="C272" s="314"/>
      <c r="D272" s="314"/>
      <c r="E272" s="314"/>
      <c r="F272" s="314"/>
      <c r="G272" s="314"/>
      <c r="H272" s="315"/>
      <c r="I272" s="315"/>
      <c r="J272" s="315"/>
      <c r="K272" s="315"/>
      <c r="L272" s="315"/>
      <c r="M272" s="315"/>
      <c r="N272" s="315"/>
      <c r="O272" s="315"/>
      <c r="P272" s="315"/>
    </row>
    <row r="273" spans="2:16" s="221" customFormat="1" ht="20.100000000000001" customHeight="1" x14ac:dyDescent="0.25">
      <c r="B273" s="493"/>
      <c r="C273" s="493"/>
      <c r="D273" s="493"/>
      <c r="E273" s="493"/>
      <c r="F273" s="493"/>
      <c r="G273" s="493"/>
      <c r="H273" s="494"/>
      <c r="I273" s="494"/>
      <c r="J273" s="494"/>
      <c r="K273" s="494"/>
      <c r="L273" s="494"/>
      <c r="M273" s="494"/>
      <c r="N273" s="494"/>
      <c r="O273" s="494"/>
      <c r="P273" s="494"/>
    </row>
    <row r="274" spans="2:16" s="221" customFormat="1" ht="20.100000000000001" customHeight="1" x14ac:dyDescent="0.25">
      <c r="B274" s="314"/>
      <c r="C274" s="314"/>
      <c r="D274" s="314"/>
      <c r="E274" s="314"/>
      <c r="F274" s="314"/>
      <c r="G274" s="314"/>
      <c r="H274" s="315"/>
      <c r="I274" s="315"/>
      <c r="J274" s="315"/>
      <c r="K274" s="315"/>
      <c r="L274" s="315"/>
      <c r="M274" s="315"/>
      <c r="N274" s="315"/>
      <c r="O274" s="315"/>
      <c r="P274" s="315"/>
    </row>
    <row r="275" spans="2:16" s="221" customFormat="1" ht="20.100000000000001" customHeight="1" x14ac:dyDescent="0.25">
      <c r="B275" s="493"/>
      <c r="C275" s="493"/>
      <c r="D275" s="493"/>
      <c r="E275" s="493"/>
      <c r="F275" s="493"/>
      <c r="G275" s="493"/>
      <c r="H275" s="494"/>
      <c r="I275" s="494"/>
      <c r="J275" s="494"/>
      <c r="K275" s="494"/>
      <c r="L275" s="494"/>
      <c r="M275" s="494"/>
      <c r="N275" s="494"/>
      <c r="O275" s="494"/>
      <c r="P275" s="494"/>
    </row>
    <row r="276" spans="2:16" s="221" customFormat="1" ht="20.100000000000001" customHeight="1" x14ac:dyDescent="0.25">
      <c r="B276" s="314"/>
      <c r="C276" s="314"/>
      <c r="D276" s="314"/>
      <c r="E276" s="314"/>
      <c r="F276" s="314"/>
      <c r="G276" s="314"/>
      <c r="H276" s="315"/>
      <c r="I276" s="315"/>
      <c r="J276" s="315"/>
      <c r="K276" s="315"/>
      <c r="L276" s="315"/>
      <c r="M276" s="315"/>
      <c r="N276" s="315"/>
      <c r="O276" s="315"/>
      <c r="P276" s="315"/>
    </row>
    <row r="277" spans="2:16" s="221" customFormat="1" ht="20.100000000000001" customHeight="1" x14ac:dyDescent="0.25">
      <c r="B277" s="493"/>
      <c r="C277" s="493"/>
      <c r="D277" s="493"/>
      <c r="E277" s="493"/>
      <c r="F277" s="493"/>
      <c r="G277" s="493"/>
      <c r="H277" s="494"/>
      <c r="I277" s="494"/>
      <c r="J277" s="494"/>
      <c r="K277" s="494"/>
      <c r="L277" s="494"/>
      <c r="M277" s="494"/>
      <c r="N277" s="494"/>
      <c r="O277" s="494"/>
      <c r="P277" s="494"/>
    </row>
    <row r="278" spans="2:16" s="221" customFormat="1" ht="20.100000000000001" customHeight="1" x14ac:dyDescent="0.25">
      <c r="B278" s="314"/>
      <c r="C278" s="314"/>
      <c r="D278" s="314"/>
      <c r="E278" s="314"/>
      <c r="F278" s="314"/>
      <c r="G278" s="314"/>
      <c r="H278" s="315"/>
      <c r="I278" s="315"/>
      <c r="J278" s="315"/>
      <c r="K278" s="315"/>
      <c r="L278" s="315"/>
      <c r="M278" s="315"/>
      <c r="N278" s="315"/>
      <c r="O278" s="315"/>
      <c r="P278" s="315"/>
    </row>
    <row r="279" spans="2:16" s="221" customFormat="1" ht="20.100000000000001" customHeight="1" x14ac:dyDescent="0.25">
      <c r="B279" s="493"/>
      <c r="C279" s="493"/>
      <c r="D279" s="493"/>
      <c r="E279" s="493"/>
      <c r="F279" s="493"/>
      <c r="G279" s="493"/>
      <c r="H279" s="494"/>
      <c r="I279" s="494"/>
      <c r="J279" s="494"/>
      <c r="K279" s="494"/>
      <c r="L279" s="494"/>
      <c r="M279" s="494"/>
      <c r="N279" s="494"/>
      <c r="O279" s="494"/>
      <c r="P279" s="494"/>
    </row>
    <row r="280" spans="2:16" s="221" customFormat="1" ht="20.100000000000001" customHeight="1" x14ac:dyDescent="0.25">
      <c r="B280" s="314"/>
      <c r="C280" s="314"/>
      <c r="D280" s="314"/>
      <c r="E280" s="314"/>
      <c r="F280" s="314"/>
      <c r="G280" s="314"/>
      <c r="H280" s="315"/>
      <c r="I280" s="315"/>
      <c r="J280" s="315"/>
      <c r="K280" s="315"/>
      <c r="L280" s="315"/>
      <c r="M280" s="315"/>
      <c r="N280" s="315"/>
      <c r="O280" s="315"/>
      <c r="P280" s="315"/>
    </row>
    <row r="281" spans="2:16" s="221" customFormat="1" ht="20.100000000000001" customHeight="1" x14ac:dyDescent="0.25">
      <c r="B281" s="493"/>
      <c r="C281" s="493"/>
      <c r="D281" s="493"/>
      <c r="E281" s="493"/>
      <c r="F281" s="493"/>
      <c r="G281" s="493"/>
      <c r="H281" s="494"/>
      <c r="I281" s="494"/>
      <c r="J281" s="494"/>
      <c r="K281" s="494"/>
      <c r="L281" s="494"/>
      <c r="M281" s="494"/>
      <c r="N281" s="494"/>
      <c r="O281" s="494"/>
      <c r="P281" s="494"/>
    </row>
    <row r="282" spans="2:16" s="221" customFormat="1" ht="20.100000000000001" customHeight="1" x14ac:dyDescent="0.25">
      <c r="B282" s="314"/>
      <c r="C282" s="314"/>
      <c r="D282" s="314"/>
      <c r="E282" s="314"/>
      <c r="F282" s="314"/>
      <c r="G282" s="314"/>
      <c r="H282" s="315"/>
      <c r="I282" s="315"/>
      <c r="J282" s="315"/>
      <c r="K282" s="315"/>
      <c r="L282" s="315"/>
      <c r="M282" s="315"/>
      <c r="N282" s="315"/>
      <c r="O282" s="315"/>
      <c r="P282" s="315"/>
    </row>
    <row r="283" spans="2:16" s="221" customFormat="1" ht="20.100000000000001" customHeight="1" x14ac:dyDescent="0.25">
      <c r="B283" s="493"/>
      <c r="C283" s="493"/>
      <c r="D283" s="493"/>
      <c r="E283" s="493"/>
      <c r="F283" s="493"/>
      <c r="G283" s="493"/>
      <c r="H283" s="494"/>
      <c r="I283" s="494"/>
      <c r="J283" s="494"/>
      <c r="K283" s="494"/>
      <c r="L283" s="494"/>
      <c r="M283" s="494"/>
      <c r="N283" s="494"/>
      <c r="O283" s="494"/>
      <c r="P283" s="494"/>
    </row>
    <row r="284" spans="2:16" s="221" customFormat="1" ht="20.100000000000001" customHeight="1" x14ac:dyDescent="0.25">
      <c r="B284" s="314"/>
      <c r="C284" s="314"/>
      <c r="D284" s="314"/>
      <c r="E284" s="314"/>
      <c r="F284" s="314"/>
      <c r="G284" s="314"/>
      <c r="H284" s="315"/>
      <c r="I284" s="315"/>
      <c r="J284" s="315"/>
      <c r="K284" s="315"/>
      <c r="L284" s="315"/>
      <c r="M284" s="315"/>
      <c r="N284" s="315"/>
      <c r="O284" s="315"/>
      <c r="P284" s="315"/>
    </row>
    <row r="285" spans="2:16" s="221" customFormat="1" ht="20.100000000000001" customHeight="1" x14ac:dyDescent="0.25">
      <c r="B285" s="493"/>
      <c r="C285" s="493"/>
      <c r="D285" s="493"/>
      <c r="E285" s="493"/>
      <c r="F285" s="493"/>
      <c r="G285" s="493"/>
      <c r="H285" s="494"/>
      <c r="I285" s="494"/>
      <c r="J285" s="494"/>
      <c r="K285" s="494"/>
      <c r="L285" s="494"/>
      <c r="M285" s="494"/>
      <c r="N285" s="494"/>
      <c r="O285" s="494"/>
      <c r="P285" s="494"/>
    </row>
    <row r="286" spans="2:16" s="221" customFormat="1" ht="20.100000000000001" customHeight="1" x14ac:dyDescent="0.25">
      <c r="B286" s="314"/>
      <c r="C286" s="314"/>
      <c r="D286" s="314"/>
      <c r="E286" s="314"/>
      <c r="F286" s="314"/>
      <c r="G286" s="314"/>
      <c r="H286" s="315"/>
      <c r="I286" s="315"/>
      <c r="J286" s="315"/>
      <c r="K286" s="315"/>
      <c r="L286" s="315"/>
      <c r="M286" s="315"/>
      <c r="N286" s="315"/>
      <c r="O286" s="315"/>
      <c r="P286" s="315"/>
    </row>
    <row r="287" spans="2:16" s="221" customFormat="1" ht="20.100000000000001" customHeight="1" x14ac:dyDescent="0.25">
      <c r="B287" s="493"/>
      <c r="C287" s="493"/>
      <c r="D287" s="493"/>
      <c r="E287" s="493"/>
      <c r="F287" s="493"/>
      <c r="G287" s="493"/>
      <c r="H287" s="494"/>
      <c r="I287" s="494"/>
      <c r="J287" s="494"/>
      <c r="K287" s="494"/>
      <c r="L287" s="494"/>
      <c r="M287" s="494"/>
      <c r="N287" s="494"/>
      <c r="O287" s="494"/>
      <c r="P287" s="494"/>
    </row>
    <row r="288" spans="2:16" s="221" customFormat="1" ht="20.100000000000001" customHeight="1" x14ac:dyDescent="0.25">
      <c r="B288" s="314"/>
      <c r="C288" s="314"/>
      <c r="D288" s="314"/>
      <c r="E288" s="314"/>
      <c r="F288" s="314"/>
      <c r="G288" s="314"/>
      <c r="H288" s="315"/>
      <c r="I288" s="315"/>
      <c r="J288" s="315"/>
      <c r="K288" s="315"/>
      <c r="L288" s="315"/>
      <c r="M288" s="315"/>
      <c r="N288" s="315"/>
      <c r="O288" s="315"/>
      <c r="P288" s="315"/>
    </row>
    <row r="289" spans="2:16" s="221" customFormat="1" ht="20.100000000000001" customHeight="1" x14ac:dyDescent="0.25">
      <c r="B289" s="493"/>
      <c r="C289" s="493"/>
      <c r="D289" s="493"/>
      <c r="E289" s="493"/>
      <c r="F289" s="493"/>
      <c r="G289" s="493"/>
      <c r="H289" s="494"/>
      <c r="I289" s="494"/>
      <c r="J289" s="494"/>
      <c r="K289" s="494"/>
      <c r="L289" s="494"/>
      <c r="M289" s="494"/>
      <c r="N289" s="494"/>
      <c r="O289" s="494"/>
      <c r="P289" s="494"/>
    </row>
    <row r="290" spans="2:16" s="221" customFormat="1" ht="20.100000000000001" customHeight="1" x14ac:dyDescent="0.25">
      <c r="B290" s="314"/>
      <c r="C290" s="314"/>
      <c r="D290" s="314"/>
      <c r="E290" s="314"/>
      <c r="F290" s="314"/>
      <c r="G290" s="314"/>
      <c r="H290" s="315"/>
      <c r="I290" s="315"/>
      <c r="J290" s="315"/>
      <c r="K290" s="315"/>
      <c r="L290" s="315"/>
      <c r="M290" s="315"/>
      <c r="N290" s="315"/>
      <c r="O290" s="315"/>
      <c r="P290" s="315"/>
    </row>
    <row r="291" spans="2:16" s="221" customFormat="1" ht="20.100000000000001" customHeight="1" x14ac:dyDescent="0.25">
      <c r="B291" s="493"/>
      <c r="C291" s="493"/>
      <c r="D291" s="493"/>
      <c r="E291" s="493"/>
      <c r="F291" s="493"/>
      <c r="G291" s="493"/>
      <c r="H291" s="494"/>
      <c r="I291" s="494"/>
      <c r="J291" s="494"/>
      <c r="K291" s="494"/>
      <c r="L291" s="494"/>
      <c r="M291" s="494"/>
      <c r="N291" s="494"/>
      <c r="O291" s="494"/>
      <c r="P291" s="494"/>
    </row>
    <row r="292" spans="2:16" s="221" customFormat="1" ht="20.100000000000001" customHeight="1" x14ac:dyDescent="0.25">
      <c r="B292" s="314"/>
      <c r="C292" s="314"/>
      <c r="D292" s="314"/>
      <c r="E292" s="314"/>
      <c r="F292" s="314"/>
      <c r="G292" s="314"/>
      <c r="H292" s="315"/>
      <c r="I292" s="315"/>
      <c r="J292" s="315"/>
      <c r="K292" s="315"/>
      <c r="L292" s="315"/>
      <c r="M292" s="315"/>
      <c r="N292" s="315"/>
      <c r="O292" s="315"/>
      <c r="P292" s="315"/>
    </row>
    <row r="293" spans="2:16" s="221" customFormat="1" ht="20.100000000000001" customHeight="1" x14ac:dyDescent="0.25">
      <c r="B293" s="493"/>
      <c r="C293" s="493"/>
      <c r="D293" s="493"/>
      <c r="E293" s="493"/>
      <c r="F293" s="493"/>
      <c r="G293" s="493"/>
      <c r="H293" s="494"/>
      <c r="I293" s="494"/>
      <c r="J293" s="494"/>
      <c r="K293" s="494"/>
      <c r="L293" s="494"/>
      <c r="M293" s="494"/>
      <c r="N293" s="494"/>
      <c r="O293" s="494"/>
      <c r="P293" s="494"/>
    </row>
    <row r="294" spans="2:16" s="221" customFormat="1" ht="20.100000000000001" customHeight="1" x14ac:dyDescent="0.25">
      <c r="B294" s="314"/>
      <c r="C294" s="314"/>
      <c r="D294" s="314"/>
      <c r="E294" s="314"/>
      <c r="F294" s="314"/>
      <c r="G294" s="314"/>
      <c r="H294" s="315"/>
      <c r="I294" s="315"/>
      <c r="J294" s="315"/>
      <c r="K294" s="315"/>
      <c r="L294" s="315"/>
      <c r="M294" s="315"/>
      <c r="N294" s="315"/>
      <c r="O294" s="315"/>
      <c r="P294" s="315"/>
    </row>
    <row r="295" spans="2:16" s="221" customFormat="1" ht="20.100000000000001" customHeight="1" x14ac:dyDescent="0.25">
      <c r="B295" s="493"/>
      <c r="C295" s="493"/>
      <c r="D295" s="493"/>
      <c r="E295" s="493"/>
      <c r="F295" s="493"/>
      <c r="G295" s="493"/>
      <c r="H295" s="494"/>
      <c r="I295" s="494"/>
      <c r="J295" s="494"/>
      <c r="K295" s="494"/>
      <c r="L295" s="494"/>
      <c r="M295" s="494"/>
      <c r="N295" s="494"/>
      <c r="O295" s="494"/>
      <c r="P295" s="494"/>
    </row>
    <row r="296" spans="2:16" s="221" customFormat="1" ht="20.100000000000001" customHeight="1" x14ac:dyDescent="0.25">
      <c r="B296" s="314"/>
      <c r="C296" s="314"/>
      <c r="D296" s="314"/>
      <c r="E296" s="314"/>
      <c r="F296" s="314"/>
      <c r="G296" s="314"/>
      <c r="H296" s="315"/>
      <c r="I296" s="315"/>
      <c r="J296" s="315"/>
      <c r="K296" s="315"/>
      <c r="L296" s="315"/>
      <c r="M296" s="315"/>
      <c r="N296" s="315"/>
      <c r="O296" s="315"/>
      <c r="P296" s="315"/>
    </row>
    <row r="297" spans="2:16" s="221" customFormat="1" ht="20.100000000000001" customHeight="1" x14ac:dyDescent="0.25">
      <c r="B297" s="493"/>
      <c r="C297" s="493"/>
      <c r="D297" s="493"/>
      <c r="E297" s="493"/>
      <c r="F297" s="493"/>
      <c r="G297" s="493"/>
      <c r="H297" s="494"/>
      <c r="I297" s="494"/>
      <c r="J297" s="494"/>
      <c r="K297" s="494"/>
      <c r="L297" s="494"/>
      <c r="M297" s="494"/>
      <c r="N297" s="494"/>
      <c r="O297" s="494"/>
      <c r="P297" s="494"/>
    </row>
    <row r="298" spans="2:16" s="221" customFormat="1" ht="20.100000000000001" customHeight="1" x14ac:dyDescent="0.25">
      <c r="B298" s="314"/>
      <c r="C298" s="314"/>
      <c r="D298" s="314"/>
      <c r="E298" s="314"/>
      <c r="F298" s="314"/>
      <c r="G298" s="314"/>
      <c r="H298" s="315"/>
      <c r="I298" s="315"/>
      <c r="J298" s="315"/>
      <c r="K298" s="315"/>
      <c r="L298" s="315"/>
      <c r="M298" s="315"/>
      <c r="N298" s="315"/>
      <c r="O298" s="315"/>
      <c r="P298" s="315"/>
    </row>
    <row r="299" spans="2:16" s="221" customFormat="1" ht="20.100000000000001" customHeight="1" x14ac:dyDescent="0.25">
      <c r="B299" s="493"/>
      <c r="C299" s="493"/>
      <c r="D299" s="493"/>
      <c r="E299" s="493"/>
      <c r="F299" s="493"/>
      <c r="G299" s="493"/>
      <c r="H299" s="494"/>
      <c r="I299" s="494"/>
      <c r="J299" s="494"/>
      <c r="K299" s="494"/>
      <c r="L299" s="494"/>
      <c r="M299" s="494"/>
      <c r="N299" s="494"/>
      <c r="O299" s="494"/>
      <c r="P299" s="494"/>
    </row>
    <row r="300" spans="2:16" s="221" customFormat="1" ht="20.100000000000001" customHeight="1" x14ac:dyDescent="0.25">
      <c r="B300" s="314"/>
      <c r="C300" s="314"/>
      <c r="D300" s="314"/>
      <c r="E300" s="314"/>
      <c r="F300" s="314"/>
      <c r="G300" s="314"/>
      <c r="H300" s="315"/>
      <c r="I300" s="315"/>
      <c r="J300" s="315"/>
      <c r="K300" s="315"/>
      <c r="L300" s="315"/>
      <c r="M300" s="315"/>
      <c r="N300" s="315"/>
      <c r="O300" s="315"/>
      <c r="P300" s="315"/>
    </row>
    <row r="301" spans="2:16" s="221" customFormat="1" ht="20.100000000000001" customHeight="1" x14ac:dyDescent="0.25">
      <c r="B301" s="493"/>
      <c r="C301" s="493"/>
      <c r="D301" s="493"/>
      <c r="E301" s="493"/>
      <c r="F301" s="493"/>
      <c r="G301" s="493"/>
      <c r="H301" s="494"/>
      <c r="I301" s="494"/>
      <c r="J301" s="494"/>
      <c r="K301" s="494"/>
      <c r="L301" s="494"/>
      <c r="M301" s="494"/>
      <c r="N301" s="494"/>
      <c r="O301" s="494"/>
      <c r="P301" s="494"/>
    </row>
    <row r="302" spans="2:16" s="221" customFormat="1" ht="20.100000000000001" customHeight="1" x14ac:dyDescent="0.25">
      <c r="B302" s="314"/>
      <c r="C302" s="314"/>
      <c r="D302" s="314"/>
      <c r="E302" s="314"/>
      <c r="F302" s="314"/>
      <c r="G302" s="314"/>
      <c r="H302" s="315"/>
      <c r="I302" s="315"/>
      <c r="J302" s="315"/>
      <c r="K302" s="315"/>
      <c r="L302" s="315"/>
      <c r="M302" s="315"/>
      <c r="N302" s="315"/>
      <c r="O302" s="315"/>
      <c r="P302" s="315"/>
    </row>
    <row r="303" spans="2:16" s="221" customFormat="1" ht="20.100000000000001" customHeight="1" x14ac:dyDescent="0.25">
      <c r="B303" s="493"/>
      <c r="C303" s="493"/>
      <c r="D303" s="493"/>
      <c r="E303" s="493"/>
      <c r="F303" s="493"/>
      <c r="G303" s="493"/>
      <c r="H303" s="494"/>
      <c r="I303" s="494"/>
      <c r="J303" s="494"/>
      <c r="K303" s="494"/>
      <c r="L303" s="494"/>
      <c r="M303" s="494"/>
      <c r="N303" s="494"/>
      <c r="O303" s="494"/>
      <c r="P303" s="494"/>
    </row>
    <row r="304" spans="2:16" s="221" customFormat="1" ht="20.100000000000001" customHeight="1" x14ac:dyDescent="0.25">
      <c r="B304" s="314"/>
      <c r="C304" s="314"/>
      <c r="D304" s="314"/>
      <c r="E304" s="314"/>
      <c r="F304" s="314"/>
      <c r="G304" s="314"/>
      <c r="H304" s="315"/>
      <c r="I304" s="315"/>
      <c r="J304" s="315"/>
      <c r="K304" s="315"/>
      <c r="L304" s="315"/>
      <c r="M304" s="315"/>
      <c r="N304" s="315"/>
      <c r="O304" s="315"/>
      <c r="P304" s="315"/>
    </row>
    <row r="305" spans="2:16" s="221" customFormat="1" ht="20.100000000000001" customHeight="1" x14ac:dyDescent="0.25">
      <c r="B305" s="493"/>
      <c r="C305" s="493"/>
      <c r="D305" s="493"/>
      <c r="E305" s="493"/>
      <c r="F305" s="493"/>
      <c r="G305" s="493"/>
      <c r="H305" s="494"/>
      <c r="I305" s="494"/>
      <c r="J305" s="494"/>
      <c r="K305" s="494"/>
      <c r="L305" s="494"/>
      <c r="M305" s="494"/>
      <c r="N305" s="494"/>
      <c r="O305" s="494"/>
      <c r="P305" s="494"/>
    </row>
    <row r="306" spans="2:16" s="221" customFormat="1" ht="20.100000000000001" customHeight="1" x14ac:dyDescent="0.25">
      <c r="B306" s="314"/>
      <c r="C306" s="314"/>
      <c r="D306" s="314"/>
      <c r="E306" s="314"/>
      <c r="F306" s="314"/>
      <c r="G306" s="314"/>
      <c r="H306" s="315"/>
      <c r="I306" s="315"/>
      <c r="J306" s="315"/>
      <c r="K306" s="315"/>
      <c r="L306" s="315"/>
      <c r="M306" s="315"/>
      <c r="N306" s="315"/>
      <c r="O306" s="315"/>
      <c r="P306" s="315"/>
    </row>
    <row r="307" spans="2:16" s="221" customFormat="1" ht="20.100000000000001" customHeight="1" x14ac:dyDescent="0.25">
      <c r="B307" s="493"/>
      <c r="C307" s="493"/>
      <c r="D307" s="493"/>
      <c r="E307" s="493"/>
      <c r="F307" s="493"/>
      <c r="G307" s="493"/>
      <c r="H307" s="494"/>
      <c r="I307" s="494"/>
      <c r="J307" s="494"/>
      <c r="K307" s="494"/>
      <c r="L307" s="494"/>
      <c r="M307" s="494"/>
      <c r="N307" s="494"/>
      <c r="O307" s="494"/>
      <c r="P307" s="494"/>
    </row>
    <row r="308" spans="2:16" s="221" customFormat="1" ht="20.100000000000001" customHeight="1" x14ac:dyDescent="0.25">
      <c r="B308" s="314"/>
      <c r="C308" s="314"/>
      <c r="D308" s="314"/>
      <c r="E308" s="314"/>
      <c r="F308" s="314"/>
      <c r="G308" s="314"/>
      <c r="H308" s="315"/>
      <c r="I308" s="315"/>
      <c r="J308" s="315"/>
      <c r="K308" s="315"/>
      <c r="L308" s="315"/>
      <c r="M308" s="315"/>
      <c r="N308" s="315"/>
      <c r="O308" s="315"/>
      <c r="P308" s="315"/>
    </row>
    <row r="309" spans="2:16" s="221" customFormat="1" ht="20.100000000000001" customHeight="1" x14ac:dyDescent="0.25">
      <c r="B309" s="493"/>
      <c r="C309" s="493"/>
      <c r="D309" s="493"/>
      <c r="E309" s="493"/>
      <c r="F309" s="493"/>
      <c r="G309" s="493"/>
      <c r="H309" s="494"/>
      <c r="I309" s="494"/>
      <c r="J309" s="494"/>
      <c r="K309" s="494"/>
      <c r="L309" s="494"/>
      <c r="M309" s="494"/>
      <c r="N309" s="494"/>
      <c r="O309" s="494"/>
      <c r="P309" s="494"/>
    </row>
    <row r="310" spans="2:16" s="221" customFormat="1" ht="20.100000000000001" customHeight="1" x14ac:dyDescent="0.25">
      <c r="B310" s="314"/>
      <c r="C310" s="314"/>
      <c r="D310" s="314"/>
      <c r="E310" s="314"/>
      <c r="F310" s="314"/>
      <c r="G310" s="314"/>
      <c r="H310" s="315"/>
      <c r="I310" s="315"/>
      <c r="J310" s="315"/>
      <c r="K310" s="315"/>
      <c r="L310" s="315"/>
      <c r="M310" s="315"/>
      <c r="N310" s="315"/>
      <c r="O310" s="315"/>
      <c r="P310" s="315"/>
    </row>
    <row r="311" spans="2:16" s="221" customFormat="1" ht="20.100000000000001" customHeight="1" x14ac:dyDescent="0.25">
      <c r="B311" s="493"/>
      <c r="C311" s="493"/>
      <c r="D311" s="493"/>
      <c r="E311" s="493"/>
      <c r="F311" s="493"/>
      <c r="G311" s="493"/>
      <c r="H311" s="494"/>
      <c r="I311" s="494"/>
      <c r="J311" s="494"/>
      <c r="K311" s="494"/>
      <c r="L311" s="494"/>
      <c r="M311" s="494"/>
      <c r="N311" s="494"/>
      <c r="O311" s="494"/>
      <c r="P311" s="494"/>
    </row>
    <row r="312" spans="2:16" s="221" customFormat="1" ht="20.100000000000001" customHeight="1" x14ac:dyDescent="0.25">
      <c r="B312" s="314"/>
      <c r="C312" s="314"/>
      <c r="D312" s="314"/>
      <c r="E312" s="314"/>
      <c r="F312" s="314"/>
      <c r="G312" s="314"/>
      <c r="H312" s="315"/>
      <c r="I312" s="315"/>
      <c r="J312" s="315"/>
      <c r="K312" s="315"/>
      <c r="L312" s="315"/>
      <c r="M312" s="315"/>
      <c r="N312" s="315"/>
      <c r="O312" s="315"/>
      <c r="P312" s="315"/>
    </row>
    <row r="313" spans="2:16" s="221" customFormat="1" ht="20.100000000000001" customHeight="1" x14ac:dyDescent="0.25">
      <c r="B313" s="493"/>
      <c r="C313" s="493"/>
      <c r="D313" s="493"/>
      <c r="E313" s="493"/>
      <c r="F313" s="493"/>
      <c r="G313" s="493"/>
      <c r="H313" s="494"/>
      <c r="I313" s="494"/>
      <c r="J313" s="494"/>
      <c r="K313" s="494"/>
      <c r="L313" s="494"/>
      <c r="M313" s="494"/>
      <c r="N313" s="494"/>
      <c r="O313" s="494"/>
      <c r="P313" s="494"/>
    </row>
    <row r="314" spans="2:16" s="221" customFormat="1" ht="20.100000000000001" customHeight="1" x14ac:dyDescent="0.25">
      <c r="B314" s="314"/>
      <c r="C314" s="314"/>
      <c r="D314" s="314"/>
      <c r="E314" s="314"/>
      <c r="F314" s="314"/>
      <c r="G314" s="314"/>
      <c r="H314" s="315"/>
      <c r="I314" s="315"/>
      <c r="J314" s="315"/>
      <c r="K314" s="315"/>
      <c r="L314" s="315"/>
      <c r="M314" s="315"/>
      <c r="N314" s="315"/>
      <c r="O314" s="315"/>
      <c r="P314" s="315"/>
    </row>
    <row r="315" spans="2:16" s="221" customFormat="1" ht="20.100000000000001" customHeight="1" x14ac:dyDescent="0.25">
      <c r="B315" s="493"/>
      <c r="C315" s="493"/>
      <c r="D315" s="493"/>
      <c r="E315" s="493"/>
      <c r="F315" s="493"/>
      <c r="G315" s="493"/>
      <c r="H315" s="494"/>
      <c r="I315" s="494"/>
      <c r="J315" s="494"/>
      <c r="K315" s="494"/>
      <c r="L315" s="494"/>
      <c r="M315" s="494"/>
      <c r="N315" s="494"/>
      <c r="O315" s="494"/>
      <c r="P315" s="494"/>
    </row>
    <row r="316" spans="2:16" s="221" customFormat="1" ht="20.100000000000001" customHeight="1" x14ac:dyDescent="0.25">
      <c r="B316" s="314"/>
      <c r="C316" s="314"/>
      <c r="D316" s="314"/>
      <c r="E316" s="314"/>
      <c r="F316" s="314"/>
      <c r="G316" s="314"/>
      <c r="H316" s="315"/>
      <c r="I316" s="315"/>
      <c r="J316" s="315"/>
      <c r="K316" s="315"/>
      <c r="L316" s="315"/>
      <c r="M316" s="315"/>
      <c r="N316" s="315"/>
      <c r="O316" s="315"/>
      <c r="P316" s="315"/>
    </row>
    <row r="317" spans="2:16" s="221" customFormat="1" ht="20.100000000000001" customHeight="1" x14ac:dyDescent="0.25">
      <c r="B317" s="493"/>
      <c r="C317" s="493"/>
      <c r="D317" s="493"/>
      <c r="E317" s="493"/>
      <c r="F317" s="493"/>
      <c r="G317" s="493"/>
      <c r="H317" s="494"/>
      <c r="I317" s="494"/>
      <c r="J317" s="494"/>
      <c r="K317" s="494"/>
      <c r="L317" s="494"/>
      <c r="M317" s="494"/>
      <c r="N317" s="494"/>
      <c r="O317" s="494"/>
      <c r="P317" s="494"/>
    </row>
    <row r="318" spans="2:16" s="221" customFormat="1" ht="20.100000000000001" customHeight="1" x14ac:dyDescent="0.25">
      <c r="B318" s="314"/>
      <c r="C318" s="314"/>
      <c r="D318" s="314"/>
      <c r="E318" s="314"/>
      <c r="F318" s="314"/>
      <c r="G318" s="314"/>
      <c r="H318" s="315"/>
      <c r="I318" s="315"/>
      <c r="J318" s="315"/>
      <c r="K318" s="315"/>
      <c r="L318" s="315"/>
      <c r="M318" s="315"/>
      <c r="N318" s="315"/>
      <c r="O318" s="315"/>
      <c r="P318" s="315"/>
    </row>
    <row r="319" spans="2:16" s="221" customFormat="1" ht="20.100000000000001" customHeight="1" x14ac:dyDescent="0.25">
      <c r="B319" s="493"/>
      <c r="C319" s="493"/>
      <c r="D319" s="493"/>
      <c r="E319" s="493"/>
      <c r="F319" s="493"/>
      <c r="G319" s="493"/>
      <c r="H319" s="494"/>
      <c r="I319" s="494"/>
      <c r="J319" s="494"/>
      <c r="K319" s="494"/>
      <c r="L319" s="494"/>
      <c r="M319" s="494"/>
      <c r="N319" s="494"/>
      <c r="O319" s="494"/>
      <c r="P319" s="494"/>
    </row>
    <row r="320" spans="2:16" s="221" customFormat="1" ht="20.100000000000001" customHeight="1" x14ac:dyDescent="0.25">
      <c r="B320" s="314"/>
      <c r="C320" s="314"/>
      <c r="D320" s="314"/>
      <c r="E320" s="314"/>
      <c r="F320" s="314"/>
      <c r="G320" s="314"/>
      <c r="H320" s="315"/>
      <c r="I320" s="315"/>
      <c r="J320" s="315"/>
      <c r="K320" s="315"/>
      <c r="L320" s="315"/>
      <c r="M320" s="315"/>
      <c r="N320" s="315"/>
      <c r="O320" s="315"/>
      <c r="P320" s="315"/>
    </row>
    <row r="321" spans="2:16" s="221" customFormat="1" ht="20.100000000000001" customHeight="1" x14ac:dyDescent="0.25">
      <c r="B321" s="493"/>
      <c r="C321" s="493"/>
      <c r="D321" s="493"/>
      <c r="E321" s="493"/>
      <c r="F321" s="493"/>
      <c r="G321" s="493"/>
      <c r="H321" s="494"/>
      <c r="I321" s="494"/>
      <c r="J321" s="494"/>
      <c r="K321" s="494"/>
      <c r="L321" s="494"/>
      <c r="M321" s="494"/>
      <c r="N321" s="494"/>
      <c r="O321" s="494"/>
      <c r="P321" s="494"/>
    </row>
    <row r="322" spans="2:16" s="221" customFormat="1" ht="20.100000000000001" customHeight="1" x14ac:dyDescent="0.25">
      <c r="B322" s="314"/>
      <c r="C322" s="314"/>
      <c r="D322" s="314"/>
      <c r="E322" s="314"/>
      <c r="F322" s="314"/>
      <c r="G322" s="314"/>
      <c r="H322" s="315"/>
      <c r="I322" s="315"/>
      <c r="J322" s="315"/>
      <c r="K322" s="315"/>
      <c r="L322" s="315"/>
      <c r="M322" s="315"/>
      <c r="N322" s="315"/>
      <c r="O322" s="315"/>
      <c r="P322" s="315"/>
    </row>
    <row r="323" spans="2:16" s="221" customFormat="1" ht="20.100000000000001" customHeight="1" x14ac:dyDescent="0.25">
      <c r="B323" s="493"/>
      <c r="C323" s="493"/>
      <c r="D323" s="493"/>
      <c r="E323" s="493"/>
      <c r="F323" s="493"/>
      <c r="G323" s="493"/>
      <c r="H323" s="494"/>
      <c r="I323" s="494"/>
      <c r="J323" s="494"/>
      <c r="K323" s="494"/>
      <c r="L323" s="494"/>
      <c r="M323" s="494"/>
      <c r="N323" s="494"/>
      <c r="O323" s="494"/>
      <c r="P323" s="494"/>
    </row>
    <row r="324" spans="2:16" s="221" customFormat="1" ht="20.100000000000001" customHeight="1" x14ac:dyDescent="0.25">
      <c r="B324" s="314"/>
      <c r="C324" s="314"/>
      <c r="D324" s="314"/>
      <c r="E324" s="314"/>
      <c r="F324" s="314"/>
      <c r="G324" s="314"/>
      <c r="H324" s="315"/>
      <c r="I324" s="315"/>
      <c r="J324" s="315"/>
      <c r="K324" s="315"/>
      <c r="L324" s="315"/>
      <c r="M324" s="315"/>
      <c r="N324" s="315"/>
      <c r="O324" s="315"/>
      <c r="P324" s="315"/>
    </row>
    <row r="325" spans="2:16" s="221" customFormat="1" ht="20.100000000000001" customHeight="1" x14ac:dyDescent="0.25">
      <c r="B325" s="493"/>
      <c r="C325" s="493"/>
      <c r="D325" s="493"/>
      <c r="E325" s="493"/>
      <c r="F325" s="493"/>
      <c r="G325" s="493"/>
      <c r="H325" s="494"/>
      <c r="I325" s="494"/>
      <c r="J325" s="494"/>
      <c r="K325" s="494"/>
      <c r="L325" s="494"/>
      <c r="M325" s="494"/>
      <c r="N325" s="494"/>
      <c r="O325" s="494"/>
      <c r="P325" s="494"/>
    </row>
    <row r="326" spans="2:16" s="221" customFormat="1" ht="20.100000000000001" customHeight="1" x14ac:dyDescent="0.25">
      <c r="B326" s="314"/>
      <c r="C326" s="314"/>
      <c r="D326" s="314"/>
      <c r="E326" s="314"/>
      <c r="F326" s="314"/>
      <c r="G326" s="314"/>
      <c r="H326" s="315"/>
      <c r="I326" s="315"/>
      <c r="J326" s="315"/>
      <c r="K326" s="315"/>
      <c r="L326" s="315"/>
      <c r="M326" s="315"/>
      <c r="N326" s="315"/>
      <c r="O326" s="315"/>
      <c r="P326" s="315"/>
    </row>
    <row r="327" spans="2:16" s="221" customFormat="1" ht="20.100000000000001" customHeight="1" x14ac:dyDescent="0.25">
      <c r="B327" s="493"/>
      <c r="C327" s="493"/>
      <c r="D327" s="493"/>
      <c r="E327" s="493"/>
      <c r="F327" s="493"/>
      <c r="G327" s="493"/>
      <c r="H327" s="494"/>
      <c r="I327" s="494"/>
      <c r="J327" s="494"/>
      <c r="K327" s="494"/>
      <c r="L327" s="494"/>
      <c r="M327" s="494"/>
      <c r="N327" s="494"/>
      <c r="O327" s="494"/>
      <c r="P327" s="494"/>
    </row>
    <row r="328" spans="2:16" s="221" customFormat="1" ht="20.100000000000001" customHeight="1" x14ac:dyDescent="0.25">
      <c r="B328" s="314"/>
      <c r="C328" s="314"/>
      <c r="D328" s="314"/>
      <c r="E328" s="314"/>
      <c r="F328" s="314"/>
      <c r="G328" s="314"/>
      <c r="H328" s="315"/>
      <c r="I328" s="315"/>
      <c r="J328" s="315"/>
      <c r="K328" s="315"/>
      <c r="L328" s="315"/>
      <c r="M328" s="315"/>
      <c r="N328" s="315"/>
      <c r="O328" s="315"/>
      <c r="P328" s="315"/>
    </row>
    <row r="329" spans="2:16" s="221" customFormat="1" ht="20.100000000000001" customHeight="1" x14ac:dyDescent="0.25">
      <c r="B329" s="493"/>
      <c r="C329" s="493"/>
      <c r="D329" s="493"/>
      <c r="E329" s="493"/>
      <c r="F329" s="493"/>
      <c r="G329" s="493"/>
      <c r="H329" s="494"/>
      <c r="I329" s="494"/>
      <c r="J329" s="494"/>
      <c r="K329" s="494"/>
      <c r="L329" s="494"/>
      <c r="M329" s="494"/>
      <c r="N329" s="494"/>
      <c r="O329" s="494"/>
      <c r="P329" s="494"/>
    </row>
    <row r="330" spans="2:16" s="221" customFormat="1" ht="20.100000000000001" customHeight="1" x14ac:dyDescent="0.25">
      <c r="B330" s="314"/>
      <c r="C330" s="314"/>
      <c r="D330" s="314"/>
      <c r="E330" s="314"/>
      <c r="F330" s="314"/>
      <c r="G330" s="314"/>
      <c r="H330" s="315"/>
      <c r="I330" s="315"/>
      <c r="J330" s="315"/>
      <c r="K330" s="315"/>
      <c r="L330" s="315"/>
      <c r="M330" s="315"/>
      <c r="N330" s="315"/>
      <c r="O330" s="315"/>
      <c r="P330" s="315"/>
    </row>
    <row r="331" spans="2:16" s="221" customFormat="1" ht="20.100000000000001" customHeight="1" x14ac:dyDescent="0.25">
      <c r="B331" s="493"/>
      <c r="C331" s="493"/>
      <c r="D331" s="493"/>
      <c r="E331" s="493"/>
      <c r="F331" s="493"/>
      <c r="G331" s="493"/>
      <c r="H331" s="494"/>
      <c r="I331" s="494"/>
      <c r="J331" s="494"/>
      <c r="K331" s="494"/>
      <c r="L331" s="494"/>
      <c r="M331" s="494"/>
      <c r="N331" s="494"/>
      <c r="O331" s="494"/>
      <c r="P331" s="494"/>
    </row>
    <row r="332" spans="2:16" s="221" customFormat="1" ht="20.100000000000001" customHeight="1" x14ac:dyDescent="0.25">
      <c r="B332" s="314"/>
      <c r="C332" s="314"/>
      <c r="D332" s="314"/>
      <c r="E332" s="314"/>
      <c r="F332" s="314"/>
      <c r="G332" s="314"/>
      <c r="H332" s="315"/>
      <c r="I332" s="315"/>
      <c r="J332" s="315"/>
      <c r="K332" s="315"/>
      <c r="L332" s="315"/>
      <c r="M332" s="315"/>
      <c r="N332" s="315"/>
      <c r="O332" s="315"/>
      <c r="P332" s="315"/>
    </row>
    <row r="333" spans="2:16" s="221" customFormat="1" ht="20.100000000000001" customHeight="1" x14ac:dyDescent="0.25">
      <c r="B333" s="493"/>
      <c r="C333" s="493"/>
      <c r="D333" s="493"/>
      <c r="E333" s="493"/>
      <c r="F333" s="493"/>
      <c r="G333" s="493"/>
      <c r="H333" s="494"/>
      <c r="I333" s="494"/>
      <c r="J333" s="494"/>
      <c r="K333" s="494"/>
      <c r="L333" s="494"/>
      <c r="M333" s="494"/>
      <c r="N333" s="494"/>
      <c r="O333" s="494"/>
      <c r="P333" s="494"/>
    </row>
    <row r="334" spans="2:16" s="221" customFormat="1" ht="20.100000000000001" customHeight="1" x14ac:dyDescent="0.25">
      <c r="B334" s="314"/>
      <c r="C334" s="314"/>
      <c r="D334" s="314"/>
      <c r="E334" s="314"/>
      <c r="F334" s="314"/>
      <c r="G334" s="314"/>
      <c r="H334" s="315"/>
      <c r="I334" s="315"/>
      <c r="J334" s="315"/>
      <c r="K334" s="315"/>
      <c r="L334" s="315"/>
      <c r="M334" s="315"/>
      <c r="N334" s="315"/>
      <c r="O334" s="315"/>
      <c r="P334" s="315"/>
    </row>
    <row r="335" spans="2:16" s="221" customFormat="1" ht="20.100000000000001" customHeight="1" x14ac:dyDescent="0.25">
      <c r="B335" s="493"/>
      <c r="C335" s="493"/>
      <c r="D335" s="493"/>
      <c r="E335" s="493"/>
      <c r="F335" s="493"/>
      <c r="G335" s="493"/>
      <c r="H335" s="494"/>
      <c r="I335" s="494"/>
      <c r="J335" s="494"/>
      <c r="K335" s="494"/>
      <c r="L335" s="494"/>
      <c r="M335" s="494"/>
      <c r="N335" s="494"/>
      <c r="O335" s="494"/>
      <c r="P335" s="494"/>
    </row>
    <row r="336" spans="2:16" s="221" customFormat="1" ht="20.100000000000001" customHeight="1" x14ac:dyDescent="0.25">
      <c r="B336" s="314"/>
      <c r="C336" s="314"/>
      <c r="D336" s="314"/>
      <c r="E336" s="314"/>
      <c r="F336" s="314"/>
      <c r="G336" s="314"/>
      <c r="H336" s="315"/>
      <c r="I336" s="315"/>
      <c r="J336" s="315"/>
      <c r="K336" s="315"/>
      <c r="L336" s="315"/>
      <c r="M336" s="315"/>
      <c r="N336" s="315"/>
      <c r="O336" s="315"/>
      <c r="P336" s="315"/>
    </row>
    <row r="337" spans="2:16" s="221" customFormat="1" ht="20.100000000000001" customHeight="1" x14ac:dyDescent="0.25">
      <c r="B337" s="493"/>
      <c r="C337" s="493"/>
      <c r="D337" s="493"/>
      <c r="E337" s="493"/>
      <c r="F337" s="493"/>
      <c r="G337" s="493"/>
      <c r="H337" s="494"/>
      <c r="I337" s="494"/>
      <c r="J337" s="494"/>
      <c r="K337" s="494"/>
      <c r="L337" s="494"/>
      <c r="M337" s="494"/>
      <c r="N337" s="494"/>
      <c r="O337" s="494"/>
      <c r="P337" s="494"/>
    </row>
    <row r="338" spans="2:16" s="221" customFormat="1" ht="20.100000000000001" customHeight="1" x14ac:dyDescent="0.25">
      <c r="B338" s="314"/>
      <c r="C338" s="314"/>
      <c r="D338" s="314"/>
      <c r="E338" s="314"/>
      <c r="F338" s="314"/>
      <c r="G338" s="314"/>
      <c r="H338" s="315"/>
      <c r="I338" s="315"/>
      <c r="J338" s="315"/>
      <c r="K338" s="315"/>
      <c r="L338" s="315"/>
      <c r="M338" s="315"/>
      <c r="N338" s="315"/>
      <c r="O338" s="315"/>
      <c r="P338" s="315"/>
    </row>
    <row r="339" spans="2:16" s="221" customFormat="1" ht="20.100000000000001" customHeight="1" x14ac:dyDescent="0.25">
      <c r="B339" s="493"/>
      <c r="C339" s="493"/>
      <c r="D339" s="493"/>
      <c r="E339" s="493"/>
      <c r="F339" s="493"/>
      <c r="G339" s="493"/>
      <c r="H339" s="494"/>
      <c r="I339" s="494"/>
      <c r="J339" s="494"/>
      <c r="K339" s="494"/>
      <c r="L339" s="494"/>
      <c r="M339" s="494"/>
      <c r="N339" s="494"/>
      <c r="O339" s="494"/>
      <c r="P339" s="494"/>
    </row>
    <row r="340" spans="2:16" s="221" customFormat="1" ht="20.100000000000001" customHeight="1" x14ac:dyDescent="0.25">
      <c r="B340" s="314"/>
      <c r="C340" s="314"/>
      <c r="D340" s="314"/>
      <c r="E340" s="314"/>
      <c r="F340" s="314"/>
      <c r="G340" s="314"/>
      <c r="H340" s="315"/>
      <c r="I340" s="315"/>
      <c r="J340" s="315"/>
      <c r="K340" s="315"/>
      <c r="L340" s="315"/>
      <c r="M340" s="315"/>
      <c r="N340" s="315"/>
      <c r="O340" s="315"/>
      <c r="P340" s="315"/>
    </row>
    <row r="341" spans="2:16" s="221" customFormat="1" ht="20.100000000000001" customHeight="1" x14ac:dyDescent="0.25">
      <c r="B341" s="493"/>
      <c r="C341" s="493"/>
      <c r="D341" s="493"/>
      <c r="E341" s="493"/>
      <c r="F341" s="493"/>
      <c r="G341" s="493"/>
      <c r="H341" s="494"/>
      <c r="I341" s="494"/>
      <c r="J341" s="494"/>
      <c r="K341" s="494"/>
      <c r="L341" s="494"/>
      <c r="M341" s="494"/>
      <c r="N341" s="494"/>
      <c r="O341" s="494"/>
      <c r="P341" s="494"/>
    </row>
    <row r="342" spans="2:16" s="221" customFormat="1" ht="20.100000000000001" customHeight="1" x14ac:dyDescent="0.25">
      <c r="B342" s="314"/>
      <c r="C342" s="314"/>
      <c r="D342" s="314"/>
      <c r="E342" s="314"/>
      <c r="F342" s="314"/>
      <c r="G342" s="314"/>
      <c r="H342" s="315"/>
      <c r="I342" s="315"/>
      <c r="J342" s="315"/>
      <c r="K342" s="315"/>
      <c r="L342" s="315"/>
      <c r="M342" s="315"/>
      <c r="N342" s="315"/>
      <c r="O342" s="315"/>
      <c r="P342" s="315"/>
    </row>
    <row r="343" spans="2:16" s="221" customFormat="1" ht="20.100000000000001" customHeight="1" x14ac:dyDescent="0.25">
      <c r="B343" s="493"/>
      <c r="C343" s="493"/>
      <c r="D343" s="493"/>
      <c r="E343" s="493"/>
      <c r="F343" s="493"/>
      <c r="G343" s="493"/>
      <c r="H343" s="494"/>
      <c r="I343" s="494"/>
      <c r="J343" s="494"/>
      <c r="K343" s="494"/>
      <c r="L343" s="494"/>
      <c r="M343" s="494"/>
      <c r="N343" s="494"/>
      <c r="O343" s="494"/>
      <c r="P343" s="494"/>
    </row>
    <row r="344" spans="2:16" s="221" customFormat="1" ht="20.100000000000001" customHeight="1" x14ac:dyDescent="0.25">
      <c r="B344" s="314"/>
      <c r="C344" s="314"/>
      <c r="D344" s="314"/>
      <c r="E344" s="314"/>
      <c r="F344" s="314"/>
      <c r="G344" s="314"/>
      <c r="H344" s="315"/>
      <c r="I344" s="315"/>
      <c r="J344" s="315"/>
      <c r="K344" s="315"/>
      <c r="L344" s="315"/>
      <c r="M344" s="315"/>
      <c r="N344" s="315"/>
      <c r="O344" s="315"/>
      <c r="P344" s="315"/>
    </row>
    <row r="345" spans="2:16" s="221" customFormat="1" ht="20.100000000000001" customHeight="1" x14ac:dyDescent="0.25">
      <c r="B345" s="493"/>
      <c r="C345" s="493"/>
      <c r="D345" s="493"/>
      <c r="E345" s="493"/>
      <c r="F345" s="493"/>
      <c r="G345" s="493"/>
      <c r="H345" s="494"/>
      <c r="I345" s="494"/>
      <c r="J345" s="494"/>
      <c r="K345" s="494"/>
      <c r="L345" s="494"/>
      <c r="M345" s="494"/>
      <c r="N345" s="494"/>
      <c r="O345" s="494"/>
      <c r="P345" s="494"/>
    </row>
    <row r="346" spans="2:16" s="221" customFormat="1" ht="20.100000000000001" customHeight="1" x14ac:dyDescent="0.25">
      <c r="B346" s="314"/>
      <c r="C346" s="314"/>
      <c r="D346" s="314"/>
      <c r="E346" s="314"/>
      <c r="F346" s="314"/>
      <c r="G346" s="314"/>
      <c r="H346" s="315"/>
      <c r="I346" s="315"/>
      <c r="J346" s="315"/>
      <c r="K346" s="315"/>
      <c r="L346" s="315"/>
      <c r="M346" s="315"/>
      <c r="N346" s="315"/>
      <c r="O346" s="315"/>
      <c r="P346" s="315"/>
    </row>
    <row r="347" spans="2:16" s="221" customFormat="1" ht="20.100000000000001" customHeight="1" x14ac:dyDescent="0.25">
      <c r="B347" s="493"/>
      <c r="C347" s="493"/>
      <c r="D347" s="493"/>
      <c r="E347" s="493"/>
      <c r="F347" s="493"/>
      <c r="G347" s="493"/>
      <c r="H347" s="494"/>
      <c r="I347" s="494"/>
      <c r="J347" s="494"/>
      <c r="K347" s="494"/>
      <c r="L347" s="494"/>
      <c r="M347" s="494"/>
      <c r="N347" s="494"/>
      <c r="O347" s="494"/>
      <c r="P347" s="494"/>
    </row>
    <row r="348" spans="2:16" s="221" customFormat="1" ht="20.100000000000001" customHeight="1" x14ac:dyDescent="0.25">
      <c r="B348" s="314"/>
      <c r="C348" s="314"/>
      <c r="D348" s="314"/>
      <c r="E348" s="314"/>
      <c r="F348" s="314"/>
      <c r="G348" s="314"/>
      <c r="H348" s="315"/>
      <c r="I348" s="315"/>
      <c r="J348" s="315"/>
      <c r="K348" s="315"/>
      <c r="L348" s="315"/>
      <c r="M348" s="315"/>
      <c r="N348" s="315"/>
      <c r="O348" s="315"/>
      <c r="P348" s="315"/>
    </row>
    <row r="349" spans="2:16" s="221" customFormat="1" ht="20.100000000000001" customHeight="1" x14ac:dyDescent="0.25">
      <c r="B349" s="493"/>
      <c r="C349" s="493"/>
      <c r="D349" s="493"/>
      <c r="E349" s="493"/>
      <c r="F349" s="493"/>
      <c r="G349" s="493"/>
      <c r="H349" s="494"/>
      <c r="I349" s="494"/>
      <c r="J349" s="494"/>
      <c r="K349" s="494"/>
      <c r="L349" s="494"/>
      <c r="M349" s="494"/>
      <c r="N349" s="494"/>
      <c r="O349" s="494"/>
      <c r="P349" s="494"/>
    </row>
    <row r="350" spans="2:16" s="221" customFormat="1" ht="20.100000000000001" customHeight="1" x14ac:dyDescent="0.25">
      <c r="B350" s="314"/>
      <c r="C350" s="314"/>
      <c r="D350" s="314"/>
      <c r="E350" s="314"/>
      <c r="F350" s="314"/>
      <c r="G350" s="314"/>
      <c r="H350" s="315"/>
      <c r="I350" s="315"/>
      <c r="J350" s="315"/>
      <c r="K350" s="315"/>
      <c r="L350" s="315"/>
      <c r="M350" s="315"/>
      <c r="N350" s="315"/>
      <c r="O350" s="315"/>
      <c r="P350" s="315"/>
    </row>
    <row r="351" spans="2:16" s="221" customFormat="1" ht="20.100000000000001" customHeight="1" x14ac:dyDescent="0.25">
      <c r="B351" s="493"/>
      <c r="C351" s="493"/>
      <c r="D351" s="493"/>
      <c r="E351" s="493"/>
      <c r="F351" s="493"/>
      <c r="G351" s="493"/>
      <c r="H351" s="494"/>
      <c r="I351" s="494"/>
      <c r="J351" s="494"/>
      <c r="K351" s="494"/>
      <c r="L351" s="494"/>
      <c r="M351" s="494"/>
      <c r="N351" s="494"/>
      <c r="O351" s="494"/>
      <c r="P351" s="494"/>
    </row>
    <row r="352" spans="2:16" s="221" customFormat="1" ht="20.100000000000001" customHeight="1" x14ac:dyDescent="0.25">
      <c r="B352" s="314"/>
      <c r="C352" s="314"/>
      <c r="D352" s="314"/>
      <c r="E352" s="314"/>
      <c r="F352" s="314"/>
      <c r="G352" s="314"/>
      <c r="H352" s="315"/>
      <c r="I352" s="315"/>
      <c r="J352" s="315"/>
      <c r="K352" s="315"/>
      <c r="L352" s="315"/>
      <c r="M352" s="315"/>
      <c r="N352" s="315"/>
      <c r="O352" s="315"/>
      <c r="P352" s="315"/>
    </row>
    <row r="353" spans="2:16" s="221" customFormat="1" ht="20.100000000000001" customHeight="1" x14ac:dyDescent="0.25">
      <c r="B353" s="493"/>
      <c r="C353" s="493"/>
      <c r="D353" s="493"/>
      <c r="E353" s="493"/>
      <c r="F353" s="493"/>
      <c r="G353" s="493"/>
      <c r="H353" s="494"/>
      <c r="I353" s="494"/>
      <c r="J353" s="494"/>
      <c r="K353" s="494"/>
      <c r="L353" s="494"/>
      <c r="M353" s="494"/>
      <c r="N353" s="494"/>
      <c r="O353" s="494"/>
      <c r="P353" s="494"/>
    </row>
    <row r="354" spans="2:16" s="221" customFormat="1" ht="20.100000000000001" customHeight="1" x14ac:dyDescent="0.25">
      <c r="B354" s="314"/>
      <c r="C354" s="314"/>
      <c r="D354" s="314"/>
      <c r="E354" s="314"/>
      <c r="F354" s="314"/>
      <c r="G354" s="314"/>
      <c r="H354" s="315"/>
      <c r="I354" s="315"/>
      <c r="J354" s="315"/>
      <c r="K354" s="315"/>
      <c r="L354" s="315"/>
      <c r="M354" s="315"/>
      <c r="N354" s="315"/>
      <c r="O354" s="315"/>
      <c r="P354" s="315"/>
    </row>
    <row r="355" spans="2:16" s="221" customFormat="1" ht="20.100000000000001" customHeight="1" x14ac:dyDescent="0.25">
      <c r="B355" s="493"/>
      <c r="C355" s="493"/>
      <c r="D355" s="493"/>
      <c r="E355" s="493"/>
      <c r="F355" s="493"/>
      <c r="G355" s="493"/>
      <c r="H355" s="494"/>
      <c r="I355" s="494"/>
      <c r="J355" s="494"/>
      <c r="K355" s="494"/>
      <c r="L355" s="494"/>
      <c r="M355" s="494"/>
      <c r="N355" s="494"/>
      <c r="O355" s="494"/>
      <c r="P355" s="494"/>
    </row>
    <row r="356" spans="2:16" s="221" customFormat="1" ht="20.100000000000001" customHeight="1" x14ac:dyDescent="0.25">
      <c r="B356" s="314"/>
      <c r="C356" s="314"/>
      <c r="D356" s="314"/>
      <c r="E356" s="314"/>
      <c r="F356" s="314"/>
      <c r="G356" s="314"/>
      <c r="H356" s="315"/>
      <c r="I356" s="315"/>
      <c r="J356" s="315"/>
      <c r="K356" s="315"/>
      <c r="L356" s="315"/>
      <c r="M356" s="315"/>
      <c r="N356" s="315"/>
      <c r="O356" s="315"/>
      <c r="P356" s="315"/>
    </row>
    <row r="357" spans="2:16" s="221" customFormat="1" ht="20.100000000000001" customHeight="1" x14ac:dyDescent="0.25">
      <c r="B357" s="493"/>
      <c r="C357" s="493"/>
      <c r="D357" s="493"/>
      <c r="E357" s="493"/>
      <c r="F357" s="493"/>
      <c r="G357" s="493"/>
      <c r="H357" s="494"/>
      <c r="I357" s="494"/>
      <c r="J357" s="494"/>
      <c r="K357" s="494"/>
      <c r="L357" s="494"/>
      <c r="M357" s="494"/>
      <c r="N357" s="494"/>
      <c r="O357" s="494"/>
      <c r="P357" s="494"/>
    </row>
    <row r="358" spans="2:16" s="221" customFormat="1" ht="20.100000000000001" customHeight="1" x14ac:dyDescent="0.25">
      <c r="B358" s="314"/>
      <c r="C358" s="314"/>
      <c r="D358" s="314"/>
      <c r="E358" s="314"/>
      <c r="F358" s="314"/>
      <c r="G358" s="314"/>
      <c r="H358" s="315"/>
      <c r="I358" s="315"/>
      <c r="J358" s="315"/>
      <c r="K358" s="315"/>
      <c r="L358" s="315"/>
      <c r="M358" s="315"/>
      <c r="N358" s="315"/>
      <c r="O358" s="315"/>
      <c r="P358" s="315"/>
    </row>
    <row r="359" spans="2:16" s="221" customFormat="1" ht="20.100000000000001" customHeight="1" x14ac:dyDescent="0.25">
      <c r="B359" s="493"/>
      <c r="C359" s="493"/>
      <c r="D359" s="493"/>
      <c r="E359" s="493"/>
      <c r="F359" s="493"/>
      <c r="G359" s="493"/>
      <c r="H359" s="494"/>
      <c r="I359" s="494"/>
      <c r="J359" s="494"/>
      <c r="K359" s="494"/>
      <c r="L359" s="494"/>
      <c r="M359" s="494"/>
      <c r="N359" s="494"/>
      <c r="O359" s="494"/>
      <c r="P359" s="494"/>
    </row>
    <row r="360" spans="2:16" s="221" customFormat="1" ht="20.100000000000001" customHeight="1" x14ac:dyDescent="0.25">
      <c r="B360" s="314"/>
      <c r="C360" s="314"/>
      <c r="D360" s="314"/>
      <c r="E360" s="314"/>
      <c r="F360" s="314"/>
      <c r="G360" s="314"/>
      <c r="H360" s="315"/>
      <c r="I360" s="315"/>
      <c r="J360" s="315"/>
      <c r="K360" s="315"/>
      <c r="L360" s="315"/>
      <c r="M360" s="315"/>
      <c r="N360" s="315"/>
      <c r="O360" s="315"/>
      <c r="P360" s="315"/>
    </row>
    <row r="361" spans="2:16" s="221" customFormat="1" ht="20.100000000000001" customHeight="1" x14ac:dyDescent="0.25">
      <c r="B361" s="493"/>
      <c r="C361" s="493"/>
      <c r="D361" s="493"/>
      <c r="E361" s="493"/>
      <c r="F361" s="493"/>
      <c r="G361" s="493"/>
      <c r="H361" s="494"/>
      <c r="I361" s="494"/>
      <c r="J361" s="494"/>
      <c r="K361" s="494"/>
      <c r="L361" s="494"/>
      <c r="M361" s="494"/>
      <c r="N361" s="494"/>
      <c r="O361" s="494"/>
      <c r="P361" s="494"/>
    </row>
    <row r="362" spans="2:16" s="221" customFormat="1" ht="20.100000000000001" customHeight="1" x14ac:dyDescent="0.25">
      <c r="B362" s="314"/>
      <c r="C362" s="314"/>
      <c r="D362" s="314"/>
      <c r="E362" s="314"/>
      <c r="F362" s="314"/>
      <c r="G362" s="314"/>
      <c r="H362" s="315"/>
      <c r="I362" s="315"/>
      <c r="J362" s="315"/>
      <c r="K362" s="315"/>
      <c r="L362" s="315"/>
      <c r="M362" s="315"/>
      <c r="N362" s="315"/>
      <c r="O362" s="315"/>
      <c r="P362" s="315"/>
    </row>
    <row r="363" spans="2:16" s="221" customFormat="1" ht="20.100000000000001" customHeight="1" x14ac:dyDescent="0.25">
      <c r="B363" s="493"/>
      <c r="C363" s="493"/>
      <c r="D363" s="493"/>
      <c r="E363" s="493"/>
      <c r="F363" s="493"/>
      <c r="G363" s="493"/>
      <c r="H363" s="494"/>
      <c r="I363" s="494"/>
      <c r="J363" s="494"/>
      <c r="K363" s="494"/>
      <c r="L363" s="494"/>
      <c r="M363" s="494"/>
      <c r="N363" s="494"/>
      <c r="O363" s="494"/>
      <c r="P363" s="494"/>
    </row>
    <row r="364" spans="2:16" s="221" customFormat="1" ht="20.100000000000001" customHeight="1" x14ac:dyDescent="0.25">
      <c r="B364" s="314"/>
      <c r="C364" s="314"/>
      <c r="D364" s="314"/>
      <c r="E364" s="314"/>
      <c r="F364" s="314"/>
      <c r="G364" s="314"/>
      <c r="H364" s="315"/>
      <c r="I364" s="315"/>
      <c r="J364" s="315"/>
      <c r="K364" s="315"/>
      <c r="L364" s="315"/>
      <c r="M364" s="315"/>
      <c r="N364" s="315"/>
      <c r="O364" s="315"/>
      <c r="P364" s="315"/>
    </row>
    <row r="365" spans="2:16" s="221" customFormat="1" ht="20.100000000000001" customHeight="1" x14ac:dyDescent="0.25">
      <c r="B365" s="493"/>
      <c r="C365" s="493"/>
      <c r="D365" s="493"/>
      <c r="E365" s="493"/>
      <c r="F365" s="493"/>
      <c r="G365" s="493"/>
      <c r="H365" s="494"/>
      <c r="I365" s="494"/>
      <c r="J365" s="494"/>
      <c r="K365" s="494"/>
      <c r="L365" s="494"/>
      <c r="M365" s="494"/>
      <c r="N365" s="494"/>
      <c r="O365" s="494"/>
      <c r="P365" s="494"/>
    </row>
    <row r="366" spans="2:16" s="221" customFormat="1" ht="20.100000000000001" customHeight="1" x14ac:dyDescent="0.25">
      <c r="B366" s="314"/>
      <c r="C366" s="314"/>
      <c r="D366" s="314"/>
      <c r="E366" s="314"/>
      <c r="F366" s="314"/>
      <c r="G366" s="314"/>
      <c r="H366" s="315"/>
      <c r="I366" s="315"/>
      <c r="J366" s="315"/>
      <c r="K366" s="315"/>
      <c r="L366" s="315"/>
      <c r="M366" s="315"/>
      <c r="N366" s="315"/>
      <c r="O366" s="315"/>
      <c r="P366" s="315"/>
    </row>
    <row r="367" spans="2:16" s="221" customFormat="1" ht="20.100000000000001" customHeight="1" x14ac:dyDescent="0.25">
      <c r="B367" s="493"/>
      <c r="C367" s="493"/>
      <c r="D367" s="493"/>
      <c r="E367" s="493"/>
      <c r="F367" s="493"/>
      <c r="G367" s="493"/>
      <c r="H367" s="494"/>
      <c r="I367" s="494"/>
      <c r="J367" s="494"/>
      <c r="K367" s="494"/>
      <c r="L367" s="494"/>
      <c r="M367" s="494"/>
      <c r="N367" s="494"/>
      <c r="O367" s="494"/>
      <c r="P367" s="494"/>
    </row>
    <row r="368" spans="2:16" s="221" customFormat="1" ht="20.100000000000001" customHeight="1" x14ac:dyDescent="0.25">
      <c r="B368" s="314"/>
      <c r="C368" s="314"/>
      <c r="D368" s="314"/>
      <c r="E368" s="314"/>
      <c r="F368" s="314"/>
      <c r="G368" s="314"/>
      <c r="H368" s="315"/>
      <c r="I368" s="315"/>
      <c r="J368" s="315"/>
      <c r="K368" s="315"/>
      <c r="L368" s="315"/>
      <c r="M368" s="315"/>
      <c r="N368" s="315"/>
      <c r="O368" s="315"/>
      <c r="P368" s="315"/>
    </row>
    <row r="369" spans="2:16" s="221" customFormat="1" ht="20.100000000000001" customHeight="1" x14ac:dyDescent="0.25">
      <c r="B369" s="493"/>
      <c r="C369" s="493"/>
      <c r="D369" s="493"/>
      <c r="E369" s="493"/>
      <c r="F369" s="493"/>
      <c r="G369" s="493"/>
      <c r="H369" s="494"/>
      <c r="I369" s="494"/>
      <c r="J369" s="494"/>
      <c r="K369" s="494"/>
      <c r="L369" s="494"/>
      <c r="M369" s="494"/>
      <c r="N369" s="494"/>
      <c r="O369" s="494"/>
      <c r="P369" s="494"/>
    </row>
    <row r="370" spans="2:16" s="221" customFormat="1" ht="20.100000000000001" customHeight="1" x14ac:dyDescent="0.25">
      <c r="B370" s="314"/>
      <c r="C370" s="314"/>
      <c r="D370" s="314"/>
      <c r="E370" s="314"/>
      <c r="F370" s="314"/>
      <c r="G370" s="314"/>
      <c r="H370" s="315"/>
      <c r="I370" s="315"/>
      <c r="J370" s="315"/>
      <c r="K370" s="315"/>
      <c r="L370" s="315"/>
      <c r="M370" s="315"/>
      <c r="N370" s="315"/>
      <c r="O370" s="315"/>
      <c r="P370" s="315"/>
    </row>
    <row r="371" spans="2:16" s="221" customFormat="1" ht="20.100000000000001" customHeight="1" x14ac:dyDescent="0.25">
      <c r="B371" s="493"/>
      <c r="C371" s="493"/>
      <c r="D371" s="493"/>
      <c r="E371" s="493"/>
      <c r="F371" s="493"/>
      <c r="G371" s="493"/>
      <c r="H371" s="494"/>
      <c r="I371" s="494"/>
      <c r="J371" s="494"/>
      <c r="K371" s="494"/>
      <c r="L371" s="494"/>
      <c r="M371" s="494"/>
      <c r="N371" s="494"/>
      <c r="O371" s="494"/>
      <c r="P371" s="494"/>
    </row>
    <row r="372" spans="2:16" s="221" customFormat="1" ht="20.100000000000001" customHeight="1" x14ac:dyDescent="0.25">
      <c r="B372" s="314"/>
      <c r="C372" s="314"/>
      <c r="D372" s="314"/>
      <c r="E372" s="314"/>
      <c r="F372" s="314"/>
      <c r="G372" s="314"/>
      <c r="H372" s="315"/>
      <c r="I372" s="315"/>
      <c r="J372" s="315"/>
      <c r="K372" s="315"/>
      <c r="L372" s="315"/>
      <c r="M372" s="315"/>
      <c r="N372" s="315"/>
      <c r="O372" s="315"/>
      <c r="P372" s="315"/>
    </row>
    <row r="373" spans="2:16" s="221" customFormat="1" ht="20.100000000000001" customHeight="1" x14ac:dyDescent="0.25">
      <c r="B373" s="493"/>
      <c r="C373" s="493"/>
      <c r="D373" s="493"/>
      <c r="E373" s="493"/>
      <c r="F373" s="493"/>
      <c r="G373" s="493"/>
      <c r="H373" s="494"/>
      <c r="I373" s="494"/>
      <c r="J373" s="494"/>
      <c r="K373" s="494"/>
      <c r="L373" s="494"/>
      <c r="M373" s="494"/>
      <c r="N373" s="494"/>
      <c r="O373" s="494"/>
      <c r="P373" s="494"/>
    </row>
    <row r="374" spans="2:16" s="221" customFormat="1" ht="20.100000000000001" customHeight="1" x14ac:dyDescent="0.25">
      <c r="B374" s="314"/>
      <c r="C374" s="314"/>
      <c r="D374" s="314"/>
      <c r="E374" s="314"/>
      <c r="F374" s="314"/>
      <c r="G374" s="314"/>
      <c r="H374" s="315"/>
      <c r="I374" s="315"/>
      <c r="J374" s="315"/>
      <c r="K374" s="315"/>
      <c r="L374" s="315"/>
      <c r="M374" s="315"/>
      <c r="N374" s="315"/>
      <c r="O374" s="315"/>
      <c r="P374" s="315"/>
    </row>
    <row r="375" spans="2:16" s="221" customFormat="1" ht="20.100000000000001" customHeight="1" x14ac:dyDescent="0.25">
      <c r="B375" s="493"/>
      <c r="C375" s="493"/>
      <c r="D375" s="493"/>
      <c r="E375" s="493"/>
      <c r="F375" s="493"/>
      <c r="G375" s="493"/>
      <c r="H375" s="494"/>
      <c r="I375" s="494"/>
      <c r="J375" s="494"/>
      <c r="K375" s="494"/>
      <c r="L375" s="494"/>
      <c r="M375" s="494"/>
      <c r="N375" s="494"/>
      <c r="O375" s="494"/>
      <c r="P375" s="494"/>
    </row>
    <row r="376" spans="2:16" s="221" customFormat="1" ht="20.100000000000001" customHeight="1" x14ac:dyDescent="0.25">
      <c r="B376" s="314"/>
      <c r="C376" s="314"/>
      <c r="D376" s="314"/>
      <c r="E376" s="314"/>
      <c r="F376" s="314"/>
      <c r="G376" s="314"/>
      <c r="H376" s="315"/>
      <c r="I376" s="315"/>
      <c r="J376" s="315"/>
      <c r="K376" s="315"/>
      <c r="L376" s="315"/>
      <c r="M376" s="315"/>
      <c r="N376" s="315"/>
      <c r="O376" s="315"/>
      <c r="P376" s="315"/>
    </row>
    <row r="377" spans="2:16" s="221" customFormat="1" ht="20.100000000000001" customHeight="1" x14ac:dyDescent="0.25">
      <c r="B377" s="493"/>
      <c r="C377" s="493"/>
      <c r="D377" s="493"/>
      <c r="E377" s="493"/>
      <c r="F377" s="493"/>
      <c r="G377" s="493"/>
      <c r="H377" s="494"/>
      <c r="I377" s="494"/>
      <c r="J377" s="494"/>
      <c r="K377" s="494"/>
      <c r="L377" s="494"/>
      <c r="M377" s="494"/>
      <c r="N377" s="494"/>
      <c r="O377" s="494"/>
      <c r="P377" s="494"/>
    </row>
    <row r="378" spans="2:16" s="221" customFormat="1" ht="20.100000000000001" customHeight="1" x14ac:dyDescent="0.25">
      <c r="B378" s="314"/>
      <c r="C378" s="314"/>
      <c r="D378" s="314"/>
      <c r="E378" s="314"/>
      <c r="F378" s="314"/>
      <c r="G378" s="314"/>
      <c r="H378" s="315"/>
      <c r="I378" s="315"/>
      <c r="J378" s="315"/>
      <c r="K378" s="315"/>
      <c r="L378" s="315"/>
      <c r="M378" s="315"/>
      <c r="N378" s="315"/>
      <c r="O378" s="315"/>
      <c r="P378" s="315"/>
    </row>
    <row r="379" spans="2:16" s="221" customFormat="1" ht="20.100000000000001" customHeight="1" x14ac:dyDescent="0.25">
      <c r="B379" s="493"/>
      <c r="C379" s="493"/>
      <c r="D379" s="493"/>
      <c r="E379" s="493"/>
      <c r="F379" s="493"/>
      <c r="G379" s="493"/>
      <c r="H379" s="494"/>
      <c r="I379" s="494"/>
      <c r="J379" s="494"/>
      <c r="K379" s="494"/>
      <c r="L379" s="494"/>
      <c r="M379" s="494"/>
      <c r="N379" s="494"/>
      <c r="O379" s="494"/>
      <c r="P379" s="494"/>
    </row>
    <row r="380" spans="2:16" s="221" customFormat="1" ht="20.100000000000001" customHeight="1" x14ac:dyDescent="0.25">
      <c r="B380" s="314"/>
      <c r="C380" s="314"/>
      <c r="D380" s="314"/>
      <c r="E380" s="314"/>
      <c r="F380" s="314"/>
      <c r="G380" s="314"/>
      <c r="H380" s="315"/>
      <c r="I380" s="315"/>
      <c r="J380" s="315"/>
      <c r="K380" s="315"/>
      <c r="L380" s="315"/>
      <c r="M380" s="315"/>
      <c r="N380" s="315"/>
      <c r="O380" s="315"/>
      <c r="P380" s="315"/>
    </row>
    <row r="381" spans="2:16" s="221" customFormat="1" ht="20.100000000000001" customHeight="1" x14ac:dyDescent="0.25">
      <c r="B381" s="493"/>
      <c r="C381" s="493"/>
      <c r="D381" s="493"/>
      <c r="E381" s="493"/>
      <c r="F381" s="493"/>
      <c r="G381" s="493"/>
      <c r="H381" s="494"/>
      <c r="I381" s="494"/>
      <c r="J381" s="494"/>
      <c r="K381" s="494"/>
      <c r="L381" s="494"/>
      <c r="M381" s="494"/>
      <c r="N381" s="494"/>
      <c r="O381" s="494"/>
      <c r="P381" s="494"/>
    </row>
    <row r="382" spans="2:16" s="221" customFormat="1" ht="20.100000000000001" customHeight="1" x14ac:dyDescent="0.25">
      <c r="B382" s="314"/>
      <c r="C382" s="314"/>
      <c r="D382" s="314"/>
      <c r="E382" s="314"/>
      <c r="F382" s="314"/>
      <c r="G382" s="314"/>
      <c r="H382" s="315"/>
      <c r="I382" s="315"/>
      <c r="J382" s="315"/>
      <c r="K382" s="315"/>
      <c r="L382" s="315"/>
      <c r="M382" s="315"/>
      <c r="N382" s="315"/>
      <c r="O382" s="315"/>
      <c r="P382" s="315"/>
    </row>
    <row r="383" spans="2:16" s="221" customFormat="1" ht="20.100000000000001" customHeight="1" x14ac:dyDescent="0.25">
      <c r="B383" s="493"/>
      <c r="C383" s="493"/>
      <c r="D383" s="493"/>
      <c r="E383" s="493"/>
      <c r="F383" s="493"/>
      <c r="G383" s="493"/>
      <c r="H383" s="494"/>
      <c r="I383" s="494"/>
      <c r="J383" s="494"/>
      <c r="K383" s="494"/>
      <c r="L383" s="494"/>
      <c r="M383" s="494"/>
      <c r="N383" s="494"/>
      <c r="O383" s="494"/>
      <c r="P383" s="494"/>
    </row>
    <row r="384" spans="2:16" s="221" customFormat="1" ht="20.100000000000001" customHeight="1" x14ac:dyDescent="0.25">
      <c r="B384" s="314"/>
      <c r="C384" s="314"/>
      <c r="D384" s="314"/>
      <c r="E384" s="314"/>
      <c r="F384" s="314"/>
      <c r="G384" s="314"/>
      <c r="H384" s="315"/>
      <c r="I384" s="315"/>
      <c r="J384" s="315"/>
      <c r="K384" s="315"/>
      <c r="L384" s="315"/>
      <c r="M384" s="315"/>
      <c r="N384" s="315"/>
      <c r="O384" s="315"/>
      <c r="P384" s="315"/>
    </row>
    <row r="385" spans="2:16" s="221" customFormat="1" ht="20.100000000000001" customHeight="1" x14ac:dyDescent="0.25">
      <c r="B385" s="493"/>
      <c r="C385" s="493"/>
      <c r="D385" s="493"/>
      <c r="E385" s="493"/>
      <c r="F385" s="493"/>
      <c r="G385" s="493"/>
      <c r="H385" s="494"/>
      <c r="I385" s="494"/>
      <c r="J385" s="494"/>
      <c r="K385" s="494"/>
      <c r="L385" s="494"/>
      <c r="M385" s="494"/>
      <c r="N385" s="494"/>
      <c r="O385" s="494"/>
      <c r="P385" s="494"/>
    </row>
    <row r="386" spans="2:16" s="221" customFormat="1" ht="20.100000000000001" customHeight="1" x14ac:dyDescent="0.25">
      <c r="B386" s="314"/>
      <c r="C386" s="314"/>
      <c r="D386" s="314"/>
      <c r="E386" s="314"/>
      <c r="F386" s="314"/>
      <c r="G386" s="314"/>
      <c r="H386" s="315"/>
      <c r="I386" s="315"/>
      <c r="J386" s="315"/>
      <c r="K386" s="315"/>
      <c r="L386" s="315"/>
      <c r="M386" s="315"/>
      <c r="N386" s="315"/>
      <c r="O386" s="315"/>
      <c r="P386" s="315"/>
    </row>
    <row r="387" spans="2:16" s="221" customFormat="1" ht="20.100000000000001" customHeight="1" x14ac:dyDescent="0.25">
      <c r="B387" s="493"/>
      <c r="C387" s="493"/>
      <c r="D387" s="493"/>
      <c r="E387" s="493"/>
      <c r="F387" s="493"/>
      <c r="G387" s="493"/>
      <c r="H387" s="494"/>
      <c r="I387" s="494"/>
      <c r="J387" s="494"/>
      <c r="K387" s="494"/>
      <c r="L387" s="494"/>
      <c r="M387" s="494"/>
      <c r="N387" s="494"/>
      <c r="O387" s="494"/>
      <c r="P387" s="494"/>
    </row>
    <row r="388" spans="2:16" s="221" customFormat="1" ht="20.100000000000001" customHeight="1" x14ac:dyDescent="0.25">
      <c r="B388" s="314"/>
      <c r="C388" s="314"/>
      <c r="D388" s="314"/>
      <c r="E388" s="314"/>
      <c r="F388" s="314"/>
      <c r="G388" s="314"/>
      <c r="H388" s="315"/>
      <c r="I388" s="315"/>
      <c r="J388" s="315"/>
      <c r="K388" s="315"/>
      <c r="L388" s="315"/>
      <c r="M388" s="315"/>
      <c r="N388" s="315"/>
      <c r="O388" s="315"/>
      <c r="P388" s="315"/>
    </row>
    <row r="389" spans="2:16" s="221" customFormat="1" ht="20.100000000000001" customHeight="1" x14ac:dyDescent="0.25">
      <c r="B389" s="493"/>
      <c r="C389" s="493"/>
      <c r="D389" s="493"/>
      <c r="E389" s="493"/>
      <c r="F389" s="493"/>
      <c r="G389" s="493"/>
      <c r="H389" s="494"/>
      <c r="I389" s="494"/>
      <c r="J389" s="494"/>
      <c r="K389" s="494"/>
      <c r="L389" s="494"/>
      <c r="M389" s="494"/>
      <c r="N389" s="494"/>
      <c r="O389" s="494"/>
      <c r="P389" s="494"/>
    </row>
    <row r="390" spans="2:16" s="221" customFormat="1" ht="20.100000000000001" customHeight="1" x14ac:dyDescent="0.25">
      <c r="B390" s="314"/>
      <c r="C390" s="314"/>
      <c r="D390" s="314"/>
      <c r="E390" s="314"/>
      <c r="F390" s="314"/>
      <c r="G390" s="314"/>
      <c r="H390" s="315"/>
      <c r="I390" s="315"/>
      <c r="J390" s="315"/>
      <c r="K390" s="315"/>
      <c r="L390" s="315"/>
      <c r="M390" s="315"/>
      <c r="N390" s="315"/>
      <c r="O390" s="315"/>
      <c r="P390" s="315"/>
    </row>
    <row r="391" spans="2:16" s="221" customFormat="1" ht="20.100000000000001" customHeight="1" x14ac:dyDescent="0.25">
      <c r="B391" s="493"/>
      <c r="C391" s="493"/>
      <c r="D391" s="493"/>
      <c r="E391" s="493"/>
      <c r="F391" s="493"/>
      <c r="G391" s="493"/>
      <c r="H391" s="494"/>
      <c r="I391" s="494"/>
      <c r="J391" s="494"/>
      <c r="K391" s="494"/>
      <c r="L391" s="494"/>
      <c r="M391" s="494"/>
      <c r="N391" s="494"/>
      <c r="O391" s="494"/>
      <c r="P391" s="494"/>
    </row>
    <row r="392" spans="2:16" s="221" customFormat="1" ht="20.100000000000001" customHeight="1" x14ac:dyDescent="0.25">
      <c r="B392" s="314"/>
      <c r="C392" s="314"/>
      <c r="D392" s="314"/>
      <c r="E392" s="314"/>
      <c r="F392" s="314"/>
      <c r="G392" s="314"/>
      <c r="H392" s="315"/>
      <c r="I392" s="315"/>
      <c r="J392" s="315"/>
      <c r="K392" s="315"/>
      <c r="L392" s="315"/>
      <c r="M392" s="315"/>
      <c r="N392" s="315"/>
      <c r="O392" s="315"/>
      <c r="P392" s="315"/>
    </row>
    <row r="393" spans="2:16" s="221" customFormat="1" ht="20.100000000000001" customHeight="1" x14ac:dyDescent="0.25">
      <c r="B393" s="493"/>
      <c r="C393" s="493"/>
      <c r="D393" s="493"/>
      <c r="E393" s="493"/>
      <c r="F393" s="493"/>
      <c r="G393" s="493"/>
      <c r="H393" s="494"/>
      <c r="I393" s="494"/>
      <c r="J393" s="494"/>
      <c r="K393" s="494"/>
      <c r="L393" s="494"/>
      <c r="M393" s="494"/>
      <c r="N393" s="494"/>
      <c r="O393" s="494"/>
      <c r="P393" s="494"/>
    </row>
    <row r="394" spans="2:16" s="221" customFormat="1" ht="20.100000000000001" customHeight="1" x14ac:dyDescent="0.25">
      <c r="B394" s="314"/>
      <c r="C394" s="314"/>
      <c r="D394" s="314"/>
      <c r="E394" s="314"/>
      <c r="F394" s="314"/>
      <c r="G394" s="314"/>
      <c r="H394" s="315"/>
      <c r="I394" s="315"/>
      <c r="J394" s="315"/>
      <c r="K394" s="315"/>
      <c r="L394" s="315"/>
      <c r="M394" s="315"/>
      <c r="N394" s="315"/>
      <c r="O394" s="315"/>
      <c r="P394" s="315"/>
    </row>
    <row r="395" spans="2:16" s="221" customFormat="1" ht="20.100000000000001" customHeight="1" x14ac:dyDescent="0.25">
      <c r="B395" s="493"/>
      <c r="C395" s="493"/>
      <c r="D395" s="493"/>
      <c r="E395" s="493"/>
      <c r="F395" s="493"/>
      <c r="G395" s="493"/>
      <c r="H395" s="494"/>
      <c r="I395" s="494"/>
      <c r="J395" s="494"/>
      <c r="K395" s="494"/>
      <c r="L395" s="494"/>
      <c r="M395" s="494"/>
      <c r="N395" s="494"/>
      <c r="O395" s="494"/>
      <c r="P395" s="494"/>
    </row>
    <row r="396" spans="2:16" s="221" customFormat="1" ht="20.100000000000001" customHeight="1" x14ac:dyDescent="0.25">
      <c r="B396" s="314"/>
      <c r="C396" s="314"/>
      <c r="D396" s="314"/>
      <c r="E396" s="314"/>
      <c r="F396" s="314"/>
      <c r="G396" s="314"/>
      <c r="H396" s="315"/>
      <c r="I396" s="315"/>
      <c r="J396" s="315"/>
      <c r="K396" s="315"/>
      <c r="L396" s="315"/>
      <c r="M396" s="315"/>
      <c r="N396" s="315"/>
      <c r="O396" s="315"/>
      <c r="P396" s="315"/>
    </row>
    <row r="397" spans="2:16" s="221" customFormat="1" ht="20.100000000000001" customHeight="1" x14ac:dyDescent="0.25">
      <c r="B397" s="493"/>
      <c r="C397" s="493"/>
      <c r="D397" s="493"/>
      <c r="E397" s="493"/>
      <c r="F397" s="493"/>
      <c r="G397" s="493"/>
      <c r="H397" s="494"/>
      <c r="I397" s="494"/>
      <c r="J397" s="494"/>
      <c r="K397" s="494"/>
      <c r="L397" s="494"/>
      <c r="M397" s="494"/>
      <c r="N397" s="494"/>
      <c r="O397" s="494"/>
      <c r="P397" s="494"/>
    </row>
    <row r="398" spans="2:16" s="221" customFormat="1" ht="20.100000000000001" customHeight="1" x14ac:dyDescent="0.25">
      <c r="B398" s="314"/>
      <c r="C398" s="314"/>
      <c r="D398" s="314"/>
      <c r="E398" s="314"/>
      <c r="F398" s="314"/>
      <c r="G398" s="314"/>
      <c r="H398" s="315"/>
      <c r="I398" s="315"/>
      <c r="J398" s="315"/>
      <c r="K398" s="315"/>
      <c r="L398" s="315"/>
      <c r="M398" s="315"/>
      <c r="N398" s="315"/>
      <c r="O398" s="315"/>
      <c r="P398" s="315"/>
    </row>
    <row r="399" spans="2:16" s="221" customFormat="1" ht="20.100000000000001" customHeight="1" x14ac:dyDescent="0.25">
      <c r="B399" s="493"/>
      <c r="C399" s="493"/>
      <c r="D399" s="493"/>
      <c r="E399" s="493"/>
      <c r="F399" s="493"/>
      <c r="G399" s="493"/>
      <c r="H399" s="494"/>
      <c r="I399" s="494"/>
      <c r="J399" s="494"/>
      <c r="K399" s="494"/>
      <c r="L399" s="494"/>
      <c r="M399" s="494"/>
      <c r="N399" s="494"/>
      <c r="O399" s="494"/>
      <c r="P399" s="494"/>
    </row>
    <row r="400" spans="2:16" s="221" customFormat="1" ht="20.100000000000001" customHeight="1" x14ac:dyDescent="0.25">
      <c r="B400" s="314"/>
      <c r="C400" s="314"/>
      <c r="D400" s="314"/>
      <c r="E400" s="314"/>
      <c r="F400" s="314"/>
      <c r="G400" s="314"/>
      <c r="H400" s="315"/>
      <c r="I400" s="315"/>
      <c r="J400" s="315"/>
      <c r="K400" s="315"/>
      <c r="L400" s="315"/>
      <c r="M400" s="315"/>
      <c r="N400" s="315"/>
      <c r="O400" s="315"/>
      <c r="P400" s="315"/>
    </row>
    <row r="401" spans="2:16" s="221" customFormat="1" ht="20.100000000000001" customHeight="1" x14ac:dyDescent="0.25">
      <c r="B401" s="493"/>
      <c r="C401" s="493"/>
      <c r="D401" s="493"/>
      <c r="E401" s="493"/>
      <c r="F401" s="493"/>
      <c r="G401" s="493"/>
      <c r="H401" s="494"/>
      <c r="I401" s="494"/>
      <c r="J401" s="494"/>
      <c r="K401" s="494"/>
      <c r="L401" s="494"/>
      <c r="M401" s="494"/>
      <c r="N401" s="494"/>
      <c r="O401" s="494"/>
      <c r="P401" s="494"/>
    </row>
    <row r="402" spans="2:16" s="221" customFormat="1" ht="20.100000000000001" customHeight="1" x14ac:dyDescent="0.25">
      <c r="B402" s="314"/>
      <c r="C402" s="314"/>
      <c r="D402" s="314"/>
      <c r="E402" s="314"/>
      <c r="F402" s="314"/>
      <c r="G402" s="314"/>
      <c r="H402" s="315"/>
      <c r="I402" s="315"/>
      <c r="J402" s="315"/>
      <c r="K402" s="315"/>
      <c r="L402" s="315"/>
      <c r="M402" s="315"/>
      <c r="N402" s="315"/>
      <c r="O402" s="315"/>
      <c r="P402" s="315"/>
    </row>
    <row r="403" spans="2:16" s="221" customFormat="1" ht="20.100000000000001" customHeight="1" x14ac:dyDescent="0.25">
      <c r="B403" s="493"/>
      <c r="C403" s="493"/>
      <c r="D403" s="493"/>
      <c r="E403" s="493"/>
      <c r="F403" s="493"/>
      <c r="G403" s="493"/>
      <c r="H403" s="494"/>
      <c r="I403" s="494"/>
      <c r="J403" s="494"/>
      <c r="K403" s="494"/>
      <c r="L403" s="494"/>
      <c r="M403" s="494"/>
      <c r="N403" s="494"/>
      <c r="O403" s="494"/>
      <c r="P403" s="494"/>
    </row>
    <row r="404" spans="2:16" s="221" customFormat="1" ht="20.100000000000001" customHeight="1" x14ac:dyDescent="0.25">
      <c r="B404" s="314"/>
      <c r="C404" s="314"/>
      <c r="D404" s="314"/>
      <c r="E404" s="314"/>
      <c r="F404" s="314"/>
      <c r="G404" s="314"/>
      <c r="H404" s="315"/>
      <c r="I404" s="315"/>
      <c r="J404" s="315"/>
      <c r="K404" s="315"/>
      <c r="L404" s="315"/>
      <c r="M404" s="315"/>
      <c r="N404" s="315"/>
      <c r="O404" s="315"/>
      <c r="P404" s="315"/>
    </row>
    <row r="405" spans="2:16" s="221" customFormat="1" ht="20.100000000000001" customHeight="1" x14ac:dyDescent="0.25">
      <c r="B405" s="493"/>
      <c r="C405" s="493"/>
      <c r="D405" s="493"/>
      <c r="E405" s="493"/>
      <c r="F405" s="493"/>
      <c r="G405" s="493"/>
      <c r="H405" s="494"/>
      <c r="I405" s="494"/>
      <c r="J405" s="494"/>
      <c r="K405" s="494"/>
      <c r="L405" s="494"/>
      <c r="M405" s="494"/>
      <c r="N405" s="494"/>
      <c r="O405" s="494"/>
      <c r="P405" s="494"/>
    </row>
    <row r="406" spans="2:16" s="221" customFormat="1" ht="20.100000000000001" customHeight="1" x14ac:dyDescent="0.25">
      <c r="B406" s="314"/>
      <c r="C406" s="314"/>
      <c r="D406" s="314"/>
      <c r="E406" s="314"/>
      <c r="F406" s="314"/>
      <c r="G406" s="314"/>
      <c r="H406" s="315"/>
      <c r="I406" s="315"/>
      <c r="J406" s="315"/>
      <c r="K406" s="315"/>
      <c r="L406" s="315"/>
      <c r="M406" s="315"/>
      <c r="N406" s="315"/>
      <c r="O406" s="315"/>
      <c r="P406" s="315"/>
    </row>
    <row r="407" spans="2:16" s="221" customFormat="1" ht="20.100000000000001" customHeight="1" x14ac:dyDescent="0.25">
      <c r="B407" s="493"/>
      <c r="C407" s="493"/>
      <c r="D407" s="493"/>
      <c r="E407" s="493"/>
      <c r="F407" s="493"/>
      <c r="G407" s="493"/>
      <c r="H407" s="494"/>
      <c r="I407" s="494"/>
      <c r="J407" s="494"/>
      <c r="K407" s="494"/>
      <c r="L407" s="494"/>
      <c r="M407" s="494"/>
      <c r="N407" s="494"/>
      <c r="O407" s="494"/>
      <c r="P407" s="494"/>
    </row>
    <row r="408" spans="2:16" s="221" customFormat="1" ht="20.100000000000001" customHeight="1" x14ac:dyDescent="0.25">
      <c r="B408" s="314"/>
      <c r="C408" s="314"/>
      <c r="D408" s="314"/>
      <c r="E408" s="314"/>
      <c r="F408" s="314"/>
      <c r="G408" s="314"/>
      <c r="H408" s="315"/>
      <c r="I408" s="315"/>
      <c r="J408" s="315"/>
      <c r="K408" s="315"/>
      <c r="L408" s="315"/>
      <c r="M408" s="315"/>
      <c r="N408" s="315"/>
      <c r="O408" s="315"/>
      <c r="P408" s="315"/>
    </row>
    <row r="409" spans="2:16" s="221" customFormat="1" ht="20.100000000000001" customHeight="1" x14ac:dyDescent="0.25">
      <c r="B409" s="493"/>
      <c r="C409" s="493"/>
      <c r="D409" s="493"/>
      <c r="E409" s="493"/>
      <c r="F409" s="493"/>
      <c r="G409" s="493"/>
      <c r="H409" s="494"/>
      <c r="I409" s="494"/>
      <c r="J409" s="494"/>
      <c r="K409" s="494"/>
      <c r="L409" s="494"/>
      <c r="M409" s="494"/>
      <c r="N409" s="494"/>
      <c r="O409" s="494"/>
      <c r="P409" s="494"/>
    </row>
    <row r="410" spans="2:16" s="221" customFormat="1" ht="20.100000000000001" customHeight="1" x14ac:dyDescent="0.25">
      <c r="B410" s="314"/>
      <c r="C410" s="314"/>
      <c r="D410" s="314"/>
      <c r="E410" s="314"/>
      <c r="F410" s="314"/>
      <c r="G410" s="314"/>
      <c r="H410" s="315"/>
      <c r="I410" s="315"/>
      <c r="J410" s="315"/>
      <c r="K410" s="315"/>
      <c r="L410" s="315"/>
      <c r="M410" s="315"/>
      <c r="N410" s="315"/>
      <c r="O410" s="315"/>
      <c r="P410" s="315"/>
    </row>
    <row r="411" spans="2:16" s="221" customFormat="1" ht="20.100000000000001" customHeight="1" x14ac:dyDescent="0.25">
      <c r="B411" s="493"/>
      <c r="C411" s="493"/>
      <c r="D411" s="493"/>
      <c r="E411" s="493"/>
      <c r="F411" s="493"/>
      <c r="G411" s="493"/>
      <c r="H411" s="494"/>
      <c r="I411" s="494"/>
      <c r="J411" s="494"/>
      <c r="K411" s="494"/>
      <c r="L411" s="494"/>
      <c r="M411" s="494"/>
      <c r="N411" s="494"/>
      <c r="O411" s="494"/>
      <c r="P411" s="494"/>
    </row>
    <row r="412" spans="2:16" s="221" customFormat="1" ht="20.100000000000001" customHeight="1" x14ac:dyDescent="0.25">
      <c r="B412" s="314"/>
      <c r="C412" s="314"/>
      <c r="D412" s="314"/>
      <c r="E412" s="314"/>
      <c r="F412" s="314"/>
      <c r="G412" s="314"/>
      <c r="H412" s="315"/>
      <c r="I412" s="315"/>
      <c r="J412" s="315"/>
      <c r="K412" s="315"/>
      <c r="L412" s="315"/>
      <c r="M412" s="315"/>
      <c r="N412" s="315"/>
      <c r="O412" s="315"/>
      <c r="P412" s="315"/>
    </row>
    <row r="413" spans="2:16" s="221" customFormat="1" ht="20.100000000000001" customHeight="1" x14ac:dyDescent="0.25">
      <c r="B413" s="493"/>
      <c r="C413" s="493"/>
      <c r="D413" s="493"/>
      <c r="E413" s="493"/>
      <c r="F413" s="493"/>
      <c r="G413" s="493"/>
      <c r="H413" s="494"/>
      <c r="I413" s="494"/>
      <c r="J413" s="494"/>
      <c r="K413" s="494"/>
      <c r="L413" s="494"/>
      <c r="M413" s="494"/>
      <c r="N413" s="494"/>
      <c r="O413" s="494"/>
      <c r="P413" s="494"/>
    </row>
    <row r="414" spans="2:16" s="221" customFormat="1" ht="20.100000000000001" customHeight="1" x14ac:dyDescent="0.25">
      <c r="B414" s="314"/>
      <c r="C414" s="314"/>
      <c r="D414" s="314"/>
      <c r="E414" s="314"/>
      <c r="F414" s="314"/>
      <c r="G414" s="314"/>
      <c r="H414" s="315"/>
      <c r="I414" s="315"/>
      <c r="J414" s="315"/>
      <c r="K414" s="315"/>
      <c r="L414" s="315"/>
      <c r="M414" s="315"/>
      <c r="N414" s="315"/>
      <c r="O414" s="315"/>
      <c r="P414" s="315"/>
    </row>
    <row r="415" spans="2:16" s="221" customFormat="1" ht="20.100000000000001" customHeight="1" x14ac:dyDescent="0.25">
      <c r="B415" s="493"/>
      <c r="C415" s="493"/>
      <c r="D415" s="493"/>
      <c r="E415" s="493"/>
      <c r="F415" s="493"/>
      <c r="G415" s="493"/>
      <c r="H415" s="494"/>
      <c r="I415" s="494"/>
      <c r="J415" s="494"/>
      <c r="K415" s="494"/>
      <c r="L415" s="494"/>
      <c r="M415" s="494"/>
      <c r="N415" s="494"/>
      <c r="O415" s="494"/>
      <c r="P415" s="494"/>
    </row>
    <row r="416" spans="2:16" s="221" customFormat="1" ht="20.100000000000001" customHeight="1" x14ac:dyDescent="0.25">
      <c r="B416" s="314"/>
      <c r="C416" s="314"/>
      <c r="D416" s="314"/>
      <c r="E416" s="314"/>
      <c r="F416" s="314"/>
      <c r="G416" s="314"/>
      <c r="H416" s="315"/>
      <c r="I416" s="315"/>
      <c r="J416" s="315"/>
      <c r="K416" s="315"/>
      <c r="L416" s="315"/>
      <c r="M416" s="315"/>
      <c r="N416" s="315"/>
      <c r="O416" s="315"/>
      <c r="P416" s="315"/>
    </row>
    <row r="417" spans="2:16" s="221" customFormat="1" ht="20.100000000000001" customHeight="1" x14ac:dyDescent="0.25">
      <c r="B417" s="493"/>
      <c r="C417" s="493"/>
      <c r="D417" s="493"/>
      <c r="E417" s="493"/>
      <c r="F417" s="493"/>
      <c r="G417" s="493"/>
      <c r="H417" s="494"/>
      <c r="I417" s="494"/>
      <c r="J417" s="494"/>
      <c r="K417" s="494"/>
      <c r="L417" s="494"/>
      <c r="M417" s="494"/>
      <c r="N417" s="494"/>
      <c r="O417" s="494"/>
      <c r="P417" s="494"/>
    </row>
    <row r="418" spans="2:16" s="221" customFormat="1" ht="20.100000000000001" customHeight="1" x14ac:dyDescent="0.25">
      <c r="B418" s="314"/>
      <c r="C418" s="314"/>
      <c r="D418" s="314"/>
      <c r="E418" s="314"/>
      <c r="F418" s="314"/>
      <c r="G418" s="314"/>
      <c r="H418" s="315"/>
      <c r="I418" s="315"/>
      <c r="J418" s="315"/>
      <c r="K418" s="315"/>
      <c r="L418" s="315"/>
      <c r="M418" s="315"/>
      <c r="N418" s="315"/>
      <c r="O418" s="315"/>
      <c r="P418" s="315"/>
    </row>
    <row r="419" spans="2:16" s="221" customFormat="1" ht="20.100000000000001" customHeight="1" x14ac:dyDescent="0.25">
      <c r="B419" s="493"/>
      <c r="C419" s="493"/>
      <c r="D419" s="493"/>
      <c r="E419" s="493"/>
      <c r="F419" s="493"/>
      <c r="G419" s="493"/>
      <c r="H419" s="494"/>
      <c r="I419" s="494"/>
      <c r="J419" s="494"/>
      <c r="K419" s="494"/>
      <c r="L419" s="494"/>
      <c r="M419" s="494"/>
      <c r="N419" s="494"/>
      <c r="O419" s="494"/>
      <c r="P419" s="494"/>
    </row>
    <row r="420" spans="2:16" s="221" customFormat="1" ht="20.100000000000001" customHeight="1" x14ac:dyDescent="0.25">
      <c r="B420" s="314"/>
      <c r="C420" s="314"/>
      <c r="D420" s="314"/>
      <c r="E420" s="314"/>
      <c r="F420" s="314"/>
      <c r="G420" s="314"/>
      <c r="H420" s="315"/>
      <c r="I420" s="315"/>
      <c r="J420" s="315"/>
      <c r="K420" s="315"/>
      <c r="L420" s="315"/>
      <c r="M420" s="315"/>
      <c r="N420" s="315"/>
      <c r="O420" s="315"/>
      <c r="P420" s="315"/>
    </row>
    <row r="421" spans="2:16" s="221" customFormat="1" ht="20.100000000000001" customHeight="1" x14ac:dyDescent="0.25">
      <c r="B421" s="493"/>
      <c r="C421" s="493"/>
      <c r="D421" s="493"/>
      <c r="E421" s="493"/>
      <c r="F421" s="493"/>
      <c r="G421" s="493"/>
      <c r="H421" s="494"/>
      <c r="I421" s="494"/>
      <c r="J421" s="494"/>
      <c r="K421" s="494"/>
      <c r="L421" s="494"/>
      <c r="M421" s="494"/>
      <c r="N421" s="494"/>
      <c r="O421" s="494"/>
      <c r="P421" s="494"/>
    </row>
    <row r="422" spans="2:16" s="221" customFormat="1" ht="20.100000000000001" customHeight="1" x14ac:dyDescent="0.25">
      <c r="B422" s="314"/>
      <c r="C422" s="314"/>
      <c r="D422" s="314"/>
      <c r="E422" s="314"/>
      <c r="F422" s="314"/>
      <c r="G422" s="314"/>
      <c r="H422" s="315"/>
      <c r="I422" s="315"/>
      <c r="J422" s="315"/>
      <c r="K422" s="315"/>
      <c r="L422" s="315"/>
      <c r="M422" s="315"/>
      <c r="N422" s="315"/>
      <c r="O422" s="315"/>
      <c r="P422" s="315"/>
    </row>
    <row r="423" spans="2:16" s="221" customFormat="1" ht="20.100000000000001" customHeight="1" x14ac:dyDescent="0.25">
      <c r="B423" s="493"/>
      <c r="C423" s="493"/>
      <c r="D423" s="493"/>
      <c r="E423" s="493"/>
      <c r="F423" s="493"/>
      <c r="G423" s="493"/>
      <c r="H423" s="494"/>
      <c r="I423" s="494"/>
      <c r="J423" s="494"/>
      <c r="K423" s="494"/>
      <c r="L423" s="494"/>
      <c r="M423" s="494"/>
      <c r="N423" s="494"/>
      <c r="O423" s="494"/>
      <c r="P423" s="494"/>
    </row>
    <row r="424" spans="2:16" s="221" customFormat="1" ht="20.100000000000001" customHeight="1" x14ac:dyDescent="0.25">
      <c r="B424" s="314"/>
      <c r="C424" s="314"/>
      <c r="D424" s="314"/>
      <c r="E424" s="314"/>
      <c r="F424" s="314"/>
      <c r="G424" s="314"/>
      <c r="H424" s="315"/>
      <c r="I424" s="315"/>
      <c r="J424" s="315"/>
      <c r="K424" s="315"/>
      <c r="L424" s="315"/>
      <c r="M424" s="315"/>
      <c r="N424" s="315"/>
      <c r="O424" s="315"/>
      <c r="P424" s="315"/>
    </row>
    <row r="425" spans="2:16" s="221" customFormat="1" ht="20.100000000000001" customHeight="1" x14ac:dyDescent="0.25">
      <c r="B425" s="493"/>
      <c r="C425" s="493"/>
      <c r="D425" s="493"/>
      <c r="E425" s="493"/>
      <c r="F425" s="493"/>
      <c r="G425" s="493"/>
      <c r="H425" s="494"/>
      <c r="I425" s="494"/>
      <c r="J425" s="494"/>
      <c r="K425" s="494"/>
      <c r="L425" s="494"/>
      <c r="M425" s="494"/>
      <c r="N425" s="494"/>
      <c r="O425" s="494"/>
      <c r="P425" s="494"/>
    </row>
    <row r="426" spans="2:16" s="221" customFormat="1" ht="20.100000000000001" customHeight="1" x14ac:dyDescent="0.25">
      <c r="B426" s="314"/>
      <c r="C426" s="314"/>
      <c r="D426" s="314"/>
      <c r="E426" s="314"/>
      <c r="F426" s="314"/>
      <c r="G426" s="314"/>
      <c r="H426" s="315"/>
      <c r="I426" s="315"/>
      <c r="J426" s="315"/>
      <c r="K426" s="315"/>
      <c r="L426" s="315"/>
      <c r="M426" s="315"/>
      <c r="N426" s="315"/>
      <c r="O426" s="315"/>
      <c r="P426" s="315"/>
    </row>
    <row r="427" spans="2:16" s="221" customFormat="1" ht="20.100000000000001" customHeight="1" x14ac:dyDescent="0.25">
      <c r="B427" s="493"/>
      <c r="C427" s="493"/>
      <c r="D427" s="493"/>
      <c r="E427" s="493"/>
      <c r="F427" s="493"/>
      <c r="G427" s="493"/>
      <c r="H427" s="494"/>
      <c r="I427" s="494"/>
      <c r="J427" s="494"/>
      <c r="K427" s="494"/>
      <c r="L427" s="494"/>
      <c r="M427" s="494"/>
      <c r="N427" s="494"/>
      <c r="O427" s="494"/>
      <c r="P427" s="494"/>
    </row>
    <row r="428" spans="2:16" s="221" customFormat="1" ht="20.100000000000001" customHeight="1" x14ac:dyDescent="0.25">
      <c r="B428" s="314"/>
      <c r="C428" s="314"/>
      <c r="D428" s="314"/>
      <c r="E428" s="314"/>
      <c r="F428" s="314"/>
      <c r="G428" s="314"/>
      <c r="H428" s="315"/>
      <c r="I428" s="315"/>
      <c r="J428" s="315"/>
      <c r="K428" s="315"/>
      <c r="L428" s="315"/>
      <c r="M428" s="315"/>
      <c r="N428" s="315"/>
      <c r="O428" s="315"/>
      <c r="P428" s="315"/>
    </row>
    <row r="429" spans="2:16" s="221" customFormat="1" ht="20.100000000000001" customHeight="1" x14ac:dyDescent="0.25">
      <c r="B429" s="493"/>
      <c r="C429" s="493"/>
      <c r="D429" s="493"/>
      <c r="E429" s="493"/>
      <c r="F429" s="493"/>
      <c r="G429" s="493"/>
      <c r="H429" s="494"/>
      <c r="I429" s="494"/>
      <c r="J429" s="494"/>
      <c r="K429" s="494"/>
      <c r="L429" s="494"/>
      <c r="M429" s="494"/>
      <c r="N429" s="494"/>
      <c r="O429" s="494"/>
      <c r="P429" s="494"/>
    </row>
    <row r="430" spans="2:16" s="221" customFormat="1" ht="20.100000000000001" customHeight="1" x14ac:dyDescent="0.25">
      <c r="B430" s="314"/>
      <c r="C430" s="314"/>
      <c r="D430" s="314"/>
      <c r="E430" s="314"/>
      <c r="F430" s="314"/>
      <c r="G430" s="314"/>
      <c r="H430" s="315"/>
      <c r="I430" s="315"/>
      <c r="J430" s="315"/>
      <c r="K430" s="315"/>
      <c r="L430" s="315"/>
      <c r="M430" s="315"/>
      <c r="N430" s="315"/>
      <c r="O430" s="315"/>
      <c r="P430" s="315"/>
    </row>
    <row r="431" spans="2:16" s="221" customFormat="1" ht="20.100000000000001" customHeight="1" x14ac:dyDescent="0.25">
      <c r="B431" s="493"/>
      <c r="C431" s="493"/>
      <c r="D431" s="493"/>
      <c r="E431" s="493"/>
      <c r="F431" s="493"/>
      <c r="G431" s="493"/>
      <c r="H431" s="494"/>
      <c r="I431" s="494"/>
      <c r="J431" s="494"/>
      <c r="K431" s="494"/>
      <c r="L431" s="494"/>
      <c r="M431" s="494"/>
      <c r="N431" s="494"/>
      <c r="O431" s="494"/>
      <c r="P431" s="494"/>
    </row>
    <row r="432" spans="2:16" s="221" customFormat="1" ht="20.100000000000001" customHeight="1" x14ac:dyDescent="0.25">
      <c r="B432" s="314"/>
      <c r="C432" s="314"/>
      <c r="D432" s="314"/>
      <c r="E432" s="314"/>
      <c r="F432" s="314"/>
      <c r="G432" s="314"/>
      <c r="H432" s="315"/>
      <c r="I432" s="315"/>
      <c r="J432" s="315"/>
      <c r="K432" s="315"/>
      <c r="L432" s="315"/>
      <c r="M432" s="315"/>
      <c r="N432" s="315"/>
      <c r="O432" s="315"/>
      <c r="P432" s="315"/>
    </row>
    <row r="433" spans="2:16" s="221" customFormat="1" ht="20.100000000000001" customHeight="1" x14ac:dyDescent="0.25">
      <c r="B433" s="493"/>
      <c r="C433" s="493"/>
      <c r="D433" s="493"/>
      <c r="E433" s="493"/>
      <c r="F433" s="493"/>
      <c r="G433" s="493"/>
      <c r="H433" s="494"/>
      <c r="I433" s="494"/>
      <c r="J433" s="494"/>
      <c r="K433" s="494"/>
      <c r="L433" s="494"/>
      <c r="M433" s="494"/>
      <c r="N433" s="494"/>
      <c r="O433" s="494"/>
      <c r="P433" s="494"/>
    </row>
    <row r="434" spans="2:16" s="221" customFormat="1" ht="20.100000000000001" customHeight="1" x14ac:dyDescent="0.25">
      <c r="B434" s="314"/>
      <c r="C434" s="314"/>
      <c r="D434" s="314"/>
      <c r="E434" s="314"/>
      <c r="F434" s="314"/>
      <c r="G434" s="314"/>
      <c r="H434" s="315"/>
      <c r="I434" s="315"/>
      <c r="J434" s="315"/>
      <c r="K434" s="315"/>
      <c r="L434" s="315"/>
      <c r="M434" s="315"/>
      <c r="N434" s="315"/>
      <c r="O434" s="315"/>
      <c r="P434" s="315"/>
    </row>
    <row r="435" spans="2:16" s="221" customFormat="1" ht="20.100000000000001" customHeight="1" x14ac:dyDescent="0.25">
      <c r="B435" s="493"/>
      <c r="C435" s="493"/>
      <c r="D435" s="493"/>
      <c r="E435" s="493"/>
      <c r="F435" s="493"/>
      <c r="G435" s="493"/>
      <c r="H435" s="494"/>
      <c r="I435" s="494"/>
      <c r="J435" s="494"/>
      <c r="K435" s="494"/>
      <c r="L435" s="494"/>
      <c r="M435" s="494"/>
      <c r="N435" s="494"/>
      <c r="O435" s="494"/>
      <c r="P435" s="494"/>
    </row>
    <row r="436" spans="2:16" s="221" customFormat="1" ht="20.100000000000001" customHeight="1" x14ac:dyDescent="0.25">
      <c r="B436" s="314"/>
      <c r="C436" s="314"/>
      <c r="D436" s="314"/>
      <c r="E436" s="314"/>
      <c r="F436" s="314"/>
      <c r="G436" s="314"/>
      <c r="H436" s="315"/>
      <c r="I436" s="315"/>
      <c r="J436" s="315"/>
      <c r="K436" s="315"/>
      <c r="L436" s="315"/>
      <c r="M436" s="315"/>
      <c r="N436" s="315"/>
      <c r="O436" s="315"/>
      <c r="P436" s="315"/>
    </row>
    <row r="437" spans="2:16" s="221" customFormat="1" ht="20.100000000000001" customHeight="1" x14ac:dyDescent="0.25">
      <c r="B437" s="493"/>
      <c r="C437" s="493"/>
      <c r="D437" s="493"/>
      <c r="E437" s="493"/>
      <c r="F437" s="493"/>
      <c r="G437" s="493"/>
      <c r="H437" s="494"/>
      <c r="I437" s="494"/>
      <c r="J437" s="494"/>
      <c r="K437" s="494"/>
      <c r="L437" s="494"/>
      <c r="M437" s="494"/>
      <c r="N437" s="494"/>
      <c r="O437" s="494"/>
      <c r="P437" s="494"/>
    </row>
    <row r="438" spans="2:16" s="221" customFormat="1" ht="20.100000000000001" customHeight="1" x14ac:dyDescent="0.25">
      <c r="B438" s="314"/>
      <c r="C438" s="314"/>
      <c r="D438" s="314"/>
      <c r="E438" s="314"/>
      <c r="F438" s="314"/>
      <c r="G438" s="314"/>
      <c r="H438" s="315"/>
      <c r="I438" s="315"/>
      <c r="J438" s="315"/>
      <c r="K438" s="315"/>
      <c r="L438" s="315"/>
      <c r="M438" s="315"/>
      <c r="N438" s="315"/>
      <c r="O438" s="315"/>
      <c r="P438" s="315"/>
    </row>
    <row r="439" spans="2:16" s="221" customFormat="1" ht="20.100000000000001" customHeight="1" x14ac:dyDescent="0.25">
      <c r="B439" s="493"/>
      <c r="C439" s="493"/>
      <c r="D439" s="493"/>
      <c r="E439" s="493"/>
      <c r="F439" s="493"/>
      <c r="G439" s="493"/>
      <c r="H439" s="494"/>
      <c r="I439" s="494"/>
      <c r="J439" s="494"/>
      <c r="K439" s="494"/>
      <c r="L439" s="494"/>
      <c r="M439" s="494"/>
      <c r="N439" s="494"/>
      <c r="O439" s="494"/>
      <c r="P439" s="494"/>
    </row>
    <row r="440" spans="2:16" s="221" customFormat="1" ht="20.100000000000001" customHeight="1" x14ac:dyDescent="0.25">
      <c r="B440" s="314"/>
      <c r="C440" s="314"/>
      <c r="D440" s="314"/>
      <c r="E440" s="314"/>
      <c r="F440" s="314"/>
      <c r="G440" s="314"/>
      <c r="H440" s="315"/>
      <c r="I440" s="315"/>
      <c r="J440" s="315"/>
      <c r="K440" s="315"/>
      <c r="L440" s="315"/>
      <c r="M440" s="315"/>
      <c r="N440" s="315"/>
      <c r="O440" s="315"/>
      <c r="P440" s="315"/>
    </row>
    <row r="441" spans="2:16" s="221" customFormat="1" ht="20.100000000000001" customHeight="1" x14ac:dyDescent="0.25">
      <c r="B441" s="493"/>
      <c r="C441" s="493"/>
      <c r="D441" s="493"/>
      <c r="E441" s="493"/>
      <c r="F441" s="493"/>
      <c r="G441" s="493"/>
      <c r="H441" s="494"/>
      <c r="I441" s="494"/>
      <c r="J441" s="494"/>
      <c r="K441" s="494"/>
      <c r="L441" s="494"/>
      <c r="M441" s="494"/>
      <c r="N441" s="494"/>
      <c r="O441" s="494"/>
      <c r="P441" s="494"/>
    </row>
    <row r="442" spans="2:16" s="221" customFormat="1" ht="20.100000000000001" customHeight="1" x14ac:dyDescent="0.25">
      <c r="B442" s="314"/>
      <c r="C442" s="314"/>
      <c r="D442" s="314"/>
      <c r="E442" s="314"/>
      <c r="F442" s="314"/>
      <c r="G442" s="314"/>
      <c r="H442" s="315"/>
      <c r="I442" s="315"/>
      <c r="J442" s="315"/>
      <c r="K442" s="315"/>
      <c r="L442" s="315"/>
      <c r="M442" s="315"/>
      <c r="N442" s="315"/>
      <c r="O442" s="315"/>
      <c r="P442" s="315"/>
    </row>
    <row r="443" spans="2:16" s="221" customFormat="1" ht="20.100000000000001" customHeight="1" x14ac:dyDescent="0.25">
      <c r="B443" s="493"/>
      <c r="C443" s="493"/>
      <c r="D443" s="493"/>
      <c r="E443" s="493"/>
      <c r="F443" s="493"/>
      <c r="G443" s="493"/>
      <c r="H443" s="494"/>
      <c r="I443" s="494"/>
      <c r="J443" s="494"/>
      <c r="K443" s="494"/>
      <c r="L443" s="494"/>
      <c r="M443" s="494"/>
      <c r="N443" s="494"/>
      <c r="O443" s="494"/>
      <c r="P443" s="494"/>
    </row>
    <row r="444" spans="2:16" s="221" customFormat="1" ht="20.100000000000001" customHeight="1" x14ac:dyDescent="0.25">
      <c r="B444" s="314"/>
      <c r="C444" s="314"/>
      <c r="D444" s="314"/>
      <c r="E444" s="314"/>
      <c r="F444" s="314"/>
      <c r="G444" s="314"/>
      <c r="H444" s="315"/>
      <c r="I444" s="315"/>
      <c r="J444" s="315"/>
      <c r="K444" s="315"/>
      <c r="L444" s="315"/>
      <c r="M444" s="315"/>
      <c r="N444" s="315"/>
      <c r="O444" s="315"/>
      <c r="P444" s="315"/>
    </row>
    <row r="445" spans="2:16" s="221" customFormat="1" ht="20.100000000000001" customHeight="1" x14ac:dyDescent="0.25">
      <c r="B445" s="493"/>
      <c r="C445" s="493"/>
      <c r="D445" s="493"/>
      <c r="E445" s="493"/>
      <c r="F445" s="493"/>
      <c r="G445" s="493"/>
      <c r="H445" s="494"/>
      <c r="I445" s="494"/>
      <c r="J445" s="494"/>
      <c r="K445" s="494"/>
      <c r="L445" s="494"/>
      <c r="M445" s="494"/>
      <c r="N445" s="494"/>
      <c r="O445" s="494"/>
      <c r="P445" s="494"/>
    </row>
    <row r="446" spans="2:16" s="221" customFormat="1" ht="20.100000000000001" customHeight="1" x14ac:dyDescent="0.25">
      <c r="B446" s="314"/>
      <c r="C446" s="314"/>
      <c r="D446" s="314"/>
      <c r="E446" s="314"/>
      <c r="F446" s="314"/>
      <c r="G446" s="314"/>
      <c r="H446" s="315"/>
      <c r="I446" s="315"/>
      <c r="J446" s="315"/>
      <c r="K446" s="315"/>
      <c r="L446" s="315"/>
      <c r="M446" s="315"/>
      <c r="N446" s="315"/>
      <c r="O446" s="315"/>
      <c r="P446" s="315"/>
    </row>
    <row r="447" spans="2:16" s="221" customFormat="1" ht="20.100000000000001" customHeight="1" x14ac:dyDescent="0.25">
      <c r="B447" s="493"/>
      <c r="C447" s="493"/>
      <c r="D447" s="493"/>
      <c r="E447" s="493"/>
      <c r="F447" s="493"/>
      <c r="G447" s="493"/>
      <c r="H447" s="494"/>
      <c r="I447" s="494"/>
      <c r="J447" s="494"/>
      <c r="K447" s="494"/>
      <c r="L447" s="494"/>
      <c r="M447" s="494"/>
      <c r="N447" s="494"/>
      <c r="O447" s="494"/>
      <c r="P447" s="494"/>
    </row>
    <row r="448" spans="2:16" s="221" customFormat="1" ht="20.100000000000001" customHeight="1" x14ac:dyDescent="0.25">
      <c r="B448" s="314"/>
      <c r="C448" s="314"/>
      <c r="D448" s="314"/>
      <c r="E448" s="314"/>
      <c r="F448" s="314"/>
      <c r="G448" s="314"/>
      <c r="H448" s="315"/>
      <c r="I448" s="315"/>
      <c r="J448" s="315"/>
      <c r="K448" s="315"/>
      <c r="L448" s="315"/>
      <c r="M448" s="315"/>
      <c r="N448" s="315"/>
      <c r="O448" s="315"/>
      <c r="P448" s="315"/>
    </row>
    <row r="449" spans="2:16" s="221" customFormat="1" ht="20.100000000000001" customHeight="1" x14ac:dyDescent="0.25">
      <c r="B449" s="493"/>
      <c r="C449" s="493"/>
      <c r="D449" s="493"/>
      <c r="E449" s="493"/>
      <c r="F449" s="493"/>
      <c r="G449" s="493"/>
      <c r="H449" s="494"/>
      <c r="I449" s="494"/>
      <c r="J449" s="494"/>
      <c r="K449" s="494"/>
      <c r="L449" s="494"/>
      <c r="M449" s="494"/>
      <c r="N449" s="494"/>
      <c r="O449" s="494"/>
      <c r="P449" s="494"/>
    </row>
    <row r="450" spans="2:16" s="221" customFormat="1" ht="20.100000000000001" customHeight="1" x14ac:dyDescent="0.25">
      <c r="B450" s="314"/>
      <c r="C450" s="314"/>
      <c r="D450" s="314"/>
      <c r="E450" s="314"/>
      <c r="F450" s="314"/>
      <c r="G450" s="314"/>
      <c r="H450" s="315"/>
      <c r="I450" s="315"/>
      <c r="J450" s="315"/>
      <c r="K450" s="315"/>
      <c r="L450" s="315"/>
      <c r="M450" s="315"/>
      <c r="N450" s="315"/>
      <c r="O450" s="315"/>
      <c r="P450" s="315"/>
    </row>
    <row r="451" spans="2:16" s="221" customFormat="1" ht="20.100000000000001" customHeight="1" x14ac:dyDescent="0.25">
      <c r="B451" s="493"/>
      <c r="C451" s="493"/>
      <c r="D451" s="493"/>
      <c r="E451" s="493"/>
      <c r="F451" s="493"/>
      <c r="G451" s="493"/>
      <c r="H451" s="494"/>
      <c r="I451" s="494"/>
      <c r="J451" s="494"/>
      <c r="K451" s="494"/>
      <c r="L451" s="494"/>
      <c r="M451" s="494"/>
      <c r="N451" s="494"/>
      <c r="O451" s="494"/>
      <c r="P451" s="494"/>
    </row>
    <row r="452" spans="2:16" s="221" customFormat="1" ht="20.100000000000001" customHeight="1" x14ac:dyDescent="0.25">
      <c r="B452" s="314"/>
      <c r="C452" s="314"/>
      <c r="D452" s="314"/>
      <c r="E452" s="314"/>
      <c r="F452" s="314"/>
      <c r="G452" s="314"/>
      <c r="H452" s="315"/>
      <c r="I452" s="315"/>
      <c r="J452" s="315"/>
      <c r="K452" s="315"/>
      <c r="L452" s="315"/>
      <c r="M452" s="315"/>
      <c r="N452" s="315"/>
      <c r="O452" s="315"/>
      <c r="P452" s="315"/>
    </row>
    <row r="453" spans="2:16" s="221" customFormat="1" ht="20.100000000000001" customHeight="1" x14ac:dyDescent="0.25">
      <c r="B453" s="493"/>
      <c r="C453" s="493"/>
      <c r="D453" s="493"/>
      <c r="E453" s="493"/>
      <c r="F453" s="493"/>
      <c r="G453" s="493"/>
      <c r="H453" s="494"/>
      <c r="I453" s="494"/>
      <c r="J453" s="494"/>
      <c r="K453" s="494"/>
      <c r="L453" s="494"/>
      <c r="M453" s="494"/>
      <c r="N453" s="494"/>
      <c r="O453" s="494"/>
      <c r="P453" s="494"/>
    </row>
    <row r="454" spans="2:16" s="221" customFormat="1" ht="20.100000000000001" customHeight="1" x14ac:dyDescent="0.25">
      <c r="B454" s="314"/>
      <c r="C454" s="314"/>
      <c r="D454" s="314"/>
      <c r="E454" s="314"/>
      <c r="F454" s="314"/>
      <c r="G454" s="314"/>
      <c r="H454" s="315"/>
      <c r="I454" s="315"/>
      <c r="J454" s="315"/>
      <c r="K454" s="315"/>
      <c r="L454" s="315"/>
      <c r="M454" s="315"/>
      <c r="N454" s="315"/>
      <c r="O454" s="315"/>
      <c r="P454" s="315"/>
    </row>
    <row r="455" spans="2:16" s="221" customFormat="1" ht="20.100000000000001" customHeight="1" x14ac:dyDescent="0.25">
      <c r="B455" s="493"/>
      <c r="C455" s="493"/>
      <c r="D455" s="493"/>
      <c r="E455" s="493"/>
      <c r="F455" s="493"/>
      <c r="G455" s="493"/>
      <c r="H455" s="494"/>
      <c r="I455" s="494"/>
      <c r="J455" s="494"/>
      <c r="K455" s="494"/>
      <c r="L455" s="494"/>
      <c r="M455" s="494"/>
      <c r="N455" s="494"/>
      <c r="O455" s="494"/>
      <c r="P455" s="494"/>
    </row>
    <row r="456" spans="2:16" s="221" customFormat="1" ht="20.100000000000001" customHeight="1" x14ac:dyDescent="0.25">
      <c r="B456" s="314"/>
      <c r="C456" s="314"/>
      <c r="D456" s="314"/>
      <c r="E456" s="314"/>
      <c r="F456" s="314"/>
      <c r="G456" s="314"/>
      <c r="H456" s="315"/>
      <c r="I456" s="315"/>
      <c r="J456" s="315"/>
      <c r="K456" s="315"/>
      <c r="L456" s="315"/>
      <c r="M456" s="315"/>
      <c r="N456" s="315"/>
      <c r="O456" s="315"/>
      <c r="P456" s="315"/>
    </row>
    <row r="457" spans="2:16" s="221" customFormat="1" ht="20.100000000000001" customHeight="1" x14ac:dyDescent="0.25">
      <c r="B457" s="493"/>
      <c r="C457" s="493"/>
      <c r="D457" s="493"/>
      <c r="E457" s="493"/>
      <c r="F457" s="493"/>
      <c r="G457" s="493"/>
      <c r="H457" s="494"/>
      <c r="I457" s="494"/>
      <c r="J457" s="494"/>
      <c r="K457" s="494"/>
      <c r="L457" s="494"/>
      <c r="M457" s="494"/>
      <c r="N457" s="494"/>
      <c r="O457" s="494"/>
      <c r="P457" s="494"/>
    </row>
    <row r="458" spans="2:16" s="221" customFormat="1" ht="20.100000000000001" customHeight="1" x14ac:dyDescent="0.25">
      <c r="B458" s="314"/>
      <c r="C458" s="314"/>
      <c r="D458" s="314"/>
      <c r="E458" s="314"/>
      <c r="F458" s="314"/>
      <c r="G458" s="314"/>
      <c r="H458" s="315"/>
      <c r="I458" s="315"/>
      <c r="J458" s="315"/>
      <c r="K458" s="315"/>
      <c r="L458" s="315"/>
      <c r="M458" s="315"/>
      <c r="N458" s="315"/>
      <c r="O458" s="315"/>
      <c r="P458" s="315"/>
    </row>
    <row r="459" spans="2:16" s="221" customFormat="1" ht="20.100000000000001" customHeight="1" x14ac:dyDescent="0.25">
      <c r="B459" s="493"/>
      <c r="C459" s="493"/>
      <c r="D459" s="493"/>
      <c r="E459" s="493"/>
      <c r="F459" s="493"/>
      <c r="G459" s="493"/>
      <c r="H459" s="494"/>
      <c r="I459" s="494"/>
      <c r="J459" s="494"/>
      <c r="K459" s="494"/>
      <c r="L459" s="494"/>
      <c r="M459" s="494"/>
      <c r="N459" s="494"/>
      <c r="O459" s="494"/>
      <c r="P459" s="494"/>
    </row>
    <row r="460" spans="2:16" s="221" customFormat="1" ht="20.100000000000001" customHeight="1" x14ac:dyDescent="0.25">
      <c r="B460" s="314"/>
      <c r="C460" s="314"/>
      <c r="D460" s="314"/>
      <c r="E460" s="314"/>
      <c r="F460" s="314"/>
      <c r="G460" s="314"/>
      <c r="H460" s="315"/>
      <c r="I460" s="315"/>
      <c r="J460" s="315"/>
      <c r="K460" s="315"/>
      <c r="L460" s="315"/>
      <c r="M460" s="315"/>
      <c r="N460" s="315"/>
      <c r="O460" s="315"/>
      <c r="P460" s="315"/>
    </row>
    <row r="461" spans="2:16" s="221" customFormat="1" ht="20.100000000000001" customHeight="1" x14ac:dyDescent="0.25">
      <c r="B461" s="493"/>
      <c r="C461" s="493"/>
      <c r="D461" s="493"/>
      <c r="E461" s="493"/>
      <c r="F461" s="493"/>
      <c r="G461" s="493"/>
      <c r="H461" s="494"/>
      <c r="I461" s="494"/>
      <c r="J461" s="494"/>
      <c r="K461" s="494"/>
      <c r="L461" s="494"/>
      <c r="M461" s="494"/>
      <c r="N461" s="494"/>
      <c r="O461" s="494"/>
      <c r="P461" s="494"/>
    </row>
    <row r="462" spans="2:16" s="221" customFormat="1" ht="20.100000000000001" customHeight="1" x14ac:dyDescent="0.25">
      <c r="B462" s="314"/>
      <c r="C462" s="314"/>
      <c r="D462" s="314"/>
      <c r="E462" s="314"/>
      <c r="F462" s="314"/>
      <c r="G462" s="314"/>
      <c r="H462" s="315"/>
      <c r="I462" s="315"/>
      <c r="J462" s="315"/>
      <c r="K462" s="315"/>
      <c r="L462" s="315"/>
      <c r="M462" s="315"/>
      <c r="N462" s="315"/>
      <c r="O462" s="315"/>
      <c r="P462" s="315"/>
    </row>
    <row r="463" spans="2:16" s="221" customFormat="1" ht="20.100000000000001" customHeight="1" x14ac:dyDescent="0.25">
      <c r="B463" s="493"/>
      <c r="C463" s="493"/>
      <c r="D463" s="493"/>
      <c r="E463" s="493"/>
      <c r="F463" s="493"/>
      <c r="G463" s="493"/>
      <c r="H463" s="494"/>
      <c r="I463" s="494"/>
      <c r="J463" s="494"/>
      <c r="K463" s="494"/>
      <c r="L463" s="494"/>
      <c r="M463" s="494"/>
      <c r="N463" s="494"/>
      <c r="O463" s="494"/>
      <c r="P463" s="494"/>
    </row>
    <row r="464" spans="2:16" s="221" customFormat="1" ht="20.100000000000001" customHeight="1" x14ac:dyDescent="0.25">
      <c r="B464" s="314"/>
      <c r="C464" s="314"/>
      <c r="D464" s="314"/>
      <c r="E464" s="314"/>
      <c r="F464" s="314"/>
      <c r="G464" s="314"/>
      <c r="H464" s="315"/>
      <c r="I464" s="315"/>
      <c r="J464" s="315"/>
      <c r="K464" s="315"/>
      <c r="L464" s="315"/>
      <c r="M464" s="315"/>
      <c r="N464" s="315"/>
      <c r="O464" s="315"/>
      <c r="P464" s="315"/>
    </row>
    <row r="465" spans="2:16" s="221" customFormat="1" ht="20.100000000000001" customHeight="1" x14ac:dyDescent="0.25">
      <c r="B465" s="493"/>
      <c r="C465" s="493"/>
      <c r="D465" s="493"/>
      <c r="E465" s="493"/>
      <c r="F465" s="493"/>
      <c r="G465" s="493"/>
      <c r="H465" s="494"/>
      <c r="I465" s="494"/>
      <c r="J465" s="494"/>
      <c r="K465" s="494"/>
      <c r="L465" s="494"/>
      <c r="M465" s="494"/>
      <c r="N465" s="494"/>
      <c r="O465" s="494"/>
      <c r="P465" s="494"/>
    </row>
    <row r="466" spans="2:16" s="221" customFormat="1" ht="20.100000000000001" customHeight="1" x14ac:dyDescent="0.25">
      <c r="B466" s="314"/>
      <c r="C466" s="314"/>
      <c r="D466" s="314"/>
      <c r="E466" s="314"/>
      <c r="F466" s="314"/>
      <c r="G466" s="314"/>
      <c r="H466" s="315"/>
      <c r="I466" s="315"/>
      <c r="J466" s="315"/>
      <c r="K466" s="315"/>
      <c r="L466" s="315"/>
      <c r="M466" s="315"/>
      <c r="N466" s="315"/>
      <c r="O466" s="315"/>
      <c r="P466" s="315"/>
    </row>
    <row r="467" spans="2:16" s="221" customFormat="1" ht="20.100000000000001" customHeight="1" x14ac:dyDescent="0.25">
      <c r="B467" s="493"/>
      <c r="C467" s="493"/>
      <c r="D467" s="493"/>
      <c r="E467" s="493"/>
      <c r="F467" s="493"/>
      <c r="G467" s="493"/>
      <c r="H467" s="494"/>
      <c r="I467" s="494"/>
      <c r="J467" s="494"/>
      <c r="K467" s="494"/>
      <c r="L467" s="494"/>
      <c r="M467" s="494"/>
      <c r="N467" s="494"/>
      <c r="O467" s="494"/>
      <c r="P467" s="494"/>
    </row>
    <row r="468" spans="2:16" s="221" customFormat="1" ht="20.100000000000001" customHeight="1" x14ac:dyDescent="0.25">
      <c r="B468" s="314"/>
      <c r="C468" s="314"/>
      <c r="D468" s="314"/>
      <c r="E468" s="314"/>
      <c r="F468" s="314"/>
      <c r="G468" s="314"/>
      <c r="H468" s="315"/>
      <c r="I468" s="315"/>
      <c r="J468" s="315"/>
      <c r="K468" s="315"/>
      <c r="L468" s="315"/>
      <c r="M468" s="315"/>
      <c r="N468" s="315"/>
      <c r="O468" s="315"/>
      <c r="P468" s="315"/>
    </row>
    <row r="469" spans="2:16" s="221" customFormat="1" ht="20.100000000000001" customHeight="1" x14ac:dyDescent="0.25">
      <c r="B469" s="493"/>
      <c r="C469" s="493"/>
      <c r="D469" s="493"/>
      <c r="E469" s="493"/>
      <c r="F469" s="493"/>
      <c r="G469" s="493"/>
      <c r="H469" s="494"/>
      <c r="I469" s="494"/>
      <c r="J469" s="494"/>
      <c r="K469" s="494"/>
      <c r="L469" s="494"/>
      <c r="M469" s="494"/>
      <c r="N469" s="494"/>
      <c r="O469" s="494"/>
      <c r="P469" s="494"/>
    </row>
    <row r="470" spans="2:16" s="221" customFormat="1" ht="20.100000000000001" customHeight="1" x14ac:dyDescent="0.25">
      <c r="B470" s="314"/>
      <c r="C470" s="314"/>
      <c r="D470" s="314"/>
      <c r="E470" s="314"/>
      <c r="F470" s="314"/>
      <c r="G470" s="314"/>
      <c r="H470" s="315"/>
      <c r="I470" s="315"/>
      <c r="J470" s="315"/>
      <c r="K470" s="315"/>
      <c r="L470" s="315"/>
      <c r="M470" s="315"/>
      <c r="N470" s="315"/>
      <c r="O470" s="315"/>
      <c r="P470" s="315"/>
    </row>
    <row r="471" spans="2:16" s="221" customFormat="1" ht="20.100000000000001" customHeight="1" x14ac:dyDescent="0.25">
      <c r="B471" s="493"/>
      <c r="C471" s="493"/>
      <c r="D471" s="493"/>
      <c r="E471" s="493"/>
      <c r="F471" s="493"/>
      <c r="G471" s="493"/>
      <c r="H471" s="494"/>
      <c r="I471" s="494"/>
      <c r="J471" s="494"/>
      <c r="K471" s="494"/>
      <c r="L471" s="494"/>
      <c r="M471" s="494"/>
      <c r="N471" s="494"/>
      <c r="O471" s="494"/>
      <c r="P471" s="494"/>
    </row>
    <row r="472" spans="2:16" s="221" customFormat="1" ht="20.100000000000001" customHeight="1" x14ac:dyDescent="0.25">
      <c r="B472" s="314"/>
      <c r="C472" s="314"/>
      <c r="D472" s="314"/>
      <c r="E472" s="314"/>
      <c r="F472" s="314"/>
      <c r="G472" s="314"/>
      <c r="H472" s="315"/>
      <c r="I472" s="315"/>
      <c r="J472" s="315"/>
      <c r="K472" s="315"/>
      <c r="L472" s="315"/>
      <c r="M472" s="315"/>
      <c r="N472" s="315"/>
      <c r="O472" s="315"/>
      <c r="P472" s="315"/>
    </row>
    <row r="473" spans="2:16" s="221" customFormat="1" ht="20.100000000000001" customHeight="1" x14ac:dyDescent="0.25">
      <c r="B473" s="493"/>
      <c r="C473" s="493"/>
      <c r="D473" s="493"/>
      <c r="E473" s="493"/>
      <c r="F473" s="493"/>
      <c r="G473" s="493"/>
      <c r="H473" s="494"/>
      <c r="I473" s="494"/>
      <c r="J473" s="494"/>
      <c r="K473" s="494"/>
      <c r="L473" s="494"/>
      <c r="M473" s="494"/>
      <c r="N473" s="494"/>
      <c r="O473" s="494"/>
      <c r="P473" s="494"/>
    </row>
    <row r="474" spans="2:16" s="221" customFormat="1" ht="20.100000000000001" customHeight="1" x14ac:dyDescent="0.25">
      <c r="B474" s="314"/>
      <c r="C474" s="314"/>
      <c r="D474" s="314"/>
      <c r="E474" s="314"/>
      <c r="F474" s="314"/>
      <c r="G474" s="314"/>
      <c r="H474" s="315"/>
      <c r="I474" s="315"/>
      <c r="J474" s="315"/>
      <c r="K474" s="315"/>
      <c r="L474" s="315"/>
      <c r="M474" s="315"/>
      <c r="N474" s="315"/>
      <c r="O474" s="315"/>
      <c r="P474" s="315"/>
    </row>
    <row r="475" spans="2:16" s="221" customFormat="1" ht="20.100000000000001" customHeight="1" x14ac:dyDescent="0.25">
      <c r="B475" s="493"/>
      <c r="C475" s="493"/>
      <c r="D475" s="493"/>
      <c r="E475" s="493"/>
      <c r="F475" s="493"/>
      <c r="G475" s="493"/>
      <c r="H475" s="494"/>
      <c r="I475" s="494"/>
      <c r="J475" s="494"/>
      <c r="K475" s="494"/>
      <c r="L475" s="494"/>
      <c r="M475" s="494"/>
      <c r="N475" s="494"/>
      <c r="O475" s="494"/>
      <c r="P475" s="494"/>
    </row>
    <row r="476" spans="2:16" s="221" customFormat="1" ht="20.100000000000001" customHeight="1" x14ac:dyDescent="0.25">
      <c r="B476" s="314"/>
      <c r="C476" s="314"/>
      <c r="D476" s="314"/>
      <c r="E476" s="314"/>
      <c r="F476" s="314"/>
      <c r="G476" s="314"/>
      <c r="H476" s="315"/>
      <c r="I476" s="315"/>
      <c r="J476" s="315"/>
      <c r="K476" s="315"/>
      <c r="L476" s="315"/>
      <c r="M476" s="315"/>
      <c r="N476" s="315"/>
      <c r="O476" s="315"/>
      <c r="P476" s="315"/>
    </row>
    <row r="477" spans="2:16" s="221" customFormat="1" ht="20.100000000000001" customHeight="1" x14ac:dyDescent="0.25">
      <c r="B477" s="493"/>
      <c r="C477" s="493"/>
      <c r="D477" s="493"/>
      <c r="E477" s="493"/>
      <c r="F477" s="493"/>
      <c r="G477" s="493"/>
      <c r="H477" s="494"/>
      <c r="I477" s="494"/>
      <c r="J477" s="494"/>
      <c r="K477" s="494"/>
      <c r="L477" s="494"/>
      <c r="M477" s="494"/>
      <c r="N477" s="494"/>
      <c r="O477" s="494"/>
      <c r="P477" s="494"/>
    </row>
    <row r="478" spans="2:16" s="221" customFormat="1" ht="20.100000000000001" customHeight="1" x14ac:dyDescent="0.25">
      <c r="B478" s="314"/>
      <c r="C478" s="314"/>
      <c r="D478" s="314"/>
      <c r="E478" s="314"/>
      <c r="F478" s="314"/>
      <c r="G478" s="314"/>
      <c r="H478" s="315"/>
      <c r="I478" s="315"/>
      <c r="J478" s="315"/>
      <c r="K478" s="315"/>
      <c r="L478" s="315"/>
      <c r="M478" s="315"/>
      <c r="N478" s="315"/>
      <c r="O478" s="315"/>
      <c r="P478" s="315"/>
    </row>
    <row r="479" spans="2:16" s="221" customFormat="1" ht="20.100000000000001" customHeight="1" x14ac:dyDescent="0.25">
      <c r="B479" s="493"/>
      <c r="C479" s="493"/>
      <c r="D479" s="493"/>
      <c r="E479" s="493"/>
      <c r="F479" s="493"/>
      <c r="G479" s="493"/>
      <c r="H479" s="494"/>
      <c r="I479" s="494"/>
      <c r="J479" s="494"/>
      <c r="K479" s="494"/>
      <c r="L479" s="494"/>
      <c r="M479" s="494"/>
      <c r="N479" s="494"/>
      <c r="O479" s="494"/>
      <c r="P479" s="494"/>
    </row>
    <row r="480" spans="2:16" s="221" customFormat="1" ht="20.100000000000001" customHeight="1" x14ac:dyDescent="0.25">
      <c r="B480" s="314"/>
      <c r="C480" s="314"/>
      <c r="D480" s="314"/>
      <c r="E480" s="314"/>
      <c r="F480" s="314"/>
      <c r="G480" s="314"/>
      <c r="H480" s="315"/>
      <c r="I480" s="315"/>
      <c r="J480" s="315"/>
      <c r="K480" s="315"/>
      <c r="L480" s="315"/>
      <c r="M480" s="315"/>
      <c r="N480" s="315"/>
      <c r="O480" s="315"/>
      <c r="P480" s="315"/>
    </row>
    <row r="481" spans="2:16" s="221" customFormat="1" ht="20.100000000000001" customHeight="1" x14ac:dyDescent="0.25">
      <c r="B481" s="493"/>
      <c r="C481" s="493"/>
      <c r="D481" s="493"/>
      <c r="E481" s="493"/>
      <c r="F481" s="493"/>
      <c r="G481" s="493"/>
      <c r="H481" s="494"/>
      <c r="I481" s="494"/>
      <c r="J481" s="494"/>
      <c r="K481" s="494"/>
      <c r="L481" s="494"/>
      <c r="M481" s="494"/>
      <c r="N481" s="494"/>
      <c r="O481" s="494"/>
      <c r="P481" s="494"/>
    </row>
    <row r="482" spans="2:16" s="221" customFormat="1" ht="20.100000000000001" customHeight="1" x14ac:dyDescent="0.25">
      <c r="B482" s="314"/>
      <c r="C482" s="314"/>
      <c r="D482" s="314"/>
      <c r="E482" s="314"/>
      <c r="F482" s="314"/>
      <c r="G482" s="314"/>
      <c r="H482" s="315"/>
      <c r="I482" s="315"/>
      <c r="J482" s="315"/>
      <c r="K482" s="315"/>
      <c r="L482" s="315"/>
      <c r="M482" s="315"/>
      <c r="N482" s="315"/>
      <c r="O482" s="315"/>
      <c r="P482" s="315"/>
    </row>
    <row r="483" spans="2:16" s="221" customFormat="1" ht="20.100000000000001" customHeight="1" x14ac:dyDescent="0.25">
      <c r="B483" s="493"/>
      <c r="C483" s="493"/>
      <c r="D483" s="493"/>
      <c r="E483" s="493"/>
      <c r="F483" s="493"/>
      <c r="G483" s="493"/>
      <c r="H483" s="494"/>
      <c r="I483" s="494"/>
      <c r="J483" s="494"/>
      <c r="K483" s="494"/>
      <c r="L483" s="494"/>
      <c r="M483" s="494"/>
      <c r="N483" s="494"/>
      <c r="O483" s="494"/>
      <c r="P483" s="494"/>
    </row>
    <row r="484" spans="2:16" s="221" customFormat="1" ht="20.100000000000001" customHeight="1" x14ac:dyDescent="0.25">
      <c r="B484" s="314"/>
      <c r="C484" s="314"/>
      <c r="D484" s="314"/>
      <c r="E484" s="314"/>
      <c r="F484" s="314"/>
      <c r="G484" s="314"/>
      <c r="H484" s="315"/>
      <c r="I484" s="315"/>
      <c r="J484" s="315"/>
      <c r="K484" s="315"/>
      <c r="L484" s="315"/>
      <c r="M484" s="315"/>
      <c r="N484" s="315"/>
      <c r="O484" s="315"/>
      <c r="P484" s="315"/>
    </row>
    <row r="485" spans="2:16" s="221" customFormat="1" ht="20.100000000000001" customHeight="1" x14ac:dyDescent="0.25">
      <c r="B485" s="493"/>
      <c r="C485" s="493"/>
      <c r="D485" s="493"/>
      <c r="E485" s="493"/>
      <c r="F485" s="493"/>
      <c r="G485" s="493"/>
      <c r="H485" s="494"/>
      <c r="I485" s="494"/>
      <c r="J485" s="494"/>
      <c r="K485" s="494"/>
      <c r="L485" s="494"/>
      <c r="M485" s="494"/>
      <c r="N485" s="494"/>
      <c r="O485" s="494"/>
      <c r="P485" s="494"/>
    </row>
    <row r="486" spans="2:16" s="221" customFormat="1" ht="20.100000000000001" customHeight="1" x14ac:dyDescent="0.25">
      <c r="B486" s="314"/>
      <c r="C486" s="314"/>
      <c r="D486" s="314"/>
      <c r="E486" s="314"/>
      <c r="F486" s="314"/>
      <c r="G486" s="314"/>
      <c r="H486" s="315"/>
      <c r="I486" s="315"/>
      <c r="J486" s="315"/>
      <c r="K486" s="315"/>
      <c r="L486" s="315"/>
      <c r="M486" s="315"/>
      <c r="N486" s="315"/>
      <c r="O486" s="315"/>
      <c r="P486" s="315"/>
    </row>
    <row r="487" spans="2:16" s="221" customFormat="1" ht="20.100000000000001" customHeight="1" x14ac:dyDescent="0.25">
      <c r="B487" s="493"/>
      <c r="C487" s="493"/>
      <c r="D487" s="493"/>
      <c r="E487" s="493"/>
      <c r="F487" s="493"/>
      <c r="G487" s="493"/>
      <c r="H487" s="494"/>
      <c r="I487" s="494"/>
      <c r="J487" s="494"/>
      <c r="K487" s="494"/>
      <c r="L487" s="494"/>
      <c r="M487" s="494"/>
      <c r="N487" s="494"/>
      <c r="O487" s="494"/>
      <c r="P487" s="494"/>
    </row>
    <row r="488" spans="2:16" s="221" customFormat="1" ht="20.100000000000001" customHeight="1" x14ac:dyDescent="0.25">
      <c r="B488" s="314"/>
      <c r="C488" s="314"/>
      <c r="D488" s="314"/>
      <c r="E488" s="314"/>
      <c r="F488" s="314"/>
      <c r="G488" s="314"/>
      <c r="H488" s="315"/>
      <c r="I488" s="315"/>
      <c r="J488" s="315"/>
      <c r="K488" s="315"/>
      <c r="L488" s="315"/>
      <c r="M488" s="315"/>
      <c r="N488" s="315"/>
      <c r="O488" s="315"/>
      <c r="P488" s="315"/>
    </row>
    <row r="489" spans="2:16" s="221" customFormat="1" ht="20.100000000000001" customHeight="1" x14ac:dyDescent="0.25">
      <c r="B489" s="493"/>
      <c r="C489" s="493"/>
      <c r="D489" s="493"/>
      <c r="E489" s="493"/>
      <c r="F489" s="493"/>
      <c r="G489" s="493"/>
      <c r="H489" s="494"/>
      <c r="I489" s="494"/>
      <c r="J489" s="494"/>
      <c r="K489" s="494"/>
      <c r="L489" s="494"/>
      <c r="M489" s="494"/>
      <c r="N489" s="494"/>
      <c r="O489" s="494"/>
      <c r="P489" s="494"/>
    </row>
    <row r="490" spans="2:16" s="221" customFormat="1" ht="20.100000000000001" customHeight="1" x14ac:dyDescent="0.25">
      <c r="B490" s="314"/>
      <c r="C490" s="314"/>
      <c r="D490" s="314"/>
      <c r="E490" s="314"/>
      <c r="F490" s="314"/>
      <c r="G490" s="314"/>
      <c r="H490" s="315"/>
      <c r="I490" s="315"/>
      <c r="J490" s="315"/>
      <c r="K490" s="315"/>
      <c r="L490" s="315"/>
      <c r="M490" s="315"/>
      <c r="N490" s="315"/>
      <c r="O490" s="315"/>
      <c r="P490" s="315"/>
    </row>
    <row r="491" spans="2:16" s="221" customFormat="1" ht="20.100000000000001" customHeight="1" x14ac:dyDescent="0.25">
      <c r="B491" s="493"/>
      <c r="C491" s="493"/>
      <c r="D491" s="493"/>
      <c r="E491" s="493"/>
      <c r="F491" s="493"/>
      <c r="G491" s="493"/>
      <c r="H491" s="494"/>
      <c r="I491" s="494"/>
      <c r="J491" s="494"/>
      <c r="K491" s="494"/>
      <c r="L491" s="494"/>
      <c r="M491" s="494"/>
      <c r="N491" s="494"/>
      <c r="O491" s="494"/>
      <c r="P491" s="494"/>
    </row>
    <row r="492" spans="2:16" s="221" customFormat="1" ht="20.100000000000001" customHeight="1" x14ac:dyDescent="0.25">
      <c r="B492" s="314"/>
      <c r="C492" s="314"/>
      <c r="D492" s="314"/>
      <c r="E492" s="314"/>
      <c r="F492" s="314"/>
      <c r="G492" s="314"/>
      <c r="H492" s="315"/>
      <c r="I492" s="315"/>
      <c r="J492" s="315"/>
      <c r="K492" s="315"/>
      <c r="L492" s="315"/>
      <c r="M492" s="315"/>
      <c r="N492" s="315"/>
      <c r="O492" s="315"/>
      <c r="P492" s="315"/>
    </row>
    <row r="493" spans="2:16" s="221" customFormat="1" ht="20.100000000000001" customHeight="1" x14ac:dyDescent="0.25">
      <c r="B493" s="493"/>
      <c r="C493" s="493"/>
      <c r="D493" s="493"/>
      <c r="E493" s="493"/>
      <c r="F493" s="493"/>
      <c r="G493" s="493"/>
      <c r="H493" s="494"/>
      <c r="I493" s="494"/>
      <c r="J493" s="494"/>
      <c r="K493" s="494"/>
      <c r="L493" s="494"/>
      <c r="M493" s="494"/>
      <c r="N493" s="494"/>
      <c r="O493" s="494"/>
      <c r="P493" s="494"/>
    </row>
    <row r="494" spans="2:16" s="221" customFormat="1" ht="20.100000000000001" customHeight="1" x14ac:dyDescent="0.25">
      <c r="B494" s="314"/>
      <c r="C494" s="314"/>
      <c r="D494" s="314"/>
      <c r="E494" s="314"/>
      <c r="F494" s="314"/>
      <c r="G494" s="314"/>
      <c r="H494" s="315"/>
      <c r="I494" s="315"/>
      <c r="J494" s="315"/>
      <c r="K494" s="315"/>
      <c r="L494" s="315"/>
      <c r="M494" s="315"/>
      <c r="N494" s="315"/>
      <c r="O494" s="315"/>
      <c r="P494" s="315"/>
    </row>
    <row r="495" spans="2:16" s="221" customFormat="1" ht="20.100000000000001" customHeight="1" x14ac:dyDescent="0.25">
      <c r="B495" s="493"/>
      <c r="C495" s="493"/>
      <c r="D495" s="493"/>
      <c r="E495" s="493"/>
      <c r="F495" s="493"/>
      <c r="G495" s="493"/>
      <c r="H495" s="494"/>
      <c r="I495" s="494"/>
      <c r="J495" s="494"/>
      <c r="K495" s="494"/>
      <c r="L495" s="494"/>
      <c r="M495" s="494"/>
      <c r="N495" s="494"/>
      <c r="O495" s="494"/>
      <c r="P495" s="494"/>
    </row>
    <row r="496" spans="2:16" s="221" customFormat="1" ht="20.100000000000001" customHeight="1" x14ac:dyDescent="0.25">
      <c r="B496" s="314"/>
      <c r="C496" s="314"/>
      <c r="D496" s="314"/>
      <c r="E496" s="314"/>
      <c r="F496" s="314"/>
      <c r="G496" s="314"/>
      <c r="H496" s="315"/>
      <c r="I496" s="315"/>
      <c r="J496" s="315"/>
      <c r="K496" s="315"/>
      <c r="L496" s="315"/>
      <c r="M496" s="315"/>
      <c r="N496" s="315"/>
      <c r="O496" s="315"/>
      <c r="P496" s="315"/>
    </row>
    <row r="497" spans="2:16" s="221" customFormat="1" ht="20.100000000000001" customHeight="1" x14ac:dyDescent="0.25">
      <c r="B497" s="493"/>
      <c r="C497" s="493"/>
      <c r="D497" s="493"/>
      <c r="E497" s="493"/>
      <c r="F497" s="493"/>
      <c r="G497" s="493"/>
      <c r="H497" s="494"/>
      <c r="I497" s="494"/>
      <c r="J497" s="494"/>
      <c r="K497" s="494"/>
      <c r="L497" s="494"/>
      <c r="M497" s="494"/>
      <c r="N497" s="494"/>
      <c r="O497" s="494"/>
      <c r="P497" s="494"/>
    </row>
    <row r="498" spans="2:16" s="221" customFormat="1" ht="20.100000000000001" customHeight="1" x14ac:dyDescent="0.25">
      <c r="B498" s="314"/>
      <c r="C498" s="314"/>
      <c r="D498" s="314"/>
      <c r="E498" s="314"/>
      <c r="F498" s="314"/>
      <c r="G498" s="314"/>
      <c r="H498" s="315"/>
      <c r="I498" s="315"/>
      <c r="J498" s="315"/>
      <c r="K498" s="315"/>
      <c r="L498" s="315"/>
      <c r="M498" s="315"/>
      <c r="N498" s="315"/>
      <c r="O498" s="315"/>
      <c r="P498" s="315"/>
    </row>
    <row r="499" spans="2:16" s="221" customFormat="1" ht="20.100000000000001" customHeight="1" x14ac:dyDescent="0.25">
      <c r="B499" s="493"/>
      <c r="C499" s="493"/>
      <c r="D499" s="493"/>
      <c r="E499" s="493"/>
      <c r="F499" s="493"/>
      <c r="G499" s="493"/>
      <c r="H499" s="494"/>
      <c r="I499" s="494"/>
      <c r="J499" s="494"/>
      <c r="K499" s="494"/>
      <c r="L499" s="494"/>
      <c r="M499" s="494"/>
      <c r="N499" s="494"/>
      <c r="O499" s="494"/>
      <c r="P499" s="494"/>
    </row>
    <row r="500" spans="2:16" s="221" customFormat="1" ht="20.100000000000001" customHeight="1" x14ac:dyDescent="0.25">
      <c r="B500" s="314"/>
      <c r="C500" s="314"/>
      <c r="D500" s="314"/>
      <c r="E500" s="314"/>
      <c r="F500" s="314"/>
      <c r="G500" s="314"/>
      <c r="H500" s="315"/>
      <c r="I500" s="315"/>
      <c r="J500" s="315"/>
      <c r="K500" s="315"/>
      <c r="L500" s="315"/>
      <c r="M500" s="315"/>
      <c r="N500" s="315"/>
      <c r="O500" s="315"/>
      <c r="P500" s="315"/>
    </row>
    <row r="501" spans="2:16" s="221" customFormat="1" ht="20.100000000000001" customHeight="1" x14ac:dyDescent="0.25">
      <c r="B501" s="493"/>
      <c r="C501" s="493"/>
      <c r="D501" s="493"/>
      <c r="E501" s="493"/>
      <c r="F501" s="493"/>
      <c r="G501" s="493"/>
      <c r="H501" s="494"/>
      <c r="I501" s="494"/>
      <c r="J501" s="494"/>
      <c r="K501" s="494"/>
      <c r="L501" s="494"/>
      <c r="M501" s="494"/>
      <c r="N501" s="494"/>
      <c r="O501" s="494"/>
      <c r="P501" s="494"/>
    </row>
    <row r="502" spans="2:16" s="221" customFormat="1" ht="20.100000000000001" customHeight="1" x14ac:dyDescent="0.25">
      <c r="B502" s="314"/>
      <c r="C502" s="314"/>
      <c r="D502" s="314"/>
      <c r="E502" s="314"/>
      <c r="F502" s="314"/>
      <c r="G502" s="314"/>
      <c r="H502" s="315"/>
      <c r="I502" s="315"/>
      <c r="J502" s="315"/>
      <c r="K502" s="315"/>
      <c r="L502" s="315"/>
      <c r="M502" s="315"/>
      <c r="N502" s="315"/>
      <c r="O502" s="315"/>
      <c r="P502" s="315"/>
    </row>
    <row r="503" spans="2:16" s="221" customFormat="1" ht="20.100000000000001" customHeight="1" x14ac:dyDescent="0.25">
      <c r="B503" s="493"/>
      <c r="C503" s="493"/>
      <c r="D503" s="493"/>
      <c r="E503" s="493"/>
      <c r="F503" s="493"/>
      <c r="G503" s="493"/>
      <c r="H503" s="494"/>
      <c r="I503" s="494"/>
      <c r="J503" s="494"/>
      <c r="K503" s="494"/>
      <c r="L503" s="494"/>
      <c r="M503" s="494"/>
      <c r="N503" s="494"/>
      <c r="O503" s="494"/>
      <c r="P503" s="494"/>
    </row>
    <row r="504" spans="2:16" s="221" customFormat="1" ht="20.100000000000001" customHeight="1" x14ac:dyDescent="0.25">
      <c r="B504" s="314"/>
      <c r="C504" s="314"/>
      <c r="D504" s="314"/>
      <c r="E504" s="314"/>
      <c r="F504" s="314"/>
      <c r="G504" s="314"/>
      <c r="H504" s="315"/>
      <c r="I504" s="315"/>
      <c r="J504" s="315"/>
      <c r="K504" s="315"/>
      <c r="L504" s="315"/>
      <c r="M504" s="315"/>
      <c r="N504" s="315"/>
      <c r="O504" s="315"/>
      <c r="P504" s="315"/>
    </row>
    <row r="505" spans="2:16" s="221" customFormat="1" ht="20.100000000000001" customHeight="1" x14ac:dyDescent="0.25">
      <c r="B505" s="493"/>
      <c r="C505" s="493"/>
      <c r="D505" s="493"/>
      <c r="E505" s="493"/>
      <c r="F505" s="493"/>
      <c r="G505" s="493"/>
      <c r="H505" s="494"/>
      <c r="I505" s="494"/>
      <c r="J505" s="494"/>
      <c r="K505" s="494"/>
      <c r="L505" s="494"/>
      <c r="M505" s="494"/>
      <c r="N505" s="494"/>
      <c r="O505" s="494"/>
      <c r="P505" s="494"/>
    </row>
    <row r="506" spans="2:16" s="221" customFormat="1" ht="20.100000000000001" customHeight="1" x14ac:dyDescent="0.25">
      <c r="B506" s="314"/>
      <c r="C506" s="314"/>
      <c r="D506" s="314"/>
      <c r="E506" s="314"/>
      <c r="F506" s="314"/>
      <c r="G506" s="314"/>
      <c r="H506" s="315"/>
      <c r="I506" s="315"/>
      <c r="J506" s="315"/>
      <c r="K506" s="315"/>
      <c r="L506" s="315"/>
      <c r="M506" s="315"/>
      <c r="N506" s="315"/>
      <c r="O506" s="315"/>
      <c r="P506" s="315"/>
    </row>
    <row r="507" spans="2:16" s="221" customFormat="1" ht="20.100000000000001" customHeight="1" x14ac:dyDescent="0.25">
      <c r="B507" s="493"/>
      <c r="C507" s="493"/>
      <c r="D507" s="493"/>
      <c r="E507" s="493"/>
      <c r="F507" s="493"/>
      <c r="G507" s="493"/>
      <c r="H507" s="494"/>
      <c r="I507" s="494"/>
      <c r="J507" s="494"/>
      <c r="K507" s="494"/>
      <c r="L507" s="494"/>
      <c r="M507" s="494"/>
      <c r="N507" s="494"/>
      <c r="O507" s="494"/>
      <c r="P507" s="494"/>
    </row>
    <row r="508" spans="2:16" s="221" customFormat="1" ht="20.100000000000001" customHeight="1" x14ac:dyDescent="0.25">
      <c r="B508" s="314"/>
      <c r="C508" s="314"/>
      <c r="D508" s="314"/>
      <c r="E508" s="314"/>
      <c r="F508" s="314"/>
      <c r="G508" s="314"/>
      <c r="H508" s="315"/>
      <c r="I508" s="315"/>
      <c r="J508" s="315"/>
      <c r="K508" s="315"/>
      <c r="L508" s="315"/>
      <c r="M508" s="315"/>
      <c r="N508" s="315"/>
      <c r="O508" s="315"/>
      <c r="P508" s="315"/>
    </row>
    <row r="509" spans="2:16" s="221" customFormat="1" ht="20.100000000000001" customHeight="1" x14ac:dyDescent="0.25">
      <c r="B509" s="493"/>
      <c r="C509" s="493"/>
      <c r="D509" s="493"/>
      <c r="E509" s="493"/>
      <c r="F509" s="493"/>
      <c r="G509" s="493"/>
      <c r="H509" s="494"/>
      <c r="I509" s="494"/>
      <c r="J509" s="494"/>
      <c r="K509" s="494"/>
      <c r="L509" s="494"/>
      <c r="M509" s="494"/>
      <c r="N509" s="494"/>
      <c r="O509" s="494"/>
      <c r="P509" s="494"/>
    </row>
    <row r="510" spans="2:16" s="221" customFormat="1" ht="20.100000000000001" customHeight="1" x14ac:dyDescent="0.25">
      <c r="B510" s="314"/>
      <c r="C510" s="314"/>
      <c r="D510" s="314"/>
      <c r="E510" s="314"/>
      <c r="F510" s="314"/>
      <c r="G510" s="314"/>
      <c r="H510" s="315"/>
      <c r="I510" s="315"/>
      <c r="J510" s="315"/>
      <c r="K510" s="315"/>
      <c r="L510" s="315"/>
      <c r="M510" s="315"/>
      <c r="N510" s="315"/>
      <c r="O510" s="315"/>
      <c r="P510" s="315"/>
    </row>
    <row r="511" spans="2:16" s="221" customFormat="1" ht="20.100000000000001" customHeight="1" x14ac:dyDescent="0.25">
      <c r="B511" s="493"/>
      <c r="C511" s="493"/>
      <c r="D511" s="493"/>
      <c r="E511" s="493"/>
      <c r="F511" s="493"/>
      <c r="G511" s="493"/>
      <c r="H511" s="494"/>
      <c r="I511" s="494"/>
      <c r="J511" s="494"/>
      <c r="K511" s="494"/>
      <c r="L511" s="494"/>
      <c r="M511" s="494"/>
      <c r="N511" s="494"/>
      <c r="O511" s="494"/>
      <c r="P511" s="494"/>
    </row>
    <row r="512" spans="2:16" s="221" customFormat="1" ht="20.100000000000001" customHeight="1" x14ac:dyDescent="0.25">
      <c r="B512" s="314"/>
      <c r="C512" s="314"/>
      <c r="D512" s="314"/>
      <c r="E512" s="314"/>
      <c r="F512" s="314"/>
      <c r="G512" s="314"/>
      <c r="H512" s="315"/>
      <c r="I512" s="315"/>
      <c r="J512" s="315"/>
      <c r="K512" s="315"/>
      <c r="L512" s="315"/>
      <c r="M512" s="315"/>
      <c r="N512" s="315"/>
      <c r="O512" s="315"/>
      <c r="P512" s="315"/>
    </row>
    <row r="513" spans="2:16" s="221" customFormat="1" ht="20.100000000000001" customHeight="1" x14ac:dyDescent="0.25">
      <c r="B513" s="493"/>
      <c r="C513" s="493"/>
      <c r="D513" s="493"/>
      <c r="E513" s="493"/>
      <c r="F513" s="493"/>
      <c r="G513" s="493"/>
      <c r="H513" s="494"/>
      <c r="I513" s="494"/>
      <c r="J513" s="494"/>
      <c r="K513" s="494"/>
      <c r="L513" s="494"/>
      <c r="M513" s="494"/>
      <c r="N513" s="494"/>
      <c r="O513" s="494"/>
      <c r="P513" s="494"/>
    </row>
    <row r="514" spans="2:16" s="221" customFormat="1" ht="20.100000000000001" customHeight="1" x14ac:dyDescent="0.25">
      <c r="B514" s="314"/>
      <c r="C514" s="314"/>
      <c r="D514" s="314"/>
      <c r="E514" s="314"/>
      <c r="F514" s="314"/>
      <c r="G514" s="314"/>
      <c r="H514" s="315"/>
      <c r="I514" s="315"/>
      <c r="J514" s="315"/>
      <c r="K514" s="315"/>
      <c r="L514" s="315"/>
      <c r="M514" s="315"/>
      <c r="N514" s="315"/>
      <c r="O514" s="315"/>
      <c r="P514" s="315"/>
    </row>
    <row r="515" spans="2:16" s="221" customFormat="1" ht="20.100000000000001" customHeight="1" x14ac:dyDescent="0.25">
      <c r="B515" s="493"/>
      <c r="C515" s="493"/>
      <c r="D515" s="493"/>
      <c r="E515" s="493"/>
      <c r="F515" s="493"/>
      <c r="G515" s="493"/>
      <c r="H515" s="494"/>
      <c r="I515" s="494"/>
      <c r="J515" s="494"/>
      <c r="K515" s="494"/>
      <c r="L515" s="494"/>
      <c r="M515" s="494"/>
      <c r="N515" s="494"/>
      <c r="O515" s="494"/>
      <c r="P515" s="494"/>
    </row>
    <row r="516" spans="2:16" s="221" customFormat="1" ht="20.100000000000001" customHeight="1" x14ac:dyDescent="0.25">
      <c r="B516" s="314"/>
      <c r="C516" s="314"/>
      <c r="D516" s="314"/>
      <c r="E516" s="314"/>
      <c r="F516" s="314"/>
      <c r="G516" s="314"/>
      <c r="H516" s="315"/>
      <c r="I516" s="315"/>
      <c r="J516" s="315"/>
      <c r="K516" s="315"/>
      <c r="L516" s="315"/>
      <c r="M516" s="315"/>
      <c r="N516" s="315"/>
      <c r="O516" s="315"/>
      <c r="P516" s="315"/>
    </row>
    <row r="517" spans="2:16" s="221" customFormat="1" ht="20.100000000000001" customHeight="1" x14ac:dyDescent="0.25">
      <c r="B517" s="493"/>
      <c r="C517" s="493"/>
      <c r="D517" s="493"/>
      <c r="E517" s="493"/>
      <c r="F517" s="493"/>
      <c r="G517" s="493"/>
      <c r="H517" s="494"/>
      <c r="I517" s="494"/>
      <c r="J517" s="494"/>
      <c r="K517" s="494"/>
      <c r="L517" s="494"/>
      <c r="M517" s="494"/>
      <c r="N517" s="494"/>
      <c r="O517" s="494"/>
      <c r="P517" s="494"/>
    </row>
    <row r="518" spans="2:16" s="221" customFormat="1" ht="20.100000000000001" customHeight="1" x14ac:dyDescent="0.25">
      <c r="B518" s="314"/>
      <c r="C518" s="314"/>
      <c r="D518" s="314"/>
      <c r="E518" s="314"/>
      <c r="F518" s="314"/>
      <c r="G518" s="314"/>
      <c r="H518" s="315"/>
      <c r="I518" s="315"/>
      <c r="J518" s="315"/>
      <c r="K518" s="315"/>
      <c r="L518" s="315"/>
      <c r="M518" s="315"/>
      <c r="N518" s="315"/>
      <c r="O518" s="315"/>
      <c r="P518" s="315"/>
    </row>
    <row r="519" spans="2:16" s="221" customFormat="1" ht="20.100000000000001" customHeight="1" x14ac:dyDescent="0.25">
      <c r="B519" s="493"/>
      <c r="C519" s="493"/>
      <c r="D519" s="493"/>
      <c r="E519" s="493"/>
      <c r="F519" s="493"/>
      <c r="G519" s="493"/>
      <c r="H519" s="494"/>
      <c r="I519" s="494"/>
      <c r="J519" s="494"/>
      <c r="K519" s="494"/>
      <c r="L519" s="494"/>
      <c r="M519" s="494"/>
      <c r="N519" s="494"/>
      <c r="O519" s="494"/>
      <c r="P519" s="494"/>
    </row>
    <row r="520" spans="2:16" s="221" customFormat="1" ht="20.100000000000001" customHeight="1" x14ac:dyDescent="0.25">
      <c r="B520" s="314"/>
      <c r="C520" s="314"/>
      <c r="D520" s="314"/>
      <c r="E520" s="314"/>
      <c r="F520" s="314"/>
      <c r="G520" s="314"/>
      <c r="H520" s="315"/>
      <c r="I520" s="315"/>
      <c r="J520" s="315"/>
      <c r="K520" s="315"/>
      <c r="L520" s="315"/>
      <c r="M520" s="315"/>
      <c r="N520" s="315"/>
      <c r="O520" s="315"/>
      <c r="P520" s="315"/>
    </row>
    <row r="521" spans="2:16" s="221" customFormat="1" ht="20.100000000000001" customHeight="1" x14ac:dyDescent="0.25">
      <c r="B521" s="493"/>
      <c r="C521" s="493"/>
      <c r="D521" s="493"/>
      <c r="E521" s="493"/>
      <c r="F521" s="493"/>
      <c r="G521" s="493"/>
      <c r="H521" s="494"/>
      <c r="I521" s="494"/>
      <c r="J521" s="494"/>
      <c r="K521" s="494"/>
      <c r="L521" s="494"/>
      <c r="M521" s="494"/>
      <c r="N521" s="494"/>
      <c r="O521" s="494"/>
      <c r="P521" s="494"/>
    </row>
    <row r="522" spans="2:16" ht="15" customHeight="1" x14ac:dyDescent="0.25"/>
  </sheetData>
  <mergeCells count="2575">
    <mergeCell ref="B520:D520"/>
    <mergeCell ref="E520:G520"/>
    <mergeCell ref="H520:J520"/>
    <mergeCell ref="K520:M520"/>
    <mergeCell ref="N520:P520"/>
    <mergeCell ref="B513:D513"/>
    <mergeCell ref="E513:G513"/>
    <mergeCell ref="H513:J513"/>
    <mergeCell ref="K513:M513"/>
    <mergeCell ref="N513:P513"/>
    <mergeCell ref="B521:D521"/>
    <mergeCell ref="E521:G521"/>
    <mergeCell ref="H521:J521"/>
    <mergeCell ref="K521:M521"/>
    <mergeCell ref="N521:P521"/>
    <mergeCell ref="B518:D518"/>
    <mergeCell ref="E518:G518"/>
    <mergeCell ref="H518:J518"/>
    <mergeCell ref="K518:M518"/>
    <mergeCell ref="N518:P518"/>
    <mergeCell ref="B519:D519"/>
    <mergeCell ref="E519:G519"/>
    <mergeCell ref="H519:J519"/>
    <mergeCell ref="K519:M519"/>
    <mergeCell ref="N519:P519"/>
    <mergeCell ref="B517:D517"/>
    <mergeCell ref="K514:M514"/>
    <mergeCell ref="N514:P514"/>
    <mergeCell ref="B515:D515"/>
    <mergeCell ref="E515:G515"/>
    <mergeCell ref="H515:J515"/>
    <mergeCell ref="K515:M515"/>
    <mergeCell ref="E517:G517"/>
    <mergeCell ref="H517:J517"/>
    <mergeCell ref="K517:M517"/>
    <mergeCell ref="N517:P517"/>
    <mergeCell ref="B516:D516"/>
    <mergeCell ref="E516:G516"/>
    <mergeCell ref="B508:D508"/>
    <mergeCell ref="E508:G508"/>
    <mergeCell ref="H508:J508"/>
    <mergeCell ref="K508:M508"/>
    <mergeCell ref="N508:P508"/>
    <mergeCell ref="H516:J516"/>
    <mergeCell ref="K516:M516"/>
    <mergeCell ref="N516:P516"/>
    <mergeCell ref="B509:D509"/>
    <mergeCell ref="E509:G509"/>
    <mergeCell ref="H509:J509"/>
    <mergeCell ref="K509:M509"/>
    <mergeCell ref="N509:P509"/>
    <mergeCell ref="B514:D514"/>
    <mergeCell ref="E514:G514"/>
    <mergeCell ref="H514:J514"/>
    <mergeCell ref="N515:P515"/>
    <mergeCell ref="B512:D512"/>
    <mergeCell ref="E512:G512"/>
    <mergeCell ref="H512:J512"/>
    <mergeCell ref="K512:M512"/>
    <mergeCell ref="N512:P512"/>
    <mergeCell ref="E507:G507"/>
    <mergeCell ref="H507:J507"/>
    <mergeCell ref="K507:M507"/>
    <mergeCell ref="N507:P507"/>
    <mergeCell ref="B504:D504"/>
    <mergeCell ref="E504:G504"/>
    <mergeCell ref="H504:J504"/>
    <mergeCell ref="K504:M504"/>
    <mergeCell ref="N504:P504"/>
    <mergeCell ref="B505:D505"/>
    <mergeCell ref="E505:G505"/>
    <mergeCell ref="H505:J505"/>
    <mergeCell ref="K505:M505"/>
    <mergeCell ref="N505:P505"/>
    <mergeCell ref="E511:G511"/>
    <mergeCell ref="H511:J511"/>
    <mergeCell ref="K511:M511"/>
    <mergeCell ref="N511:P511"/>
    <mergeCell ref="B510:D510"/>
    <mergeCell ref="E510:G510"/>
    <mergeCell ref="H510:J510"/>
    <mergeCell ref="K510:M510"/>
    <mergeCell ref="N510:P510"/>
    <mergeCell ref="B511:D511"/>
    <mergeCell ref="B506:D506"/>
    <mergeCell ref="E506:G506"/>
    <mergeCell ref="H506:J506"/>
    <mergeCell ref="K506:M506"/>
    <mergeCell ref="N506:P506"/>
    <mergeCell ref="B507:D507"/>
    <mergeCell ref="B502:D502"/>
    <mergeCell ref="E502:G502"/>
    <mergeCell ref="H502:J502"/>
    <mergeCell ref="K502:M502"/>
    <mergeCell ref="N502:P502"/>
    <mergeCell ref="B503:D503"/>
    <mergeCell ref="E503:G503"/>
    <mergeCell ref="H503:J503"/>
    <mergeCell ref="K503:M503"/>
    <mergeCell ref="N503:P503"/>
    <mergeCell ref="B500:D500"/>
    <mergeCell ref="E500:G500"/>
    <mergeCell ref="H500:J500"/>
    <mergeCell ref="K500:M500"/>
    <mergeCell ref="N500:P500"/>
    <mergeCell ref="B501:D501"/>
    <mergeCell ref="E501:G501"/>
    <mergeCell ref="H501:J501"/>
    <mergeCell ref="K501:M501"/>
    <mergeCell ref="N501:P501"/>
    <mergeCell ref="B498:D498"/>
    <mergeCell ref="E498:G498"/>
    <mergeCell ref="H498:J498"/>
    <mergeCell ref="K498:M498"/>
    <mergeCell ref="N498:P498"/>
    <mergeCell ref="B499:D499"/>
    <mergeCell ref="E499:G499"/>
    <mergeCell ref="H499:J499"/>
    <mergeCell ref="K499:M499"/>
    <mergeCell ref="N499:P499"/>
    <mergeCell ref="B496:D496"/>
    <mergeCell ref="E496:G496"/>
    <mergeCell ref="H496:J496"/>
    <mergeCell ref="K496:M496"/>
    <mergeCell ref="N496:P496"/>
    <mergeCell ref="B497:D497"/>
    <mergeCell ref="E497:G497"/>
    <mergeCell ref="H497:J497"/>
    <mergeCell ref="K497:M497"/>
    <mergeCell ref="N497:P497"/>
    <mergeCell ref="B494:D494"/>
    <mergeCell ref="E494:G494"/>
    <mergeCell ref="H494:J494"/>
    <mergeCell ref="K494:M494"/>
    <mergeCell ref="N494:P494"/>
    <mergeCell ref="B495:D495"/>
    <mergeCell ref="E495:G495"/>
    <mergeCell ref="H495:J495"/>
    <mergeCell ref="K495:M495"/>
    <mergeCell ref="N495:P495"/>
    <mergeCell ref="B492:D492"/>
    <mergeCell ref="E492:G492"/>
    <mergeCell ref="H492:J492"/>
    <mergeCell ref="K492:M492"/>
    <mergeCell ref="N492:P492"/>
    <mergeCell ref="B493:D493"/>
    <mergeCell ref="E493:G493"/>
    <mergeCell ref="H493:J493"/>
    <mergeCell ref="K493:M493"/>
    <mergeCell ref="N493:P493"/>
    <mergeCell ref="B490:D490"/>
    <mergeCell ref="E490:G490"/>
    <mergeCell ref="H490:J490"/>
    <mergeCell ref="K490:M490"/>
    <mergeCell ref="N490:P490"/>
    <mergeCell ref="B491:D491"/>
    <mergeCell ref="E491:G491"/>
    <mergeCell ref="H491:J491"/>
    <mergeCell ref="K491:M491"/>
    <mergeCell ref="N491:P491"/>
    <mergeCell ref="B488:D488"/>
    <mergeCell ref="E488:G488"/>
    <mergeCell ref="H488:J488"/>
    <mergeCell ref="K488:M488"/>
    <mergeCell ref="N488:P488"/>
    <mergeCell ref="B489:D489"/>
    <mergeCell ref="E489:G489"/>
    <mergeCell ref="H489:J489"/>
    <mergeCell ref="K489:M489"/>
    <mergeCell ref="N489:P489"/>
    <mergeCell ref="B486:D486"/>
    <mergeCell ref="E486:G486"/>
    <mergeCell ref="H486:J486"/>
    <mergeCell ref="K486:M486"/>
    <mergeCell ref="N486:P486"/>
    <mergeCell ref="B487:D487"/>
    <mergeCell ref="E487:G487"/>
    <mergeCell ref="H487:J487"/>
    <mergeCell ref="K487:M487"/>
    <mergeCell ref="N487:P487"/>
    <mergeCell ref="B484:D484"/>
    <mergeCell ref="E484:G484"/>
    <mergeCell ref="H484:J484"/>
    <mergeCell ref="K484:M484"/>
    <mergeCell ref="N484:P484"/>
    <mergeCell ref="B485:D485"/>
    <mergeCell ref="E485:G485"/>
    <mergeCell ref="H485:J485"/>
    <mergeCell ref="K485:M485"/>
    <mergeCell ref="N485:P485"/>
    <mergeCell ref="B482:D482"/>
    <mergeCell ref="E482:G482"/>
    <mergeCell ref="H482:J482"/>
    <mergeCell ref="K482:M482"/>
    <mergeCell ref="N482:P482"/>
    <mergeCell ref="B483:D483"/>
    <mergeCell ref="E483:G483"/>
    <mergeCell ref="H483:J483"/>
    <mergeCell ref="K483:M483"/>
    <mergeCell ref="N483:P483"/>
    <mergeCell ref="B480:D480"/>
    <mergeCell ref="E480:G480"/>
    <mergeCell ref="H480:J480"/>
    <mergeCell ref="K480:M480"/>
    <mergeCell ref="N480:P480"/>
    <mergeCell ref="B481:D481"/>
    <mergeCell ref="E481:G481"/>
    <mergeCell ref="H481:J481"/>
    <mergeCell ref="K481:M481"/>
    <mergeCell ref="N481:P481"/>
    <mergeCell ref="B478:D478"/>
    <mergeCell ref="E478:G478"/>
    <mergeCell ref="H478:J478"/>
    <mergeCell ref="K478:M478"/>
    <mergeCell ref="N478:P478"/>
    <mergeCell ref="B479:D479"/>
    <mergeCell ref="E479:G479"/>
    <mergeCell ref="H479:J479"/>
    <mergeCell ref="K479:M479"/>
    <mergeCell ref="N479:P479"/>
    <mergeCell ref="B476:D476"/>
    <mergeCell ref="E476:G476"/>
    <mergeCell ref="H476:J476"/>
    <mergeCell ref="K476:M476"/>
    <mergeCell ref="N476:P476"/>
    <mergeCell ref="B477:D477"/>
    <mergeCell ref="E477:G477"/>
    <mergeCell ref="H477:J477"/>
    <mergeCell ref="K477:M477"/>
    <mergeCell ref="N477:P477"/>
    <mergeCell ref="B474:D474"/>
    <mergeCell ref="E474:G474"/>
    <mergeCell ref="H474:J474"/>
    <mergeCell ref="K474:M474"/>
    <mergeCell ref="N474:P474"/>
    <mergeCell ref="B475:D475"/>
    <mergeCell ref="E475:G475"/>
    <mergeCell ref="H475:J475"/>
    <mergeCell ref="K475:M475"/>
    <mergeCell ref="N475:P475"/>
    <mergeCell ref="B472:D472"/>
    <mergeCell ref="E472:G472"/>
    <mergeCell ref="H472:J472"/>
    <mergeCell ref="K472:M472"/>
    <mergeCell ref="N472:P472"/>
    <mergeCell ref="B473:D473"/>
    <mergeCell ref="E473:G473"/>
    <mergeCell ref="H473:J473"/>
    <mergeCell ref="K473:M473"/>
    <mergeCell ref="N473:P473"/>
    <mergeCell ref="B470:D470"/>
    <mergeCell ref="E470:G470"/>
    <mergeCell ref="H470:J470"/>
    <mergeCell ref="K470:M470"/>
    <mergeCell ref="N470:P470"/>
    <mergeCell ref="B471:D471"/>
    <mergeCell ref="E471:G471"/>
    <mergeCell ref="H471:J471"/>
    <mergeCell ref="K471:M471"/>
    <mergeCell ref="N471:P471"/>
    <mergeCell ref="B468:D468"/>
    <mergeCell ref="E468:G468"/>
    <mergeCell ref="H468:J468"/>
    <mergeCell ref="K468:M468"/>
    <mergeCell ref="N468:P468"/>
    <mergeCell ref="B469:D469"/>
    <mergeCell ref="E469:G469"/>
    <mergeCell ref="H469:J469"/>
    <mergeCell ref="K469:M469"/>
    <mergeCell ref="N469:P469"/>
    <mergeCell ref="B466:D466"/>
    <mergeCell ref="E466:G466"/>
    <mergeCell ref="H466:J466"/>
    <mergeCell ref="K466:M466"/>
    <mergeCell ref="N466:P466"/>
    <mergeCell ref="B467:D467"/>
    <mergeCell ref="E467:G467"/>
    <mergeCell ref="H467:J467"/>
    <mergeCell ref="K467:M467"/>
    <mergeCell ref="N467:P467"/>
    <mergeCell ref="B464:D464"/>
    <mergeCell ref="E464:G464"/>
    <mergeCell ref="H464:J464"/>
    <mergeCell ref="K464:M464"/>
    <mergeCell ref="N464:P464"/>
    <mergeCell ref="B465:D465"/>
    <mergeCell ref="E465:G465"/>
    <mergeCell ref="H465:J465"/>
    <mergeCell ref="K465:M465"/>
    <mergeCell ref="N465:P465"/>
    <mergeCell ref="B462:D462"/>
    <mergeCell ref="E462:G462"/>
    <mergeCell ref="H462:J462"/>
    <mergeCell ref="K462:M462"/>
    <mergeCell ref="N462:P462"/>
    <mergeCell ref="B463:D463"/>
    <mergeCell ref="E463:G463"/>
    <mergeCell ref="H463:J463"/>
    <mergeCell ref="K463:M463"/>
    <mergeCell ref="N463:P463"/>
    <mergeCell ref="B460:D460"/>
    <mergeCell ref="E460:G460"/>
    <mergeCell ref="H460:J460"/>
    <mergeCell ref="K460:M460"/>
    <mergeCell ref="N460:P460"/>
    <mergeCell ref="B461:D461"/>
    <mergeCell ref="E461:G461"/>
    <mergeCell ref="H461:J461"/>
    <mergeCell ref="K461:M461"/>
    <mergeCell ref="N461:P461"/>
    <mergeCell ref="B458:D458"/>
    <mergeCell ref="E458:G458"/>
    <mergeCell ref="H458:J458"/>
    <mergeCell ref="K458:M458"/>
    <mergeCell ref="N458:P458"/>
    <mergeCell ref="B459:D459"/>
    <mergeCell ref="E459:G459"/>
    <mergeCell ref="H459:J459"/>
    <mergeCell ref="K459:M459"/>
    <mergeCell ref="N459:P459"/>
    <mergeCell ref="B456:D456"/>
    <mergeCell ref="E456:G456"/>
    <mergeCell ref="H456:J456"/>
    <mergeCell ref="K456:M456"/>
    <mergeCell ref="N456:P456"/>
    <mergeCell ref="B457:D457"/>
    <mergeCell ref="E457:G457"/>
    <mergeCell ref="H457:J457"/>
    <mergeCell ref="K457:M457"/>
    <mergeCell ref="N457:P457"/>
    <mergeCell ref="B454:D454"/>
    <mergeCell ref="E454:G454"/>
    <mergeCell ref="H454:J454"/>
    <mergeCell ref="K454:M454"/>
    <mergeCell ref="N454:P454"/>
    <mergeCell ref="B455:D455"/>
    <mergeCell ref="E455:G455"/>
    <mergeCell ref="H455:J455"/>
    <mergeCell ref="K455:M455"/>
    <mergeCell ref="N455:P455"/>
    <mergeCell ref="B452:D452"/>
    <mergeCell ref="E452:G452"/>
    <mergeCell ref="H452:J452"/>
    <mergeCell ref="K452:M452"/>
    <mergeCell ref="N452:P452"/>
    <mergeCell ref="B453:D453"/>
    <mergeCell ref="E453:G453"/>
    <mergeCell ref="H453:J453"/>
    <mergeCell ref="K453:M453"/>
    <mergeCell ref="N453:P453"/>
    <mergeCell ref="B450:D450"/>
    <mergeCell ref="E450:G450"/>
    <mergeCell ref="H450:J450"/>
    <mergeCell ref="K450:M450"/>
    <mergeCell ref="N450:P450"/>
    <mergeCell ref="B451:D451"/>
    <mergeCell ref="E451:G451"/>
    <mergeCell ref="H451:J451"/>
    <mergeCell ref="K451:M451"/>
    <mergeCell ref="N451:P451"/>
    <mergeCell ref="B448:D448"/>
    <mergeCell ref="E448:G448"/>
    <mergeCell ref="H448:J448"/>
    <mergeCell ref="K448:M448"/>
    <mergeCell ref="N448:P448"/>
    <mergeCell ref="B449:D449"/>
    <mergeCell ref="E449:G449"/>
    <mergeCell ref="H449:J449"/>
    <mergeCell ref="K449:M449"/>
    <mergeCell ref="N449:P449"/>
    <mergeCell ref="B446:D446"/>
    <mergeCell ref="E446:G446"/>
    <mergeCell ref="H446:J446"/>
    <mergeCell ref="K446:M446"/>
    <mergeCell ref="N446:P446"/>
    <mergeCell ref="B447:D447"/>
    <mergeCell ref="E447:G447"/>
    <mergeCell ref="H447:J447"/>
    <mergeCell ref="K447:M447"/>
    <mergeCell ref="N447:P447"/>
    <mergeCell ref="B444:D444"/>
    <mergeCell ref="E444:G444"/>
    <mergeCell ref="H444:J444"/>
    <mergeCell ref="K444:M444"/>
    <mergeCell ref="N444:P444"/>
    <mergeCell ref="B445:D445"/>
    <mergeCell ref="E445:G445"/>
    <mergeCell ref="H445:J445"/>
    <mergeCell ref="K445:M445"/>
    <mergeCell ref="N445:P445"/>
    <mergeCell ref="B442:D442"/>
    <mergeCell ref="E442:G442"/>
    <mergeCell ref="H442:J442"/>
    <mergeCell ref="K442:M442"/>
    <mergeCell ref="N442:P442"/>
    <mergeCell ref="B443:D443"/>
    <mergeCell ref="E443:G443"/>
    <mergeCell ref="H443:J443"/>
    <mergeCell ref="K443:M443"/>
    <mergeCell ref="N443:P443"/>
    <mergeCell ref="B440:D440"/>
    <mergeCell ref="E440:G440"/>
    <mergeCell ref="H440:J440"/>
    <mergeCell ref="K440:M440"/>
    <mergeCell ref="N440:P440"/>
    <mergeCell ref="B441:D441"/>
    <mergeCell ref="E441:G441"/>
    <mergeCell ref="H441:J441"/>
    <mergeCell ref="K441:M441"/>
    <mergeCell ref="N441:P441"/>
    <mergeCell ref="B438:D438"/>
    <mergeCell ref="E438:G438"/>
    <mergeCell ref="H438:J438"/>
    <mergeCell ref="K438:M438"/>
    <mergeCell ref="N438:P438"/>
    <mergeCell ref="B439:D439"/>
    <mergeCell ref="E439:G439"/>
    <mergeCell ref="H439:J439"/>
    <mergeCell ref="K439:M439"/>
    <mergeCell ref="N439:P439"/>
    <mergeCell ref="B436:D436"/>
    <mergeCell ref="E436:G436"/>
    <mergeCell ref="H436:J436"/>
    <mergeCell ref="K436:M436"/>
    <mergeCell ref="N436:P436"/>
    <mergeCell ref="B437:D437"/>
    <mergeCell ref="E437:G437"/>
    <mergeCell ref="H437:J437"/>
    <mergeCell ref="K437:M437"/>
    <mergeCell ref="N437:P437"/>
    <mergeCell ref="B434:D434"/>
    <mergeCell ref="E434:G434"/>
    <mergeCell ref="H434:J434"/>
    <mergeCell ref="K434:M434"/>
    <mergeCell ref="N434:P434"/>
    <mergeCell ref="B435:D435"/>
    <mergeCell ref="E435:G435"/>
    <mergeCell ref="H435:J435"/>
    <mergeCell ref="K435:M435"/>
    <mergeCell ref="N435:P435"/>
    <mergeCell ref="B432:D432"/>
    <mergeCell ref="E432:G432"/>
    <mergeCell ref="H432:J432"/>
    <mergeCell ref="K432:M432"/>
    <mergeCell ref="N432:P432"/>
    <mergeCell ref="B433:D433"/>
    <mergeCell ref="E433:G433"/>
    <mergeCell ref="H433:J433"/>
    <mergeCell ref="K433:M433"/>
    <mergeCell ref="N433:P433"/>
    <mergeCell ref="B430:D430"/>
    <mergeCell ref="E430:G430"/>
    <mergeCell ref="H430:J430"/>
    <mergeCell ref="K430:M430"/>
    <mergeCell ref="N430:P430"/>
    <mergeCell ref="B431:D431"/>
    <mergeCell ref="E431:G431"/>
    <mergeCell ref="H431:J431"/>
    <mergeCell ref="K431:M431"/>
    <mergeCell ref="N431:P431"/>
    <mergeCell ref="B428:D428"/>
    <mergeCell ref="E428:G428"/>
    <mergeCell ref="H428:J428"/>
    <mergeCell ref="K428:M428"/>
    <mergeCell ref="N428:P428"/>
    <mergeCell ref="B429:D429"/>
    <mergeCell ref="E429:G429"/>
    <mergeCell ref="H429:J429"/>
    <mergeCell ref="K429:M429"/>
    <mergeCell ref="N429:P429"/>
    <mergeCell ref="B426:D426"/>
    <mergeCell ref="E426:G426"/>
    <mergeCell ref="H426:J426"/>
    <mergeCell ref="K426:M426"/>
    <mergeCell ref="N426:P426"/>
    <mergeCell ref="B427:D427"/>
    <mergeCell ref="E427:G427"/>
    <mergeCell ref="H427:J427"/>
    <mergeCell ref="K427:M427"/>
    <mergeCell ref="N427:P427"/>
    <mergeCell ref="B424:D424"/>
    <mergeCell ref="E424:G424"/>
    <mergeCell ref="H424:J424"/>
    <mergeCell ref="K424:M424"/>
    <mergeCell ref="N424:P424"/>
    <mergeCell ref="B425:D425"/>
    <mergeCell ref="E425:G425"/>
    <mergeCell ref="H425:J425"/>
    <mergeCell ref="K425:M425"/>
    <mergeCell ref="N425:P425"/>
    <mergeCell ref="B422:D422"/>
    <mergeCell ref="E422:G422"/>
    <mergeCell ref="H422:J422"/>
    <mergeCell ref="K422:M422"/>
    <mergeCell ref="N422:P422"/>
    <mergeCell ref="B423:D423"/>
    <mergeCell ref="E423:G423"/>
    <mergeCell ref="H423:J423"/>
    <mergeCell ref="K423:M423"/>
    <mergeCell ref="N423:P423"/>
    <mergeCell ref="B420:D420"/>
    <mergeCell ref="E420:G420"/>
    <mergeCell ref="H420:J420"/>
    <mergeCell ref="K420:M420"/>
    <mergeCell ref="N420:P420"/>
    <mergeCell ref="B421:D421"/>
    <mergeCell ref="E421:G421"/>
    <mergeCell ref="H421:J421"/>
    <mergeCell ref="K421:M421"/>
    <mergeCell ref="N421:P421"/>
    <mergeCell ref="B418:D418"/>
    <mergeCell ref="E418:G418"/>
    <mergeCell ref="H418:J418"/>
    <mergeCell ref="K418:M418"/>
    <mergeCell ref="N418:P418"/>
    <mergeCell ref="B419:D419"/>
    <mergeCell ref="E419:G419"/>
    <mergeCell ref="H419:J419"/>
    <mergeCell ref="K419:M419"/>
    <mergeCell ref="N419:P419"/>
    <mergeCell ref="B416:D416"/>
    <mergeCell ref="E416:G416"/>
    <mergeCell ref="H416:J416"/>
    <mergeCell ref="K416:M416"/>
    <mergeCell ref="N416:P416"/>
    <mergeCell ref="B417:D417"/>
    <mergeCell ref="E417:G417"/>
    <mergeCell ref="H417:J417"/>
    <mergeCell ref="K417:M417"/>
    <mergeCell ref="N417:P417"/>
    <mergeCell ref="B414:D414"/>
    <mergeCell ref="E414:G414"/>
    <mergeCell ref="H414:J414"/>
    <mergeCell ref="K414:M414"/>
    <mergeCell ref="N414:P414"/>
    <mergeCell ref="B415:D415"/>
    <mergeCell ref="E415:G415"/>
    <mergeCell ref="H415:J415"/>
    <mergeCell ref="K415:M415"/>
    <mergeCell ref="N415:P415"/>
    <mergeCell ref="B412:D412"/>
    <mergeCell ref="E412:G412"/>
    <mergeCell ref="H412:J412"/>
    <mergeCell ref="K412:M412"/>
    <mergeCell ref="N412:P412"/>
    <mergeCell ref="B413:D413"/>
    <mergeCell ref="E413:G413"/>
    <mergeCell ref="H413:J413"/>
    <mergeCell ref="K413:M413"/>
    <mergeCell ref="N413:P413"/>
    <mergeCell ref="B410:D410"/>
    <mergeCell ref="E410:G410"/>
    <mergeCell ref="H410:J410"/>
    <mergeCell ref="K410:M410"/>
    <mergeCell ref="N410:P410"/>
    <mergeCell ref="B411:D411"/>
    <mergeCell ref="E411:G411"/>
    <mergeCell ref="H411:J411"/>
    <mergeCell ref="K411:M411"/>
    <mergeCell ref="N411:P411"/>
    <mergeCell ref="B408:D408"/>
    <mergeCell ref="E408:G408"/>
    <mergeCell ref="H408:J408"/>
    <mergeCell ref="K408:M408"/>
    <mergeCell ref="N408:P408"/>
    <mergeCell ref="B409:D409"/>
    <mergeCell ref="E409:G409"/>
    <mergeCell ref="H409:J409"/>
    <mergeCell ref="K409:M409"/>
    <mergeCell ref="N409:P409"/>
    <mergeCell ref="B406:D406"/>
    <mergeCell ref="E406:G406"/>
    <mergeCell ref="H406:J406"/>
    <mergeCell ref="K406:M406"/>
    <mergeCell ref="N406:P406"/>
    <mergeCell ref="B407:D407"/>
    <mergeCell ref="E407:G407"/>
    <mergeCell ref="H407:J407"/>
    <mergeCell ref="K407:M407"/>
    <mergeCell ref="N407:P407"/>
    <mergeCell ref="B404:D404"/>
    <mergeCell ref="E404:G404"/>
    <mergeCell ref="H404:J404"/>
    <mergeCell ref="K404:M404"/>
    <mergeCell ref="N404:P404"/>
    <mergeCell ref="B405:D405"/>
    <mergeCell ref="E405:G405"/>
    <mergeCell ref="H405:J405"/>
    <mergeCell ref="K405:M405"/>
    <mergeCell ref="N405:P405"/>
    <mergeCell ref="B402:D402"/>
    <mergeCell ref="E402:G402"/>
    <mergeCell ref="H402:J402"/>
    <mergeCell ref="K402:M402"/>
    <mergeCell ref="N402:P402"/>
    <mergeCell ref="B403:D403"/>
    <mergeCell ref="E403:G403"/>
    <mergeCell ref="H403:J403"/>
    <mergeCell ref="K403:M403"/>
    <mergeCell ref="N403:P403"/>
    <mergeCell ref="B400:D400"/>
    <mergeCell ref="E400:G400"/>
    <mergeCell ref="H400:J400"/>
    <mergeCell ref="K400:M400"/>
    <mergeCell ref="N400:P400"/>
    <mergeCell ref="B401:D401"/>
    <mergeCell ref="E401:G401"/>
    <mergeCell ref="H401:J401"/>
    <mergeCell ref="K401:M401"/>
    <mergeCell ref="N401:P401"/>
    <mergeCell ref="B398:D398"/>
    <mergeCell ref="E398:G398"/>
    <mergeCell ref="H398:J398"/>
    <mergeCell ref="K398:M398"/>
    <mergeCell ref="N398:P398"/>
    <mergeCell ref="B399:D399"/>
    <mergeCell ref="E399:G399"/>
    <mergeCell ref="H399:J399"/>
    <mergeCell ref="K399:M399"/>
    <mergeCell ref="N399:P399"/>
    <mergeCell ref="B396:D396"/>
    <mergeCell ref="E396:G396"/>
    <mergeCell ref="H396:J396"/>
    <mergeCell ref="K396:M396"/>
    <mergeCell ref="N396:P396"/>
    <mergeCell ref="B397:D397"/>
    <mergeCell ref="E397:G397"/>
    <mergeCell ref="H397:J397"/>
    <mergeCell ref="K397:M397"/>
    <mergeCell ref="N397:P397"/>
    <mergeCell ref="B394:D394"/>
    <mergeCell ref="E394:G394"/>
    <mergeCell ref="H394:J394"/>
    <mergeCell ref="K394:M394"/>
    <mergeCell ref="N394:P394"/>
    <mergeCell ref="B395:D395"/>
    <mergeCell ref="E395:G395"/>
    <mergeCell ref="H395:J395"/>
    <mergeCell ref="K395:M395"/>
    <mergeCell ref="N395:P395"/>
    <mergeCell ref="B392:D392"/>
    <mergeCell ref="E392:G392"/>
    <mergeCell ref="H392:J392"/>
    <mergeCell ref="K392:M392"/>
    <mergeCell ref="N392:P392"/>
    <mergeCell ref="B393:D393"/>
    <mergeCell ref="E393:G393"/>
    <mergeCell ref="H393:J393"/>
    <mergeCell ref="K393:M393"/>
    <mergeCell ref="N393:P393"/>
    <mergeCell ref="B390:D390"/>
    <mergeCell ref="E390:G390"/>
    <mergeCell ref="H390:J390"/>
    <mergeCell ref="K390:M390"/>
    <mergeCell ref="N390:P390"/>
    <mergeCell ref="B391:D391"/>
    <mergeCell ref="E391:G391"/>
    <mergeCell ref="H391:J391"/>
    <mergeCell ref="K391:M391"/>
    <mergeCell ref="N391:P391"/>
    <mergeCell ref="B388:D388"/>
    <mergeCell ref="E388:G388"/>
    <mergeCell ref="H388:J388"/>
    <mergeCell ref="K388:M388"/>
    <mergeCell ref="N388:P388"/>
    <mergeCell ref="B389:D389"/>
    <mergeCell ref="E389:G389"/>
    <mergeCell ref="H389:J389"/>
    <mergeCell ref="K389:M389"/>
    <mergeCell ref="N389:P389"/>
    <mergeCell ref="B386:D386"/>
    <mergeCell ref="E386:G386"/>
    <mergeCell ref="H386:J386"/>
    <mergeCell ref="K386:M386"/>
    <mergeCell ref="N386:P386"/>
    <mergeCell ref="B387:D387"/>
    <mergeCell ref="E387:G387"/>
    <mergeCell ref="H387:J387"/>
    <mergeCell ref="K387:M387"/>
    <mergeCell ref="N387:P387"/>
    <mergeCell ref="B384:D384"/>
    <mergeCell ref="E384:G384"/>
    <mergeCell ref="H384:J384"/>
    <mergeCell ref="K384:M384"/>
    <mergeCell ref="N384:P384"/>
    <mergeCell ref="B385:D385"/>
    <mergeCell ref="E385:G385"/>
    <mergeCell ref="H385:J385"/>
    <mergeCell ref="K385:M385"/>
    <mergeCell ref="N385:P385"/>
    <mergeCell ref="B382:D382"/>
    <mergeCell ref="E382:G382"/>
    <mergeCell ref="H382:J382"/>
    <mergeCell ref="K382:M382"/>
    <mergeCell ref="N382:P382"/>
    <mergeCell ref="B383:D383"/>
    <mergeCell ref="E383:G383"/>
    <mergeCell ref="H383:J383"/>
    <mergeCell ref="K383:M383"/>
    <mergeCell ref="N383:P383"/>
    <mergeCell ref="B380:D380"/>
    <mergeCell ref="E380:G380"/>
    <mergeCell ref="H380:J380"/>
    <mergeCell ref="K380:M380"/>
    <mergeCell ref="N380:P380"/>
    <mergeCell ref="B381:D381"/>
    <mergeCell ref="E381:G381"/>
    <mergeCell ref="H381:J381"/>
    <mergeCell ref="K381:M381"/>
    <mergeCell ref="N381:P381"/>
    <mergeCell ref="B378:D378"/>
    <mergeCell ref="E378:G378"/>
    <mergeCell ref="H378:J378"/>
    <mergeCell ref="K378:M378"/>
    <mergeCell ref="N378:P378"/>
    <mergeCell ref="B379:D379"/>
    <mergeCell ref="E379:G379"/>
    <mergeCell ref="H379:J379"/>
    <mergeCell ref="K379:M379"/>
    <mergeCell ref="N379:P379"/>
    <mergeCell ref="B376:D376"/>
    <mergeCell ref="E376:G376"/>
    <mergeCell ref="H376:J376"/>
    <mergeCell ref="K376:M376"/>
    <mergeCell ref="N376:P376"/>
    <mergeCell ref="B377:D377"/>
    <mergeCell ref="E377:G377"/>
    <mergeCell ref="H377:J377"/>
    <mergeCell ref="K377:M377"/>
    <mergeCell ref="N377:P377"/>
    <mergeCell ref="B374:D374"/>
    <mergeCell ref="E374:G374"/>
    <mergeCell ref="H374:J374"/>
    <mergeCell ref="K374:M374"/>
    <mergeCell ref="N374:P374"/>
    <mergeCell ref="B375:D375"/>
    <mergeCell ref="E375:G375"/>
    <mergeCell ref="H375:J375"/>
    <mergeCell ref="K375:M375"/>
    <mergeCell ref="N375:P375"/>
    <mergeCell ref="B372:D372"/>
    <mergeCell ref="E372:G372"/>
    <mergeCell ref="H372:J372"/>
    <mergeCell ref="K372:M372"/>
    <mergeCell ref="N372:P372"/>
    <mergeCell ref="B373:D373"/>
    <mergeCell ref="E373:G373"/>
    <mergeCell ref="H373:J373"/>
    <mergeCell ref="K373:M373"/>
    <mergeCell ref="N373:P373"/>
    <mergeCell ref="B370:D370"/>
    <mergeCell ref="E370:G370"/>
    <mergeCell ref="H370:J370"/>
    <mergeCell ref="K370:M370"/>
    <mergeCell ref="N370:P370"/>
    <mergeCell ref="B371:D371"/>
    <mergeCell ref="E371:G371"/>
    <mergeCell ref="H371:J371"/>
    <mergeCell ref="K371:M371"/>
    <mergeCell ref="N371:P371"/>
    <mergeCell ref="B368:D368"/>
    <mergeCell ref="E368:G368"/>
    <mergeCell ref="H368:J368"/>
    <mergeCell ref="K368:M368"/>
    <mergeCell ref="N368:P368"/>
    <mergeCell ref="B369:D369"/>
    <mergeCell ref="E369:G369"/>
    <mergeCell ref="H369:J369"/>
    <mergeCell ref="K369:M369"/>
    <mergeCell ref="N369:P369"/>
    <mergeCell ref="B366:D366"/>
    <mergeCell ref="E366:G366"/>
    <mergeCell ref="H366:J366"/>
    <mergeCell ref="K366:M366"/>
    <mergeCell ref="N366:P366"/>
    <mergeCell ref="B367:D367"/>
    <mergeCell ref="E367:G367"/>
    <mergeCell ref="H367:J367"/>
    <mergeCell ref="K367:M367"/>
    <mergeCell ref="N367:P367"/>
    <mergeCell ref="B364:D364"/>
    <mergeCell ref="E364:G364"/>
    <mergeCell ref="H364:J364"/>
    <mergeCell ref="K364:M364"/>
    <mergeCell ref="N364:P364"/>
    <mergeCell ref="B365:D365"/>
    <mergeCell ref="E365:G365"/>
    <mergeCell ref="H365:J365"/>
    <mergeCell ref="K365:M365"/>
    <mergeCell ref="N365:P365"/>
    <mergeCell ref="B362:D362"/>
    <mergeCell ref="E362:G362"/>
    <mergeCell ref="H362:J362"/>
    <mergeCell ref="K362:M362"/>
    <mergeCell ref="N362:P362"/>
    <mergeCell ref="B363:D363"/>
    <mergeCell ref="E363:G363"/>
    <mergeCell ref="H363:J363"/>
    <mergeCell ref="K363:M363"/>
    <mergeCell ref="N363:P363"/>
    <mergeCell ref="B360:D360"/>
    <mergeCell ref="E360:G360"/>
    <mergeCell ref="H360:J360"/>
    <mergeCell ref="K360:M360"/>
    <mergeCell ref="N360:P360"/>
    <mergeCell ref="B361:D361"/>
    <mergeCell ref="E361:G361"/>
    <mergeCell ref="H361:J361"/>
    <mergeCell ref="K361:M361"/>
    <mergeCell ref="N361:P361"/>
    <mergeCell ref="B358:D358"/>
    <mergeCell ref="E358:G358"/>
    <mergeCell ref="H358:J358"/>
    <mergeCell ref="K358:M358"/>
    <mergeCell ref="N358:P358"/>
    <mergeCell ref="B359:D359"/>
    <mergeCell ref="E359:G359"/>
    <mergeCell ref="H359:J359"/>
    <mergeCell ref="K359:M359"/>
    <mergeCell ref="N359:P359"/>
    <mergeCell ref="B356:D356"/>
    <mergeCell ref="E356:G356"/>
    <mergeCell ref="H356:J356"/>
    <mergeCell ref="K356:M356"/>
    <mergeCell ref="N356:P356"/>
    <mergeCell ref="B357:D357"/>
    <mergeCell ref="E357:G357"/>
    <mergeCell ref="H357:J357"/>
    <mergeCell ref="K357:M357"/>
    <mergeCell ref="N357:P357"/>
    <mergeCell ref="B354:D354"/>
    <mergeCell ref="E354:G354"/>
    <mergeCell ref="H354:J354"/>
    <mergeCell ref="K354:M354"/>
    <mergeCell ref="N354:P354"/>
    <mergeCell ref="B355:D355"/>
    <mergeCell ref="E355:G355"/>
    <mergeCell ref="H355:J355"/>
    <mergeCell ref="K355:M355"/>
    <mergeCell ref="N355:P355"/>
    <mergeCell ref="B352:D352"/>
    <mergeCell ref="E352:G352"/>
    <mergeCell ref="H352:J352"/>
    <mergeCell ref="K352:M352"/>
    <mergeCell ref="N352:P352"/>
    <mergeCell ref="B353:D353"/>
    <mergeCell ref="E353:G353"/>
    <mergeCell ref="H353:J353"/>
    <mergeCell ref="K353:M353"/>
    <mergeCell ref="N353:P353"/>
    <mergeCell ref="B350:D350"/>
    <mergeCell ref="E350:G350"/>
    <mergeCell ref="H350:J350"/>
    <mergeCell ref="K350:M350"/>
    <mergeCell ref="N350:P350"/>
    <mergeCell ref="B351:D351"/>
    <mergeCell ref="E351:G351"/>
    <mergeCell ref="H351:J351"/>
    <mergeCell ref="K351:M351"/>
    <mergeCell ref="N351:P351"/>
    <mergeCell ref="B348:D348"/>
    <mergeCell ref="E348:G348"/>
    <mergeCell ref="H348:J348"/>
    <mergeCell ref="K348:M348"/>
    <mergeCell ref="N348:P348"/>
    <mergeCell ref="B349:D349"/>
    <mergeCell ref="E349:G349"/>
    <mergeCell ref="H349:J349"/>
    <mergeCell ref="K349:M349"/>
    <mergeCell ref="N349:P349"/>
    <mergeCell ref="B346:D346"/>
    <mergeCell ref="E346:G346"/>
    <mergeCell ref="H346:J346"/>
    <mergeCell ref="K346:M346"/>
    <mergeCell ref="N346:P346"/>
    <mergeCell ref="B347:D347"/>
    <mergeCell ref="E347:G347"/>
    <mergeCell ref="H347:J347"/>
    <mergeCell ref="K347:M347"/>
    <mergeCell ref="N347:P347"/>
    <mergeCell ref="B344:D344"/>
    <mergeCell ref="E344:G344"/>
    <mergeCell ref="H344:J344"/>
    <mergeCell ref="K344:M344"/>
    <mergeCell ref="N344:P344"/>
    <mergeCell ref="B345:D345"/>
    <mergeCell ref="E345:G345"/>
    <mergeCell ref="H345:J345"/>
    <mergeCell ref="K345:M345"/>
    <mergeCell ref="N345:P345"/>
    <mergeCell ref="B342:D342"/>
    <mergeCell ref="E342:G342"/>
    <mergeCell ref="H342:J342"/>
    <mergeCell ref="K342:M342"/>
    <mergeCell ref="N342:P342"/>
    <mergeCell ref="B343:D343"/>
    <mergeCell ref="E343:G343"/>
    <mergeCell ref="H343:J343"/>
    <mergeCell ref="K343:M343"/>
    <mergeCell ref="N343:P343"/>
    <mergeCell ref="B340:D340"/>
    <mergeCell ref="E340:G340"/>
    <mergeCell ref="H340:J340"/>
    <mergeCell ref="K340:M340"/>
    <mergeCell ref="N340:P340"/>
    <mergeCell ref="B341:D341"/>
    <mergeCell ref="E341:G341"/>
    <mergeCell ref="H341:J341"/>
    <mergeCell ref="K341:M341"/>
    <mergeCell ref="N341:P341"/>
    <mergeCell ref="B338:D338"/>
    <mergeCell ref="E338:G338"/>
    <mergeCell ref="H338:J338"/>
    <mergeCell ref="K338:M338"/>
    <mergeCell ref="N338:P338"/>
    <mergeCell ref="B339:D339"/>
    <mergeCell ref="E339:G339"/>
    <mergeCell ref="H339:J339"/>
    <mergeCell ref="K339:M339"/>
    <mergeCell ref="N339:P339"/>
    <mergeCell ref="B336:D336"/>
    <mergeCell ref="E336:G336"/>
    <mergeCell ref="H336:J336"/>
    <mergeCell ref="K336:M336"/>
    <mergeCell ref="N336:P336"/>
    <mergeCell ref="B337:D337"/>
    <mergeCell ref="E337:G337"/>
    <mergeCell ref="H337:J337"/>
    <mergeCell ref="K337:M337"/>
    <mergeCell ref="N337:P337"/>
    <mergeCell ref="B334:D334"/>
    <mergeCell ref="E334:G334"/>
    <mergeCell ref="H334:J334"/>
    <mergeCell ref="K334:M334"/>
    <mergeCell ref="N334:P334"/>
    <mergeCell ref="B335:D335"/>
    <mergeCell ref="E335:G335"/>
    <mergeCell ref="H335:J335"/>
    <mergeCell ref="K335:M335"/>
    <mergeCell ref="N335:P335"/>
    <mergeCell ref="B332:D332"/>
    <mergeCell ref="E332:G332"/>
    <mergeCell ref="H332:J332"/>
    <mergeCell ref="K332:M332"/>
    <mergeCell ref="N332:P332"/>
    <mergeCell ref="B333:D333"/>
    <mergeCell ref="E333:G333"/>
    <mergeCell ref="H333:J333"/>
    <mergeCell ref="K333:M333"/>
    <mergeCell ref="N333:P333"/>
    <mergeCell ref="B330:D330"/>
    <mergeCell ref="E330:G330"/>
    <mergeCell ref="H330:J330"/>
    <mergeCell ref="K330:M330"/>
    <mergeCell ref="N330:P330"/>
    <mergeCell ref="B331:D331"/>
    <mergeCell ref="E331:G331"/>
    <mergeCell ref="H331:J331"/>
    <mergeCell ref="K331:M331"/>
    <mergeCell ref="N331:P331"/>
    <mergeCell ref="B328:D328"/>
    <mergeCell ref="E328:G328"/>
    <mergeCell ref="H328:J328"/>
    <mergeCell ref="K328:M328"/>
    <mergeCell ref="N328:P328"/>
    <mergeCell ref="B329:D329"/>
    <mergeCell ref="E329:G329"/>
    <mergeCell ref="H329:J329"/>
    <mergeCell ref="K329:M329"/>
    <mergeCell ref="N329:P329"/>
    <mergeCell ref="B326:D326"/>
    <mergeCell ref="E326:G326"/>
    <mergeCell ref="H326:J326"/>
    <mergeCell ref="K326:M326"/>
    <mergeCell ref="N326:P326"/>
    <mergeCell ref="B327:D327"/>
    <mergeCell ref="E327:G327"/>
    <mergeCell ref="H327:J327"/>
    <mergeCell ref="K327:M327"/>
    <mergeCell ref="N327:P327"/>
    <mergeCell ref="B324:D324"/>
    <mergeCell ref="E324:G324"/>
    <mergeCell ref="H324:J324"/>
    <mergeCell ref="K324:M324"/>
    <mergeCell ref="N324:P324"/>
    <mergeCell ref="B325:D325"/>
    <mergeCell ref="E325:G325"/>
    <mergeCell ref="H325:J325"/>
    <mergeCell ref="K325:M325"/>
    <mergeCell ref="N325:P325"/>
    <mergeCell ref="B322:D322"/>
    <mergeCell ref="E322:G322"/>
    <mergeCell ref="H322:J322"/>
    <mergeCell ref="K322:M322"/>
    <mergeCell ref="N322:P322"/>
    <mergeCell ref="B323:D323"/>
    <mergeCell ref="E323:G323"/>
    <mergeCell ref="H323:J323"/>
    <mergeCell ref="K323:M323"/>
    <mergeCell ref="N323:P323"/>
    <mergeCell ref="B320:D320"/>
    <mergeCell ref="E320:G320"/>
    <mergeCell ref="H320:J320"/>
    <mergeCell ref="K320:M320"/>
    <mergeCell ref="N320:P320"/>
    <mergeCell ref="B321:D321"/>
    <mergeCell ref="E321:G321"/>
    <mergeCell ref="H321:J321"/>
    <mergeCell ref="K321:M321"/>
    <mergeCell ref="N321:P321"/>
    <mergeCell ref="B318:D318"/>
    <mergeCell ref="E318:G318"/>
    <mergeCell ref="H318:J318"/>
    <mergeCell ref="K318:M318"/>
    <mergeCell ref="N318:P318"/>
    <mergeCell ref="B319:D319"/>
    <mergeCell ref="E319:G319"/>
    <mergeCell ref="H319:J319"/>
    <mergeCell ref="K319:M319"/>
    <mergeCell ref="N319:P319"/>
    <mergeCell ref="B316:D316"/>
    <mergeCell ref="E316:G316"/>
    <mergeCell ref="H316:J316"/>
    <mergeCell ref="K316:M316"/>
    <mergeCell ref="N316:P316"/>
    <mergeCell ref="B317:D317"/>
    <mergeCell ref="E317:G317"/>
    <mergeCell ref="H317:J317"/>
    <mergeCell ref="K317:M317"/>
    <mergeCell ref="N317:P317"/>
    <mergeCell ref="B314:D314"/>
    <mergeCell ref="E314:G314"/>
    <mergeCell ref="H314:J314"/>
    <mergeCell ref="K314:M314"/>
    <mergeCell ref="N314:P314"/>
    <mergeCell ref="B315:D315"/>
    <mergeCell ref="E315:G315"/>
    <mergeCell ref="H315:J315"/>
    <mergeCell ref="K315:M315"/>
    <mergeCell ref="N315:P315"/>
    <mergeCell ref="B312:D312"/>
    <mergeCell ref="E312:G312"/>
    <mergeCell ref="H312:J312"/>
    <mergeCell ref="K312:M312"/>
    <mergeCell ref="N312:P312"/>
    <mergeCell ref="B313:D313"/>
    <mergeCell ref="E313:G313"/>
    <mergeCell ref="H313:J313"/>
    <mergeCell ref="K313:M313"/>
    <mergeCell ref="N313:P313"/>
    <mergeCell ref="B310:D310"/>
    <mergeCell ref="E310:G310"/>
    <mergeCell ref="H310:J310"/>
    <mergeCell ref="K310:M310"/>
    <mergeCell ref="N310:P310"/>
    <mergeCell ref="B311:D311"/>
    <mergeCell ref="E311:G311"/>
    <mergeCell ref="H311:J311"/>
    <mergeCell ref="K311:M311"/>
    <mergeCell ref="N311:P311"/>
    <mergeCell ref="B308:D308"/>
    <mergeCell ref="E308:G308"/>
    <mergeCell ref="H308:J308"/>
    <mergeCell ref="K308:M308"/>
    <mergeCell ref="N308:P308"/>
    <mergeCell ref="B309:D309"/>
    <mergeCell ref="E309:G309"/>
    <mergeCell ref="H309:J309"/>
    <mergeCell ref="K309:M309"/>
    <mergeCell ref="N309:P309"/>
    <mergeCell ref="B306:D306"/>
    <mergeCell ref="E306:G306"/>
    <mergeCell ref="H306:J306"/>
    <mergeCell ref="K306:M306"/>
    <mergeCell ref="N306:P306"/>
    <mergeCell ref="B307:D307"/>
    <mergeCell ref="E307:G307"/>
    <mergeCell ref="H307:J307"/>
    <mergeCell ref="K307:M307"/>
    <mergeCell ref="N307:P307"/>
    <mergeCell ref="B304:D304"/>
    <mergeCell ref="E304:G304"/>
    <mergeCell ref="H304:J304"/>
    <mergeCell ref="K304:M304"/>
    <mergeCell ref="N304:P304"/>
    <mergeCell ref="B305:D305"/>
    <mergeCell ref="E305:G305"/>
    <mergeCell ref="H305:J305"/>
    <mergeCell ref="K305:M305"/>
    <mergeCell ref="N305:P305"/>
    <mergeCell ref="B302:D302"/>
    <mergeCell ref="E302:G302"/>
    <mergeCell ref="H302:J302"/>
    <mergeCell ref="K302:M302"/>
    <mergeCell ref="N302:P302"/>
    <mergeCell ref="B303:D303"/>
    <mergeCell ref="E303:G303"/>
    <mergeCell ref="H303:J303"/>
    <mergeCell ref="K303:M303"/>
    <mergeCell ref="N303:P303"/>
    <mergeCell ref="B300:D300"/>
    <mergeCell ref="E300:G300"/>
    <mergeCell ref="H300:J300"/>
    <mergeCell ref="K300:M300"/>
    <mergeCell ref="N300:P300"/>
    <mergeCell ref="B301:D301"/>
    <mergeCell ref="E301:G301"/>
    <mergeCell ref="H301:J301"/>
    <mergeCell ref="K301:M301"/>
    <mergeCell ref="N301:P301"/>
    <mergeCell ref="B298:D298"/>
    <mergeCell ref="E298:G298"/>
    <mergeCell ref="H298:J298"/>
    <mergeCell ref="K298:M298"/>
    <mergeCell ref="N298:P298"/>
    <mergeCell ref="B299:D299"/>
    <mergeCell ref="E299:G299"/>
    <mergeCell ref="H299:J299"/>
    <mergeCell ref="K299:M299"/>
    <mergeCell ref="N299:P299"/>
    <mergeCell ref="B296:D296"/>
    <mergeCell ref="E296:G296"/>
    <mergeCell ref="H296:J296"/>
    <mergeCell ref="K296:M296"/>
    <mergeCell ref="N296:P296"/>
    <mergeCell ref="B297:D297"/>
    <mergeCell ref="E297:G297"/>
    <mergeCell ref="H297:J297"/>
    <mergeCell ref="K297:M297"/>
    <mergeCell ref="N297:P297"/>
    <mergeCell ref="B294:D294"/>
    <mergeCell ref="E294:G294"/>
    <mergeCell ref="H294:J294"/>
    <mergeCell ref="K294:M294"/>
    <mergeCell ref="N294:P294"/>
    <mergeCell ref="B295:D295"/>
    <mergeCell ref="E295:G295"/>
    <mergeCell ref="H295:J295"/>
    <mergeCell ref="K295:M295"/>
    <mergeCell ref="N295:P295"/>
    <mergeCell ref="B292:D292"/>
    <mergeCell ref="E292:G292"/>
    <mergeCell ref="H292:J292"/>
    <mergeCell ref="K292:M292"/>
    <mergeCell ref="N292:P292"/>
    <mergeCell ref="B293:D293"/>
    <mergeCell ref="E293:G293"/>
    <mergeCell ref="H293:J293"/>
    <mergeCell ref="K293:M293"/>
    <mergeCell ref="N293:P293"/>
    <mergeCell ref="B290:D290"/>
    <mergeCell ref="E290:G290"/>
    <mergeCell ref="H290:J290"/>
    <mergeCell ref="K290:M290"/>
    <mergeCell ref="N290:P290"/>
    <mergeCell ref="B291:D291"/>
    <mergeCell ref="E291:G291"/>
    <mergeCell ref="H291:J291"/>
    <mergeCell ref="K291:M291"/>
    <mergeCell ref="N291:P291"/>
    <mergeCell ref="B288:D288"/>
    <mergeCell ref="E288:G288"/>
    <mergeCell ref="H288:J288"/>
    <mergeCell ref="K288:M288"/>
    <mergeCell ref="N288:P288"/>
    <mergeCell ref="B289:D289"/>
    <mergeCell ref="E289:G289"/>
    <mergeCell ref="H289:J289"/>
    <mergeCell ref="K289:M289"/>
    <mergeCell ref="N289:P289"/>
    <mergeCell ref="B286:D286"/>
    <mergeCell ref="E286:G286"/>
    <mergeCell ref="H286:J286"/>
    <mergeCell ref="K286:M286"/>
    <mergeCell ref="N286:P286"/>
    <mergeCell ref="B287:D287"/>
    <mergeCell ref="E287:G287"/>
    <mergeCell ref="H287:J287"/>
    <mergeCell ref="K287:M287"/>
    <mergeCell ref="N287:P287"/>
    <mergeCell ref="B284:D284"/>
    <mergeCell ref="E284:G284"/>
    <mergeCell ref="H284:J284"/>
    <mergeCell ref="K284:M284"/>
    <mergeCell ref="N284:P284"/>
    <mergeCell ref="B285:D285"/>
    <mergeCell ref="E285:G285"/>
    <mergeCell ref="H285:J285"/>
    <mergeCell ref="K285:M285"/>
    <mergeCell ref="N285:P285"/>
    <mergeCell ref="B282:D282"/>
    <mergeCell ref="E282:G282"/>
    <mergeCell ref="H282:J282"/>
    <mergeCell ref="K282:M282"/>
    <mergeCell ref="N282:P282"/>
    <mergeCell ref="B283:D283"/>
    <mergeCell ref="E283:G283"/>
    <mergeCell ref="H283:J283"/>
    <mergeCell ref="K283:M283"/>
    <mergeCell ref="N283:P283"/>
    <mergeCell ref="B280:D280"/>
    <mergeCell ref="E280:G280"/>
    <mergeCell ref="H280:J280"/>
    <mergeCell ref="K280:M280"/>
    <mergeCell ref="N280:P280"/>
    <mergeCell ref="B281:D281"/>
    <mergeCell ref="E281:G281"/>
    <mergeCell ref="H281:J281"/>
    <mergeCell ref="K281:M281"/>
    <mergeCell ref="N281:P281"/>
    <mergeCell ref="B278:D278"/>
    <mergeCell ref="E278:G278"/>
    <mergeCell ref="H278:J278"/>
    <mergeCell ref="K278:M278"/>
    <mergeCell ref="N278:P278"/>
    <mergeCell ref="B279:D279"/>
    <mergeCell ref="E279:G279"/>
    <mergeCell ref="H279:J279"/>
    <mergeCell ref="K279:M279"/>
    <mergeCell ref="N279:P279"/>
    <mergeCell ref="B276:D276"/>
    <mergeCell ref="E276:G276"/>
    <mergeCell ref="H276:J276"/>
    <mergeCell ref="K276:M276"/>
    <mergeCell ref="N276:P276"/>
    <mergeCell ref="B277:D277"/>
    <mergeCell ref="E277:G277"/>
    <mergeCell ref="H277:J277"/>
    <mergeCell ref="K277:M277"/>
    <mergeCell ref="N277:P277"/>
    <mergeCell ref="B274:D274"/>
    <mergeCell ref="E274:G274"/>
    <mergeCell ref="H274:J274"/>
    <mergeCell ref="K274:M274"/>
    <mergeCell ref="N274:P274"/>
    <mergeCell ref="B275:D275"/>
    <mergeCell ref="E275:G275"/>
    <mergeCell ref="H275:J275"/>
    <mergeCell ref="K275:M275"/>
    <mergeCell ref="N275:P275"/>
    <mergeCell ref="B272:D272"/>
    <mergeCell ref="E272:G272"/>
    <mergeCell ref="H272:J272"/>
    <mergeCell ref="K272:M272"/>
    <mergeCell ref="N272:P272"/>
    <mergeCell ref="B273:D273"/>
    <mergeCell ref="E273:G273"/>
    <mergeCell ref="H273:J273"/>
    <mergeCell ref="K273:M273"/>
    <mergeCell ref="N273:P273"/>
    <mergeCell ref="B270:D270"/>
    <mergeCell ref="E270:G270"/>
    <mergeCell ref="H270:J270"/>
    <mergeCell ref="K270:M270"/>
    <mergeCell ref="N270:P270"/>
    <mergeCell ref="B271:D271"/>
    <mergeCell ref="E271:G271"/>
    <mergeCell ref="H271:J271"/>
    <mergeCell ref="K271:M271"/>
    <mergeCell ref="N271:P271"/>
    <mergeCell ref="B268:D268"/>
    <mergeCell ref="E268:G268"/>
    <mergeCell ref="H268:J268"/>
    <mergeCell ref="K268:M268"/>
    <mergeCell ref="N268:P268"/>
    <mergeCell ref="B269:D269"/>
    <mergeCell ref="E269:G269"/>
    <mergeCell ref="H269:J269"/>
    <mergeCell ref="K269:M269"/>
    <mergeCell ref="N269:P269"/>
    <mergeCell ref="B266:D266"/>
    <mergeCell ref="E266:G266"/>
    <mergeCell ref="H266:J266"/>
    <mergeCell ref="K266:M266"/>
    <mergeCell ref="N266:P266"/>
    <mergeCell ref="B267:D267"/>
    <mergeCell ref="E267:G267"/>
    <mergeCell ref="H267:J267"/>
    <mergeCell ref="K267:M267"/>
    <mergeCell ref="N267:P267"/>
    <mergeCell ref="B264:D264"/>
    <mergeCell ref="E264:G264"/>
    <mergeCell ref="H264:J264"/>
    <mergeCell ref="K264:M264"/>
    <mergeCell ref="N264:P264"/>
    <mergeCell ref="B265:D265"/>
    <mergeCell ref="E265:G265"/>
    <mergeCell ref="H265:J265"/>
    <mergeCell ref="K265:M265"/>
    <mergeCell ref="N265:P265"/>
    <mergeCell ref="B262:D262"/>
    <mergeCell ref="E262:G262"/>
    <mergeCell ref="H262:J262"/>
    <mergeCell ref="K262:M262"/>
    <mergeCell ref="N262:P262"/>
    <mergeCell ref="B263:D263"/>
    <mergeCell ref="E263:G263"/>
    <mergeCell ref="H263:J263"/>
    <mergeCell ref="K263:M263"/>
    <mergeCell ref="N263:P263"/>
    <mergeCell ref="B260:D260"/>
    <mergeCell ref="E260:G260"/>
    <mergeCell ref="H260:J260"/>
    <mergeCell ref="K260:M260"/>
    <mergeCell ref="N260:P260"/>
    <mergeCell ref="B261:D261"/>
    <mergeCell ref="E261:G261"/>
    <mergeCell ref="H261:J261"/>
    <mergeCell ref="K261:M261"/>
    <mergeCell ref="N261:P261"/>
    <mergeCell ref="B258:D258"/>
    <mergeCell ref="E258:G258"/>
    <mergeCell ref="H258:J258"/>
    <mergeCell ref="K258:M258"/>
    <mergeCell ref="N258:P258"/>
    <mergeCell ref="B259:D259"/>
    <mergeCell ref="E259:G259"/>
    <mergeCell ref="H259:J259"/>
    <mergeCell ref="K259:M259"/>
    <mergeCell ref="N259:P259"/>
    <mergeCell ref="B256:D256"/>
    <mergeCell ref="E256:G256"/>
    <mergeCell ref="H256:J256"/>
    <mergeCell ref="K256:M256"/>
    <mergeCell ref="N256:P256"/>
    <mergeCell ref="B257:D257"/>
    <mergeCell ref="E257:G257"/>
    <mergeCell ref="H257:J257"/>
    <mergeCell ref="K257:M257"/>
    <mergeCell ref="N257:P257"/>
    <mergeCell ref="B254:D254"/>
    <mergeCell ref="E254:G254"/>
    <mergeCell ref="H254:J254"/>
    <mergeCell ref="K254:M254"/>
    <mergeCell ref="N254:P254"/>
    <mergeCell ref="B255:D255"/>
    <mergeCell ref="E255:G255"/>
    <mergeCell ref="H255:J255"/>
    <mergeCell ref="K255:M255"/>
    <mergeCell ref="N255:P255"/>
    <mergeCell ref="B252:D252"/>
    <mergeCell ref="E252:G252"/>
    <mergeCell ref="H252:J252"/>
    <mergeCell ref="K252:M252"/>
    <mergeCell ref="N252:P252"/>
    <mergeCell ref="B253:D253"/>
    <mergeCell ref="E253:G253"/>
    <mergeCell ref="H253:J253"/>
    <mergeCell ref="K253:M253"/>
    <mergeCell ref="N253:P253"/>
    <mergeCell ref="B250:D250"/>
    <mergeCell ref="E250:G250"/>
    <mergeCell ref="H250:J250"/>
    <mergeCell ref="K250:M250"/>
    <mergeCell ref="N250:P250"/>
    <mergeCell ref="B251:D251"/>
    <mergeCell ref="E251:G251"/>
    <mergeCell ref="H251:J251"/>
    <mergeCell ref="K251:M251"/>
    <mergeCell ref="N251:P251"/>
    <mergeCell ref="B248:D248"/>
    <mergeCell ref="E248:G248"/>
    <mergeCell ref="H248:J248"/>
    <mergeCell ref="K248:M248"/>
    <mergeCell ref="N248:P248"/>
    <mergeCell ref="B249:D249"/>
    <mergeCell ref="E249:G249"/>
    <mergeCell ref="H249:J249"/>
    <mergeCell ref="K249:M249"/>
    <mergeCell ref="N249:P249"/>
    <mergeCell ref="B246:D246"/>
    <mergeCell ref="E246:G246"/>
    <mergeCell ref="H246:J246"/>
    <mergeCell ref="K246:M246"/>
    <mergeCell ref="N246:P246"/>
    <mergeCell ref="B247:D247"/>
    <mergeCell ref="E247:G247"/>
    <mergeCell ref="H247:J247"/>
    <mergeCell ref="K247:M247"/>
    <mergeCell ref="N247:P247"/>
    <mergeCell ref="B244:D244"/>
    <mergeCell ref="E244:G244"/>
    <mergeCell ref="H244:J244"/>
    <mergeCell ref="K244:M244"/>
    <mergeCell ref="N244:P244"/>
    <mergeCell ref="B245:D245"/>
    <mergeCell ref="E245:G245"/>
    <mergeCell ref="H245:J245"/>
    <mergeCell ref="K245:M245"/>
    <mergeCell ref="N245:P245"/>
    <mergeCell ref="B242:D242"/>
    <mergeCell ref="E242:G242"/>
    <mergeCell ref="H242:J242"/>
    <mergeCell ref="K242:M242"/>
    <mergeCell ref="N242:P242"/>
    <mergeCell ref="B243:D243"/>
    <mergeCell ref="E243:G243"/>
    <mergeCell ref="H243:J243"/>
    <mergeCell ref="K243:M243"/>
    <mergeCell ref="N243:P243"/>
    <mergeCell ref="B240:D240"/>
    <mergeCell ref="E240:G240"/>
    <mergeCell ref="H240:J240"/>
    <mergeCell ref="K240:M240"/>
    <mergeCell ref="N240:P240"/>
    <mergeCell ref="B241:D241"/>
    <mergeCell ref="E241:G241"/>
    <mergeCell ref="H241:J241"/>
    <mergeCell ref="K241:M241"/>
    <mergeCell ref="N241:P241"/>
    <mergeCell ref="B238:D238"/>
    <mergeCell ref="E238:G238"/>
    <mergeCell ref="H238:J238"/>
    <mergeCell ref="K238:M238"/>
    <mergeCell ref="N238:P238"/>
    <mergeCell ref="B239:D239"/>
    <mergeCell ref="E239:G239"/>
    <mergeCell ref="H239:J239"/>
    <mergeCell ref="K239:M239"/>
    <mergeCell ref="N239:P239"/>
    <mergeCell ref="B236:D236"/>
    <mergeCell ref="E236:G236"/>
    <mergeCell ref="H236:J236"/>
    <mergeCell ref="K236:M236"/>
    <mergeCell ref="N236:P236"/>
    <mergeCell ref="B237:D237"/>
    <mergeCell ref="E237:G237"/>
    <mergeCell ref="H237:J237"/>
    <mergeCell ref="K237:M237"/>
    <mergeCell ref="N237:P237"/>
    <mergeCell ref="B234:D234"/>
    <mergeCell ref="E234:G234"/>
    <mergeCell ref="H234:J234"/>
    <mergeCell ref="K234:M234"/>
    <mergeCell ref="N234:P234"/>
    <mergeCell ref="B235:D235"/>
    <mergeCell ref="E235:G235"/>
    <mergeCell ref="H235:J235"/>
    <mergeCell ref="K235:M235"/>
    <mergeCell ref="N235:P235"/>
    <mergeCell ref="B232:D232"/>
    <mergeCell ref="E232:G232"/>
    <mergeCell ref="H232:J232"/>
    <mergeCell ref="K232:M232"/>
    <mergeCell ref="N232:P232"/>
    <mergeCell ref="B233:D233"/>
    <mergeCell ref="E233:G233"/>
    <mergeCell ref="H233:J233"/>
    <mergeCell ref="K233:M233"/>
    <mergeCell ref="N233:P233"/>
    <mergeCell ref="B230:D230"/>
    <mergeCell ref="E230:G230"/>
    <mergeCell ref="H230:J230"/>
    <mergeCell ref="K230:M230"/>
    <mergeCell ref="N230:P230"/>
    <mergeCell ref="B231:D231"/>
    <mergeCell ref="E231:G231"/>
    <mergeCell ref="H231:J231"/>
    <mergeCell ref="K231:M231"/>
    <mergeCell ref="N231:P231"/>
    <mergeCell ref="B228:D228"/>
    <mergeCell ref="E228:G228"/>
    <mergeCell ref="H228:J228"/>
    <mergeCell ref="K228:M228"/>
    <mergeCell ref="N228:P228"/>
    <mergeCell ref="B229:D229"/>
    <mergeCell ref="E229:G229"/>
    <mergeCell ref="H229:J229"/>
    <mergeCell ref="K229:M229"/>
    <mergeCell ref="N229:P229"/>
    <mergeCell ref="B226:D226"/>
    <mergeCell ref="E226:G226"/>
    <mergeCell ref="H226:J226"/>
    <mergeCell ref="K226:M226"/>
    <mergeCell ref="N226:P226"/>
    <mergeCell ref="B227:D227"/>
    <mergeCell ref="E227:G227"/>
    <mergeCell ref="H227:J227"/>
    <mergeCell ref="K227:M227"/>
    <mergeCell ref="N227:P227"/>
    <mergeCell ref="B224:D224"/>
    <mergeCell ref="E224:G224"/>
    <mergeCell ref="H224:J224"/>
    <mergeCell ref="K224:M224"/>
    <mergeCell ref="N224:P224"/>
    <mergeCell ref="B225:D225"/>
    <mergeCell ref="E225:G225"/>
    <mergeCell ref="H225:J225"/>
    <mergeCell ref="K225:M225"/>
    <mergeCell ref="N225:P225"/>
    <mergeCell ref="B222:D222"/>
    <mergeCell ref="E222:G222"/>
    <mergeCell ref="H222:J222"/>
    <mergeCell ref="K222:M222"/>
    <mergeCell ref="N222:P222"/>
    <mergeCell ref="B223:D223"/>
    <mergeCell ref="E223:G223"/>
    <mergeCell ref="H223:J223"/>
    <mergeCell ref="K223:M223"/>
    <mergeCell ref="N223:P223"/>
    <mergeCell ref="B220:D220"/>
    <mergeCell ref="E220:G220"/>
    <mergeCell ref="H220:J220"/>
    <mergeCell ref="K220:M220"/>
    <mergeCell ref="N220:P220"/>
    <mergeCell ref="B221:D221"/>
    <mergeCell ref="E221:G221"/>
    <mergeCell ref="H221:J221"/>
    <mergeCell ref="K221:M221"/>
    <mergeCell ref="N221:P221"/>
    <mergeCell ref="B218:D218"/>
    <mergeCell ref="E218:G218"/>
    <mergeCell ref="H218:J218"/>
    <mergeCell ref="K218:M218"/>
    <mergeCell ref="N218:P218"/>
    <mergeCell ref="B219:D219"/>
    <mergeCell ref="E219:G219"/>
    <mergeCell ref="H219:J219"/>
    <mergeCell ref="K219:M219"/>
    <mergeCell ref="N219:P219"/>
    <mergeCell ref="B216:D216"/>
    <mergeCell ref="E216:G216"/>
    <mergeCell ref="H216:J216"/>
    <mergeCell ref="K216:M216"/>
    <mergeCell ref="N216:P216"/>
    <mergeCell ref="B217:D217"/>
    <mergeCell ref="E217:G217"/>
    <mergeCell ref="H217:J217"/>
    <mergeCell ref="K217:M217"/>
    <mergeCell ref="N217:P217"/>
    <mergeCell ref="B214:D214"/>
    <mergeCell ref="E214:G214"/>
    <mergeCell ref="H214:J214"/>
    <mergeCell ref="K214:M214"/>
    <mergeCell ref="N214:P214"/>
    <mergeCell ref="B215:D215"/>
    <mergeCell ref="E215:G215"/>
    <mergeCell ref="H215:J215"/>
    <mergeCell ref="K215:M215"/>
    <mergeCell ref="N215:P215"/>
    <mergeCell ref="B212:D212"/>
    <mergeCell ref="E212:G212"/>
    <mergeCell ref="H212:J212"/>
    <mergeCell ref="K212:M212"/>
    <mergeCell ref="N212:P212"/>
    <mergeCell ref="B213:D213"/>
    <mergeCell ref="E213:G213"/>
    <mergeCell ref="H213:J213"/>
    <mergeCell ref="K213:M213"/>
    <mergeCell ref="N213:P213"/>
    <mergeCell ref="B210:D210"/>
    <mergeCell ref="E210:G210"/>
    <mergeCell ref="H210:J210"/>
    <mergeCell ref="K210:M210"/>
    <mergeCell ref="N210:P210"/>
    <mergeCell ref="B211:D211"/>
    <mergeCell ref="E211:G211"/>
    <mergeCell ref="H211:J211"/>
    <mergeCell ref="K211:M211"/>
    <mergeCell ref="N211:P211"/>
    <mergeCell ref="B208:D208"/>
    <mergeCell ref="E208:G208"/>
    <mergeCell ref="H208:J208"/>
    <mergeCell ref="K208:M208"/>
    <mergeCell ref="N208:P208"/>
    <mergeCell ref="B209:D209"/>
    <mergeCell ref="E209:G209"/>
    <mergeCell ref="H209:J209"/>
    <mergeCell ref="K209:M209"/>
    <mergeCell ref="N209:P209"/>
    <mergeCell ref="B206:D206"/>
    <mergeCell ref="E206:G206"/>
    <mergeCell ref="H206:J206"/>
    <mergeCell ref="K206:M206"/>
    <mergeCell ref="N206:P206"/>
    <mergeCell ref="B207:D207"/>
    <mergeCell ref="E207:G207"/>
    <mergeCell ref="H207:J207"/>
    <mergeCell ref="K207:M207"/>
    <mergeCell ref="N207:P207"/>
    <mergeCell ref="B204:D204"/>
    <mergeCell ref="E204:G204"/>
    <mergeCell ref="H204:J204"/>
    <mergeCell ref="K204:M204"/>
    <mergeCell ref="N204:P204"/>
    <mergeCell ref="B205:D205"/>
    <mergeCell ref="E205:G205"/>
    <mergeCell ref="H205:J205"/>
    <mergeCell ref="K205:M205"/>
    <mergeCell ref="N205:P205"/>
    <mergeCell ref="B202:D202"/>
    <mergeCell ref="E202:G202"/>
    <mergeCell ref="H202:J202"/>
    <mergeCell ref="K202:M202"/>
    <mergeCell ref="N202:P202"/>
    <mergeCell ref="B203:D203"/>
    <mergeCell ref="E203:G203"/>
    <mergeCell ref="H203:J203"/>
    <mergeCell ref="K203:M203"/>
    <mergeCell ref="N203:P203"/>
    <mergeCell ref="B200:D200"/>
    <mergeCell ref="E200:G200"/>
    <mergeCell ref="H200:J200"/>
    <mergeCell ref="K200:M200"/>
    <mergeCell ref="N200:P200"/>
    <mergeCell ref="B201:D201"/>
    <mergeCell ref="E201:G201"/>
    <mergeCell ref="H201:J201"/>
    <mergeCell ref="K201:M201"/>
    <mergeCell ref="N201:P201"/>
    <mergeCell ref="B198:D198"/>
    <mergeCell ref="E198:G198"/>
    <mergeCell ref="H198:J198"/>
    <mergeCell ref="K198:M198"/>
    <mergeCell ref="N198:P198"/>
    <mergeCell ref="B199:D199"/>
    <mergeCell ref="E199:G199"/>
    <mergeCell ref="H199:J199"/>
    <mergeCell ref="K199:M199"/>
    <mergeCell ref="N199:P199"/>
    <mergeCell ref="B196:D196"/>
    <mergeCell ref="E196:G196"/>
    <mergeCell ref="H196:J196"/>
    <mergeCell ref="K196:M196"/>
    <mergeCell ref="N196:P196"/>
    <mergeCell ref="B197:D197"/>
    <mergeCell ref="E197:G197"/>
    <mergeCell ref="H197:J197"/>
    <mergeCell ref="K197:M197"/>
    <mergeCell ref="N197:P197"/>
    <mergeCell ref="B194:D194"/>
    <mergeCell ref="E194:G194"/>
    <mergeCell ref="H194:J194"/>
    <mergeCell ref="K194:M194"/>
    <mergeCell ref="N194:P194"/>
    <mergeCell ref="B195:D195"/>
    <mergeCell ref="E195:G195"/>
    <mergeCell ref="H195:J195"/>
    <mergeCell ref="K195:M195"/>
    <mergeCell ref="N195:P195"/>
    <mergeCell ref="B192:D192"/>
    <mergeCell ref="E192:G192"/>
    <mergeCell ref="H192:J192"/>
    <mergeCell ref="K192:M192"/>
    <mergeCell ref="N192:P192"/>
    <mergeCell ref="B193:D193"/>
    <mergeCell ref="E193:G193"/>
    <mergeCell ref="H193:J193"/>
    <mergeCell ref="K193:M193"/>
    <mergeCell ref="N193:P193"/>
    <mergeCell ref="B190:D190"/>
    <mergeCell ref="E190:G190"/>
    <mergeCell ref="H190:J190"/>
    <mergeCell ref="K190:M190"/>
    <mergeCell ref="N190:P190"/>
    <mergeCell ref="B191:D191"/>
    <mergeCell ref="E191:G191"/>
    <mergeCell ref="H191:J191"/>
    <mergeCell ref="K191:M191"/>
    <mergeCell ref="N191:P191"/>
    <mergeCell ref="B188:D188"/>
    <mergeCell ref="E188:G188"/>
    <mergeCell ref="H188:J188"/>
    <mergeCell ref="K188:M188"/>
    <mergeCell ref="N188:P188"/>
    <mergeCell ref="B189:D189"/>
    <mergeCell ref="E189:G189"/>
    <mergeCell ref="H189:J189"/>
    <mergeCell ref="K189:M189"/>
    <mergeCell ref="N189:P189"/>
    <mergeCell ref="B186:D186"/>
    <mergeCell ref="E186:G186"/>
    <mergeCell ref="H186:J186"/>
    <mergeCell ref="K186:M186"/>
    <mergeCell ref="N186:P186"/>
    <mergeCell ref="B187:D187"/>
    <mergeCell ref="E187:G187"/>
    <mergeCell ref="H187:J187"/>
    <mergeCell ref="K187:M187"/>
    <mergeCell ref="N187:P187"/>
    <mergeCell ref="B184:D184"/>
    <mergeCell ref="E184:G184"/>
    <mergeCell ref="H184:J184"/>
    <mergeCell ref="K184:M184"/>
    <mergeCell ref="N184:P184"/>
    <mergeCell ref="B185:D185"/>
    <mergeCell ref="E185:G185"/>
    <mergeCell ref="H185:J185"/>
    <mergeCell ref="K185:M185"/>
    <mergeCell ref="N185:P185"/>
    <mergeCell ref="B182:D182"/>
    <mergeCell ref="E182:G182"/>
    <mergeCell ref="H182:J182"/>
    <mergeCell ref="K182:M182"/>
    <mergeCell ref="N182:P182"/>
    <mergeCell ref="B183:D183"/>
    <mergeCell ref="E183:G183"/>
    <mergeCell ref="H183:J183"/>
    <mergeCell ref="K183:M183"/>
    <mergeCell ref="N183:P183"/>
    <mergeCell ref="B180:D180"/>
    <mergeCell ref="E180:G180"/>
    <mergeCell ref="H180:J180"/>
    <mergeCell ref="K180:M180"/>
    <mergeCell ref="N180:P180"/>
    <mergeCell ref="B181:D181"/>
    <mergeCell ref="E181:G181"/>
    <mergeCell ref="H181:J181"/>
    <mergeCell ref="K181:M181"/>
    <mergeCell ref="N181:P181"/>
    <mergeCell ref="B178:D178"/>
    <mergeCell ref="E178:G178"/>
    <mergeCell ref="H178:J178"/>
    <mergeCell ref="K178:M178"/>
    <mergeCell ref="N178:P178"/>
    <mergeCell ref="B179:D179"/>
    <mergeCell ref="E179:G179"/>
    <mergeCell ref="H179:J179"/>
    <mergeCell ref="K179:M179"/>
    <mergeCell ref="N179:P179"/>
    <mergeCell ref="B176:D176"/>
    <mergeCell ref="E176:G176"/>
    <mergeCell ref="H176:J176"/>
    <mergeCell ref="K176:M176"/>
    <mergeCell ref="N176:P176"/>
    <mergeCell ref="B177:D177"/>
    <mergeCell ref="E177:G177"/>
    <mergeCell ref="H177:J177"/>
    <mergeCell ref="K177:M177"/>
    <mergeCell ref="N177:P177"/>
    <mergeCell ref="B174:D174"/>
    <mergeCell ref="E174:G174"/>
    <mergeCell ref="H174:J174"/>
    <mergeCell ref="K174:M174"/>
    <mergeCell ref="N174:P174"/>
    <mergeCell ref="B175:D175"/>
    <mergeCell ref="E175:G175"/>
    <mergeCell ref="H175:J175"/>
    <mergeCell ref="K175:M175"/>
    <mergeCell ref="N175:P175"/>
    <mergeCell ref="B172:D172"/>
    <mergeCell ref="E172:G172"/>
    <mergeCell ref="H172:J172"/>
    <mergeCell ref="K172:M172"/>
    <mergeCell ref="N172:P172"/>
    <mergeCell ref="B173:D173"/>
    <mergeCell ref="E173:G173"/>
    <mergeCell ref="H173:J173"/>
    <mergeCell ref="K173:M173"/>
    <mergeCell ref="N173:P173"/>
    <mergeCell ref="B170:D170"/>
    <mergeCell ref="E170:G170"/>
    <mergeCell ref="H170:J170"/>
    <mergeCell ref="K170:M170"/>
    <mergeCell ref="N170:P170"/>
    <mergeCell ref="B171:D171"/>
    <mergeCell ref="E171:G171"/>
    <mergeCell ref="H171:J171"/>
    <mergeCell ref="K171:M171"/>
    <mergeCell ref="N171:P171"/>
    <mergeCell ref="B168:D168"/>
    <mergeCell ref="E168:G168"/>
    <mergeCell ref="H168:J168"/>
    <mergeCell ref="K168:M168"/>
    <mergeCell ref="N168:P168"/>
    <mergeCell ref="B169:D169"/>
    <mergeCell ref="E169:G169"/>
    <mergeCell ref="H169:J169"/>
    <mergeCell ref="K169:M169"/>
    <mergeCell ref="N169:P169"/>
    <mergeCell ref="B166:D166"/>
    <mergeCell ref="E166:G166"/>
    <mergeCell ref="H166:J166"/>
    <mergeCell ref="K166:M166"/>
    <mergeCell ref="N166:P166"/>
    <mergeCell ref="B167:D167"/>
    <mergeCell ref="E167:G167"/>
    <mergeCell ref="H167:J167"/>
    <mergeCell ref="K167:M167"/>
    <mergeCell ref="N167:P167"/>
    <mergeCell ref="B164:D164"/>
    <mergeCell ref="E164:G164"/>
    <mergeCell ref="H164:J164"/>
    <mergeCell ref="K164:M164"/>
    <mergeCell ref="N164:P164"/>
    <mergeCell ref="B165:D165"/>
    <mergeCell ref="E165:G165"/>
    <mergeCell ref="H165:J165"/>
    <mergeCell ref="K165:M165"/>
    <mergeCell ref="N165:P165"/>
    <mergeCell ref="B162:D162"/>
    <mergeCell ref="E162:G162"/>
    <mergeCell ref="H162:J162"/>
    <mergeCell ref="K162:M162"/>
    <mergeCell ref="N162:P162"/>
    <mergeCell ref="B163:D163"/>
    <mergeCell ref="E163:G163"/>
    <mergeCell ref="H163:J163"/>
    <mergeCell ref="K163:M163"/>
    <mergeCell ref="N163:P163"/>
    <mergeCell ref="B160:D160"/>
    <mergeCell ref="E160:G160"/>
    <mergeCell ref="H160:J160"/>
    <mergeCell ref="K160:M160"/>
    <mergeCell ref="N160:P160"/>
    <mergeCell ref="B161:D161"/>
    <mergeCell ref="E161:G161"/>
    <mergeCell ref="H161:J161"/>
    <mergeCell ref="K161:M161"/>
    <mergeCell ref="N161:P161"/>
    <mergeCell ref="B158:D158"/>
    <mergeCell ref="E158:G158"/>
    <mergeCell ref="H158:J158"/>
    <mergeCell ref="K158:M158"/>
    <mergeCell ref="N158:P158"/>
    <mergeCell ref="B159:D159"/>
    <mergeCell ref="E159:G159"/>
    <mergeCell ref="H159:J159"/>
    <mergeCell ref="K159:M159"/>
    <mergeCell ref="N159:P159"/>
    <mergeCell ref="B156:D156"/>
    <mergeCell ref="E156:G156"/>
    <mergeCell ref="H156:J156"/>
    <mergeCell ref="K156:M156"/>
    <mergeCell ref="N156:P156"/>
    <mergeCell ref="B157:D157"/>
    <mergeCell ref="E157:G157"/>
    <mergeCell ref="H157:J157"/>
    <mergeCell ref="K157:M157"/>
    <mergeCell ref="N157:P157"/>
    <mergeCell ref="B154:D154"/>
    <mergeCell ref="E154:G154"/>
    <mergeCell ref="H154:J154"/>
    <mergeCell ref="K154:M154"/>
    <mergeCell ref="N154:P154"/>
    <mergeCell ref="B155:D155"/>
    <mergeCell ref="E155:G155"/>
    <mergeCell ref="H155:J155"/>
    <mergeCell ref="K155:M155"/>
    <mergeCell ref="N155:P155"/>
    <mergeCell ref="B152:D152"/>
    <mergeCell ref="E152:G152"/>
    <mergeCell ref="H152:J152"/>
    <mergeCell ref="K152:M152"/>
    <mergeCell ref="N152:P152"/>
    <mergeCell ref="B153:D153"/>
    <mergeCell ref="E153:G153"/>
    <mergeCell ref="H153:J153"/>
    <mergeCell ref="K153:M153"/>
    <mergeCell ref="N153:P153"/>
    <mergeCell ref="B150:D150"/>
    <mergeCell ref="E150:G150"/>
    <mergeCell ref="H150:J150"/>
    <mergeCell ref="K150:M150"/>
    <mergeCell ref="N150:P150"/>
    <mergeCell ref="B151:D151"/>
    <mergeCell ref="E151:G151"/>
    <mergeCell ref="H151:J151"/>
    <mergeCell ref="K151:M151"/>
    <mergeCell ref="N151:P151"/>
    <mergeCell ref="B148:D148"/>
    <mergeCell ref="E148:G148"/>
    <mergeCell ref="H148:J148"/>
    <mergeCell ref="K148:M148"/>
    <mergeCell ref="N148:P148"/>
    <mergeCell ref="B149:D149"/>
    <mergeCell ref="E149:G149"/>
    <mergeCell ref="H149:J149"/>
    <mergeCell ref="K149:M149"/>
    <mergeCell ref="N149:P149"/>
    <mergeCell ref="B146:D146"/>
    <mergeCell ref="E146:G146"/>
    <mergeCell ref="H146:J146"/>
    <mergeCell ref="K146:M146"/>
    <mergeCell ref="N146:P146"/>
    <mergeCell ref="B147:D147"/>
    <mergeCell ref="E147:G147"/>
    <mergeCell ref="H147:J147"/>
    <mergeCell ref="K147:M147"/>
    <mergeCell ref="N147:P147"/>
    <mergeCell ref="B144:D144"/>
    <mergeCell ref="E144:G144"/>
    <mergeCell ref="H144:J144"/>
    <mergeCell ref="K144:M144"/>
    <mergeCell ref="N144:P144"/>
    <mergeCell ref="B145:D145"/>
    <mergeCell ref="E145:G145"/>
    <mergeCell ref="H145:J145"/>
    <mergeCell ref="K145:M145"/>
    <mergeCell ref="N145:P145"/>
    <mergeCell ref="B142:D142"/>
    <mergeCell ref="E142:G142"/>
    <mergeCell ref="H142:J142"/>
    <mergeCell ref="K142:M142"/>
    <mergeCell ref="N142:P142"/>
    <mergeCell ref="B143:D143"/>
    <mergeCell ref="E143:G143"/>
    <mergeCell ref="H143:J143"/>
    <mergeCell ref="K143:M143"/>
    <mergeCell ref="N143:P143"/>
    <mergeCell ref="B140:D140"/>
    <mergeCell ref="E140:G140"/>
    <mergeCell ref="H140:J140"/>
    <mergeCell ref="K140:M140"/>
    <mergeCell ref="N140:P140"/>
    <mergeCell ref="B141:D141"/>
    <mergeCell ref="E141:G141"/>
    <mergeCell ref="H141:J141"/>
    <mergeCell ref="K141:M141"/>
    <mergeCell ref="N141:P141"/>
    <mergeCell ref="B138:D138"/>
    <mergeCell ref="E138:G138"/>
    <mergeCell ref="H138:J138"/>
    <mergeCell ref="K138:M138"/>
    <mergeCell ref="N138:P138"/>
    <mergeCell ref="B139:D139"/>
    <mergeCell ref="E139:G139"/>
    <mergeCell ref="H139:J139"/>
    <mergeCell ref="K139:M139"/>
    <mergeCell ref="N139:P139"/>
    <mergeCell ref="B136:D136"/>
    <mergeCell ref="E136:G136"/>
    <mergeCell ref="H136:J136"/>
    <mergeCell ref="K136:M136"/>
    <mergeCell ref="N136:P136"/>
    <mergeCell ref="B137:D137"/>
    <mergeCell ref="E137:G137"/>
    <mergeCell ref="H137:J137"/>
    <mergeCell ref="K137:M137"/>
    <mergeCell ref="N137:P137"/>
    <mergeCell ref="B134:D134"/>
    <mergeCell ref="E134:G134"/>
    <mergeCell ref="H134:J134"/>
    <mergeCell ref="K134:M134"/>
    <mergeCell ref="N134:P134"/>
    <mergeCell ref="B135:D135"/>
    <mergeCell ref="E135:G135"/>
    <mergeCell ref="H135:J135"/>
    <mergeCell ref="K135:M135"/>
    <mergeCell ref="N135:P135"/>
    <mergeCell ref="B132:D132"/>
    <mergeCell ref="E132:G132"/>
    <mergeCell ref="H132:J132"/>
    <mergeCell ref="K132:M132"/>
    <mergeCell ref="N132:P132"/>
    <mergeCell ref="B133:D133"/>
    <mergeCell ref="E133:G133"/>
    <mergeCell ref="H133:J133"/>
    <mergeCell ref="K133:M133"/>
    <mergeCell ref="N133:P133"/>
    <mergeCell ref="B130:D130"/>
    <mergeCell ref="E130:G130"/>
    <mergeCell ref="H130:J130"/>
    <mergeCell ref="K130:M130"/>
    <mergeCell ref="N130:P130"/>
    <mergeCell ref="B131:D131"/>
    <mergeCell ref="E131:G131"/>
    <mergeCell ref="H131:J131"/>
    <mergeCell ref="K131:M131"/>
    <mergeCell ref="N131:P131"/>
    <mergeCell ref="B128:D128"/>
    <mergeCell ref="E128:G128"/>
    <mergeCell ref="H128:J128"/>
    <mergeCell ref="K128:M128"/>
    <mergeCell ref="N128:P128"/>
    <mergeCell ref="B129:D129"/>
    <mergeCell ref="E129:G129"/>
    <mergeCell ref="H129:J129"/>
    <mergeCell ref="K129:M129"/>
    <mergeCell ref="N129:P129"/>
    <mergeCell ref="B126:D126"/>
    <mergeCell ref="E126:G126"/>
    <mergeCell ref="H126:J126"/>
    <mergeCell ref="K126:M126"/>
    <mergeCell ref="N126:P126"/>
    <mergeCell ref="B127:D127"/>
    <mergeCell ref="E127:G127"/>
    <mergeCell ref="H127:J127"/>
    <mergeCell ref="K127:M127"/>
    <mergeCell ref="N127:P127"/>
    <mergeCell ref="B124:D124"/>
    <mergeCell ref="E124:G124"/>
    <mergeCell ref="H124:J124"/>
    <mergeCell ref="K124:M124"/>
    <mergeCell ref="N124:P124"/>
    <mergeCell ref="B125:D125"/>
    <mergeCell ref="E125:G125"/>
    <mergeCell ref="H125:J125"/>
    <mergeCell ref="K125:M125"/>
    <mergeCell ref="N125:P125"/>
    <mergeCell ref="B122:D122"/>
    <mergeCell ref="E122:G122"/>
    <mergeCell ref="H122:J122"/>
    <mergeCell ref="K122:M122"/>
    <mergeCell ref="N122:P122"/>
    <mergeCell ref="B123:D123"/>
    <mergeCell ref="E123:G123"/>
    <mergeCell ref="H123:J123"/>
    <mergeCell ref="K123:M123"/>
    <mergeCell ref="N123:P123"/>
    <mergeCell ref="B120:D120"/>
    <mergeCell ref="E120:G120"/>
    <mergeCell ref="H120:J120"/>
    <mergeCell ref="K120:M120"/>
    <mergeCell ref="N120:P120"/>
    <mergeCell ref="B121:D121"/>
    <mergeCell ref="E121:G121"/>
    <mergeCell ref="H121:J121"/>
    <mergeCell ref="K121:M121"/>
    <mergeCell ref="N121:P121"/>
    <mergeCell ref="B118:D118"/>
    <mergeCell ref="E118:G118"/>
    <mergeCell ref="H118:J118"/>
    <mergeCell ref="K118:M118"/>
    <mergeCell ref="N118:P118"/>
    <mergeCell ref="B119:D119"/>
    <mergeCell ref="E119:G119"/>
    <mergeCell ref="H119:J119"/>
    <mergeCell ref="K119:M119"/>
    <mergeCell ref="N119:P119"/>
    <mergeCell ref="B116:D116"/>
    <mergeCell ref="E116:G116"/>
    <mergeCell ref="H116:J116"/>
    <mergeCell ref="K116:M116"/>
    <mergeCell ref="N116:P116"/>
    <mergeCell ref="B117:D117"/>
    <mergeCell ref="E117:G117"/>
    <mergeCell ref="H117:J117"/>
    <mergeCell ref="K117:M117"/>
    <mergeCell ref="N117:P117"/>
    <mergeCell ref="B114:D114"/>
    <mergeCell ref="E114:G114"/>
    <mergeCell ref="H114:J114"/>
    <mergeCell ref="K114:M114"/>
    <mergeCell ref="N114:P114"/>
    <mergeCell ref="B115:D115"/>
    <mergeCell ref="E115:G115"/>
    <mergeCell ref="H115:J115"/>
    <mergeCell ref="K115:M115"/>
    <mergeCell ref="N115:P115"/>
    <mergeCell ref="B112:D112"/>
    <mergeCell ref="E112:G112"/>
    <mergeCell ref="H112:J112"/>
    <mergeCell ref="K112:M112"/>
    <mergeCell ref="N112:P112"/>
    <mergeCell ref="B113:D113"/>
    <mergeCell ref="E113:G113"/>
    <mergeCell ref="H113:J113"/>
    <mergeCell ref="K113:M113"/>
    <mergeCell ref="N113:P113"/>
    <mergeCell ref="B110:D110"/>
    <mergeCell ref="E110:G110"/>
    <mergeCell ref="H110:J110"/>
    <mergeCell ref="K110:M110"/>
    <mergeCell ref="N110:P110"/>
    <mergeCell ref="B111:D111"/>
    <mergeCell ref="E111:G111"/>
    <mergeCell ref="H111:J111"/>
    <mergeCell ref="K111:M111"/>
    <mergeCell ref="N111:P111"/>
    <mergeCell ref="B108:D108"/>
    <mergeCell ref="E108:G108"/>
    <mergeCell ref="H108:J108"/>
    <mergeCell ref="K108:M108"/>
    <mergeCell ref="N108:P108"/>
    <mergeCell ref="B109:D109"/>
    <mergeCell ref="E109:G109"/>
    <mergeCell ref="H109:J109"/>
    <mergeCell ref="K109:M109"/>
    <mergeCell ref="N109:P109"/>
    <mergeCell ref="B106:D106"/>
    <mergeCell ref="E106:G106"/>
    <mergeCell ref="H106:J106"/>
    <mergeCell ref="K106:M106"/>
    <mergeCell ref="N106:P106"/>
    <mergeCell ref="B107:D107"/>
    <mergeCell ref="E107:G107"/>
    <mergeCell ref="H107:J107"/>
    <mergeCell ref="K107:M107"/>
    <mergeCell ref="N107:P107"/>
    <mergeCell ref="B104:D104"/>
    <mergeCell ref="E104:G104"/>
    <mergeCell ref="H104:J104"/>
    <mergeCell ref="K104:M104"/>
    <mergeCell ref="N104:P104"/>
    <mergeCell ref="B105:D105"/>
    <mergeCell ref="E105:G105"/>
    <mergeCell ref="H105:J105"/>
    <mergeCell ref="K105:M105"/>
    <mergeCell ref="N105:P105"/>
    <mergeCell ref="B102:D102"/>
    <mergeCell ref="E102:G102"/>
    <mergeCell ref="H102:J102"/>
    <mergeCell ref="K102:M102"/>
    <mergeCell ref="N102:P102"/>
    <mergeCell ref="B103:D103"/>
    <mergeCell ref="E103:G103"/>
    <mergeCell ref="H103:J103"/>
    <mergeCell ref="K103:M103"/>
    <mergeCell ref="N103:P103"/>
    <mergeCell ref="B100:D100"/>
    <mergeCell ref="E100:G100"/>
    <mergeCell ref="H100:J100"/>
    <mergeCell ref="K100:M100"/>
    <mergeCell ref="N100:P100"/>
    <mergeCell ref="B101:D101"/>
    <mergeCell ref="E101:G101"/>
    <mergeCell ref="H101:J101"/>
    <mergeCell ref="K101:M101"/>
    <mergeCell ref="N101:P101"/>
    <mergeCell ref="B98:D98"/>
    <mergeCell ref="E98:G98"/>
    <mergeCell ref="H98:J98"/>
    <mergeCell ref="K98:M98"/>
    <mergeCell ref="N98:P98"/>
    <mergeCell ref="B99:D99"/>
    <mergeCell ref="E99:G99"/>
    <mergeCell ref="H99:J99"/>
    <mergeCell ref="K99:M99"/>
    <mergeCell ref="N99:P99"/>
    <mergeCell ref="B96:D96"/>
    <mergeCell ref="E96:G96"/>
    <mergeCell ref="H96:J96"/>
    <mergeCell ref="K96:M96"/>
    <mergeCell ref="N96:P96"/>
    <mergeCell ref="B97:D97"/>
    <mergeCell ref="E97:G97"/>
    <mergeCell ref="H97:J97"/>
    <mergeCell ref="K97:M97"/>
    <mergeCell ref="N97:P97"/>
    <mergeCell ref="B94:D94"/>
    <mergeCell ref="E94:G94"/>
    <mergeCell ref="H94:J94"/>
    <mergeCell ref="K94:M94"/>
    <mergeCell ref="N94:P94"/>
    <mergeCell ref="B95:D95"/>
    <mergeCell ref="E95:G95"/>
    <mergeCell ref="H95:J95"/>
    <mergeCell ref="K95:M95"/>
    <mergeCell ref="N95:P95"/>
    <mergeCell ref="B92:D92"/>
    <mergeCell ref="E92:G92"/>
    <mergeCell ref="H92:J92"/>
    <mergeCell ref="K92:M92"/>
    <mergeCell ref="N92:P92"/>
    <mergeCell ref="B93:D93"/>
    <mergeCell ref="E93:G93"/>
    <mergeCell ref="H93:J93"/>
    <mergeCell ref="K93:M93"/>
    <mergeCell ref="N93:P93"/>
    <mergeCell ref="B90:D90"/>
    <mergeCell ref="E90:G90"/>
    <mergeCell ref="H90:J90"/>
    <mergeCell ref="K90:M90"/>
    <mergeCell ref="N90:P90"/>
    <mergeCell ref="B91:D91"/>
    <mergeCell ref="E91:G91"/>
    <mergeCell ref="H91:J91"/>
    <mergeCell ref="K91:M91"/>
    <mergeCell ref="N91:P91"/>
    <mergeCell ref="B88:D88"/>
    <mergeCell ref="E88:G88"/>
    <mergeCell ref="H88:J88"/>
    <mergeCell ref="K88:M88"/>
    <mergeCell ref="N88:P88"/>
    <mergeCell ref="B89:D89"/>
    <mergeCell ref="E89:G89"/>
    <mergeCell ref="H89:J89"/>
    <mergeCell ref="K89:M89"/>
    <mergeCell ref="N89:P89"/>
    <mergeCell ref="B86:D86"/>
    <mergeCell ref="E86:G86"/>
    <mergeCell ref="H86:J86"/>
    <mergeCell ref="K86:M86"/>
    <mergeCell ref="N86:P86"/>
    <mergeCell ref="B87:D87"/>
    <mergeCell ref="E87:G87"/>
    <mergeCell ref="H87:J87"/>
    <mergeCell ref="K87:M87"/>
    <mergeCell ref="N87:P87"/>
    <mergeCell ref="B84:D84"/>
    <mergeCell ref="E84:G84"/>
    <mergeCell ref="H84:J84"/>
    <mergeCell ref="K84:M84"/>
    <mergeCell ref="N84:P84"/>
    <mergeCell ref="B85:D85"/>
    <mergeCell ref="E85:G85"/>
    <mergeCell ref="H85:J85"/>
    <mergeCell ref="K85:M85"/>
    <mergeCell ref="N85:P85"/>
    <mergeCell ref="B82:D82"/>
    <mergeCell ref="E82:G82"/>
    <mergeCell ref="H82:J82"/>
    <mergeCell ref="K82:M82"/>
    <mergeCell ref="N82:P82"/>
    <mergeCell ref="B83:D83"/>
    <mergeCell ref="E83:G83"/>
    <mergeCell ref="H83:J83"/>
    <mergeCell ref="K83:M83"/>
    <mergeCell ref="N83:P83"/>
    <mergeCell ref="B80:D80"/>
    <mergeCell ref="E80:G80"/>
    <mergeCell ref="H80:J80"/>
    <mergeCell ref="K80:M80"/>
    <mergeCell ref="N80:P80"/>
    <mergeCell ref="B81:D81"/>
    <mergeCell ref="E81:G81"/>
    <mergeCell ref="H81:J81"/>
    <mergeCell ref="K81:M81"/>
    <mergeCell ref="N81:P81"/>
    <mergeCell ref="B78:D78"/>
    <mergeCell ref="E78:G78"/>
    <mergeCell ref="H78:J78"/>
    <mergeCell ref="K78:M78"/>
    <mergeCell ref="N78:P78"/>
    <mergeCell ref="B79:D79"/>
    <mergeCell ref="E79:G79"/>
    <mergeCell ref="H79:J79"/>
    <mergeCell ref="K79:M79"/>
    <mergeCell ref="N79:P79"/>
    <mergeCell ref="B76:D76"/>
    <mergeCell ref="E76:G76"/>
    <mergeCell ref="H76:J76"/>
    <mergeCell ref="K76:M76"/>
    <mergeCell ref="N76:P76"/>
    <mergeCell ref="B77:D77"/>
    <mergeCell ref="E77:G77"/>
    <mergeCell ref="H77:J77"/>
    <mergeCell ref="K77:M77"/>
    <mergeCell ref="N77:P77"/>
    <mergeCell ref="B74:D74"/>
    <mergeCell ref="E74:G74"/>
    <mergeCell ref="H74:J74"/>
    <mergeCell ref="K74:M74"/>
    <mergeCell ref="N74:P74"/>
    <mergeCell ref="B75:D75"/>
    <mergeCell ref="E75:G75"/>
    <mergeCell ref="H75:J75"/>
    <mergeCell ref="K75:M75"/>
    <mergeCell ref="N75:P75"/>
    <mergeCell ref="B72:D72"/>
    <mergeCell ref="E72:G72"/>
    <mergeCell ref="H72:J72"/>
    <mergeCell ref="K72:M72"/>
    <mergeCell ref="N72:P72"/>
    <mergeCell ref="B73:D73"/>
    <mergeCell ref="E73:G73"/>
    <mergeCell ref="H73:J73"/>
    <mergeCell ref="K73:M73"/>
    <mergeCell ref="N73:P73"/>
    <mergeCell ref="B70:D70"/>
    <mergeCell ref="E70:G70"/>
    <mergeCell ref="H70:J70"/>
    <mergeCell ref="K70:M70"/>
    <mergeCell ref="N70:P70"/>
    <mergeCell ref="B71:D71"/>
    <mergeCell ref="E71:G71"/>
    <mergeCell ref="H71:J71"/>
    <mergeCell ref="K71:M71"/>
    <mergeCell ref="N71:P71"/>
    <mergeCell ref="B68:D68"/>
    <mergeCell ref="E68:G68"/>
    <mergeCell ref="H68:J68"/>
    <mergeCell ref="K68:M68"/>
    <mergeCell ref="N68:P68"/>
    <mergeCell ref="B69:D69"/>
    <mergeCell ref="E69:G69"/>
    <mergeCell ref="H69:J69"/>
    <mergeCell ref="K69:M69"/>
    <mergeCell ref="N69:P69"/>
    <mergeCell ref="B66:D66"/>
    <mergeCell ref="E66:G66"/>
    <mergeCell ref="H66:J66"/>
    <mergeCell ref="K66:M66"/>
    <mergeCell ref="N66:P66"/>
    <mergeCell ref="B67:D67"/>
    <mergeCell ref="E67:G67"/>
    <mergeCell ref="H67:J67"/>
    <mergeCell ref="K67:M67"/>
    <mergeCell ref="N67:P67"/>
    <mergeCell ref="B64:D64"/>
    <mergeCell ref="E64:G64"/>
    <mergeCell ref="H64:J64"/>
    <mergeCell ref="K64:M64"/>
    <mergeCell ref="N64:P64"/>
    <mergeCell ref="B65:D65"/>
    <mergeCell ref="E65:G65"/>
    <mergeCell ref="H65:J65"/>
    <mergeCell ref="K65:M65"/>
    <mergeCell ref="N65:P65"/>
    <mergeCell ref="B62:D62"/>
    <mergeCell ref="E62:G62"/>
    <mergeCell ref="H62:J62"/>
    <mergeCell ref="K62:M62"/>
    <mergeCell ref="N62:P62"/>
    <mergeCell ref="B63:D63"/>
    <mergeCell ref="E63:G63"/>
    <mergeCell ref="H63:J63"/>
    <mergeCell ref="K63:M63"/>
    <mergeCell ref="N63:P63"/>
    <mergeCell ref="B60:D60"/>
    <mergeCell ref="E60:G60"/>
    <mergeCell ref="H60:J60"/>
    <mergeCell ref="K60:M60"/>
    <mergeCell ref="N60:P60"/>
    <mergeCell ref="B61:D61"/>
    <mergeCell ref="E61:G61"/>
    <mergeCell ref="H61:J61"/>
    <mergeCell ref="K61:M61"/>
    <mergeCell ref="N61:P61"/>
    <mergeCell ref="B58:D58"/>
    <mergeCell ref="E58:G58"/>
    <mergeCell ref="H58:J58"/>
    <mergeCell ref="K58:M58"/>
    <mergeCell ref="N58:P58"/>
    <mergeCell ref="B59:D59"/>
    <mergeCell ref="E59:G59"/>
    <mergeCell ref="H59:J59"/>
    <mergeCell ref="K59:M59"/>
    <mergeCell ref="N59:P59"/>
    <mergeCell ref="B56:D56"/>
    <mergeCell ref="E56:G56"/>
    <mergeCell ref="H56:J56"/>
    <mergeCell ref="K56:M56"/>
    <mergeCell ref="N56:P56"/>
    <mergeCell ref="B57:D57"/>
    <mergeCell ref="E57:G57"/>
    <mergeCell ref="H57:J57"/>
    <mergeCell ref="K57:M57"/>
    <mergeCell ref="N57:P57"/>
    <mergeCell ref="B54:D54"/>
    <mergeCell ref="E54:G54"/>
    <mergeCell ref="H54:J54"/>
    <mergeCell ref="K54:M54"/>
    <mergeCell ref="N54:P54"/>
    <mergeCell ref="B55:D55"/>
    <mergeCell ref="E55:G55"/>
    <mergeCell ref="H55:J55"/>
    <mergeCell ref="K55:M55"/>
    <mergeCell ref="N55:P55"/>
    <mergeCell ref="B52:D52"/>
    <mergeCell ref="E52:G52"/>
    <mergeCell ref="H52:J52"/>
    <mergeCell ref="K52:M52"/>
    <mergeCell ref="N52:P52"/>
    <mergeCell ref="B53:D53"/>
    <mergeCell ref="E53:G53"/>
    <mergeCell ref="H53:J53"/>
    <mergeCell ref="K53:M53"/>
    <mergeCell ref="N53:P53"/>
    <mergeCell ref="B50:D50"/>
    <mergeCell ref="E50:G50"/>
    <mergeCell ref="H50:J50"/>
    <mergeCell ref="K50:M50"/>
    <mergeCell ref="N50:P50"/>
    <mergeCell ref="B51:D51"/>
    <mergeCell ref="E51:G51"/>
    <mergeCell ref="H51:J51"/>
    <mergeCell ref="K51:M51"/>
    <mergeCell ref="N51:P51"/>
    <mergeCell ref="B48:D48"/>
    <mergeCell ref="E48:G48"/>
    <mergeCell ref="H48:J48"/>
    <mergeCell ref="K48:M48"/>
    <mergeCell ref="N48:P48"/>
    <mergeCell ref="B49:D49"/>
    <mergeCell ref="E49:G49"/>
    <mergeCell ref="H49:J49"/>
    <mergeCell ref="K49:M49"/>
    <mergeCell ref="N49:P49"/>
    <mergeCell ref="B46:D46"/>
    <mergeCell ref="E46:G46"/>
    <mergeCell ref="H46:J46"/>
    <mergeCell ref="K46:M46"/>
    <mergeCell ref="N46:P46"/>
    <mergeCell ref="B47:D47"/>
    <mergeCell ref="E47:G47"/>
    <mergeCell ref="H47:J47"/>
    <mergeCell ref="K47:M47"/>
    <mergeCell ref="N47:P47"/>
    <mergeCell ref="B44:D44"/>
    <mergeCell ref="E44:G44"/>
    <mergeCell ref="H44:J44"/>
    <mergeCell ref="K44:M44"/>
    <mergeCell ref="N44:P44"/>
    <mergeCell ref="B45:D45"/>
    <mergeCell ref="E45:G45"/>
    <mergeCell ref="H45:J45"/>
    <mergeCell ref="K45:M45"/>
    <mergeCell ref="N45:P45"/>
    <mergeCell ref="B42:D42"/>
    <mergeCell ref="E42:G42"/>
    <mergeCell ref="H42:J42"/>
    <mergeCell ref="K42:M42"/>
    <mergeCell ref="N42:P42"/>
    <mergeCell ref="B43:D43"/>
    <mergeCell ref="E43:G43"/>
    <mergeCell ref="H43:J43"/>
    <mergeCell ref="K43:M43"/>
    <mergeCell ref="N43:P43"/>
    <mergeCell ref="B40:D40"/>
    <mergeCell ref="E40:G40"/>
    <mergeCell ref="H40:J40"/>
    <mergeCell ref="K40:M40"/>
    <mergeCell ref="N40:P40"/>
    <mergeCell ref="B41:D41"/>
    <mergeCell ref="E41:G41"/>
    <mergeCell ref="H41:J41"/>
    <mergeCell ref="K41:M41"/>
    <mergeCell ref="N41:P41"/>
    <mergeCell ref="B38:D38"/>
    <mergeCell ref="E38:G38"/>
    <mergeCell ref="H38:J38"/>
    <mergeCell ref="K38:M38"/>
    <mergeCell ref="N38:P38"/>
    <mergeCell ref="B39:D39"/>
    <mergeCell ref="E39:G39"/>
    <mergeCell ref="H39:J39"/>
    <mergeCell ref="K39:M39"/>
    <mergeCell ref="N39:P39"/>
    <mergeCell ref="B36:D36"/>
    <mergeCell ref="E36:G36"/>
    <mergeCell ref="H36:J36"/>
    <mergeCell ref="K36:M36"/>
    <mergeCell ref="N36:P36"/>
    <mergeCell ref="B37:D37"/>
    <mergeCell ref="E37:G37"/>
    <mergeCell ref="H37:J37"/>
    <mergeCell ref="K37:M37"/>
    <mergeCell ref="N37:P37"/>
    <mergeCell ref="B34:D34"/>
    <mergeCell ref="E34:G34"/>
    <mergeCell ref="H34:J34"/>
    <mergeCell ref="K34:M34"/>
    <mergeCell ref="N34:P34"/>
    <mergeCell ref="B35:D35"/>
    <mergeCell ref="E35:G35"/>
    <mergeCell ref="H35:J35"/>
    <mergeCell ref="K35:M35"/>
    <mergeCell ref="N35:P35"/>
    <mergeCell ref="B32:D32"/>
    <mergeCell ref="E32:G32"/>
    <mergeCell ref="H32:J32"/>
    <mergeCell ref="K32:M32"/>
    <mergeCell ref="N32:P32"/>
    <mergeCell ref="B33:D33"/>
    <mergeCell ref="E33:G33"/>
    <mergeCell ref="H33:J33"/>
    <mergeCell ref="K33:M33"/>
    <mergeCell ref="N33:P33"/>
    <mergeCell ref="B30:D30"/>
    <mergeCell ref="E30:G30"/>
    <mergeCell ref="H30:J30"/>
    <mergeCell ref="K30:M30"/>
    <mergeCell ref="N30:P30"/>
    <mergeCell ref="B31:D31"/>
    <mergeCell ref="E31:G31"/>
    <mergeCell ref="H31:J31"/>
    <mergeCell ref="K31:M31"/>
    <mergeCell ref="N31:P31"/>
    <mergeCell ref="B28:D28"/>
    <mergeCell ref="E28:G28"/>
    <mergeCell ref="H28:J28"/>
    <mergeCell ref="K28:M28"/>
    <mergeCell ref="N28:P28"/>
    <mergeCell ref="B29:D29"/>
    <mergeCell ref="E29:G29"/>
    <mergeCell ref="H29:J29"/>
    <mergeCell ref="K29:M29"/>
    <mergeCell ref="N29:P29"/>
    <mergeCell ref="B26:D26"/>
    <mergeCell ref="E26:G26"/>
    <mergeCell ref="H26:J26"/>
    <mergeCell ref="K26:M26"/>
    <mergeCell ref="N26:P26"/>
    <mergeCell ref="B27:D27"/>
    <mergeCell ref="E27:G27"/>
    <mergeCell ref="H27:J27"/>
    <mergeCell ref="K27:M27"/>
    <mergeCell ref="N27:P27"/>
    <mergeCell ref="B24:D24"/>
    <mergeCell ref="E24:G24"/>
    <mergeCell ref="H24:J24"/>
    <mergeCell ref="K24:M24"/>
    <mergeCell ref="N24:P24"/>
    <mergeCell ref="B25:D25"/>
    <mergeCell ref="E25:G25"/>
    <mergeCell ref="H25:J25"/>
    <mergeCell ref="K25:M25"/>
    <mergeCell ref="N25:P25"/>
    <mergeCell ref="B22:D22"/>
    <mergeCell ref="E22:G22"/>
    <mergeCell ref="H22:J22"/>
    <mergeCell ref="K22:M22"/>
    <mergeCell ref="N22:P22"/>
    <mergeCell ref="B23:D23"/>
    <mergeCell ref="E23:G23"/>
    <mergeCell ref="H23:J23"/>
    <mergeCell ref="K23:M23"/>
    <mergeCell ref="N23:P23"/>
    <mergeCell ref="B20:D20"/>
    <mergeCell ref="E20:G20"/>
    <mergeCell ref="H20:J20"/>
    <mergeCell ref="K20:M20"/>
    <mergeCell ref="N20:P20"/>
    <mergeCell ref="B21:D21"/>
    <mergeCell ref="E21:G21"/>
    <mergeCell ref="H21:J21"/>
    <mergeCell ref="K21:M21"/>
    <mergeCell ref="N21:P21"/>
    <mergeCell ref="B18:D18"/>
    <mergeCell ref="E18:G18"/>
    <mergeCell ref="H18:J18"/>
    <mergeCell ref="K18:M18"/>
    <mergeCell ref="N18:P18"/>
    <mergeCell ref="B19:D19"/>
    <mergeCell ref="E19:G19"/>
    <mergeCell ref="H19:J19"/>
    <mergeCell ref="K19:M19"/>
    <mergeCell ref="N19:P19"/>
    <mergeCell ref="B16:D16"/>
    <mergeCell ref="E16:G16"/>
    <mergeCell ref="H16:J16"/>
    <mergeCell ref="K16:M16"/>
    <mergeCell ref="N16:P16"/>
    <mergeCell ref="B17:D17"/>
    <mergeCell ref="E17:G17"/>
    <mergeCell ref="H17:J17"/>
    <mergeCell ref="K17:M17"/>
    <mergeCell ref="N17:P17"/>
    <mergeCell ref="B14:D14"/>
    <mergeCell ref="E14:G14"/>
    <mergeCell ref="H14:J14"/>
    <mergeCell ref="K14:M14"/>
    <mergeCell ref="N14:P14"/>
    <mergeCell ref="B15:D15"/>
    <mergeCell ref="E15:G15"/>
    <mergeCell ref="H15:J15"/>
    <mergeCell ref="K15:M15"/>
    <mergeCell ref="N15:P15"/>
    <mergeCell ref="B2:P2"/>
    <mergeCell ref="B3:P3"/>
    <mergeCell ref="B5:D5"/>
    <mergeCell ref="E5:G5"/>
    <mergeCell ref="H5:I5"/>
    <mergeCell ref="J5:L5"/>
    <mergeCell ref="M5:N5"/>
    <mergeCell ref="O5:P5"/>
    <mergeCell ref="B13:D13"/>
    <mergeCell ref="E13:G13"/>
    <mergeCell ref="H13:J13"/>
    <mergeCell ref="K13:M13"/>
    <mergeCell ref="N13:P13"/>
    <mergeCell ref="F1:M1"/>
    <mergeCell ref="B12:D12"/>
    <mergeCell ref="E12:G12"/>
    <mergeCell ref="H12:J12"/>
    <mergeCell ref="K12:M12"/>
    <mergeCell ref="N12:P12"/>
    <mergeCell ref="B10:D10"/>
    <mergeCell ref="E10:G10"/>
    <mergeCell ref="H10:J10"/>
    <mergeCell ref="K10:M10"/>
    <mergeCell ref="N10:P10"/>
    <mergeCell ref="B11:D11"/>
    <mergeCell ref="E11:G11"/>
    <mergeCell ref="H11:J11"/>
    <mergeCell ref="K11:M11"/>
    <mergeCell ref="N11:P11"/>
    <mergeCell ref="B7:D9"/>
    <mergeCell ref="E7:G9"/>
    <mergeCell ref="H7:M7"/>
    <mergeCell ref="N7:P9"/>
    <mergeCell ref="H8:J9"/>
    <mergeCell ref="K8:M9"/>
  </mergeCells>
  <pageMargins left="0.7" right="0.7" top="0.75" bottom="0.75" header="0.3" footer="0.3"/>
  <pageSetup paperSize="9" scale="5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54"/>
  <sheetViews>
    <sheetView zoomScaleNormal="100" workbookViewId="0"/>
  </sheetViews>
  <sheetFormatPr defaultColWidth="9.140625" defaultRowHeight="15" x14ac:dyDescent="0.25"/>
  <cols>
    <col min="1" max="2" width="10.7109375" style="38" customWidth="1"/>
    <col min="3" max="3" width="10.7109375" style="39" customWidth="1"/>
    <col min="4" max="6" width="10.7109375" style="40" customWidth="1"/>
    <col min="7" max="14" width="10.7109375" style="38" customWidth="1"/>
    <col min="15" max="15" width="10.7109375" style="39" customWidth="1"/>
    <col min="16" max="26" width="10.7109375" style="38" customWidth="1"/>
    <col min="27" max="27" width="13.28515625" style="38" customWidth="1"/>
    <col min="28" max="41" width="10.7109375" style="38" customWidth="1"/>
    <col min="42" max="16384" width="9.140625" style="38"/>
  </cols>
  <sheetData>
    <row r="1" spans="2:27" x14ac:dyDescent="0.25">
      <c r="AA1" s="38" t="s">
        <v>243</v>
      </c>
    </row>
    <row r="2" spans="2:27" ht="15.75" x14ac:dyDescent="0.25">
      <c r="B2" s="38" t="s">
        <v>54</v>
      </c>
      <c r="C2" s="123">
        <f>Var!D7</f>
        <v>0</v>
      </c>
      <c r="D2" s="6"/>
      <c r="E2" s="6" t="s">
        <v>65</v>
      </c>
      <c r="G2" s="130">
        <f>CHMTCmTm!I11</f>
        <v>0</v>
      </c>
      <c r="I2" s="38" t="s">
        <v>187</v>
      </c>
      <c r="J2" s="38" t="s">
        <v>188</v>
      </c>
      <c r="K2" s="130">
        <f>CHMTCmTm!BB9</f>
        <v>0</v>
      </c>
      <c r="R2" s="195">
        <v>2.1</v>
      </c>
      <c r="S2" s="419" t="s">
        <v>241</v>
      </c>
      <c r="T2" s="419"/>
      <c r="U2" s="419"/>
      <c r="V2" s="419"/>
      <c r="W2" s="419"/>
      <c r="X2" s="419"/>
      <c r="Y2" s="419"/>
      <c r="Z2" s="419"/>
      <c r="AA2" s="206">
        <f>H9*Var!N14</f>
        <v>0</v>
      </c>
    </row>
    <row r="3" spans="2:27" ht="15.75" x14ac:dyDescent="0.25">
      <c r="B3" s="38" t="s">
        <v>55</v>
      </c>
      <c r="C3" s="123">
        <f>Var!I7</f>
        <v>0</v>
      </c>
      <c r="E3" s="6" t="s">
        <v>186</v>
      </c>
      <c r="G3" s="130">
        <f>CHMTCmTm!K11</f>
        <v>0</v>
      </c>
      <c r="J3" s="38" t="s">
        <v>189</v>
      </c>
      <c r="K3" s="130">
        <f>CHMTCmTm!BB10</f>
        <v>0</v>
      </c>
      <c r="R3" s="197">
        <v>2.2000000000000002</v>
      </c>
      <c r="S3" s="411" t="s">
        <v>242</v>
      </c>
      <c r="T3" s="411"/>
      <c r="U3" s="411"/>
      <c r="V3" s="411"/>
      <c r="W3" s="411"/>
      <c r="X3" s="411"/>
      <c r="Y3" s="411"/>
      <c r="Z3" s="411"/>
      <c r="AA3" s="207">
        <f>P9*Var!N16</f>
        <v>0</v>
      </c>
    </row>
    <row r="4" spans="2:27" s="41" customFormat="1" ht="15.75" x14ac:dyDescent="0.25">
      <c r="B4" s="41" t="s">
        <v>159</v>
      </c>
      <c r="C4" s="124">
        <f>Var!N7</f>
        <v>0</v>
      </c>
      <c r="D4" s="42"/>
      <c r="E4" s="6" t="s">
        <v>269</v>
      </c>
      <c r="F4" s="42"/>
      <c r="G4" s="130">
        <f>CHMTCmTm!M11</f>
        <v>0</v>
      </c>
      <c r="J4" s="41" t="s">
        <v>190</v>
      </c>
      <c r="K4" s="131">
        <f>CHMTCmTm!BB11</f>
        <v>0</v>
      </c>
      <c r="O4" s="42"/>
      <c r="R4" s="197">
        <v>2.2999999999999998</v>
      </c>
      <c r="S4" s="411" t="s">
        <v>145</v>
      </c>
      <c r="T4" s="411"/>
      <c r="U4" s="411"/>
      <c r="V4" s="411"/>
      <c r="W4" s="411"/>
      <c r="X4" s="411"/>
      <c r="Y4" s="411"/>
      <c r="Z4" s="411"/>
      <c r="AA4" s="207">
        <f>F11*Var!N24</f>
        <v>0</v>
      </c>
    </row>
    <row r="5" spans="2:27" ht="15.75" x14ac:dyDescent="0.25">
      <c r="G5" s="39"/>
      <c r="H5" s="39"/>
      <c r="R5" s="195">
        <v>2.6</v>
      </c>
      <c r="S5" s="411" t="s">
        <v>164</v>
      </c>
      <c r="T5" s="411"/>
      <c r="U5" s="411"/>
      <c r="V5" s="411"/>
      <c r="W5" s="411"/>
      <c r="X5" s="411"/>
      <c r="Y5" s="411"/>
      <c r="Z5" s="411"/>
      <c r="AA5" s="207">
        <f>N11</f>
        <v>0</v>
      </c>
    </row>
    <row r="6" spans="2:27" ht="21" x14ac:dyDescent="0.25">
      <c r="B6" s="38" t="s">
        <v>191</v>
      </c>
      <c r="D6" s="132">
        <f>CHMTCmTm!F11</f>
        <v>0</v>
      </c>
      <c r="G6" s="39"/>
      <c r="H6" s="39"/>
      <c r="R6" s="199"/>
      <c r="S6" s="160"/>
      <c r="T6" s="160"/>
      <c r="U6" s="160"/>
      <c r="V6" s="160"/>
      <c r="W6" s="160"/>
      <c r="X6" s="160"/>
      <c r="Y6" s="160"/>
      <c r="Z6" s="160"/>
      <c r="AA6" s="208"/>
    </row>
    <row r="7" spans="2:27" ht="15.75" x14ac:dyDescent="0.25">
      <c r="B7" s="38" t="s">
        <v>194</v>
      </c>
      <c r="G7" s="39" t="s">
        <v>205</v>
      </c>
      <c r="H7" s="129">
        <f>CHMTCmTm!AA11</f>
        <v>0</v>
      </c>
      <c r="J7" s="38" t="s">
        <v>195</v>
      </c>
      <c r="O7" s="39" t="s">
        <v>205</v>
      </c>
      <c r="P7" s="130">
        <f>CHMTCmTm!AI11</f>
        <v>0</v>
      </c>
      <c r="R7" s="197">
        <v>2.7</v>
      </c>
      <c r="S7" s="411" t="s">
        <v>157</v>
      </c>
      <c r="T7" s="411"/>
      <c r="U7" s="411"/>
      <c r="V7" s="411"/>
      <c r="W7" s="411"/>
      <c r="X7" s="411"/>
      <c r="Y7" s="411"/>
      <c r="Z7" s="411"/>
      <c r="AA7" s="207">
        <f>IFERROR(G18*Var!N36,0)</f>
        <v>0</v>
      </c>
    </row>
    <row r="8" spans="2:27" ht="15.75" x14ac:dyDescent="0.25">
      <c r="G8" s="39" t="s">
        <v>206</v>
      </c>
      <c r="H8" s="129">
        <f>CHMTCmTm!AE11</f>
        <v>0</v>
      </c>
      <c r="O8" s="39" t="s">
        <v>206</v>
      </c>
      <c r="P8" s="130">
        <f>CHMTCmTm!AM11</f>
        <v>0</v>
      </c>
      <c r="R8" s="197">
        <v>2.8</v>
      </c>
      <c r="S8" s="419" t="s">
        <v>147</v>
      </c>
      <c r="T8" s="419"/>
      <c r="U8" s="419"/>
      <c r="V8" s="419"/>
      <c r="W8" s="419"/>
      <c r="X8" s="419"/>
      <c r="Y8" s="419"/>
      <c r="Z8" s="419"/>
      <c r="AA8" s="206">
        <f>G19*Var!N18</f>
        <v>0</v>
      </c>
    </row>
    <row r="9" spans="2:27" ht="15.75" x14ac:dyDescent="0.25">
      <c r="G9" s="39" t="s">
        <v>196</v>
      </c>
      <c r="H9" s="129">
        <f>H8+H7</f>
        <v>0</v>
      </c>
      <c r="O9" s="39" t="s">
        <v>196</v>
      </c>
      <c r="P9" s="130">
        <f>P8+P7</f>
        <v>0</v>
      </c>
      <c r="R9" s="197">
        <v>2.9</v>
      </c>
      <c r="S9" s="411" t="s">
        <v>146</v>
      </c>
      <c r="T9" s="411"/>
      <c r="U9" s="411"/>
      <c r="V9" s="411"/>
      <c r="W9" s="411"/>
      <c r="X9" s="411"/>
      <c r="Y9" s="411"/>
      <c r="Z9" s="411"/>
      <c r="AA9" s="207">
        <f>G20*Var!N20</f>
        <v>0</v>
      </c>
    </row>
    <row r="10" spans="2:27" ht="15.75" x14ac:dyDescent="0.25">
      <c r="G10" s="39"/>
      <c r="H10" s="39"/>
      <c r="R10" s="200">
        <v>2.1</v>
      </c>
      <c r="S10" s="411" t="s">
        <v>148</v>
      </c>
      <c r="T10" s="411"/>
      <c r="U10" s="411"/>
      <c r="V10" s="411"/>
      <c r="W10" s="411"/>
      <c r="X10" s="411"/>
      <c r="Y10" s="411"/>
      <c r="Z10" s="411"/>
      <c r="AA10" s="207">
        <f>G21*Var!N26</f>
        <v>0</v>
      </c>
    </row>
    <row r="11" spans="2:27" ht="15.75" x14ac:dyDescent="0.25">
      <c r="B11" s="38" t="s">
        <v>197</v>
      </c>
      <c r="F11" s="132">
        <f>CHMTCmTm!AZ11</f>
        <v>0</v>
      </c>
      <c r="G11" s="39"/>
      <c r="H11" s="39"/>
      <c r="J11" s="38" t="s">
        <v>198</v>
      </c>
      <c r="N11" s="125">
        <f>CHMTCmTm!AR11</f>
        <v>0</v>
      </c>
      <c r="R11" s="200">
        <v>2.11</v>
      </c>
      <c r="S11" s="411" t="s">
        <v>149</v>
      </c>
      <c r="T11" s="411"/>
      <c r="U11" s="411"/>
      <c r="V11" s="411"/>
      <c r="W11" s="411"/>
      <c r="X11" s="411"/>
      <c r="Y11" s="411"/>
      <c r="Z11" s="411"/>
      <c r="AA11" s="207">
        <f>G22*Var!N28</f>
        <v>0</v>
      </c>
    </row>
    <row r="12" spans="2:27" ht="21" x14ac:dyDescent="0.25">
      <c r="B12" s="38" t="s">
        <v>201</v>
      </c>
      <c r="G12" s="123">
        <f>CoChMn!I13</f>
        <v>0</v>
      </c>
      <c r="H12" s="39"/>
      <c r="R12" s="199"/>
      <c r="S12" s="160"/>
      <c r="T12" s="160"/>
      <c r="U12" s="160"/>
      <c r="V12" s="160"/>
      <c r="W12" s="160"/>
      <c r="X12" s="160"/>
      <c r="Y12" s="160"/>
      <c r="Z12" s="160"/>
      <c r="AA12" s="208"/>
    </row>
    <row r="13" spans="2:27" ht="15.75" x14ac:dyDescent="0.25">
      <c r="B13" s="38" t="s">
        <v>202</v>
      </c>
      <c r="G13" s="123">
        <f>CoChMn!F13</f>
        <v>0</v>
      </c>
      <c r="H13" s="39"/>
      <c r="R13" s="200">
        <v>2.12</v>
      </c>
      <c r="S13" s="419" t="s">
        <v>114</v>
      </c>
      <c r="T13" s="419"/>
      <c r="U13" s="419"/>
      <c r="V13" s="419"/>
      <c r="W13" s="419"/>
      <c r="X13" s="419"/>
      <c r="Y13" s="419"/>
      <c r="Z13" s="419"/>
      <c r="AA13" s="206">
        <f>G13*Var!N40</f>
        <v>0</v>
      </c>
    </row>
    <row r="14" spans="2:27" ht="15.75" x14ac:dyDescent="0.25">
      <c r="B14" s="38" t="s">
        <v>203</v>
      </c>
      <c r="G14" s="123">
        <f>CoChMn!M13</f>
        <v>0</v>
      </c>
      <c r="H14" s="39"/>
      <c r="J14" s="38" t="s">
        <v>207</v>
      </c>
      <c r="N14" s="125">
        <f>CoChMn!B13</f>
        <v>0</v>
      </c>
      <c r="R14" s="201">
        <v>2.13</v>
      </c>
      <c r="S14" s="411" t="s">
        <v>150</v>
      </c>
      <c r="T14" s="411"/>
      <c r="U14" s="411"/>
      <c r="V14" s="411"/>
      <c r="W14" s="411"/>
      <c r="X14" s="411"/>
      <c r="Y14" s="411"/>
      <c r="Z14" s="411"/>
      <c r="AA14" s="207">
        <f>G15*Var!N42</f>
        <v>0</v>
      </c>
    </row>
    <row r="15" spans="2:27" ht="15.75" x14ac:dyDescent="0.25">
      <c r="B15" s="38" t="s">
        <v>204</v>
      </c>
      <c r="G15" s="123">
        <f>CoChMn!O8</f>
        <v>0</v>
      </c>
      <c r="H15" s="39"/>
      <c r="R15" s="201">
        <v>2.14</v>
      </c>
      <c r="S15" s="411" t="s">
        <v>21</v>
      </c>
      <c r="T15" s="411"/>
      <c r="U15" s="411"/>
      <c r="V15" s="411"/>
      <c r="W15" s="411"/>
      <c r="X15" s="411"/>
      <c r="Y15" s="411"/>
      <c r="Z15" s="411"/>
      <c r="AA15" s="207">
        <f>G14</f>
        <v>0</v>
      </c>
    </row>
    <row r="16" spans="2:27" ht="21" x14ac:dyDescent="0.25">
      <c r="R16" s="175"/>
      <c r="S16" s="160"/>
      <c r="T16" s="160"/>
      <c r="U16" s="160"/>
      <c r="V16" s="160"/>
      <c r="W16" s="160"/>
      <c r="X16" s="160"/>
      <c r="Y16" s="160"/>
      <c r="Z16" s="160"/>
      <c r="AA16" s="208"/>
    </row>
    <row r="17" spans="1:27" ht="15.75" x14ac:dyDescent="0.25">
      <c r="B17" s="38" t="s">
        <v>238</v>
      </c>
      <c r="R17" s="192"/>
      <c r="S17" s="247" t="s">
        <v>22</v>
      </c>
      <c r="T17" s="247"/>
      <c r="U17" s="247"/>
      <c r="V17" s="247"/>
      <c r="W17" s="247"/>
      <c r="X17" s="247"/>
      <c r="Y17" s="247"/>
      <c r="Z17" s="247"/>
      <c r="AA17" s="209">
        <f>SUM(AA2:AA15)</f>
        <v>0</v>
      </c>
    </row>
    <row r="18" spans="1:27" x14ac:dyDescent="0.25">
      <c r="B18" s="38" t="s">
        <v>124</v>
      </c>
      <c r="G18" s="125">
        <f>VacDelHQ!O10</f>
        <v>0</v>
      </c>
    </row>
    <row r="19" spans="1:27" x14ac:dyDescent="0.25">
      <c r="B19" s="38" t="s">
        <v>214</v>
      </c>
      <c r="E19" s="40" t="s">
        <v>215</v>
      </c>
      <c r="G19" s="125">
        <f>VacDelHQ!Q10</f>
        <v>0</v>
      </c>
    </row>
    <row r="20" spans="1:27" x14ac:dyDescent="0.25">
      <c r="B20" s="38" t="s">
        <v>214</v>
      </c>
      <c r="E20" s="40" t="s">
        <v>216</v>
      </c>
      <c r="G20" s="125">
        <f>VacDelHQ!R10</f>
        <v>0</v>
      </c>
    </row>
    <row r="21" spans="1:27" x14ac:dyDescent="0.25">
      <c r="B21" s="38" t="s">
        <v>239</v>
      </c>
      <c r="F21" s="48"/>
      <c r="G21" s="125">
        <f>VacDelHQ!S10</f>
        <v>0</v>
      </c>
    </row>
    <row r="22" spans="1:27" x14ac:dyDescent="0.25">
      <c r="B22" s="38" t="s">
        <v>240</v>
      </c>
      <c r="F22" s="6"/>
      <c r="G22" s="125">
        <f>VacDelHQ!S10</f>
        <v>0</v>
      </c>
    </row>
    <row r="23" spans="1:27" x14ac:dyDescent="0.25">
      <c r="F23" s="6"/>
    </row>
    <row r="25" spans="1:27" x14ac:dyDescent="0.25">
      <c r="B25" s="135" t="s">
        <v>217</v>
      </c>
      <c r="F25" s="6"/>
    </row>
    <row r="26" spans="1:27" x14ac:dyDescent="0.25">
      <c r="F26" s="6"/>
    </row>
    <row r="27" spans="1:27" s="140" customFormat="1" ht="38.25" x14ac:dyDescent="0.2">
      <c r="B27" s="136" t="s">
        <v>25</v>
      </c>
      <c r="C27" s="137" t="s">
        <v>61</v>
      </c>
      <c r="D27" s="137" t="s">
        <v>62</v>
      </c>
      <c r="E27" s="137" t="s">
        <v>303</v>
      </c>
      <c r="F27" s="138" t="s">
        <v>84</v>
      </c>
      <c r="G27" s="137" t="s">
        <v>85</v>
      </c>
      <c r="H27" s="143" t="s">
        <v>218</v>
      </c>
      <c r="I27" s="139" t="s">
        <v>219</v>
      </c>
      <c r="J27" s="143" t="s">
        <v>220</v>
      </c>
      <c r="K27" s="139" t="s">
        <v>221</v>
      </c>
      <c r="L27" s="139" t="s">
        <v>222</v>
      </c>
      <c r="M27" s="145" t="s">
        <v>225</v>
      </c>
      <c r="N27" s="143" t="s">
        <v>226</v>
      </c>
      <c r="O27" s="139" t="s">
        <v>227</v>
      </c>
      <c r="P27" s="146" t="s">
        <v>230</v>
      </c>
      <c r="Q27" s="147" t="s">
        <v>228</v>
      </c>
      <c r="R27" s="147" t="s">
        <v>229</v>
      </c>
      <c r="S27" s="148" t="s">
        <v>231</v>
      </c>
      <c r="T27" s="146" t="s">
        <v>244</v>
      </c>
      <c r="U27" s="149" t="s">
        <v>245</v>
      </c>
      <c r="V27" s="140" t="s">
        <v>246</v>
      </c>
    </row>
    <row r="28" spans="1:27" x14ac:dyDescent="0.25">
      <c r="A28" s="39">
        <v>1</v>
      </c>
      <c r="B28" s="38" t="str">
        <f>Var!B48</f>
        <v>BCG</v>
      </c>
      <c r="C28" s="39">
        <f>Var!E48</f>
        <v>20</v>
      </c>
      <c r="D28" s="40">
        <f>Var!G48</f>
        <v>1</v>
      </c>
      <c r="E28" s="238">
        <f>((100/(100-Var!K48)))</f>
        <v>3.3333333333333335</v>
      </c>
      <c r="F28" s="141" t="str">
        <f>Var!M48</f>
        <v>0.05 ml AD syringe</v>
      </c>
      <c r="G28" s="142" t="str">
        <f>Var!P48</f>
        <v>YES</v>
      </c>
      <c r="H28" s="40">
        <f>IF(F28="0.05 ml AD syringe",1,0)</f>
        <v>1</v>
      </c>
      <c r="I28" s="40">
        <f>H28*D28</f>
        <v>1</v>
      </c>
      <c r="J28" s="40">
        <f>IF(F28="0.5 ml AD syringe",1,0)</f>
        <v>0</v>
      </c>
      <c r="K28" s="40">
        <f>J28*D28</f>
        <v>0</v>
      </c>
      <c r="L28" s="38" t="s">
        <v>223</v>
      </c>
      <c r="M28" s="39">
        <f>G3</f>
        <v>0</v>
      </c>
      <c r="N28" s="39">
        <f>M28*D28</f>
        <v>0</v>
      </c>
      <c r="O28" s="39">
        <f>CEILING(N28/C28,1)</f>
        <v>0</v>
      </c>
      <c r="P28" s="38">
        <f>IF(G28="YES",1,0)</f>
        <v>1</v>
      </c>
      <c r="Q28" s="38">
        <f>M28*I28</f>
        <v>0</v>
      </c>
      <c r="R28" s="38">
        <f>M28*K28</f>
        <v>0</v>
      </c>
      <c r="S28" s="38">
        <f>P28*O28</f>
        <v>0</v>
      </c>
      <c r="T28" s="239">
        <f>E28*N28</f>
        <v>0</v>
      </c>
      <c r="U28" s="38">
        <f t="shared" ref="U28:U36" si="0">CEILING((T28*1.25),1)</f>
        <v>0</v>
      </c>
      <c r="V28" s="38">
        <f t="shared" ref="V28:V36" si="1">CEILING((U28/12),1)</f>
        <v>0</v>
      </c>
    </row>
    <row r="29" spans="1:27" x14ac:dyDescent="0.25">
      <c r="A29" s="39">
        <v>2</v>
      </c>
      <c r="B29" s="38" t="str">
        <f>Var!B50</f>
        <v>OPV</v>
      </c>
      <c r="C29" s="39">
        <f>Var!E50</f>
        <v>20</v>
      </c>
      <c r="D29" s="40">
        <f>Var!G50</f>
        <v>4</v>
      </c>
      <c r="E29" s="238">
        <f>((100/(100-Var!K50)))</f>
        <v>1.1111111111111112</v>
      </c>
      <c r="F29" s="141" t="str">
        <f>Var!M50</f>
        <v>Not applicable</v>
      </c>
      <c r="G29" s="142" t="str">
        <f>Var!P50</f>
        <v>NO</v>
      </c>
      <c r="H29" s="40">
        <f t="shared" ref="H29:H36" si="2">IF(F29="0.05 ml AD syringe",1,0)</f>
        <v>0</v>
      </c>
      <c r="I29" s="40">
        <f t="shared" ref="I29:I36" si="3">H29*D29</f>
        <v>0</v>
      </c>
      <c r="J29" s="40">
        <f t="shared" ref="J29:J36" si="4">IF(F29="0.5 ml AD syringe",1,0)</f>
        <v>0</v>
      </c>
      <c r="K29" s="40">
        <f t="shared" ref="K29:K36" si="5">J29*D29</f>
        <v>0</v>
      </c>
      <c r="L29" s="38" t="s">
        <v>223</v>
      </c>
      <c r="M29" s="39">
        <f>G3</f>
        <v>0</v>
      </c>
      <c r="N29" s="39">
        <f t="shared" ref="N29:N36" si="6">M29*D29</f>
        <v>0</v>
      </c>
      <c r="O29" s="39">
        <f t="shared" ref="O29:O36" si="7">CEILING(N29/C29,1)</f>
        <v>0</v>
      </c>
      <c r="P29" s="38">
        <f t="shared" ref="P29:P36" si="8">IF(G29="YES",1,0)</f>
        <v>0</v>
      </c>
      <c r="Q29" s="38">
        <f t="shared" ref="Q29:Q36" si="9">M29*I29</f>
        <v>0</v>
      </c>
      <c r="R29" s="38">
        <f t="shared" ref="R29:R36" si="10">M29*K29</f>
        <v>0</v>
      </c>
      <c r="S29" s="38">
        <f t="shared" ref="S29:S36" si="11">P29*O29</f>
        <v>0</v>
      </c>
      <c r="T29" s="239">
        <f t="shared" ref="T29:T36" si="12">E29*N29</f>
        <v>0</v>
      </c>
      <c r="U29" s="38">
        <f t="shared" si="0"/>
        <v>0</v>
      </c>
      <c r="V29" s="38">
        <f t="shared" si="1"/>
        <v>0</v>
      </c>
    </row>
    <row r="30" spans="1:27" x14ac:dyDescent="0.25">
      <c r="A30" s="39">
        <v>3</v>
      </c>
      <c r="B30" s="38" t="str">
        <f>Var!B52</f>
        <v>PCV 13</v>
      </c>
      <c r="C30" s="39">
        <f>Var!E52</f>
        <v>1</v>
      </c>
      <c r="D30" s="40">
        <f>Var!G52</f>
        <v>3</v>
      </c>
      <c r="E30" s="238">
        <f>((100/(100-Var!K52)))</f>
        <v>1.0526315789473684</v>
      </c>
      <c r="F30" s="141" t="str">
        <f>Var!M52</f>
        <v>0.5 ml AD syringe</v>
      </c>
      <c r="G30" s="142" t="str">
        <f>Var!P52</f>
        <v>NO</v>
      </c>
      <c r="H30" s="40">
        <f t="shared" si="2"/>
        <v>0</v>
      </c>
      <c r="I30" s="40">
        <f t="shared" si="3"/>
        <v>0</v>
      </c>
      <c r="J30" s="40">
        <f t="shared" si="4"/>
        <v>1</v>
      </c>
      <c r="K30" s="40">
        <f t="shared" si="5"/>
        <v>3</v>
      </c>
      <c r="L30" s="38" t="s">
        <v>223</v>
      </c>
      <c r="M30" s="39">
        <f>G3</f>
        <v>0</v>
      </c>
      <c r="N30" s="39">
        <f t="shared" si="6"/>
        <v>0</v>
      </c>
      <c r="O30" s="39">
        <f t="shared" si="7"/>
        <v>0</v>
      </c>
      <c r="P30" s="38">
        <f t="shared" si="8"/>
        <v>0</v>
      </c>
      <c r="Q30" s="38">
        <f t="shared" si="9"/>
        <v>0</v>
      </c>
      <c r="R30" s="38">
        <f t="shared" si="10"/>
        <v>0</v>
      </c>
      <c r="S30" s="38">
        <f t="shared" si="11"/>
        <v>0</v>
      </c>
      <c r="T30" s="239">
        <f t="shared" si="12"/>
        <v>0</v>
      </c>
      <c r="U30" s="38">
        <f t="shared" si="0"/>
        <v>0</v>
      </c>
      <c r="V30" s="38">
        <f t="shared" si="1"/>
        <v>0</v>
      </c>
    </row>
    <row r="31" spans="1:27" x14ac:dyDescent="0.25">
      <c r="A31" s="39">
        <v>4</v>
      </c>
      <c r="B31" s="38" t="str">
        <f>Var!B54</f>
        <v>Rota</v>
      </c>
      <c r="C31" s="39">
        <f>Var!E54</f>
        <v>1</v>
      </c>
      <c r="D31" s="40">
        <f>Var!G54</f>
        <v>2</v>
      </c>
      <c r="E31" s="238">
        <f>((100/(100-Var!K54)))</f>
        <v>1.0526315789473684</v>
      </c>
      <c r="F31" s="141" t="str">
        <f>Var!M54</f>
        <v>Not applicable</v>
      </c>
      <c r="G31" s="142" t="str">
        <f>Var!P54</f>
        <v>NO</v>
      </c>
      <c r="H31" s="40">
        <f t="shared" si="2"/>
        <v>0</v>
      </c>
      <c r="I31" s="40">
        <f t="shared" si="3"/>
        <v>0</v>
      </c>
      <c r="J31" s="40">
        <f t="shared" si="4"/>
        <v>0</v>
      </c>
      <c r="K31" s="40">
        <f t="shared" si="5"/>
        <v>0</v>
      </c>
      <c r="L31" s="38" t="s">
        <v>223</v>
      </c>
      <c r="M31" s="39">
        <f>G3</f>
        <v>0</v>
      </c>
      <c r="N31" s="39">
        <f t="shared" si="6"/>
        <v>0</v>
      </c>
      <c r="O31" s="39">
        <f t="shared" si="7"/>
        <v>0</v>
      </c>
      <c r="P31" s="38">
        <f t="shared" si="8"/>
        <v>0</v>
      </c>
      <c r="Q31" s="38">
        <f t="shared" si="9"/>
        <v>0</v>
      </c>
      <c r="R31" s="38">
        <f t="shared" si="10"/>
        <v>0</v>
      </c>
      <c r="S31" s="38">
        <f t="shared" si="11"/>
        <v>0</v>
      </c>
      <c r="T31" s="239">
        <f t="shared" si="12"/>
        <v>0</v>
      </c>
      <c r="U31" s="38">
        <f t="shared" si="0"/>
        <v>0</v>
      </c>
      <c r="V31" s="38">
        <f t="shared" si="1"/>
        <v>0</v>
      </c>
    </row>
    <row r="32" spans="1:27" x14ac:dyDescent="0.25">
      <c r="A32" s="39">
        <v>5</v>
      </c>
      <c r="B32" s="38" t="str">
        <f>Var!B56</f>
        <v>Penta</v>
      </c>
      <c r="C32" s="39">
        <f>Var!E56</f>
        <v>10</v>
      </c>
      <c r="D32" s="40">
        <f>Var!G56</f>
        <v>3</v>
      </c>
      <c r="E32" s="238">
        <f>((100/(100-Var!K56)))</f>
        <v>1.1111111111111112</v>
      </c>
      <c r="F32" s="141" t="str">
        <f>Var!M56</f>
        <v>0.5 ml AD syringe</v>
      </c>
      <c r="G32" s="142" t="str">
        <f>Var!P56</f>
        <v>NO</v>
      </c>
      <c r="H32" s="40">
        <f t="shared" si="2"/>
        <v>0</v>
      </c>
      <c r="I32" s="40">
        <f t="shared" si="3"/>
        <v>0</v>
      </c>
      <c r="J32" s="40">
        <f t="shared" si="4"/>
        <v>1</v>
      </c>
      <c r="K32" s="40">
        <f t="shared" si="5"/>
        <v>3</v>
      </c>
      <c r="L32" s="38" t="s">
        <v>223</v>
      </c>
      <c r="M32" s="39">
        <f>G3</f>
        <v>0</v>
      </c>
      <c r="N32" s="39">
        <f t="shared" si="6"/>
        <v>0</v>
      </c>
      <c r="O32" s="39">
        <f t="shared" si="7"/>
        <v>0</v>
      </c>
      <c r="P32" s="38">
        <f t="shared" si="8"/>
        <v>0</v>
      </c>
      <c r="Q32" s="38">
        <f t="shared" si="9"/>
        <v>0</v>
      </c>
      <c r="R32" s="38">
        <f t="shared" si="10"/>
        <v>0</v>
      </c>
      <c r="S32" s="38">
        <f t="shared" si="11"/>
        <v>0</v>
      </c>
      <c r="T32" s="239">
        <f t="shared" si="12"/>
        <v>0</v>
      </c>
      <c r="U32" s="38">
        <f t="shared" si="0"/>
        <v>0</v>
      </c>
      <c r="V32" s="38">
        <f t="shared" si="1"/>
        <v>0</v>
      </c>
    </row>
    <row r="33" spans="1:22" x14ac:dyDescent="0.25">
      <c r="A33" s="39">
        <v>6</v>
      </c>
      <c r="B33" s="38" t="str">
        <f>Var!B58</f>
        <v>MR</v>
      </c>
      <c r="C33" s="39">
        <f>Var!E58</f>
        <v>10</v>
      </c>
      <c r="D33" s="40">
        <f>Var!G58</f>
        <v>2</v>
      </c>
      <c r="E33" s="238">
        <f>((100/(100-Var!K58)))</f>
        <v>1.2195121951219512</v>
      </c>
      <c r="F33" s="141" t="str">
        <f>Var!M58</f>
        <v>0.5 ml AD syringe</v>
      </c>
      <c r="G33" s="142" t="str">
        <f>Var!P58</f>
        <v>YES</v>
      </c>
      <c r="H33" s="40">
        <f t="shared" si="2"/>
        <v>0</v>
      </c>
      <c r="I33" s="40">
        <f t="shared" si="3"/>
        <v>0</v>
      </c>
      <c r="J33" s="40">
        <f t="shared" si="4"/>
        <v>1</v>
      </c>
      <c r="K33" s="40">
        <f t="shared" si="5"/>
        <v>2</v>
      </c>
      <c r="L33" s="38" t="s">
        <v>223</v>
      </c>
      <c r="M33" s="39">
        <f>G3</f>
        <v>0</v>
      </c>
      <c r="N33" s="39">
        <f t="shared" si="6"/>
        <v>0</v>
      </c>
      <c r="O33" s="39">
        <f t="shared" si="7"/>
        <v>0</v>
      </c>
      <c r="P33" s="38">
        <f>IF(G33="YES",1,0)</f>
        <v>1</v>
      </c>
      <c r="Q33" s="38">
        <f t="shared" si="9"/>
        <v>0</v>
      </c>
      <c r="R33" s="38">
        <f t="shared" si="10"/>
        <v>0</v>
      </c>
      <c r="S33" s="38">
        <f t="shared" si="11"/>
        <v>0</v>
      </c>
      <c r="T33" s="239">
        <f t="shared" si="12"/>
        <v>0</v>
      </c>
      <c r="U33" s="38">
        <f t="shared" si="0"/>
        <v>0</v>
      </c>
      <c r="V33" s="38">
        <f t="shared" si="1"/>
        <v>0</v>
      </c>
    </row>
    <row r="34" spans="1:22" x14ac:dyDescent="0.25">
      <c r="A34" s="39">
        <v>7</v>
      </c>
      <c r="B34" s="38" t="str">
        <f>Var!B60</f>
        <v>TT</v>
      </c>
      <c r="C34" s="39">
        <f>Var!E60</f>
        <v>20</v>
      </c>
      <c r="D34" s="40">
        <f>Var!G60</f>
        <v>2</v>
      </c>
      <c r="E34" s="238">
        <f>((100/(100-Var!K60)))</f>
        <v>1.1111111111111112</v>
      </c>
      <c r="F34" s="141" t="str">
        <f>Var!M60</f>
        <v>0.5 ml AD syringe</v>
      </c>
      <c r="G34" s="142" t="str">
        <f>Var!P60</f>
        <v>NO</v>
      </c>
      <c r="H34" s="40">
        <f t="shared" si="2"/>
        <v>0</v>
      </c>
      <c r="I34" s="40">
        <f t="shared" si="3"/>
        <v>0</v>
      </c>
      <c r="J34" s="40">
        <f t="shared" si="4"/>
        <v>1</v>
      </c>
      <c r="K34" s="40">
        <f t="shared" si="5"/>
        <v>2</v>
      </c>
      <c r="L34" s="38" t="s">
        <v>224</v>
      </c>
      <c r="M34" s="39">
        <f>G2</f>
        <v>0</v>
      </c>
      <c r="N34" s="39">
        <f t="shared" si="6"/>
        <v>0</v>
      </c>
      <c r="O34" s="39">
        <f t="shared" si="7"/>
        <v>0</v>
      </c>
      <c r="P34" s="38">
        <f t="shared" si="8"/>
        <v>0</v>
      </c>
      <c r="Q34" s="38">
        <f t="shared" si="9"/>
        <v>0</v>
      </c>
      <c r="R34" s="38">
        <f t="shared" si="10"/>
        <v>0</v>
      </c>
      <c r="S34" s="38">
        <f t="shared" si="11"/>
        <v>0</v>
      </c>
      <c r="T34" s="239">
        <f t="shared" si="12"/>
        <v>0</v>
      </c>
      <c r="U34" s="38">
        <f t="shared" si="0"/>
        <v>0</v>
      </c>
      <c r="V34" s="38">
        <f t="shared" si="1"/>
        <v>0</v>
      </c>
    </row>
    <row r="35" spans="1:22" x14ac:dyDescent="0.25">
      <c r="A35" s="39">
        <v>8</v>
      </c>
      <c r="B35" s="38" t="str">
        <f>Var!B62</f>
        <v>IPV</v>
      </c>
      <c r="C35" s="39">
        <f>Var!E62</f>
        <v>5</v>
      </c>
      <c r="D35" s="40">
        <f>Var!G62</f>
        <v>1</v>
      </c>
      <c r="E35" s="238">
        <f>((100/(100-Var!K62)))</f>
        <v>1.1111111111111112</v>
      </c>
      <c r="F35" s="141" t="str">
        <f>Var!M62</f>
        <v>0.5 ml AD syringe</v>
      </c>
      <c r="G35" s="142" t="str">
        <f>Var!P62</f>
        <v>NO</v>
      </c>
      <c r="H35" s="40">
        <f t="shared" si="2"/>
        <v>0</v>
      </c>
      <c r="I35" s="40">
        <f t="shared" si="3"/>
        <v>0</v>
      </c>
      <c r="J35" s="40">
        <f t="shared" si="4"/>
        <v>1</v>
      </c>
      <c r="K35" s="40">
        <f t="shared" si="5"/>
        <v>1</v>
      </c>
      <c r="L35" s="38" t="s">
        <v>223</v>
      </c>
      <c r="M35" s="39">
        <f>G3</f>
        <v>0</v>
      </c>
      <c r="N35" s="39">
        <f t="shared" si="6"/>
        <v>0</v>
      </c>
      <c r="O35" s="39">
        <f t="shared" si="7"/>
        <v>0</v>
      </c>
      <c r="P35" s="38">
        <f t="shared" si="8"/>
        <v>0</v>
      </c>
      <c r="Q35" s="38">
        <f t="shared" si="9"/>
        <v>0</v>
      </c>
      <c r="R35" s="38">
        <f t="shared" si="10"/>
        <v>0</v>
      </c>
      <c r="S35" s="38">
        <f t="shared" si="11"/>
        <v>0</v>
      </c>
      <c r="T35" s="239">
        <f t="shared" si="12"/>
        <v>0</v>
      </c>
      <c r="U35" s="38">
        <f t="shared" si="0"/>
        <v>0</v>
      </c>
      <c r="V35" s="38">
        <f t="shared" si="1"/>
        <v>0</v>
      </c>
    </row>
    <row r="36" spans="1:22" x14ac:dyDescent="0.25">
      <c r="A36" s="39">
        <v>9</v>
      </c>
      <c r="B36" s="38" t="str">
        <f>Var!B64</f>
        <v>HPV</v>
      </c>
      <c r="C36" s="39">
        <f>Var!E64</f>
        <v>1</v>
      </c>
      <c r="D36" s="40">
        <f>Var!G64</f>
        <v>2</v>
      </c>
      <c r="E36" s="238">
        <f>((100/(100-Var!K64)))</f>
        <v>1.0526315789473684</v>
      </c>
      <c r="F36" s="141" t="str">
        <f>Var!M64</f>
        <v>0.5 ml AD syringe</v>
      </c>
      <c r="G36" s="142" t="str">
        <f>Var!P64</f>
        <v>NO</v>
      </c>
      <c r="H36" s="40">
        <f t="shared" si="2"/>
        <v>0</v>
      </c>
      <c r="I36" s="40">
        <f t="shared" si="3"/>
        <v>0</v>
      </c>
      <c r="J36" s="40">
        <f t="shared" si="4"/>
        <v>1</v>
      </c>
      <c r="K36" s="40">
        <f t="shared" si="5"/>
        <v>2</v>
      </c>
      <c r="L36" s="38" t="s">
        <v>224</v>
      </c>
      <c r="M36" s="39">
        <f>G2</f>
        <v>0</v>
      </c>
      <c r="N36" s="39">
        <f t="shared" si="6"/>
        <v>0</v>
      </c>
      <c r="O36" s="39">
        <f t="shared" si="7"/>
        <v>0</v>
      </c>
      <c r="P36" s="38">
        <f t="shared" si="8"/>
        <v>0</v>
      </c>
      <c r="Q36" s="38">
        <f t="shared" si="9"/>
        <v>0</v>
      </c>
      <c r="R36" s="38">
        <f t="shared" si="10"/>
        <v>0</v>
      </c>
      <c r="S36" s="38">
        <f t="shared" si="11"/>
        <v>0</v>
      </c>
      <c r="T36" s="239">
        <f t="shared" si="12"/>
        <v>0</v>
      </c>
      <c r="U36" s="38">
        <f t="shared" si="0"/>
        <v>0</v>
      </c>
      <c r="V36" s="38">
        <f t="shared" si="1"/>
        <v>0</v>
      </c>
    </row>
    <row r="38" spans="1:22" x14ac:dyDescent="0.25">
      <c r="M38" s="38" t="s">
        <v>232</v>
      </c>
      <c r="Q38" s="38">
        <f>SUM(Q28:Q36)</f>
        <v>0</v>
      </c>
    </row>
    <row r="39" spans="1:22" x14ac:dyDescent="0.25">
      <c r="M39" s="38" t="s">
        <v>233</v>
      </c>
      <c r="R39" s="38">
        <f>SUM(R28:R36)</f>
        <v>0</v>
      </c>
    </row>
    <row r="40" spans="1:22" x14ac:dyDescent="0.25">
      <c r="M40" s="38" t="s">
        <v>234</v>
      </c>
      <c r="S40" s="38">
        <f>SUM(S28:S36)</f>
        <v>0</v>
      </c>
    </row>
    <row r="41" spans="1:22" x14ac:dyDescent="0.25">
      <c r="M41" s="38" t="s">
        <v>235</v>
      </c>
      <c r="Q41" s="38">
        <f>Q38+R39+S40</f>
        <v>0</v>
      </c>
    </row>
    <row r="42" spans="1:22" x14ac:dyDescent="0.25">
      <c r="M42" s="38" t="s">
        <v>236</v>
      </c>
      <c r="Q42" s="38">
        <f>Var!N68</f>
        <v>100</v>
      </c>
    </row>
    <row r="43" spans="1:22" x14ac:dyDescent="0.25">
      <c r="M43" s="38" t="s">
        <v>237</v>
      </c>
      <c r="Q43" s="38">
        <f>CEILING(Q41/Q42,1)</f>
        <v>0</v>
      </c>
    </row>
    <row r="45" spans="1:22" s="150" customFormat="1" ht="28.5" customHeight="1" x14ac:dyDescent="0.25">
      <c r="D45" s="42"/>
      <c r="E45" s="42"/>
      <c r="F45" s="42"/>
      <c r="N45" s="150" t="s">
        <v>248</v>
      </c>
      <c r="T45" s="150" t="s">
        <v>249</v>
      </c>
      <c r="U45" s="150" t="s">
        <v>250</v>
      </c>
      <c r="V45" s="150" t="s">
        <v>251</v>
      </c>
    </row>
    <row r="46" spans="1:22" x14ac:dyDescent="0.25">
      <c r="M46" s="38" t="s">
        <v>252</v>
      </c>
      <c r="N46" s="38">
        <f>Q38</f>
        <v>0</v>
      </c>
      <c r="T46" s="38">
        <f>CEILING((N46*1.1),1)</f>
        <v>0</v>
      </c>
      <c r="U46" s="38">
        <f>CEILING((T46*1.25),1)</f>
        <v>0</v>
      </c>
      <c r="V46" s="38">
        <f>CEILING((U46/12),1)</f>
        <v>0</v>
      </c>
    </row>
    <row r="47" spans="1:22" x14ac:dyDescent="0.25">
      <c r="M47" s="38" t="s">
        <v>253</v>
      </c>
      <c r="N47" s="38">
        <f>R39</f>
        <v>0</v>
      </c>
      <c r="T47" s="38">
        <f>CEILING((N47*1.1),1)</f>
        <v>0</v>
      </c>
      <c r="U47" s="38">
        <f>CEILING((T47*1.25),1)</f>
        <v>0</v>
      </c>
      <c r="V47" s="38">
        <f>CEILING((U47/12),1)</f>
        <v>0</v>
      </c>
    </row>
    <row r="48" spans="1:22" x14ac:dyDescent="0.25">
      <c r="M48" s="38" t="s">
        <v>254</v>
      </c>
      <c r="N48" s="38">
        <f>S40</f>
        <v>0</v>
      </c>
      <c r="T48" s="38">
        <f>CEILING((N48*1.1),1)</f>
        <v>0</v>
      </c>
      <c r="U48" s="38">
        <f>CEILING((T48*1.25),1)</f>
        <v>0</v>
      </c>
      <c r="V48" s="38">
        <f>CEILING((U48/12),1)</f>
        <v>0</v>
      </c>
    </row>
    <row r="49" spans="1:22" x14ac:dyDescent="0.25">
      <c r="M49" s="38" t="s">
        <v>255</v>
      </c>
      <c r="N49" s="38">
        <f>Q43</f>
        <v>0</v>
      </c>
      <c r="T49" s="38">
        <f>CEILING((N49*1.1),1)</f>
        <v>0</v>
      </c>
      <c r="U49" s="38">
        <f>CEILING((T49*1.25),1)</f>
        <v>0</v>
      </c>
      <c r="V49" s="38">
        <f>CEILING((U49/12),1)</f>
        <v>0</v>
      </c>
    </row>
    <row r="50" spans="1:22" x14ac:dyDescent="0.25">
      <c r="M50" s="38" t="s">
        <v>256</v>
      </c>
      <c r="N50" s="210">
        <f>G2</f>
        <v>0</v>
      </c>
      <c r="T50" s="38">
        <f>CEILING((N50*1.1),1)</f>
        <v>0</v>
      </c>
      <c r="U50" s="38">
        <f>CEILING((T50*1.25),1)</f>
        <v>0</v>
      </c>
      <c r="V50" s="38">
        <f>CEILING((U50/12),1)</f>
        <v>0</v>
      </c>
    </row>
    <row r="54" spans="1:22" x14ac:dyDescent="0.25">
      <c r="A54" s="38" t="s">
        <v>299</v>
      </c>
    </row>
  </sheetData>
  <mergeCells count="13">
    <mergeCell ref="S17:Z17"/>
    <mergeCell ref="S13:Z13"/>
    <mergeCell ref="S14:Z14"/>
    <mergeCell ref="S15:Z15"/>
    <mergeCell ref="S9:Z9"/>
    <mergeCell ref="S10:Z10"/>
    <mergeCell ref="S11:Z11"/>
    <mergeCell ref="S5:Z5"/>
    <mergeCell ref="S7:Z7"/>
    <mergeCell ref="S8:Z8"/>
    <mergeCell ref="S2:Z2"/>
    <mergeCell ref="S3:Z3"/>
    <mergeCell ref="S4:Z4"/>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52"/>
  <sheetViews>
    <sheetView zoomScaleNormal="100" workbookViewId="0"/>
  </sheetViews>
  <sheetFormatPr defaultColWidth="9.140625" defaultRowHeight="15" x14ac:dyDescent="0.25"/>
  <cols>
    <col min="1" max="2" width="10.7109375" style="38" customWidth="1"/>
    <col min="3" max="3" width="10.7109375" style="39" customWidth="1"/>
    <col min="4" max="6" width="10.7109375" style="40" customWidth="1"/>
    <col min="7" max="14" width="10.7109375" style="38" customWidth="1"/>
    <col min="15" max="15" width="10.7109375" style="39" customWidth="1"/>
    <col min="16" max="26" width="10.7109375" style="38" customWidth="1"/>
    <col min="27" max="27" width="13.28515625" style="38" customWidth="1"/>
    <col min="28" max="41" width="10.7109375" style="38" customWidth="1"/>
    <col min="42" max="16384" width="9.140625" style="38"/>
  </cols>
  <sheetData>
    <row r="1" spans="2:27" x14ac:dyDescent="0.25">
      <c r="AA1" s="38" t="s">
        <v>243</v>
      </c>
    </row>
    <row r="2" spans="2:27" ht="15.75" x14ac:dyDescent="0.25">
      <c r="B2" s="38" t="s">
        <v>54</v>
      </c>
      <c r="C2" s="123">
        <f>Var!D7</f>
        <v>0</v>
      </c>
      <c r="D2" s="6"/>
      <c r="E2" s="6" t="s">
        <v>65</v>
      </c>
      <c r="G2" s="130">
        <f>CHMTCmTmforFac!I12</f>
        <v>0</v>
      </c>
      <c r="I2" s="38" t="s">
        <v>187</v>
      </c>
      <c r="J2" s="38" t="s">
        <v>188</v>
      </c>
      <c r="K2" s="130">
        <f>CHMTCmTmforFac!BC11</f>
        <v>0</v>
      </c>
      <c r="R2" s="195">
        <v>2.1</v>
      </c>
      <c r="S2" s="419" t="s">
        <v>241</v>
      </c>
      <c r="T2" s="419"/>
      <c r="U2" s="419"/>
      <c r="V2" s="419"/>
      <c r="W2" s="419"/>
      <c r="X2" s="419"/>
      <c r="Y2" s="419"/>
      <c r="Z2" s="419"/>
      <c r="AA2" s="196">
        <f>H9*Var!N14</f>
        <v>0</v>
      </c>
    </row>
    <row r="3" spans="2:27" ht="15.75" x14ac:dyDescent="0.25">
      <c r="B3" s="38" t="s">
        <v>55</v>
      </c>
      <c r="C3" s="123">
        <f>Var!I7</f>
        <v>0</v>
      </c>
      <c r="E3" s="6" t="s">
        <v>186</v>
      </c>
      <c r="G3" s="130">
        <f>CHMTCmTmforFac!K12</f>
        <v>0</v>
      </c>
      <c r="J3" s="38" t="s">
        <v>189</v>
      </c>
      <c r="K3" s="130">
        <f>CHMTCmTmforFac!BD11</f>
        <v>0</v>
      </c>
      <c r="R3" s="197">
        <v>2.2000000000000002</v>
      </c>
      <c r="S3" s="411" t="s">
        <v>242</v>
      </c>
      <c r="T3" s="411"/>
      <c r="U3" s="411"/>
      <c r="V3" s="411"/>
      <c r="W3" s="411"/>
      <c r="X3" s="411"/>
      <c r="Y3" s="411"/>
      <c r="Z3" s="411"/>
      <c r="AA3" s="198">
        <f>P9*Var!N16</f>
        <v>0</v>
      </c>
    </row>
    <row r="4" spans="2:27" s="41" customFormat="1" ht="15.75" x14ac:dyDescent="0.25">
      <c r="B4" s="41" t="s">
        <v>159</v>
      </c>
      <c r="C4" s="124">
        <f>Var!N7</f>
        <v>0</v>
      </c>
      <c r="D4" s="42"/>
      <c r="E4" s="6" t="s">
        <v>269</v>
      </c>
      <c r="F4" s="42"/>
      <c r="G4" s="130">
        <f>CHMTCmTmforFac!M12</f>
        <v>0</v>
      </c>
      <c r="J4" s="41" t="s">
        <v>190</v>
      </c>
      <c r="K4" s="131">
        <f>CHMTCmTmforFac!BE11</f>
        <v>0</v>
      </c>
      <c r="O4" s="42"/>
      <c r="R4" s="197">
        <v>2.2999999999999998</v>
      </c>
      <c r="S4" s="411" t="s">
        <v>145</v>
      </c>
      <c r="T4" s="411"/>
      <c r="U4" s="411"/>
      <c r="V4" s="411"/>
      <c r="W4" s="411"/>
      <c r="X4" s="411"/>
      <c r="Y4" s="411"/>
      <c r="Z4" s="411"/>
      <c r="AA4" s="198">
        <f>F11*Var!N24</f>
        <v>0</v>
      </c>
    </row>
    <row r="5" spans="2:27" ht="15.75" x14ac:dyDescent="0.25">
      <c r="G5" s="39"/>
      <c r="H5" s="39"/>
      <c r="R5" s="195">
        <v>2.6</v>
      </c>
      <c r="S5" s="411" t="s">
        <v>164</v>
      </c>
      <c r="T5" s="411"/>
      <c r="U5" s="411"/>
      <c r="V5" s="411"/>
      <c r="W5" s="411"/>
      <c r="X5" s="411"/>
      <c r="Y5" s="411"/>
      <c r="Z5" s="411"/>
      <c r="AA5" s="198">
        <f>N11</f>
        <v>0</v>
      </c>
    </row>
    <row r="6" spans="2:27" ht="21" x14ac:dyDescent="0.25">
      <c r="B6" s="38" t="s">
        <v>191</v>
      </c>
      <c r="D6" s="132">
        <f>CHMTCmTmforFac!F12</f>
        <v>0</v>
      </c>
      <c r="G6" s="39"/>
      <c r="H6" s="39"/>
      <c r="R6" s="199"/>
      <c r="S6" s="160"/>
      <c r="T6" s="160"/>
      <c r="U6" s="160"/>
      <c r="V6" s="160"/>
      <c r="W6" s="160"/>
      <c r="X6" s="160"/>
      <c r="Y6" s="160"/>
      <c r="Z6" s="160"/>
      <c r="AA6" s="160"/>
    </row>
    <row r="7" spans="2:27" ht="15.75" x14ac:dyDescent="0.25">
      <c r="B7" s="38" t="s">
        <v>194</v>
      </c>
      <c r="G7" s="39" t="s">
        <v>205</v>
      </c>
      <c r="H7" s="129">
        <f>CHMTCmTmforFac!AA12</f>
        <v>0</v>
      </c>
      <c r="J7" s="38" t="s">
        <v>195</v>
      </c>
      <c r="O7" s="39" t="s">
        <v>205</v>
      </c>
      <c r="P7" s="130">
        <f>CHMTCmTmforFac!AI12</f>
        <v>0</v>
      </c>
      <c r="R7" s="197"/>
      <c r="S7" s="411"/>
      <c r="T7" s="411"/>
      <c r="U7" s="411"/>
      <c r="V7" s="411"/>
      <c r="W7" s="411"/>
      <c r="X7" s="411"/>
      <c r="Y7" s="411"/>
      <c r="Z7" s="411"/>
      <c r="AA7" s="198"/>
    </row>
    <row r="8" spans="2:27" ht="15.75" x14ac:dyDescent="0.25">
      <c r="G8" s="39" t="s">
        <v>206</v>
      </c>
      <c r="H8" s="129">
        <f>CHMTCmTmforFac!AE12</f>
        <v>0</v>
      </c>
      <c r="O8" s="39" t="s">
        <v>206</v>
      </c>
      <c r="P8" s="130">
        <f>CHMTCmTmforFac!AM12</f>
        <v>0</v>
      </c>
      <c r="R8" s="197"/>
      <c r="S8" s="419"/>
      <c r="T8" s="419"/>
      <c r="U8" s="419"/>
      <c r="V8" s="419"/>
      <c r="W8" s="419"/>
      <c r="X8" s="419"/>
      <c r="Y8" s="419"/>
      <c r="Z8" s="419"/>
      <c r="AA8" s="196"/>
    </row>
    <row r="9" spans="2:27" ht="15.75" x14ac:dyDescent="0.25">
      <c r="G9" s="39" t="s">
        <v>196</v>
      </c>
      <c r="H9" s="129">
        <f>H8+H7</f>
        <v>0</v>
      </c>
      <c r="O9" s="39" t="s">
        <v>196</v>
      </c>
      <c r="P9" s="130">
        <f>P8+P7</f>
        <v>0</v>
      </c>
      <c r="R9" s="197"/>
      <c r="S9" s="411"/>
      <c r="T9" s="411"/>
      <c r="U9" s="411"/>
      <c r="V9" s="411"/>
      <c r="W9" s="411"/>
      <c r="X9" s="411"/>
      <c r="Y9" s="411"/>
      <c r="Z9" s="411"/>
      <c r="AA9" s="198"/>
    </row>
    <row r="10" spans="2:27" ht="15.75" x14ac:dyDescent="0.25">
      <c r="G10" s="39"/>
      <c r="H10" s="39"/>
      <c r="R10" s="200"/>
      <c r="S10" s="411"/>
      <c r="T10" s="411"/>
      <c r="U10" s="411"/>
      <c r="V10" s="411"/>
      <c r="W10" s="411"/>
      <c r="X10" s="411"/>
      <c r="Y10" s="411"/>
      <c r="Z10" s="411"/>
      <c r="AA10" s="198"/>
    </row>
    <row r="11" spans="2:27" ht="15.75" x14ac:dyDescent="0.25">
      <c r="B11" s="38" t="s">
        <v>197</v>
      </c>
      <c r="F11" s="132">
        <f>CHMTCmTmforFac!AW12</f>
        <v>0</v>
      </c>
      <c r="G11" s="39"/>
      <c r="H11" s="39"/>
      <c r="J11" s="38" t="s">
        <v>198</v>
      </c>
      <c r="N11" s="125">
        <f>CHMTCmTmforFac!AR12</f>
        <v>0</v>
      </c>
      <c r="R11" s="200"/>
      <c r="S11" s="411"/>
      <c r="T11" s="411"/>
      <c r="U11" s="411"/>
      <c r="V11" s="411"/>
      <c r="W11" s="411"/>
      <c r="X11" s="411"/>
      <c r="Y11" s="411"/>
      <c r="Z11" s="411"/>
      <c r="AA11" s="198"/>
    </row>
    <row r="12" spans="2:27" ht="21" x14ac:dyDescent="0.25">
      <c r="B12" s="38" t="s">
        <v>201</v>
      </c>
      <c r="G12" s="123">
        <f>CoChMn!I13</f>
        <v>0</v>
      </c>
      <c r="H12" s="39"/>
      <c r="R12" s="199"/>
      <c r="S12" s="160"/>
      <c r="T12" s="160"/>
      <c r="U12" s="160"/>
      <c r="V12" s="160"/>
      <c r="W12" s="160"/>
      <c r="X12" s="160"/>
      <c r="Y12" s="160"/>
      <c r="Z12" s="160"/>
      <c r="AA12" s="160"/>
    </row>
    <row r="13" spans="2:27" ht="15.75" x14ac:dyDescent="0.25">
      <c r="B13" s="38" t="s">
        <v>202</v>
      </c>
      <c r="G13" s="123">
        <f>CoChMn!F13</f>
        <v>0</v>
      </c>
      <c r="H13" s="39"/>
      <c r="R13" s="200">
        <v>2.12</v>
      </c>
      <c r="S13" s="419" t="s">
        <v>114</v>
      </c>
      <c r="T13" s="419"/>
      <c r="U13" s="419"/>
      <c r="V13" s="419"/>
      <c r="W13" s="419"/>
      <c r="X13" s="419"/>
      <c r="Y13" s="419"/>
      <c r="Z13" s="419"/>
      <c r="AA13" s="196">
        <f>G13*Var!N40</f>
        <v>0</v>
      </c>
    </row>
    <row r="14" spans="2:27" ht="15.75" x14ac:dyDescent="0.25">
      <c r="B14" s="38" t="s">
        <v>203</v>
      </c>
      <c r="G14" s="123">
        <f>CoChMn!M13</f>
        <v>0</v>
      </c>
      <c r="H14" s="39"/>
      <c r="N14" s="125"/>
      <c r="R14" s="201"/>
      <c r="S14" s="411"/>
      <c r="T14" s="411"/>
      <c r="U14" s="411"/>
      <c r="V14" s="411"/>
      <c r="W14" s="411"/>
      <c r="X14" s="411"/>
      <c r="Y14" s="411"/>
      <c r="Z14" s="411"/>
      <c r="AA14" s="198"/>
    </row>
    <row r="15" spans="2:27" ht="15.75" x14ac:dyDescent="0.25">
      <c r="G15" s="123"/>
      <c r="H15" s="39"/>
      <c r="R15" s="201">
        <v>2.14</v>
      </c>
      <c r="S15" s="411" t="s">
        <v>21</v>
      </c>
      <c r="T15" s="411"/>
      <c r="U15" s="411"/>
      <c r="V15" s="411"/>
      <c r="W15" s="411"/>
      <c r="X15" s="411"/>
      <c r="Y15" s="411"/>
      <c r="Z15" s="411"/>
      <c r="AA15" s="198">
        <f>G14</f>
        <v>0</v>
      </c>
    </row>
    <row r="16" spans="2:27" ht="21" x14ac:dyDescent="0.25">
      <c r="R16" s="175"/>
      <c r="S16" s="160"/>
      <c r="T16" s="160"/>
      <c r="U16" s="160"/>
      <c r="V16" s="160"/>
      <c r="W16" s="160"/>
      <c r="X16" s="160"/>
      <c r="Y16" s="160"/>
      <c r="Z16" s="160"/>
      <c r="AA16" s="160"/>
    </row>
    <row r="17" spans="1:27" ht="15.75" x14ac:dyDescent="0.25">
      <c r="R17" s="192"/>
      <c r="S17" s="247" t="s">
        <v>22</v>
      </c>
      <c r="T17" s="247"/>
      <c r="U17" s="247"/>
      <c r="V17" s="247"/>
      <c r="W17" s="247"/>
      <c r="X17" s="247"/>
      <c r="Y17" s="247"/>
      <c r="Z17" s="247"/>
      <c r="AA17" s="202">
        <f>SUM(AA2:AA15)</f>
        <v>0</v>
      </c>
    </row>
    <row r="18" spans="1:27" x14ac:dyDescent="0.25">
      <c r="G18" s="125"/>
    </row>
    <row r="19" spans="1:27" x14ac:dyDescent="0.25">
      <c r="G19" s="125"/>
    </row>
    <row r="20" spans="1:27" x14ac:dyDescent="0.25">
      <c r="G20" s="125"/>
    </row>
    <row r="21" spans="1:27" x14ac:dyDescent="0.25">
      <c r="F21" s="48"/>
      <c r="G21" s="125"/>
    </row>
    <row r="22" spans="1:27" x14ac:dyDescent="0.25">
      <c r="F22" s="6"/>
      <c r="G22" s="125"/>
    </row>
    <row r="23" spans="1:27" x14ac:dyDescent="0.25">
      <c r="F23" s="6"/>
    </row>
    <row r="25" spans="1:27" x14ac:dyDescent="0.25">
      <c r="B25" s="135" t="s">
        <v>217</v>
      </c>
      <c r="F25" s="6"/>
    </row>
    <row r="26" spans="1:27" x14ac:dyDescent="0.25">
      <c r="F26" s="6"/>
    </row>
    <row r="27" spans="1:27" s="140" customFormat="1" ht="38.25" x14ac:dyDescent="0.2">
      <c r="B27" s="136" t="s">
        <v>25</v>
      </c>
      <c r="C27" s="137" t="s">
        <v>61</v>
      </c>
      <c r="D27" s="137" t="s">
        <v>62</v>
      </c>
      <c r="E27" s="137" t="s">
        <v>303</v>
      </c>
      <c r="F27" s="138" t="s">
        <v>84</v>
      </c>
      <c r="G27" s="137" t="s">
        <v>85</v>
      </c>
      <c r="H27" s="143" t="s">
        <v>218</v>
      </c>
      <c r="I27" s="139" t="s">
        <v>219</v>
      </c>
      <c r="J27" s="143" t="s">
        <v>220</v>
      </c>
      <c r="K27" s="139" t="s">
        <v>221</v>
      </c>
      <c r="L27" s="139" t="s">
        <v>222</v>
      </c>
      <c r="M27" s="145" t="s">
        <v>225</v>
      </c>
      <c r="N27" s="143" t="s">
        <v>226</v>
      </c>
      <c r="O27" s="139" t="s">
        <v>227</v>
      </c>
      <c r="P27" s="146" t="s">
        <v>230</v>
      </c>
      <c r="Q27" s="147" t="s">
        <v>228</v>
      </c>
      <c r="R27" s="147" t="s">
        <v>229</v>
      </c>
      <c r="S27" s="148" t="s">
        <v>231</v>
      </c>
      <c r="T27" s="146" t="s">
        <v>244</v>
      </c>
      <c r="U27" s="149" t="s">
        <v>245</v>
      </c>
      <c r="V27" s="140" t="s">
        <v>246</v>
      </c>
    </row>
    <row r="28" spans="1:27" x14ac:dyDescent="0.25">
      <c r="A28" s="39">
        <v>1</v>
      </c>
      <c r="B28" s="38" t="str">
        <f>Var!B48</f>
        <v>BCG</v>
      </c>
      <c r="C28" s="39">
        <f>Var!E48</f>
        <v>20</v>
      </c>
      <c r="D28" s="40">
        <f>Var!G48</f>
        <v>1</v>
      </c>
      <c r="E28" s="238">
        <f>((100/(100-Var!K48)))</f>
        <v>3.3333333333333335</v>
      </c>
      <c r="F28" s="141" t="str">
        <f>Var!M48</f>
        <v>0.05 ml AD syringe</v>
      </c>
      <c r="G28" s="142" t="str">
        <f>Var!P48</f>
        <v>YES</v>
      </c>
      <c r="H28" s="40">
        <f>IF(F28="0.05 ml AD syringe",1,0)</f>
        <v>1</v>
      </c>
      <c r="I28" s="40">
        <f>H28*D28</f>
        <v>1</v>
      </c>
      <c r="J28" s="40">
        <f>IF(F28="0.5 ml AD syringe",1,0)</f>
        <v>0</v>
      </c>
      <c r="K28" s="40">
        <f>J28*D28</f>
        <v>0</v>
      </c>
      <c r="L28" s="38" t="s">
        <v>223</v>
      </c>
      <c r="M28" s="39">
        <f>G3</f>
        <v>0</v>
      </c>
      <c r="N28" s="39">
        <f>M28*D28</f>
        <v>0</v>
      </c>
      <c r="O28" s="39">
        <f>CEILING(N28/C28,1)</f>
        <v>0</v>
      </c>
      <c r="P28" s="38">
        <f>IF(G28="YES",1,0)</f>
        <v>1</v>
      </c>
      <c r="Q28" s="38">
        <f>M28*I28</f>
        <v>0</v>
      </c>
      <c r="R28" s="38">
        <f>M28*K28</f>
        <v>0</v>
      </c>
      <c r="S28" s="38">
        <f>P28*O28</f>
        <v>0</v>
      </c>
      <c r="T28" s="239">
        <f>N28*E28</f>
        <v>0</v>
      </c>
      <c r="U28" s="38">
        <f t="shared" ref="U28:U36" si="0">CEILING((T28*1.25),1)</f>
        <v>0</v>
      </c>
      <c r="V28" s="38">
        <f t="shared" ref="V28:V36" si="1">CEILING((U28/12),1)</f>
        <v>0</v>
      </c>
    </row>
    <row r="29" spans="1:27" x14ac:dyDescent="0.25">
      <c r="A29" s="39">
        <v>2</v>
      </c>
      <c r="B29" s="38" t="str">
        <f>Var!B50</f>
        <v>OPV</v>
      </c>
      <c r="C29" s="39">
        <f>Var!E50</f>
        <v>20</v>
      </c>
      <c r="D29" s="40">
        <f>Var!G50</f>
        <v>4</v>
      </c>
      <c r="E29" s="238">
        <f>((100/(100-Var!K50)))</f>
        <v>1.1111111111111112</v>
      </c>
      <c r="F29" s="141" t="str">
        <f>Var!M50</f>
        <v>Not applicable</v>
      </c>
      <c r="G29" s="142" t="str">
        <f>Var!P50</f>
        <v>NO</v>
      </c>
      <c r="H29" s="40">
        <f t="shared" ref="H29:H36" si="2">IF(F29="0.05 ml AD syringe",1,0)</f>
        <v>0</v>
      </c>
      <c r="I29" s="40">
        <f t="shared" ref="I29:I36" si="3">H29*D29</f>
        <v>0</v>
      </c>
      <c r="J29" s="40">
        <f t="shared" ref="J29:J36" si="4">IF(F29="0.5 ml AD syringe",1,0)</f>
        <v>0</v>
      </c>
      <c r="K29" s="40">
        <f t="shared" ref="K29:K36" si="5">J29*D29</f>
        <v>0</v>
      </c>
      <c r="L29" s="38" t="s">
        <v>223</v>
      </c>
      <c r="M29" s="39">
        <f>G3</f>
        <v>0</v>
      </c>
      <c r="N29" s="39">
        <f t="shared" ref="N29:N36" si="6">M29*D29</f>
        <v>0</v>
      </c>
      <c r="O29" s="39">
        <f t="shared" ref="O29:O36" si="7">CEILING(N29/C29,1)</f>
        <v>0</v>
      </c>
      <c r="P29" s="38">
        <f t="shared" ref="P29:P36" si="8">IF(G29="YES",1,0)</f>
        <v>0</v>
      </c>
      <c r="Q29" s="38">
        <f t="shared" ref="Q29:Q36" si="9">M29*I29</f>
        <v>0</v>
      </c>
      <c r="R29" s="38">
        <f t="shared" ref="R29:R36" si="10">M29*K29</f>
        <v>0</v>
      </c>
      <c r="S29" s="38">
        <f t="shared" ref="S29:S36" si="11">P29*O29</f>
        <v>0</v>
      </c>
      <c r="T29" s="239">
        <f t="shared" ref="T29:T36" si="12">N29*E29</f>
        <v>0</v>
      </c>
      <c r="U29" s="38">
        <f t="shared" si="0"/>
        <v>0</v>
      </c>
      <c r="V29" s="38">
        <f t="shared" si="1"/>
        <v>0</v>
      </c>
    </row>
    <row r="30" spans="1:27" x14ac:dyDescent="0.25">
      <c r="A30" s="39">
        <v>3</v>
      </c>
      <c r="B30" s="38" t="str">
        <f>Var!B52</f>
        <v>PCV 13</v>
      </c>
      <c r="C30" s="39">
        <f>Var!E52</f>
        <v>1</v>
      </c>
      <c r="D30" s="40">
        <f>Var!G52</f>
        <v>3</v>
      </c>
      <c r="E30" s="238">
        <f>((100/(100-Var!K52)))</f>
        <v>1.0526315789473684</v>
      </c>
      <c r="F30" s="141" t="str">
        <f>Var!M52</f>
        <v>0.5 ml AD syringe</v>
      </c>
      <c r="G30" s="142" t="str">
        <f>Var!P52</f>
        <v>NO</v>
      </c>
      <c r="H30" s="40">
        <f t="shared" si="2"/>
        <v>0</v>
      </c>
      <c r="I30" s="40">
        <f t="shared" si="3"/>
        <v>0</v>
      </c>
      <c r="J30" s="40">
        <f t="shared" si="4"/>
        <v>1</v>
      </c>
      <c r="K30" s="40">
        <f t="shared" si="5"/>
        <v>3</v>
      </c>
      <c r="L30" s="38" t="s">
        <v>223</v>
      </c>
      <c r="M30" s="39">
        <f>G3</f>
        <v>0</v>
      </c>
      <c r="N30" s="39">
        <f t="shared" si="6"/>
        <v>0</v>
      </c>
      <c r="O30" s="39">
        <f t="shared" si="7"/>
        <v>0</v>
      </c>
      <c r="P30" s="38">
        <f t="shared" si="8"/>
        <v>0</v>
      </c>
      <c r="Q30" s="38">
        <f t="shared" si="9"/>
        <v>0</v>
      </c>
      <c r="R30" s="38">
        <f t="shared" si="10"/>
        <v>0</v>
      </c>
      <c r="S30" s="38">
        <f t="shared" si="11"/>
        <v>0</v>
      </c>
      <c r="T30" s="239">
        <f t="shared" si="12"/>
        <v>0</v>
      </c>
      <c r="U30" s="38">
        <f t="shared" si="0"/>
        <v>0</v>
      </c>
      <c r="V30" s="38">
        <f t="shared" si="1"/>
        <v>0</v>
      </c>
    </row>
    <row r="31" spans="1:27" x14ac:dyDescent="0.25">
      <c r="A31" s="39">
        <v>4</v>
      </c>
      <c r="B31" s="38" t="str">
        <f>Var!B54</f>
        <v>Rota</v>
      </c>
      <c r="C31" s="39">
        <f>Var!E54</f>
        <v>1</v>
      </c>
      <c r="D31" s="40">
        <f>Var!G54</f>
        <v>2</v>
      </c>
      <c r="E31" s="238">
        <f>((100/(100-Var!K54)))</f>
        <v>1.0526315789473684</v>
      </c>
      <c r="F31" s="141" t="str">
        <f>Var!M54</f>
        <v>Not applicable</v>
      </c>
      <c r="G31" s="142" t="str">
        <f>Var!P54</f>
        <v>NO</v>
      </c>
      <c r="H31" s="40">
        <f t="shared" si="2"/>
        <v>0</v>
      </c>
      <c r="I31" s="40">
        <f t="shared" si="3"/>
        <v>0</v>
      </c>
      <c r="J31" s="40">
        <f t="shared" si="4"/>
        <v>0</v>
      </c>
      <c r="K31" s="40">
        <f t="shared" si="5"/>
        <v>0</v>
      </c>
      <c r="L31" s="38" t="s">
        <v>223</v>
      </c>
      <c r="M31" s="39">
        <f>G3</f>
        <v>0</v>
      </c>
      <c r="N31" s="39">
        <f t="shared" si="6"/>
        <v>0</v>
      </c>
      <c r="O31" s="39">
        <f t="shared" si="7"/>
        <v>0</v>
      </c>
      <c r="P31" s="38">
        <f t="shared" si="8"/>
        <v>0</v>
      </c>
      <c r="Q31" s="38">
        <f t="shared" si="9"/>
        <v>0</v>
      </c>
      <c r="R31" s="38">
        <f t="shared" si="10"/>
        <v>0</v>
      </c>
      <c r="S31" s="38">
        <f t="shared" si="11"/>
        <v>0</v>
      </c>
      <c r="T31" s="239">
        <f t="shared" si="12"/>
        <v>0</v>
      </c>
      <c r="U31" s="38">
        <f t="shared" si="0"/>
        <v>0</v>
      </c>
      <c r="V31" s="38">
        <f t="shared" si="1"/>
        <v>0</v>
      </c>
    </row>
    <row r="32" spans="1:27" x14ac:dyDescent="0.25">
      <c r="A32" s="39">
        <v>5</v>
      </c>
      <c r="B32" s="38" t="str">
        <f>Var!B56</f>
        <v>Penta</v>
      </c>
      <c r="C32" s="39">
        <f>Var!E56</f>
        <v>10</v>
      </c>
      <c r="D32" s="40">
        <f>Var!G56</f>
        <v>3</v>
      </c>
      <c r="E32" s="238">
        <f>((100/(100-Var!K56)))</f>
        <v>1.1111111111111112</v>
      </c>
      <c r="F32" s="141" t="str">
        <f>Var!M56</f>
        <v>0.5 ml AD syringe</v>
      </c>
      <c r="G32" s="142" t="str">
        <f>Var!P56</f>
        <v>NO</v>
      </c>
      <c r="H32" s="40">
        <f t="shared" si="2"/>
        <v>0</v>
      </c>
      <c r="I32" s="40">
        <f t="shared" si="3"/>
        <v>0</v>
      </c>
      <c r="J32" s="40">
        <f t="shared" si="4"/>
        <v>1</v>
      </c>
      <c r="K32" s="40">
        <f t="shared" si="5"/>
        <v>3</v>
      </c>
      <c r="L32" s="38" t="s">
        <v>223</v>
      </c>
      <c r="M32" s="39">
        <f>G3</f>
        <v>0</v>
      </c>
      <c r="N32" s="39">
        <f t="shared" si="6"/>
        <v>0</v>
      </c>
      <c r="O32" s="39">
        <f t="shared" si="7"/>
        <v>0</v>
      </c>
      <c r="P32" s="38">
        <f t="shared" si="8"/>
        <v>0</v>
      </c>
      <c r="Q32" s="38">
        <f t="shared" si="9"/>
        <v>0</v>
      </c>
      <c r="R32" s="38">
        <f t="shared" si="10"/>
        <v>0</v>
      </c>
      <c r="S32" s="38">
        <f t="shared" si="11"/>
        <v>0</v>
      </c>
      <c r="T32" s="239">
        <f t="shared" si="12"/>
        <v>0</v>
      </c>
      <c r="U32" s="38">
        <f t="shared" si="0"/>
        <v>0</v>
      </c>
      <c r="V32" s="38">
        <f t="shared" si="1"/>
        <v>0</v>
      </c>
    </row>
    <row r="33" spans="1:22" x14ac:dyDescent="0.25">
      <c r="A33" s="39">
        <v>6</v>
      </c>
      <c r="B33" s="38" t="str">
        <f>Var!B58</f>
        <v>MR</v>
      </c>
      <c r="C33" s="39">
        <f>Var!E58</f>
        <v>10</v>
      </c>
      <c r="D33" s="40">
        <f>Var!G58</f>
        <v>2</v>
      </c>
      <c r="E33" s="238">
        <f>((100/(100-Var!K58)))</f>
        <v>1.2195121951219512</v>
      </c>
      <c r="F33" s="141" t="str">
        <f>Var!M58</f>
        <v>0.5 ml AD syringe</v>
      </c>
      <c r="G33" s="142" t="str">
        <f>Var!P58</f>
        <v>YES</v>
      </c>
      <c r="H33" s="40">
        <f t="shared" si="2"/>
        <v>0</v>
      </c>
      <c r="I33" s="40">
        <f t="shared" si="3"/>
        <v>0</v>
      </c>
      <c r="J33" s="40">
        <f t="shared" si="4"/>
        <v>1</v>
      </c>
      <c r="K33" s="40">
        <f t="shared" si="5"/>
        <v>2</v>
      </c>
      <c r="L33" s="38" t="s">
        <v>223</v>
      </c>
      <c r="M33" s="39">
        <f>G3</f>
        <v>0</v>
      </c>
      <c r="N33" s="39">
        <f t="shared" si="6"/>
        <v>0</v>
      </c>
      <c r="O33" s="39">
        <f t="shared" si="7"/>
        <v>0</v>
      </c>
      <c r="P33" s="38">
        <f>IF(G33="YES",1,0)</f>
        <v>1</v>
      </c>
      <c r="Q33" s="38">
        <f t="shared" si="9"/>
        <v>0</v>
      </c>
      <c r="R33" s="38">
        <f t="shared" si="10"/>
        <v>0</v>
      </c>
      <c r="S33" s="38">
        <f t="shared" si="11"/>
        <v>0</v>
      </c>
      <c r="T33" s="239">
        <f t="shared" si="12"/>
        <v>0</v>
      </c>
      <c r="U33" s="38">
        <f t="shared" si="0"/>
        <v>0</v>
      </c>
      <c r="V33" s="38">
        <f t="shared" si="1"/>
        <v>0</v>
      </c>
    </row>
    <row r="34" spans="1:22" x14ac:dyDescent="0.25">
      <c r="A34" s="39">
        <v>7</v>
      </c>
      <c r="B34" s="38" t="str">
        <f>Var!B60</f>
        <v>TT</v>
      </c>
      <c r="C34" s="39">
        <f>Var!E60</f>
        <v>20</v>
      </c>
      <c r="D34" s="40">
        <f>Var!G60</f>
        <v>2</v>
      </c>
      <c r="E34" s="238">
        <f>((100/(100-Var!K60)))</f>
        <v>1.1111111111111112</v>
      </c>
      <c r="F34" s="141" t="str">
        <f>Var!M60</f>
        <v>0.5 ml AD syringe</v>
      </c>
      <c r="G34" s="142" t="str">
        <f>Var!P60</f>
        <v>NO</v>
      </c>
      <c r="H34" s="40">
        <f t="shared" si="2"/>
        <v>0</v>
      </c>
      <c r="I34" s="40">
        <f t="shared" si="3"/>
        <v>0</v>
      </c>
      <c r="J34" s="40">
        <f t="shared" si="4"/>
        <v>1</v>
      </c>
      <c r="K34" s="40">
        <f t="shared" si="5"/>
        <v>2</v>
      </c>
      <c r="L34" s="38" t="s">
        <v>224</v>
      </c>
      <c r="M34" s="39">
        <f>G2</f>
        <v>0</v>
      </c>
      <c r="N34" s="39">
        <f t="shared" si="6"/>
        <v>0</v>
      </c>
      <c r="O34" s="39">
        <f t="shared" si="7"/>
        <v>0</v>
      </c>
      <c r="P34" s="38">
        <f t="shared" si="8"/>
        <v>0</v>
      </c>
      <c r="Q34" s="38">
        <f t="shared" si="9"/>
        <v>0</v>
      </c>
      <c r="R34" s="38">
        <f t="shared" si="10"/>
        <v>0</v>
      </c>
      <c r="S34" s="38">
        <f t="shared" si="11"/>
        <v>0</v>
      </c>
      <c r="T34" s="239">
        <f t="shared" si="12"/>
        <v>0</v>
      </c>
      <c r="U34" s="38">
        <f t="shared" si="0"/>
        <v>0</v>
      </c>
      <c r="V34" s="38">
        <f t="shared" si="1"/>
        <v>0</v>
      </c>
    </row>
    <row r="35" spans="1:22" x14ac:dyDescent="0.25">
      <c r="A35" s="39">
        <v>8</v>
      </c>
      <c r="B35" s="38" t="str">
        <f>Var!B62</f>
        <v>IPV</v>
      </c>
      <c r="C35" s="39">
        <f>Var!E62</f>
        <v>5</v>
      </c>
      <c r="D35" s="40">
        <f>Var!G62</f>
        <v>1</v>
      </c>
      <c r="E35" s="238">
        <f>((100/(100-Var!K62)))</f>
        <v>1.1111111111111112</v>
      </c>
      <c r="F35" s="141" t="str">
        <f>Var!M62</f>
        <v>0.5 ml AD syringe</v>
      </c>
      <c r="G35" s="142" t="str">
        <f>Var!P62</f>
        <v>NO</v>
      </c>
      <c r="H35" s="40">
        <f t="shared" si="2"/>
        <v>0</v>
      </c>
      <c r="I35" s="40">
        <f t="shared" si="3"/>
        <v>0</v>
      </c>
      <c r="J35" s="40">
        <f t="shared" si="4"/>
        <v>1</v>
      </c>
      <c r="K35" s="40">
        <f t="shared" si="5"/>
        <v>1</v>
      </c>
      <c r="L35" s="38" t="s">
        <v>223</v>
      </c>
      <c r="M35" s="39">
        <f>G3</f>
        <v>0</v>
      </c>
      <c r="N35" s="39">
        <f t="shared" si="6"/>
        <v>0</v>
      </c>
      <c r="O35" s="39">
        <f t="shared" si="7"/>
        <v>0</v>
      </c>
      <c r="P35" s="38">
        <f t="shared" si="8"/>
        <v>0</v>
      </c>
      <c r="Q35" s="38">
        <f t="shared" si="9"/>
        <v>0</v>
      </c>
      <c r="R35" s="38">
        <f t="shared" si="10"/>
        <v>0</v>
      </c>
      <c r="S35" s="38">
        <f t="shared" si="11"/>
        <v>0</v>
      </c>
      <c r="T35" s="239">
        <f t="shared" si="12"/>
        <v>0</v>
      </c>
      <c r="U35" s="38">
        <f t="shared" si="0"/>
        <v>0</v>
      </c>
      <c r="V35" s="38">
        <f t="shared" si="1"/>
        <v>0</v>
      </c>
    </row>
    <row r="36" spans="1:22" x14ac:dyDescent="0.25">
      <c r="A36" s="39">
        <v>9</v>
      </c>
      <c r="B36" s="38" t="str">
        <f>Var!B64</f>
        <v>HPV</v>
      </c>
      <c r="C36" s="39">
        <f>Var!E64</f>
        <v>1</v>
      </c>
      <c r="D36" s="40">
        <f>Var!G64</f>
        <v>2</v>
      </c>
      <c r="E36" s="238">
        <f>((100/(100-Var!K64)))</f>
        <v>1.0526315789473684</v>
      </c>
      <c r="F36" s="141" t="str">
        <f>Var!M64</f>
        <v>0.5 ml AD syringe</v>
      </c>
      <c r="G36" s="142" t="str">
        <f>Var!P64</f>
        <v>NO</v>
      </c>
      <c r="H36" s="40">
        <f t="shared" si="2"/>
        <v>0</v>
      </c>
      <c r="I36" s="40">
        <f t="shared" si="3"/>
        <v>0</v>
      </c>
      <c r="J36" s="40">
        <f t="shared" si="4"/>
        <v>1</v>
      </c>
      <c r="K36" s="40">
        <f t="shared" si="5"/>
        <v>2</v>
      </c>
      <c r="L36" s="38" t="s">
        <v>224</v>
      </c>
      <c r="M36" s="39">
        <f>G2</f>
        <v>0</v>
      </c>
      <c r="N36" s="39">
        <f t="shared" si="6"/>
        <v>0</v>
      </c>
      <c r="O36" s="39">
        <f t="shared" si="7"/>
        <v>0</v>
      </c>
      <c r="P36" s="38">
        <f t="shared" si="8"/>
        <v>0</v>
      </c>
      <c r="Q36" s="38">
        <f t="shared" si="9"/>
        <v>0</v>
      </c>
      <c r="R36" s="38">
        <f t="shared" si="10"/>
        <v>0</v>
      </c>
      <c r="S36" s="38">
        <f t="shared" si="11"/>
        <v>0</v>
      </c>
      <c r="T36" s="239">
        <f t="shared" si="12"/>
        <v>0</v>
      </c>
      <c r="U36" s="38">
        <f t="shared" si="0"/>
        <v>0</v>
      </c>
      <c r="V36" s="38">
        <f t="shared" si="1"/>
        <v>0</v>
      </c>
    </row>
    <row r="38" spans="1:22" x14ac:dyDescent="0.25">
      <c r="M38" s="38" t="s">
        <v>232</v>
      </c>
      <c r="Q38" s="38">
        <f>SUM(Q28:Q36)</f>
        <v>0</v>
      </c>
    </row>
    <row r="39" spans="1:22" x14ac:dyDescent="0.25">
      <c r="M39" s="38" t="s">
        <v>233</v>
      </c>
      <c r="R39" s="38">
        <f>SUM(R28:R36)</f>
        <v>0</v>
      </c>
    </row>
    <row r="40" spans="1:22" x14ac:dyDescent="0.25">
      <c r="M40" s="38" t="s">
        <v>234</v>
      </c>
      <c r="S40" s="38">
        <f>SUM(S28:S36)</f>
        <v>0</v>
      </c>
    </row>
    <row r="41" spans="1:22" x14ac:dyDescent="0.25">
      <c r="M41" s="38" t="s">
        <v>235</v>
      </c>
      <c r="Q41" s="38">
        <f>Q38+R39+S40</f>
        <v>0</v>
      </c>
    </row>
    <row r="42" spans="1:22" x14ac:dyDescent="0.25">
      <c r="M42" s="38" t="s">
        <v>236</v>
      </c>
      <c r="Q42" s="38">
        <f>Var!N68</f>
        <v>100</v>
      </c>
    </row>
    <row r="43" spans="1:22" x14ac:dyDescent="0.25">
      <c r="M43" s="38" t="s">
        <v>237</v>
      </c>
      <c r="Q43" s="38">
        <f>CEILING(Q41/Q42,1)</f>
        <v>0</v>
      </c>
    </row>
    <row r="45" spans="1:22" s="150" customFormat="1" ht="28.5" customHeight="1" x14ac:dyDescent="0.25">
      <c r="D45" s="42"/>
      <c r="E45" s="42"/>
      <c r="F45" s="42"/>
      <c r="N45" s="150" t="s">
        <v>248</v>
      </c>
      <c r="T45" s="150" t="s">
        <v>249</v>
      </c>
      <c r="U45" s="150" t="s">
        <v>250</v>
      </c>
      <c r="V45" s="150" t="s">
        <v>251</v>
      </c>
    </row>
    <row r="46" spans="1:22" x14ac:dyDescent="0.25">
      <c r="M46" s="38" t="s">
        <v>252</v>
      </c>
      <c r="N46" s="38">
        <f>Q38</f>
        <v>0</v>
      </c>
      <c r="T46" s="38">
        <f>CEILING((N46*1.1),1)</f>
        <v>0</v>
      </c>
      <c r="U46" s="38">
        <f>CEILING((T46*1.25),1)</f>
        <v>0</v>
      </c>
      <c r="V46" s="38">
        <f>CEILING((U46/12),1)</f>
        <v>0</v>
      </c>
    </row>
    <row r="47" spans="1:22" x14ac:dyDescent="0.25">
      <c r="M47" s="38" t="s">
        <v>253</v>
      </c>
      <c r="N47" s="38">
        <f>R39</f>
        <v>0</v>
      </c>
      <c r="T47" s="38">
        <f>CEILING((N47*1.1),1)</f>
        <v>0</v>
      </c>
      <c r="U47" s="38">
        <f>CEILING((T47*1.25),1)</f>
        <v>0</v>
      </c>
      <c r="V47" s="38">
        <f>CEILING((U47/12),1)</f>
        <v>0</v>
      </c>
    </row>
    <row r="48" spans="1:22" x14ac:dyDescent="0.25">
      <c r="M48" s="38" t="s">
        <v>254</v>
      </c>
      <c r="N48" s="38">
        <f>S40</f>
        <v>0</v>
      </c>
      <c r="T48" s="38">
        <f>CEILING((N48*1.1),1)</f>
        <v>0</v>
      </c>
      <c r="U48" s="38">
        <f>CEILING((T48*1.25),1)</f>
        <v>0</v>
      </c>
      <c r="V48" s="38">
        <f>CEILING((U48/12),1)</f>
        <v>0</v>
      </c>
    </row>
    <row r="49" spans="1:22" x14ac:dyDescent="0.25">
      <c r="M49" s="38" t="s">
        <v>255</v>
      </c>
      <c r="N49" s="38">
        <f>Q43</f>
        <v>0</v>
      </c>
      <c r="T49" s="38">
        <f>CEILING((N49*1.1),1)</f>
        <v>0</v>
      </c>
      <c r="U49" s="38">
        <f>CEILING((T49*1.25),1)</f>
        <v>0</v>
      </c>
      <c r="V49" s="38">
        <f>CEILING((U49/12),1)</f>
        <v>0</v>
      </c>
    </row>
    <row r="50" spans="1:22" x14ac:dyDescent="0.25">
      <c r="M50" s="38" t="s">
        <v>256</v>
      </c>
      <c r="N50" s="38">
        <f>G2</f>
        <v>0</v>
      </c>
      <c r="T50" s="38">
        <f>CEILING((N50*1.1),1)</f>
        <v>0</v>
      </c>
      <c r="U50" s="38">
        <f>CEILING((T50*1.25),1)</f>
        <v>0</v>
      </c>
      <c r="V50" s="38">
        <f>CEILING((U50/12),1)</f>
        <v>0</v>
      </c>
    </row>
    <row r="52" spans="1:22" x14ac:dyDescent="0.25">
      <c r="A52" s="38" t="s">
        <v>299</v>
      </c>
    </row>
  </sheetData>
  <mergeCells count="13">
    <mergeCell ref="S17:Z17"/>
    <mergeCell ref="S9:Z9"/>
    <mergeCell ref="S10:Z10"/>
    <mergeCell ref="S11:Z11"/>
    <mergeCell ref="S13:Z13"/>
    <mergeCell ref="S14:Z14"/>
    <mergeCell ref="S15:Z15"/>
    <mergeCell ref="S8:Z8"/>
    <mergeCell ref="S2:Z2"/>
    <mergeCell ref="S3:Z3"/>
    <mergeCell ref="S4:Z4"/>
    <mergeCell ref="S5:Z5"/>
    <mergeCell ref="S7:Z7"/>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Index</vt:lpstr>
      <vt:lpstr>Var</vt:lpstr>
      <vt:lpstr>CHMTCmTm</vt:lpstr>
      <vt:lpstr>CoChMn</vt:lpstr>
      <vt:lpstr>VacDelHQ</vt:lpstr>
      <vt:lpstr>CHMTCmTmforFac</vt:lpstr>
      <vt:lpstr>SumCncl</vt:lpstr>
      <vt:lpstr>SumFcl</vt:lpstr>
      <vt:lpstr>HFPlTm</vt:lpstr>
      <vt:lpstr>SupPl</vt:lpstr>
      <vt:lpstr>C for c</vt:lpstr>
      <vt:lpstr>C for f</vt:lpstr>
      <vt:lpstr>'C for c'!Print_Area</vt:lpstr>
      <vt:lpstr>'C for f'!Print_Area</vt:lpstr>
      <vt:lpstr>CHMTCmTm!Print_Area</vt:lpstr>
      <vt:lpstr>CHMTCmTmforFac!Print_Area</vt:lpstr>
      <vt:lpstr>CoChMn!Print_Area</vt:lpstr>
      <vt:lpstr>HFPlTm!Print_Area</vt:lpstr>
      <vt:lpstr>Index!Print_Area</vt:lpstr>
      <vt:lpstr>SumCncl!Print_Area</vt:lpstr>
      <vt:lpstr>SumFcl!Print_Area</vt:lpstr>
      <vt:lpstr>SupPl!Print_Area</vt:lpstr>
      <vt:lpstr>VacDelHQ!Print_Area</vt:lpstr>
      <vt:lpstr>Var!Print_Area</vt:lpstr>
      <vt:lpstr>CHMTCmTm!Print_Titles</vt:lpstr>
      <vt:lpstr>CHMTCmTmforFac!Print_Titles</vt:lpstr>
      <vt:lpstr>SumCncl!Print_Titles</vt:lpstr>
      <vt:lpstr>SumFcl!Print_Titles</vt:lpstr>
      <vt:lpstr>SupPl!Print_Titles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2016-11-27T08:12:16Z</cp:lastPrinted>
  <dcterms:created xsi:type="dcterms:W3CDTF">2015-11-18T07:52:07Z</dcterms:created>
  <dcterms:modified xsi:type="dcterms:W3CDTF">2026-07-10T11:43:40Z</dcterms:modified>
</cp:coreProperties>
</file>