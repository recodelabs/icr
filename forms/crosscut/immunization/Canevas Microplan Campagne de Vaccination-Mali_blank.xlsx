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defaultThemeVersion="124226"/>
  <xr:revisionPtr revIDLastSave="0" documentId="13_ncr:1_{9126C6C5-0BDD-42D0-8C47-C03E733A03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amètres" sheetId="13" r:id="rId1"/>
    <sheet name="Canevas" sheetId="33" r:id="rId2"/>
    <sheet name="DISTRICT6" sheetId="36" state="hidden" r:id="rId3"/>
    <sheet name="DISTRICT7" sheetId="37" state="hidden" r:id="rId4"/>
    <sheet name="DISTRICT8" sheetId="38" state="hidden" r:id="rId5"/>
    <sheet name="DISTRICT9" sheetId="39" state="hidden" r:id="rId6"/>
    <sheet name="DISTRICT10" sheetId="40" state="hidden" r:id="rId7"/>
    <sheet name="Mob soc" sheetId="24" state="hidden" r:id="rId8"/>
    <sheet name="Chaine du froid" sheetId="30" state="hidden" r:id="rId9"/>
  </sheets>
  <definedNames>
    <definedName name="niv_2">#REF!</definedName>
    <definedName name="nivo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2" i="33" l="1"/>
  <c r="AS60" i="33"/>
  <c r="AS61" i="33"/>
  <c r="AS62" i="33"/>
  <c r="AS63" i="33"/>
  <c r="AS64" i="33"/>
  <c r="AS65" i="33"/>
  <c r="AS66" i="33"/>
  <c r="AS67" i="33"/>
  <c r="AS68" i="33"/>
  <c r="AS69" i="33"/>
  <c r="AS70" i="33"/>
  <c r="AS71" i="33"/>
  <c r="AS52" i="33"/>
  <c r="AS53" i="33"/>
  <c r="AS54" i="33"/>
  <c r="AS55" i="33"/>
  <c r="AS56" i="33"/>
  <c r="AS57" i="33"/>
  <c r="AS58" i="33"/>
  <c r="AS59" i="33"/>
  <c r="AR47" i="33"/>
  <c r="J3" i="33" l="1"/>
  <c r="D10" i="24"/>
  <c r="D12" i="24"/>
  <c r="D9" i="24"/>
  <c r="AS4" i="33"/>
  <c r="AS5" i="33"/>
  <c r="AS6" i="33"/>
  <c r="AS7" i="33"/>
  <c r="AS8" i="33"/>
  <c r="AS9" i="33"/>
  <c r="AS10" i="33"/>
  <c r="AS11" i="33"/>
  <c r="AS12" i="33"/>
  <c r="AS13" i="33"/>
  <c r="AS14" i="33"/>
  <c r="AS15" i="33"/>
  <c r="AS16" i="33"/>
  <c r="AS17" i="33"/>
  <c r="AS18" i="33"/>
  <c r="AS19" i="33"/>
  <c r="AS20" i="33"/>
  <c r="AS21" i="33"/>
  <c r="AS22" i="33"/>
  <c r="AS23" i="33"/>
  <c r="AS24" i="33"/>
  <c r="AS25" i="33"/>
  <c r="AS26" i="33"/>
  <c r="AS27" i="33"/>
  <c r="AS28" i="33"/>
  <c r="AS29" i="33"/>
  <c r="AS30" i="33"/>
  <c r="AS31" i="33"/>
  <c r="AS32" i="33"/>
  <c r="AS33" i="33"/>
  <c r="AS34" i="33"/>
  <c r="AS35" i="33"/>
  <c r="AS36" i="33"/>
  <c r="AS37" i="33"/>
  <c r="AS38" i="33"/>
  <c r="AS39" i="33"/>
  <c r="AS40" i="33"/>
  <c r="AS41" i="33"/>
  <c r="AS42" i="33"/>
  <c r="AS43" i="33"/>
  <c r="AS44" i="33"/>
  <c r="AS45" i="33"/>
  <c r="AS46" i="33"/>
  <c r="AS47" i="33"/>
  <c r="AS48" i="33"/>
  <c r="AS49" i="33"/>
  <c r="AS50" i="33"/>
  <c r="AS51" i="33"/>
  <c r="AS3" i="33"/>
  <c r="C72" i="33"/>
  <c r="A72" i="33"/>
  <c r="AS72" i="33" l="1"/>
  <c r="I7" i="30" l="1"/>
  <c r="F7" i="30"/>
  <c r="J7" i="30" l="1"/>
  <c r="F72" i="33" l="1"/>
  <c r="B19" i="13" l="1"/>
  <c r="BH72" i="37" l="1"/>
  <c r="BH72" i="38"/>
  <c r="BH72" i="36"/>
  <c r="BF72" i="37"/>
  <c r="BF72" i="38"/>
  <c r="BF72" i="36"/>
  <c r="BE72" i="37"/>
  <c r="BE72" i="38"/>
  <c r="BE72" i="36"/>
  <c r="AZ72" i="37"/>
  <c r="AZ72" i="38"/>
  <c r="AZ72" i="36"/>
  <c r="AY72" i="37"/>
  <c r="AY72" i="38"/>
  <c r="AY72" i="36"/>
  <c r="AU72" i="37"/>
  <c r="AU72" i="38"/>
  <c r="AU72" i="36"/>
  <c r="BH72" i="40" l="1"/>
  <c r="BF72" i="40"/>
  <c r="BE72" i="40"/>
  <c r="AZ72" i="40"/>
  <c r="AY72" i="40"/>
  <c r="AU72" i="40"/>
  <c r="BH72" i="39"/>
  <c r="BF72" i="39"/>
  <c r="BE72" i="39"/>
  <c r="BC72" i="39"/>
  <c r="AZ72" i="39"/>
  <c r="AY72" i="39"/>
  <c r="AU72" i="39"/>
  <c r="A17" i="24" l="1"/>
  <c r="A18" i="24"/>
  <c r="BC72" i="40"/>
  <c r="E72" i="40"/>
  <c r="AT72" i="40" s="1"/>
  <c r="D72" i="40"/>
  <c r="C72" i="40"/>
  <c r="D18" i="24" s="1"/>
  <c r="AS71" i="40"/>
  <c r="AG71" i="40"/>
  <c r="AF71" i="40"/>
  <c r="J71" i="40"/>
  <c r="N71" i="40" s="1"/>
  <c r="O71" i="40" s="1"/>
  <c r="AS70" i="40"/>
  <c r="AG70" i="40"/>
  <c r="AF70" i="40"/>
  <c r="J70" i="40"/>
  <c r="N70" i="40" s="1"/>
  <c r="O70" i="40" s="1"/>
  <c r="P70" i="40" s="1"/>
  <c r="AS69" i="40"/>
  <c r="AG69" i="40"/>
  <c r="AF69" i="40"/>
  <c r="J69" i="40"/>
  <c r="M69" i="40" s="1"/>
  <c r="AS68" i="40"/>
  <c r="AG68" i="40"/>
  <c r="AF68" i="40"/>
  <c r="J68" i="40"/>
  <c r="L68" i="40" s="1"/>
  <c r="S68" i="40" s="1"/>
  <c r="AS67" i="40"/>
  <c r="AG67" i="40"/>
  <c r="AF67" i="40"/>
  <c r="J67" i="40"/>
  <c r="N67" i="40" s="1"/>
  <c r="O67" i="40" s="1"/>
  <c r="AS66" i="40"/>
  <c r="AG66" i="40"/>
  <c r="AF66" i="40"/>
  <c r="J66" i="40"/>
  <c r="N66" i="40" s="1"/>
  <c r="O66" i="40" s="1"/>
  <c r="P66" i="40" s="1"/>
  <c r="AS65" i="40"/>
  <c r="AG65" i="40"/>
  <c r="AF65" i="40"/>
  <c r="J65" i="40"/>
  <c r="AS64" i="40"/>
  <c r="AG64" i="40"/>
  <c r="AF64" i="40"/>
  <c r="J64" i="40"/>
  <c r="L64" i="40" s="1"/>
  <c r="S64" i="40" s="1"/>
  <c r="AS63" i="40"/>
  <c r="AG63" i="40"/>
  <c r="AF63" i="40"/>
  <c r="J63" i="40"/>
  <c r="N63" i="40" s="1"/>
  <c r="AS62" i="40"/>
  <c r="AG62" i="40"/>
  <c r="AF62" i="40"/>
  <c r="J62" i="40"/>
  <c r="N62" i="40" s="1"/>
  <c r="O62" i="40" s="1"/>
  <c r="P62" i="40" s="1"/>
  <c r="AS61" i="40"/>
  <c r="AG61" i="40"/>
  <c r="AF61" i="40"/>
  <c r="J61" i="40"/>
  <c r="M61" i="40" s="1"/>
  <c r="AS60" i="40"/>
  <c r="AG60" i="40"/>
  <c r="AF60" i="40"/>
  <c r="J60" i="40"/>
  <c r="L60" i="40" s="1"/>
  <c r="S60" i="40" s="1"/>
  <c r="AS59" i="40"/>
  <c r="AG59" i="40"/>
  <c r="AF59" i="40"/>
  <c r="J59" i="40"/>
  <c r="AS58" i="40"/>
  <c r="AG58" i="40"/>
  <c r="AF58" i="40"/>
  <c r="J58" i="40"/>
  <c r="N58" i="40" s="1"/>
  <c r="O58" i="40" s="1"/>
  <c r="P58" i="40" s="1"/>
  <c r="AS57" i="40"/>
  <c r="AG57" i="40"/>
  <c r="AF57" i="40"/>
  <c r="J57" i="40"/>
  <c r="AS56" i="40"/>
  <c r="AG56" i="40"/>
  <c r="AF56" i="40"/>
  <c r="J56" i="40"/>
  <c r="L56" i="40" s="1"/>
  <c r="S56" i="40" s="1"/>
  <c r="AS55" i="40"/>
  <c r="AG55" i="40"/>
  <c r="AF55" i="40"/>
  <c r="J55" i="40"/>
  <c r="AS54" i="40"/>
  <c r="AG54" i="40"/>
  <c r="AF54" i="40"/>
  <c r="J54" i="40"/>
  <c r="N54" i="40" s="1"/>
  <c r="O54" i="40" s="1"/>
  <c r="P54" i="40" s="1"/>
  <c r="AS53" i="40"/>
  <c r="AG53" i="40"/>
  <c r="AF53" i="40"/>
  <c r="J53" i="40"/>
  <c r="M53" i="40" s="1"/>
  <c r="AS52" i="40"/>
  <c r="AG52" i="40"/>
  <c r="AF52" i="40"/>
  <c r="J52" i="40"/>
  <c r="L52" i="40" s="1"/>
  <c r="S52" i="40" s="1"/>
  <c r="AS51" i="40"/>
  <c r="AG51" i="40"/>
  <c r="AF51" i="40"/>
  <c r="J51" i="40"/>
  <c r="N51" i="40" s="1"/>
  <c r="O51" i="40" s="1"/>
  <c r="AS50" i="40"/>
  <c r="AG50" i="40"/>
  <c r="AF50" i="40"/>
  <c r="J50" i="40"/>
  <c r="N50" i="40" s="1"/>
  <c r="O50" i="40" s="1"/>
  <c r="P50" i="40" s="1"/>
  <c r="AS49" i="40"/>
  <c r="AG49" i="40"/>
  <c r="AF49" i="40"/>
  <c r="J49" i="40"/>
  <c r="AS48" i="40"/>
  <c r="AG48" i="40"/>
  <c r="AF48" i="40"/>
  <c r="J48" i="40"/>
  <c r="L48" i="40" s="1"/>
  <c r="S48" i="40" s="1"/>
  <c r="AS47" i="40"/>
  <c r="AG47" i="40"/>
  <c r="AF47" i="40"/>
  <c r="J47" i="40"/>
  <c r="N47" i="40" s="1"/>
  <c r="AS46" i="40"/>
  <c r="AG46" i="40"/>
  <c r="AF46" i="40"/>
  <c r="J46" i="40"/>
  <c r="N46" i="40" s="1"/>
  <c r="AS45" i="40"/>
  <c r="AG45" i="40"/>
  <c r="AF45" i="40"/>
  <c r="J45" i="40"/>
  <c r="M45" i="40" s="1"/>
  <c r="AS44" i="40"/>
  <c r="AG44" i="40"/>
  <c r="AF44" i="40"/>
  <c r="J44" i="40"/>
  <c r="L44" i="40" s="1"/>
  <c r="S44" i="40" s="1"/>
  <c r="AS43" i="40"/>
  <c r="AG43" i="40"/>
  <c r="AF43" i="40"/>
  <c r="J43" i="40"/>
  <c r="N43" i="40" s="1"/>
  <c r="O43" i="40" s="1"/>
  <c r="AS42" i="40"/>
  <c r="AG42" i="40"/>
  <c r="AF42" i="40"/>
  <c r="J42" i="40"/>
  <c r="N42" i="40" s="1"/>
  <c r="O42" i="40" s="1"/>
  <c r="P42" i="40" s="1"/>
  <c r="AS41" i="40"/>
  <c r="AG41" i="40"/>
  <c r="AF41" i="40"/>
  <c r="J41" i="40"/>
  <c r="M41" i="40" s="1"/>
  <c r="AS40" i="40"/>
  <c r="AG40" i="40"/>
  <c r="AF40" i="40"/>
  <c r="J40" i="40"/>
  <c r="M40" i="40" s="1"/>
  <c r="AS39" i="40"/>
  <c r="AG39" i="40"/>
  <c r="AF39" i="40"/>
  <c r="J39" i="40"/>
  <c r="N39" i="40" s="1"/>
  <c r="O39" i="40" s="1"/>
  <c r="AS38" i="40"/>
  <c r="AG38" i="40"/>
  <c r="AF38" i="40"/>
  <c r="J38" i="40"/>
  <c r="N38" i="40" s="1"/>
  <c r="O38" i="40" s="1"/>
  <c r="P38" i="40" s="1"/>
  <c r="AS37" i="40"/>
  <c r="AG37" i="40"/>
  <c r="AF37" i="40"/>
  <c r="J37" i="40"/>
  <c r="AS36" i="40"/>
  <c r="AG36" i="40"/>
  <c r="AF36" i="40"/>
  <c r="J36" i="40"/>
  <c r="L36" i="40" s="1"/>
  <c r="S36" i="40" s="1"/>
  <c r="AS35" i="40"/>
  <c r="AG35" i="40"/>
  <c r="AF35" i="40"/>
  <c r="J35" i="40"/>
  <c r="AS34" i="40"/>
  <c r="AG34" i="40"/>
  <c r="AF34" i="40"/>
  <c r="J34" i="40"/>
  <c r="N34" i="40" s="1"/>
  <c r="O34" i="40" s="1"/>
  <c r="P34" i="40" s="1"/>
  <c r="AS33" i="40"/>
  <c r="AG33" i="40"/>
  <c r="AF33" i="40"/>
  <c r="J33" i="40"/>
  <c r="M33" i="40" s="1"/>
  <c r="AS32" i="40"/>
  <c r="AG32" i="40"/>
  <c r="AF32" i="40"/>
  <c r="J32" i="40"/>
  <c r="L32" i="40" s="1"/>
  <c r="S32" i="40" s="1"/>
  <c r="AS31" i="40"/>
  <c r="AG31" i="40"/>
  <c r="AF31" i="40"/>
  <c r="J31" i="40"/>
  <c r="N31" i="40" s="1"/>
  <c r="O31" i="40" s="1"/>
  <c r="AS30" i="40"/>
  <c r="AG30" i="40"/>
  <c r="AF30" i="40"/>
  <c r="J30" i="40"/>
  <c r="N30" i="40" s="1"/>
  <c r="O30" i="40" s="1"/>
  <c r="P30" i="40" s="1"/>
  <c r="AS29" i="40"/>
  <c r="AG29" i="40"/>
  <c r="AF29" i="40"/>
  <c r="J29" i="40"/>
  <c r="M29" i="40" s="1"/>
  <c r="AS28" i="40"/>
  <c r="AG28" i="40"/>
  <c r="AF28" i="40"/>
  <c r="J28" i="40"/>
  <c r="N28" i="40" s="1"/>
  <c r="O28" i="40" s="1"/>
  <c r="AS27" i="40"/>
  <c r="AG27" i="40"/>
  <c r="AF27" i="40"/>
  <c r="J27" i="40"/>
  <c r="AS26" i="40"/>
  <c r="AG26" i="40"/>
  <c r="AF26" i="40"/>
  <c r="J26" i="40"/>
  <c r="K26" i="40" s="1"/>
  <c r="R26" i="40" s="1"/>
  <c r="AS25" i="40"/>
  <c r="AG25" i="40"/>
  <c r="AF25" i="40"/>
  <c r="J25" i="40"/>
  <c r="N25" i="40" s="1"/>
  <c r="AS24" i="40"/>
  <c r="AG24" i="40"/>
  <c r="AF24" i="40"/>
  <c r="J24" i="40"/>
  <c r="N24" i="40" s="1"/>
  <c r="O24" i="40" s="1"/>
  <c r="AS23" i="40"/>
  <c r="AG23" i="40"/>
  <c r="AF23" i="40"/>
  <c r="J23" i="40"/>
  <c r="M23" i="40" s="1"/>
  <c r="AS22" i="40"/>
  <c r="AG22" i="40"/>
  <c r="AF22" i="40"/>
  <c r="J22" i="40"/>
  <c r="K22" i="40" s="1"/>
  <c r="R22" i="40" s="1"/>
  <c r="AS21" i="40"/>
  <c r="AG21" i="40"/>
  <c r="AF21" i="40"/>
  <c r="J21" i="40"/>
  <c r="N21" i="40" s="1"/>
  <c r="O21" i="40" s="1"/>
  <c r="AS20" i="40"/>
  <c r="AG20" i="40"/>
  <c r="AF20" i="40"/>
  <c r="J20" i="40"/>
  <c r="N20" i="40" s="1"/>
  <c r="O20" i="40" s="1"/>
  <c r="AS19" i="40"/>
  <c r="AG19" i="40"/>
  <c r="AF19" i="40"/>
  <c r="J19" i="40"/>
  <c r="AS18" i="40"/>
  <c r="AG18" i="40"/>
  <c r="AF18" i="40"/>
  <c r="J18" i="40"/>
  <c r="K18" i="40" s="1"/>
  <c r="R18" i="40" s="1"/>
  <c r="AS17" i="40"/>
  <c r="AG17" i="40"/>
  <c r="AF17" i="40"/>
  <c r="J17" i="40"/>
  <c r="N17" i="40" s="1"/>
  <c r="O17" i="40" s="1"/>
  <c r="AS16" i="40"/>
  <c r="AG16" i="40"/>
  <c r="AF16" i="40"/>
  <c r="J16" i="40"/>
  <c r="N16" i="40" s="1"/>
  <c r="O16" i="40" s="1"/>
  <c r="AS15" i="40"/>
  <c r="AG15" i="40"/>
  <c r="AF15" i="40"/>
  <c r="J15" i="40"/>
  <c r="M15" i="40" s="1"/>
  <c r="AS14" i="40"/>
  <c r="AG14" i="40"/>
  <c r="AF14" i="40"/>
  <c r="J14" i="40"/>
  <c r="K14" i="40" s="1"/>
  <c r="R14" i="40" s="1"/>
  <c r="AS13" i="40"/>
  <c r="AG13" i="40"/>
  <c r="AF13" i="40"/>
  <c r="J13" i="40"/>
  <c r="AS12" i="40"/>
  <c r="AG12" i="40"/>
  <c r="AF12" i="40"/>
  <c r="J12" i="40"/>
  <c r="N12" i="40" s="1"/>
  <c r="AS11" i="40"/>
  <c r="AG11" i="40"/>
  <c r="AF11" i="40"/>
  <c r="J11" i="40"/>
  <c r="M11" i="40" s="1"/>
  <c r="AS10" i="40"/>
  <c r="AG10" i="40"/>
  <c r="AF10" i="40"/>
  <c r="J10" i="40"/>
  <c r="K10" i="40" s="1"/>
  <c r="R10" i="40" s="1"/>
  <c r="AS9" i="40"/>
  <c r="AG9" i="40"/>
  <c r="AF9" i="40"/>
  <c r="J9" i="40"/>
  <c r="N9" i="40" s="1"/>
  <c r="O9" i="40" s="1"/>
  <c r="AS8" i="40"/>
  <c r="AG8" i="40"/>
  <c r="AF8" i="40"/>
  <c r="J8" i="40"/>
  <c r="N8" i="40" s="1"/>
  <c r="O8" i="40" s="1"/>
  <c r="AS7" i="40"/>
  <c r="AG7" i="40"/>
  <c r="AF7" i="40"/>
  <c r="J7" i="40"/>
  <c r="N7" i="40" s="1"/>
  <c r="O7" i="40" s="1"/>
  <c r="AS6" i="40"/>
  <c r="AG6" i="40"/>
  <c r="AF6" i="40"/>
  <c r="J6" i="40"/>
  <c r="K6" i="40" s="1"/>
  <c r="R6" i="40" s="1"/>
  <c r="AS5" i="40"/>
  <c r="AG5" i="40"/>
  <c r="AF5" i="40"/>
  <c r="J5" i="40"/>
  <c r="N5" i="40" s="1"/>
  <c r="O5" i="40" s="1"/>
  <c r="AS4" i="40"/>
  <c r="AG4" i="40"/>
  <c r="AF4" i="40"/>
  <c r="J4" i="40"/>
  <c r="AS3" i="40"/>
  <c r="AG3" i="40"/>
  <c r="AF3" i="40"/>
  <c r="J3" i="40"/>
  <c r="L3" i="40" s="1"/>
  <c r="S3" i="40" s="1"/>
  <c r="W3" i="40" s="1"/>
  <c r="E72" i="39"/>
  <c r="AT72" i="39" s="1"/>
  <c r="D72" i="39"/>
  <c r="C72" i="39"/>
  <c r="D17" i="24" s="1"/>
  <c r="AS71" i="39"/>
  <c r="AG71" i="39"/>
  <c r="AF71" i="39"/>
  <c r="J71" i="39"/>
  <c r="L71" i="39" s="1"/>
  <c r="S71" i="39" s="1"/>
  <c r="W71" i="39" s="1"/>
  <c r="AS70" i="39"/>
  <c r="AG70" i="39"/>
  <c r="AF70" i="39"/>
  <c r="J70" i="39"/>
  <c r="N70" i="39" s="1"/>
  <c r="O70" i="39" s="1"/>
  <c r="P70" i="39" s="1"/>
  <c r="AS69" i="39"/>
  <c r="AG69" i="39"/>
  <c r="AF69" i="39"/>
  <c r="J69" i="39"/>
  <c r="N69" i="39" s="1"/>
  <c r="O69" i="39" s="1"/>
  <c r="AS68" i="39"/>
  <c r="AG68" i="39"/>
  <c r="AF68" i="39"/>
  <c r="J68" i="39"/>
  <c r="N68" i="39" s="1"/>
  <c r="O68" i="39" s="1"/>
  <c r="AS67" i="39"/>
  <c r="AG67" i="39"/>
  <c r="AF67" i="39"/>
  <c r="J67" i="39"/>
  <c r="L67" i="39" s="1"/>
  <c r="S67" i="39" s="1"/>
  <c r="W67" i="39" s="1"/>
  <c r="AS66" i="39"/>
  <c r="AG66" i="39"/>
  <c r="AF66" i="39"/>
  <c r="J66" i="39"/>
  <c r="N66" i="39" s="1"/>
  <c r="O66" i="39" s="1"/>
  <c r="AS65" i="39"/>
  <c r="AG65" i="39"/>
  <c r="AF65" i="39"/>
  <c r="J65" i="39"/>
  <c r="N65" i="39" s="1"/>
  <c r="O65" i="39" s="1"/>
  <c r="AS64" i="39"/>
  <c r="AG64" i="39"/>
  <c r="AF64" i="39"/>
  <c r="J64" i="39"/>
  <c r="AS63" i="39"/>
  <c r="AG63" i="39"/>
  <c r="AF63" i="39"/>
  <c r="J63" i="39"/>
  <c r="AS62" i="39"/>
  <c r="AG62" i="39"/>
  <c r="AF62" i="39"/>
  <c r="J62" i="39"/>
  <c r="N62" i="39" s="1"/>
  <c r="AS61" i="39"/>
  <c r="AG61" i="39"/>
  <c r="AF61" i="39"/>
  <c r="J61" i="39"/>
  <c r="N61" i="39" s="1"/>
  <c r="O61" i="39" s="1"/>
  <c r="AS60" i="39"/>
  <c r="AG60" i="39"/>
  <c r="AF60" i="39"/>
  <c r="J60" i="39"/>
  <c r="N60" i="39" s="1"/>
  <c r="O60" i="39" s="1"/>
  <c r="AS59" i="39"/>
  <c r="AG59" i="39"/>
  <c r="AF59" i="39"/>
  <c r="J59" i="39"/>
  <c r="L59" i="39" s="1"/>
  <c r="S59" i="39" s="1"/>
  <c r="W59" i="39" s="1"/>
  <c r="AS58" i="39"/>
  <c r="AG58" i="39"/>
  <c r="AF58" i="39"/>
  <c r="J58" i="39"/>
  <c r="N58" i="39" s="1"/>
  <c r="O58" i="39" s="1"/>
  <c r="P58" i="39" s="1"/>
  <c r="AS57" i="39"/>
  <c r="AG57" i="39"/>
  <c r="AF57" i="39"/>
  <c r="J57" i="39"/>
  <c r="N57" i="39" s="1"/>
  <c r="O57" i="39" s="1"/>
  <c r="AS56" i="39"/>
  <c r="AG56" i="39"/>
  <c r="AF56" i="39"/>
  <c r="J56" i="39"/>
  <c r="N56" i="39" s="1"/>
  <c r="O56" i="39" s="1"/>
  <c r="AS55" i="39"/>
  <c r="AG55" i="39"/>
  <c r="AF55" i="39"/>
  <c r="J55" i="39"/>
  <c r="L55" i="39" s="1"/>
  <c r="S55" i="39" s="1"/>
  <c r="W55" i="39" s="1"/>
  <c r="AS54" i="39"/>
  <c r="AG54" i="39"/>
  <c r="AF54" i="39"/>
  <c r="J54" i="39"/>
  <c r="N54" i="39" s="1"/>
  <c r="O54" i="39" s="1"/>
  <c r="P54" i="39" s="1"/>
  <c r="AS53" i="39"/>
  <c r="AG53" i="39"/>
  <c r="AF53" i="39"/>
  <c r="J53" i="39"/>
  <c r="N53" i="39" s="1"/>
  <c r="O53" i="39" s="1"/>
  <c r="AS52" i="39"/>
  <c r="AG52" i="39"/>
  <c r="AF52" i="39"/>
  <c r="J52" i="39"/>
  <c r="N52" i="39" s="1"/>
  <c r="O52" i="39" s="1"/>
  <c r="AS51" i="39"/>
  <c r="AG51" i="39"/>
  <c r="AF51" i="39"/>
  <c r="J51" i="39"/>
  <c r="L51" i="39" s="1"/>
  <c r="S51" i="39" s="1"/>
  <c r="W51" i="39" s="1"/>
  <c r="AS50" i="39"/>
  <c r="AG50" i="39"/>
  <c r="AF50" i="39"/>
  <c r="J50" i="39"/>
  <c r="N50" i="39" s="1"/>
  <c r="O50" i="39" s="1"/>
  <c r="AS49" i="39"/>
  <c r="AG49" i="39"/>
  <c r="AF49" i="39"/>
  <c r="J49" i="39"/>
  <c r="N49" i="39" s="1"/>
  <c r="O49" i="39" s="1"/>
  <c r="AS48" i="39"/>
  <c r="AG48" i="39"/>
  <c r="AF48" i="39"/>
  <c r="J48" i="39"/>
  <c r="AS47" i="39"/>
  <c r="AG47" i="39"/>
  <c r="AF47" i="39"/>
  <c r="J47" i="39"/>
  <c r="L47" i="39" s="1"/>
  <c r="S47" i="39" s="1"/>
  <c r="W47" i="39" s="1"/>
  <c r="AS46" i="39"/>
  <c r="AG46" i="39"/>
  <c r="AF46" i="39"/>
  <c r="J46" i="39"/>
  <c r="N46" i="39" s="1"/>
  <c r="O46" i="39" s="1"/>
  <c r="AS45" i="39"/>
  <c r="AG45" i="39"/>
  <c r="AF45" i="39"/>
  <c r="J45" i="39"/>
  <c r="N45" i="39" s="1"/>
  <c r="O45" i="39" s="1"/>
  <c r="AS44" i="39"/>
  <c r="AG44" i="39"/>
  <c r="AF44" i="39"/>
  <c r="J44" i="39"/>
  <c r="N44" i="39" s="1"/>
  <c r="O44" i="39" s="1"/>
  <c r="AS43" i="39"/>
  <c r="AG43" i="39"/>
  <c r="AF43" i="39"/>
  <c r="J43" i="39"/>
  <c r="L43" i="39" s="1"/>
  <c r="S43" i="39" s="1"/>
  <c r="W43" i="39" s="1"/>
  <c r="AS42" i="39"/>
  <c r="AG42" i="39"/>
  <c r="AF42" i="39"/>
  <c r="J42" i="39"/>
  <c r="N42" i="39" s="1"/>
  <c r="AS41" i="39"/>
  <c r="AG41" i="39"/>
  <c r="AF41" i="39"/>
  <c r="J41" i="39"/>
  <c r="N41" i="39" s="1"/>
  <c r="AM41" i="39" s="1"/>
  <c r="AS40" i="39"/>
  <c r="AG40" i="39"/>
  <c r="AF40" i="39"/>
  <c r="J40" i="39"/>
  <c r="N40" i="39" s="1"/>
  <c r="O40" i="39" s="1"/>
  <c r="AS39" i="39"/>
  <c r="AG39" i="39"/>
  <c r="AF39" i="39"/>
  <c r="J39" i="39"/>
  <c r="L39" i="39" s="1"/>
  <c r="S39" i="39" s="1"/>
  <c r="W39" i="39" s="1"/>
  <c r="AS38" i="39"/>
  <c r="AG38" i="39"/>
  <c r="AF38" i="39"/>
  <c r="J38" i="39"/>
  <c r="AS37" i="39"/>
  <c r="AG37" i="39"/>
  <c r="AF37" i="39"/>
  <c r="J37" i="39"/>
  <c r="N37" i="39" s="1"/>
  <c r="AS36" i="39"/>
  <c r="AG36" i="39"/>
  <c r="AF36" i="39"/>
  <c r="J36" i="39"/>
  <c r="N36" i="39" s="1"/>
  <c r="O36" i="39" s="1"/>
  <c r="AS35" i="39"/>
  <c r="AG35" i="39"/>
  <c r="AF35" i="39"/>
  <c r="J35" i="39"/>
  <c r="K35" i="39" s="1"/>
  <c r="R35" i="39" s="1"/>
  <c r="AS34" i="39"/>
  <c r="AG34" i="39"/>
  <c r="AF34" i="39"/>
  <c r="J34" i="39"/>
  <c r="N34" i="39" s="1"/>
  <c r="O34" i="39" s="1"/>
  <c r="P34" i="39" s="1"/>
  <c r="AS33" i="39"/>
  <c r="AG33" i="39"/>
  <c r="AF33" i="39"/>
  <c r="J33" i="39"/>
  <c r="M33" i="39" s="1"/>
  <c r="AS32" i="39"/>
  <c r="AG32" i="39"/>
  <c r="AF32" i="39"/>
  <c r="J32" i="39"/>
  <c r="N32" i="39" s="1"/>
  <c r="O32" i="39" s="1"/>
  <c r="AS31" i="39"/>
  <c r="AG31" i="39"/>
  <c r="AF31" i="39"/>
  <c r="J31" i="39"/>
  <c r="K31" i="39" s="1"/>
  <c r="R31" i="39" s="1"/>
  <c r="V31" i="39" s="1"/>
  <c r="AS30" i="39"/>
  <c r="AG30" i="39"/>
  <c r="AF30" i="39"/>
  <c r="J30" i="39"/>
  <c r="N30" i="39" s="1"/>
  <c r="O30" i="39" s="1"/>
  <c r="P30" i="39" s="1"/>
  <c r="AS29" i="39"/>
  <c r="AG29" i="39"/>
  <c r="AF29" i="39"/>
  <c r="J29" i="39"/>
  <c r="AS28" i="39"/>
  <c r="AG28" i="39"/>
  <c r="AF28" i="39"/>
  <c r="J28" i="39"/>
  <c r="K28" i="39" s="1"/>
  <c r="R28" i="39" s="1"/>
  <c r="AS27" i="39"/>
  <c r="AG27" i="39"/>
  <c r="AF27" i="39"/>
  <c r="J27" i="39"/>
  <c r="N27" i="39" s="1"/>
  <c r="AS26" i="39"/>
  <c r="AG26" i="39"/>
  <c r="AF26" i="39"/>
  <c r="J26" i="39"/>
  <c r="M26" i="39" s="1"/>
  <c r="AS25" i="39"/>
  <c r="AG25" i="39"/>
  <c r="AF25" i="39"/>
  <c r="J25" i="39"/>
  <c r="N25" i="39" s="1"/>
  <c r="O25" i="39" s="1"/>
  <c r="AS24" i="39"/>
  <c r="AG24" i="39"/>
  <c r="AF24" i="39"/>
  <c r="J24" i="39"/>
  <c r="K24" i="39" s="1"/>
  <c r="R24" i="39" s="1"/>
  <c r="AS23" i="39"/>
  <c r="AG23" i="39"/>
  <c r="AF23" i="39"/>
  <c r="J23" i="39"/>
  <c r="N23" i="39" s="1"/>
  <c r="O23" i="39" s="1"/>
  <c r="AS22" i="39"/>
  <c r="AG22" i="39"/>
  <c r="AF22" i="39"/>
  <c r="J22" i="39"/>
  <c r="N22" i="39" s="1"/>
  <c r="O22" i="39" s="1"/>
  <c r="AS21" i="39"/>
  <c r="AG21" i="39"/>
  <c r="AF21" i="39"/>
  <c r="J21" i="39"/>
  <c r="N21" i="39" s="1"/>
  <c r="O21" i="39" s="1"/>
  <c r="AS20" i="39"/>
  <c r="AG20" i="39"/>
  <c r="AF20" i="39"/>
  <c r="J20" i="39"/>
  <c r="K20" i="39" s="1"/>
  <c r="R20" i="39" s="1"/>
  <c r="AS19" i="39"/>
  <c r="AG19" i="39"/>
  <c r="AF19" i="39"/>
  <c r="J19" i="39"/>
  <c r="N19" i="39" s="1"/>
  <c r="O19" i="39" s="1"/>
  <c r="AS18" i="39"/>
  <c r="AG18" i="39"/>
  <c r="AF18" i="39"/>
  <c r="J18" i="39"/>
  <c r="N18" i="39" s="1"/>
  <c r="O18" i="39" s="1"/>
  <c r="AS17" i="39"/>
  <c r="AG17" i="39"/>
  <c r="AF17" i="39"/>
  <c r="J17" i="39"/>
  <c r="AS16" i="39"/>
  <c r="AG16" i="39"/>
  <c r="AF16" i="39"/>
  <c r="J16" i="39"/>
  <c r="AS15" i="39"/>
  <c r="AG15" i="39"/>
  <c r="AF15" i="39"/>
  <c r="J15" i="39"/>
  <c r="N15" i="39" s="1"/>
  <c r="AS14" i="39"/>
  <c r="AG14" i="39"/>
  <c r="AF14" i="39"/>
  <c r="J14" i="39"/>
  <c r="M14" i="39" s="1"/>
  <c r="AS13" i="39"/>
  <c r="AG13" i="39"/>
  <c r="AF13" i="39"/>
  <c r="J13" i="39"/>
  <c r="N13" i="39" s="1"/>
  <c r="O13" i="39" s="1"/>
  <c r="AS12" i="39"/>
  <c r="AG12" i="39"/>
  <c r="AF12" i="39"/>
  <c r="J12" i="39"/>
  <c r="AS11" i="39"/>
  <c r="AG11" i="39"/>
  <c r="AF11" i="39"/>
  <c r="J11" i="39"/>
  <c r="N11" i="39" s="1"/>
  <c r="O11" i="39" s="1"/>
  <c r="P11" i="39" s="1"/>
  <c r="AS10" i="39"/>
  <c r="AG10" i="39"/>
  <c r="AF10" i="39"/>
  <c r="J10" i="39"/>
  <c r="M10" i="39" s="1"/>
  <c r="AS9" i="39"/>
  <c r="AG9" i="39"/>
  <c r="AF9" i="39"/>
  <c r="J9" i="39"/>
  <c r="L9" i="39" s="1"/>
  <c r="S9" i="39" s="1"/>
  <c r="AS8" i="39"/>
  <c r="AG8" i="39"/>
  <c r="AF8" i="39"/>
  <c r="J8" i="39"/>
  <c r="N8" i="39" s="1"/>
  <c r="O8" i="39" s="1"/>
  <c r="AS7" i="39"/>
  <c r="AG7" i="39"/>
  <c r="AF7" i="39"/>
  <c r="J7" i="39"/>
  <c r="N7" i="39" s="1"/>
  <c r="O7" i="39" s="1"/>
  <c r="P7" i="39" s="1"/>
  <c r="AS6" i="39"/>
  <c r="AG6" i="39"/>
  <c r="AF6" i="39"/>
  <c r="J6" i="39"/>
  <c r="M6" i="39" s="1"/>
  <c r="AS5" i="39"/>
  <c r="AG5" i="39"/>
  <c r="AF5" i="39"/>
  <c r="J5" i="39"/>
  <c r="L5" i="39" s="1"/>
  <c r="S5" i="39" s="1"/>
  <c r="AS4" i="39"/>
  <c r="AG4" i="39"/>
  <c r="AF4" i="39"/>
  <c r="J4" i="39"/>
  <c r="N4" i="39" s="1"/>
  <c r="O4" i="39" s="1"/>
  <c r="AS3" i="39"/>
  <c r="AG3" i="39"/>
  <c r="AF3" i="39"/>
  <c r="J3" i="39"/>
  <c r="L34" i="39" l="1"/>
  <c r="S34" i="39" s="1"/>
  <c r="AA34" i="39" s="1"/>
  <c r="L26" i="39"/>
  <c r="S26" i="39" s="1"/>
  <c r="W26" i="39" s="1"/>
  <c r="M61" i="39"/>
  <c r="K61" i="39"/>
  <c r="R61" i="39" s="1"/>
  <c r="Z61" i="39" s="1"/>
  <c r="M24" i="40"/>
  <c r="M45" i="39"/>
  <c r="L24" i="40"/>
  <c r="S24" i="40" s="1"/>
  <c r="AA24" i="40" s="1"/>
  <c r="AM4" i="39"/>
  <c r="AM62" i="40"/>
  <c r="K13" i="39"/>
  <c r="R13" i="39" s="1"/>
  <c r="Z13" i="39" s="1"/>
  <c r="M47" i="39"/>
  <c r="L11" i="40"/>
  <c r="S11" i="40" s="1"/>
  <c r="AA11" i="40" s="1"/>
  <c r="AM38" i="40"/>
  <c r="L45" i="40"/>
  <c r="S45" i="40" s="1"/>
  <c r="AA45" i="40" s="1"/>
  <c r="AM44" i="39"/>
  <c r="AM42" i="40"/>
  <c r="K7" i="40"/>
  <c r="R7" i="40" s="1"/>
  <c r="V7" i="40" s="1"/>
  <c r="M42" i="40"/>
  <c r="AM52" i="39"/>
  <c r="AM58" i="40"/>
  <c r="AM8" i="39"/>
  <c r="O41" i="39"/>
  <c r="P41" i="39" s="1"/>
  <c r="Q41" i="39" s="1"/>
  <c r="M17" i="40"/>
  <c r="L34" i="40"/>
  <c r="S34" i="40" s="1"/>
  <c r="W34" i="40" s="1"/>
  <c r="M54" i="40"/>
  <c r="AM60" i="39"/>
  <c r="AM32" i="39"/>
  <c r="AM66" i="40"/>
  <c r="AM50" i="40"/>
  <c r="AM30" i="40"/>
  <c r="BG72" i="39"/>
  <c r="M23" i="39"/>
  <c r="M41" i="39"/>
  <c r="AA51" i="39"/>
  <c r="AA67" i="39"/>
  <c r="M16" i="40"/>
  <c r="L53" i="40"/>
  <c r="S53" i="40" s="1"/>
  <c r="W53" i="40" s="1"/>
  <c r="AM68" i="39"/>
  <c r="AM40" i="39"/>
  <c r="AM70" i="40"/>
  <c r="AM54" i="40"/>
  <c r="AM34" i="40"/>
  <c r="M65" i="40"/>
  <c r="L65" i="40"/>
  <c r="S65" i="40" s="1"/>
  <c r="W65" i="40" s="1"/>
  <c r="N29" i="39"/>
  <c r="K29" i="39"/>
  <c r="R29" i="39" s="1"/>
  <c r="Z29" i="39" s="1"/>
  <c r="M29" i="39"/>
  <c r="N4" i="40"/>
  <c r="L4" i="40"/>
  <c r="S4" i="40" s="1"/>
  <c r="AA4" i="40" s="1"/>
  <c r="M4" i="40"/>
  <c r="M19" i="40"/>
  <c r="L19" i="40"/>
  <c r="S19" i="40" s="1"/>
  <c r="AA19" i="40" s="1"/>
  <c r="M37" i="40"/>
  <c r="L37" i="40"/>
  <c r="S37" i="40" s="1"/>
  <c r="W37" i="40" s="1"/>
  <c r="M57" i="40"/>
  <c r="L57" i="40"/>
  <c r="S57" i="40" s="1"/>
  <c r="W57" i="40" s="1"/>
  <c r="AM36" i="39"/>
  <c r="K3" i="39"/>
  <c r="R3" i="39" s="1"/>
  <c r="M3" i="39"/>
  <c r="AM56" i="39"/>
  <c r="O63" i="40"/>
  <c r="P63" i="40" s="1"/>
  <c r="Q63" i="40" s="1"/>
  <c r="AM63" i="40"/>
  <c r="O27" i="39"/>
  <c r="P27" i="39" s="1"/>
  <c r="AM27" i="39"/>
  <c r="O42" i="39"/>
  <c r="P42" i="39" s="1"/>
  <c r="AM42" i="39"/>
  <c r="O15" i="39"/>
  <c r="P15" i="39" s="1"/>
  <c r="AM15" i="39"/>
  <c r="N17" i="39"/>
  <c r="M17" i="39"/>
  <c r="O37" i="39"/>
  <c r="P37" i="39" s="1"/>
  <c r="Q37" i="39" s="1"/>
  <c r="AM37" i="39"/>
  <c r="N38" i="39"/>
  <c r="L38" i="39"/>
  <c r="S38" i="39" s="1"/>
  <c r="AA38" i="39" s="1"/>
  <c r="O62" i="39"/>
  <c r="P62" i="39" s="1"/>
  <c r="Q62" i="39" s="1"/>
  <c r="AM62" i="39"/>
  <c r="L63" i="39"/>
  <c r="S63" i="39" s="1"/>
  <c r="W63" i="39" s="1"/>
  <c r="M63" i="39"/>
  <c r="O12" i="40"/>
  <c r="P12" i="40" s="1"/>
  <c r="Q12" i="40" s="1"/>
  <c r="AM12" i="40"/>
  <c r="N13" i="40"/>
  <c r="M13" i="40"/>
  <c r="O25" i="40"/>
  <c r="P25" i="40" s="1"/>
  <c r="Q25" i="40" s="1"/>
  <c r="AM25" i="40"/>
  <c r="M27" i="40"/>
  <c r="L27" i="40"/>
  <c r="S27" i="40" s="1"/>
  <c r="AA27" i="40" s="1"/>
  <c r="O46" i="40"/>
  <c r="P46" i="40" s="1"/>
  <c r="AM46" i="40"/>
  <c r="O47" i="40"/>
  <c r="P47" i="40" s="1"/>
  <c r="Q47" i="40" s="1"/>
  <c r="AM47" i="40"/>
  <c r="M49" i="40"/>
  <c r="L49" i="40"/>
  <c r="S49" i="40" s="1"/>
  <c r="W49" i="40" s="1"/>
  <c r="M62" i="40"/>
  <c r="BG72" i="40"/>
  <c r="AM69" i="39"/>
  <c r="AM65" i="39"/>
  <c r="AM61" i="39"/>
  <c r="AM57" i="39"/>
  <c r="AM53" i="39"/>
  <c r="AM49" i="39"/>
  <c r="AM45" i="39"/>
  <c r="AM25" i="39"/>
  <c r="AM21" i="39"/>
  <c r="AM13" i="39"/>
  <c r="AM71" i="40"/>
  <c r="AM67" i="40"/>
  <c r="AM51" i="40"/>
  <c r="AM43" i="40"/>
  <c r="AM39" i="40"/>
  <c r="AM31" i="40"/>
  <c r="AM7" i="40"/>
  <c r="K9" i="39"/>
  <c r="R9" i="39" s="1"/>
  <c r="V9" i="39" s="1"/>
  <c r="M19" i="39"/>
  <c r="K41" i="39"/>
  <c r="R41" i="39" s="1"/>
  <c r="V41" i="39" s="1"/>
  <c r="K45" i="39"/>
  <c r="R45" i="39" s="1"/>
  <c r="L16" i="40"/>
  <c r="S16" i="40" s="1"/>
  <c r="AA16" i="40" s="1"/>
  <c r="M21" i="40"/>
  <c r="M28" i="40"/>
  <c r="K40" i="40"/>
  <c r="R40" i="40" s="1"/>
  <c r="V40" i="40" s="1"/>
  <c r="M50" i="40"/>
  <c r="AM70" i="39"/>
  <c r="AM66" i="39"/>
  <c r="AM58" i="39"/>
  <c r="AM54" i="39"/>
  <c r="AM50" i="39"/>
  <c r="AM46" i="39"/>
  <c r="AM34" i="39"/>
  <c r="AM30" i="39"/>
  <c r="AM22" i="39"/>
  <c r="AM18" i="39"/>
  <c r="AM28" i="40"/>
  <c r="AM24" i="40"/>
  <c r="AM20" i="40"/>
  <c r="AM16" i="40"/>
  <c r="AM8" i="40"/>
  <c r="AA47" i="39"/>
  <c r="AM23" i="39"/>
  <c r="AM19" i="39"/>
  <c r="AM11" i="39"/>
  <c r="AM7" i="39"/>
  <c r="AM21" i="40"/>
  <c r="AM17" i="40"/>
  <c r="AM9" i="40"/>
  <c r="AM5" i="40"/>
  <c r="Q11" i="39"/>
  <c r="L17" i="39"/>
  <c r="S17" i="39" s="1"/>
  <c r="AA17" i="39" s="1"/>
  <c r="M27" i="39"/>
  <c r="L30" i="39"/>
  <c r="S30" i="39" s="1"/>
  <c r="W30" i="39" s="1"/>
  <c r="K33" i="39"/>
  <c r="R33" i="39" s="1"/>
  <c r="M37" i="39"/>
  <c r="L42" i="39"/>
  <c r="S42" i="39" s="1"/>
  <c r="AA42" i="39" s="1"/>
  <c r="K47" i="39"/>
  <c r="R47" i="39" s="1"/>
  <c r="Z47" i="39" s="1"/>
  <c r="AC47" i="39" s="1"/>
  <c r="M49" i="39"/>
  <c r="M51" i="39"/>
  <c r="L54" i="39"/>
  <c r="S54" i="39" s="1"/>
  <c r="AA54" i="39" s="1"/>
  <c r="L58" i="39"/>
  <c r="S58" i="39" s="1"/>
  <c r="AA58" i="39" s="1"/>
  <c r="K63" i="39"/>
  <c r="R63" i="39" s="1"/>
  <c r="Z63" i="39" s="1"/>
  <c r="M65" i="39"/>
  <c r="M67" i="39"/>
  <c r="L70" i="39"/>
  <c r="S70" i="39" s="1"/>
  <c r="AA70" i="39" s="1"/>
  <c r="K11" i="40"/>
  <c r="R11" i="40" s="1"/>
  <c r="M12" i="40"/>
  <c r="K19" i="40"/>
  <c r="R19" i="40" s="1"/>
  <c r="V19" i="40" s="1"/>
  <c r="M20" i="40"/>
  <c r="K27" i="40"/>
  <c r="R27" i="40" s="1"/>
  <c r="V27" i="40" s="1"/>
  <c r="L28" i="40"/>
  <c r="S28" i="40" s="1"/>
  <c r="W28" i="40" s="1"/>
  <c r="Q30" i="40"/>
  <c r="K34" i="40"/>
  <c r="R34" i="40" s="1"/>
  <c r="Z34" i="40" s="1"/>
  <c r="M38" i="40"/>
  <c r="L41" i="40"/>
  <c r="S41" i="40" s="1"/>
  <c r="W41" i="40" s="1"/>
  <c r="K45" i="40"/>
  <c r="R45" i="40" s="1"/>
  <c r="Z45" i="40" s="1"/>
  <c r="M46" i="40"/>
  <c r="M56" i="40"/>
  <c r="K60" i="40"/>
  <c r="R60" i="40" s="1"/>
  <c r="V60" i="40" s="1"/>
  <c r="Q62" i="40"/>
  <c r="M66" i="40"/>
  <c r="M70" i="40"/>
  <c r="M11" i="39"/>
  <c r="K17" i="39"/>
  <c r="R17" i="39" s="1"/>
  <c r="Z17" i="39" s="1"/>
  <c r="M18" i="39"/>
  <c r="K37" i="39"/>
  <c r="R37" i="39" s="1"/>
  <c r="V37" i="39" s="1"/>
  <c r="M39" i="39"/>
  <c r="M43" i="39"/>
  <c r="L46" i="39"/>
  <c r="S46" i="39" s="1"/>
  <c r="AA46" i="39" s="1"/>
  <c r="K49" i="39"/>
  <c r="R49" i="39" s="1"/>
  <c r="K51" i="39"/>
  <c r="R51" i="39" s="1"/>
  <c r="Z51" i="39" s="1"/>
  <c r="AC51" i="39" s="1"/>
  <c r="M53" i="39"/>
  <c r="M55" i="39"/>
  <c r="M57" i="39"/>
  <c r="M59" i="39"/>
  <c r="L62" i="39"/>
  <c r="S62" i="39" s="1"/>
  <c r="AA62" i="39" s="1"/>
  <c r="K65" i="39"/>
  <c r="R65" i="39" s="1"/>
  <c r="Z65" i="39" s="1"/>
  <c r="K67" i="39"/>
  <c r="R67" i="39" s="1"/>
  <c r="V67" i="39" s="1"/>
  <c r="Y67" i="39" s="1"/>
  <c r="M69" i="39"/>
  <c r="M71" i="39"/>
  <c r="L12" i="40"/>
  <c r="S12" i="40" s="1"/>
  <c r="W12" i="40" s="1"/>
  <c r="L15" i="40"/>
  <c r="S15" i="40" s="1"/>
  <c r="AA15" i="40" s="1"/>
  <c r="L20" i="40"/>
  <c r="S20" i="40" s="1"/>
  <c r="W20" i="40" s="1"/>
  <c r="L23" i="40"/>
  <c r="S23" i="40" s="1"/>
  <c r="AA23" i="40" s="1"/>
  <c r="M25" i="40"/>
  <c r="K28" i="40"/>
  <c r="R28" i="40" s="1"/>
  <c r="V28" i="40" s="1"/>
  <c r="M30" i="40"/>
  <c r="L33" i="40"/>
  <c r="S33" i="40" s="1"/>
  <c r="W33" i="40" s="1"/>
  <c r="K36" i="40"/>
  <c r="R36" i="40" s="1"/>
  <c r="V36" i="40" s="1"/>
  <c r="L38" i="40"/>
  <c r="S38" i="40" s="1"/>
  <c r="W38" i="40" s="1"/>
  <c r="K46" i="40"/>
  <c r="R46" i="40" s="1"/>
  <c r="V46" i="40" s="1"/>
  <c r="K48" i="40"/>
  <c r="R48" i="40" s="1"/>
  <c r="V48" i="40" s="1"/>
  <c r="K56" i="40"/>
  <c r="R56" i="40" s="1"/>
  <c r="Z56" i="40" s="1"/>
  <c r="Q58" i="40"/>
  <c r="L69" i="40"/>
  <c r="S69" i="40" s="1"/>
  <c r="AA69" i="40" s="1"/>
  <c r="L14" i="39"/>
  <c r="S14" i="39" s="1"/>
  <c r="W14" i="39" s="1"/>
  <c r="L18" i="39"/>
  <c r="S18" i="39" s="1"/>
  <c r="W18" i="39" s="1"/>
  <c r="K25" i="39"/>
  <c r="R25" i="39" s="1"/>
  <c r="V25" i="39" s="1"/>
  <c r="L29" i="39"/>
  <c r="S29" i="39" s="1"/>
  <c r="W29" i="39" s="1"/>
  <c r="M31" i="39"/>
  <c r="M35" i="39"/>
  <c r="K39" i="39"/>
  <c r="R39" i="39" s="1"/>
  <c r="V39" i="39" s="1"/>
  <c r="Y39" i="39" s="1"/>
  <c r="K43" i="39"/>
  <c r="R43" i="39" s="1"/>
  <c r="V43" i="39" s="1"/>
  <c r="Y43" i="39" s="1"/>
  <c r="L50" i="39"/>
  <c r="S50" i="39" s="1"/>
  <c r="AA50" i="39" s="1"/>
  <c r="K53" i="39"/>
  <c r="R53" i="39" s="1"/>
  <c r="V53" i="39" s="1"/>
  <c r="K55" i="39"/>
  <c r="R55" i="39" s="1"/>
  <c r="V55" i="39" s="1"/>
  <c r="Y55" i="39" s="1"/>
  <c r="K57" i="39"/>
  <c r="R57" i="39" s="1"/>
  <c r="V57" i="39" s="1"/>
  <c r="K59" i="39"/>
  <c r="R59" i="39" s="1"/>
  <c r="Z59" i="39" s="1"/>
  <c r="L66" i="39"/>
  <c r="S66" i="39" s="1"/>
  <c r="AA66" i="39" s="1"/>
  <c r="K69" i="39"/>
  <c r="R69" i="39" s="1"/>
  <c r="Z69" i="39" s="1"/>
  <c r="K71" i="39"/>
  <c r="R71" i="39" s="1"/>
  <c r="V71" i="39" s="1"/>
  <c r="Y71" i="39" s="1"/>
  <c r="K15" i="40"/>
  <c r="R15" i="40" s="1"/>
  <c r="V15" i="40" s="1"/>
  <c r="K23" i="40"/>
  <c r="R23" i="40" s="1"/>
  <c r="V23" i="40" s="1"/>
  <c r="L29" i="40"/>
  <c r="S29" i="40" s="1"/>
  <c r="W29" i="40" s="1"/>
  <c r="K32" i="40"/>
  <c r="R32" i="40" s="1"/>
  <c r="Z32" i="40" s="1"/>
  <c r="M34" i="40"/>
  <c r="K38" i="40"/>
  <c r="R38" i="40" s="1"/>
  <c r="L40" i="40"/>
  <c r="S40" i="40" s="1"/>
  <c r="AA40" i="40" s="1"/>
  <c r="K44" i="40"/>
  <c r="R44" i="40" s="1"/>
  <c r="V44" i="40" s="1"/>
  <c r="K52" i="40"/>
  <c r="R52" i="40" s="1"/>
  <c r="V52" i="40" s="1"/>
  <c r="Q54" i="40"/>
  <c r="M58" i="40"/>
  <c r="L61" i="40"/>
  <c r="S61" i="40" s="1"/>
  <c r="AA61" i="40" s="1"/>
  <c r="K64" i="40"/>
  <c r="R64" i="40" s="1"/>
  <c r="V64" i="40" s="1"/>
  <c r="K68" i="40"/>
  <c r="R68" i="40" s="1"/>
  <c r="V68" i="40" s="1"/>
  <c r="L8" i="40"/>
  <c r="S8" i="40" s="1"/>
  <c r="W8" i="40" s="1"/>
  <c r="M8" i="40"/>
  <c r="M9" i="40"/>
  <c r="M7" i="40"/>
  <c r="L7" i="40"/>
  <c r="S7" i="40" s="1"/>
  <c r="AA7" i="40" s="1"/>
  <c r="K3" i="40"/>
  <c r="R3" i="40" s="1"/>
  <c r="U3" i="40" s="1"/>
  <c r="AF72" i="40"/>
  <c r="AS72" i="40"/>
  <c r="M5" i="40"/>
  <c r="P5" i="40"/>
  <c r="Q5" i="40" s="1"/>
  <c r="P9" i="40"/>
  <c r="Q9" i="40" s="1"/>
  <c r="P17" i="40"/>
  <c r="Q17" i="40" s="1"/>
  <c r="P20" i="40"/>
  <c r="Q20" i="40" s="1"/>
  <c r="P28" i="40"/>
  <c r="Q28" i="40" s="1"/>
  <c r="AA48" i="40"/>
  <c r="W48" i="40"/>
  <c r="AA56" i="40"/>
  <c r="W56" i="40"/>
  <c r="Z14" i="40"/>
  <c r="V14" i="40"/>
  <c r="Z22" i="40"/>
  <c r="V22" i="40"/>
  <c r="W24" i="40"/>
  <c r="AA32" i="40"/>
  <c r="W32" i="40"/>
  <c r="P43" i="40"/>
  <c r="Q43" i="40" s="1"/>
  <c r="P51" i="40"/>
  <c r="Q51" i="40" s="1"/>
  <c r="AA64" i="40"/>
  <c r="W64" i="40"/>
  <c r="AA68" i="40"/>
  <c r="W68" i="40"/>
  <c r="Z10" i="40"/>
  <c r="V10" i="40"/>
  <c r="Z18" i="40"/>
  <c r="V18" i="40"/>
  <c r="Z26" i="40"/>
  <c r="V26" i="40"/>
  <c r="Z6" i="40"/>
  <c r="V6" i="40"/>
  <c r="P7" i="40"/>
  <c r="Q7" i="40" s="1"/>
  <c r="P8" i="40"/>
  <c r="Q8" i="40" s="1"/>
  <c r="P16" i="40"/>
  <c r="Q16" i="40" s="1"/>
  <c r="Z19" i="40"/>
  <c r="P21" i="40"/>
  <c r="Q21" i="40" s="1"/>
  <c r="P24" i="40"/>
  <c r="Q24" i="40" s="1"/>
  <c r="P39" i="40"/>
  <c r="Q39" i="40" s="1"/>
  <c r="P71" i="40"/>
  <c r="Q71" i="40" s="1"/>
  <c r="AA36" i="40"/>
  <c r="W36" i="40"/>
  <c r="K31" i="40"/>
  <c r="R31" i="40" s="1"/>
  <c r="L31" i="40"/>
  <c r="S31" i="40" s="1"/>
  <c r="M31" i="40"/>
  <c r="K63" i="40"/>
  <c r="R63" i="40" s="1"/>
  <c r="L63" i="40"/>
  <c r="S63" i="40" s="1"/>
  <c r="M63" i="40"/>
  <c r="P67" i="40"/>
  <c r="Q67" i="40" s="1"/>
  <c r="N22" i="40"/>
  <c r="J72" i="40"/>
  <c r="N3" i="40"/>
  <c r="AM3" i="40" s="1"/>
  <c r="AG72" i="40"/>
  <c r="K4" i="40"/>
  <c r="R4" i="40" s="1"/>
  <c r="L5" i="40"/>
  <c r="S5" i="40" s="1"/>
  <c r="M6" i="40"/>
  <c r="K8" i="40"/>
  <c r="R8" i="40" s="1"/>
  <c r="L9" i="40"/>
  <c r="S9" i="40" s="1"/>
  <c r="M10" i="40"/>
  <c r="N11" i="40"/>
  <c r="K12" i="40"/>
  <c r="R12" i="40" s="1"/>
  <c r="L13" i="40"/>
  <c r="S13" i="40" s="1"/>
  <c r="M14" i="40"/>
  <c r="N15" i="40"/>
  <c r="K16" i="40"/>
  <c r="R16" i="40" s="1"/>
  <c r="L17" i="40"/>
  <c r="S17" i="40" s="1"/>
  <c r="M18" i="40"/>
  <c r="N19" i="40"/>
  <c r="K20" i="40"/>
  <c r="R20" i="40" s="1"/>
  <c r="L21" i="40"/>
  <c r="S21" i="40" s="1"/>
  <c r="M22" i="40"/>
  <c r="N23" i="40"/>
  <c r="K24" i="40"/>
  <c r="R24" i="40" s="1"/>
  <c r="L25" i="40"/>
  <c r="S25" i="40" s="1"/>
  <c r="M26" i="40"/>
  <c r="N27" i="40"/>
  <c r="Q66" i="40"/>
  <c r="P31" i="40"/>
  <c r="Q31" i="40" s="1"/>
  <c r="K55" i="40"/>
  <c r="R55" i="40" s="1"/>
  <c r="L55" i="40"/>
  <c r="S55" i="40" s="1"/>
  <c r="M55" i="40"/>
  <c r="AA60" i="40"/>
  <c r="W60" i="40"/>
  <c r="K47" i="40"/>
  <c r="R47" i="40" s="1"/>
  <c r="L47" i="40"/>
  <c r="S47" i="40" s="1"/>
  <c r="M47" i="40"/>
  <c r="K67" i="40"/>
  <c r="R67" i="40" s="1"/>
  <c r="L67" i="40"/>
  <c r="S67" i="40" s="1"/>
  <c r="M67" i="40"/>
  <c r="N10" i="40"/>
  <c r="N14" i="40"/>
  <c r="N18" i="40"/>
  <c r="N26" i="40"/>
  <c r="M3" i="40"/>
  <c r="AA3" i="40"/>
  <c r="K5" i="40"/>
  <c r="R5" i="40" s="1"/>
  <c r="L6" i="40"/>
  <c r="S6" i="40" s="1"/>
  <c r="K9" i="40"/>
  <c r="R9" i="40" s="1"/>
  <c r="L10" i="40"/>
  <c r="S10" i="40" s="1"/>
  <c r="K13" i="40"/>
  <c r="R13" i="40" s="1"/>
  <c r="L14" i="40"/>
  <c r="S14" i="40" s="1"/>
  <c r="U14" i="40" s="1"/>
  <c r="K17" i="40"/>
  <c r="R17" i="40" s="1"/>
  <c r="L18" i="40"/>
  <c r="S18" i="40" s="1"/>
  <c r="U18" i="40" s="1"/>
  <c r="K21" i="40"/>
  <c r="R21" i="40" s="1"/>
  <c r="L22" i="40"/>
  <c r="S22" i="40" s="1"/>
  <c r="U22" i="40" s="1"/>
  <c r="K25" i="40"/>
  <c r="R25" i="40" s="1"/>
  <c r="L26" i="40"/>
  <c r="S26" i="40" s="1"/>
  <c r="U26" i="40" s="1"/>
  <c r="Q38" i="40"/>
  <c r="Q42" i="40"/>
  <c r="Q50" i="40"/>
  <c r="Q70" i="40"/>
  <c r="K35" i="40"/>
  <c r="R35" i="40" s="1"/>
  <c r="L35" i="40"/>
  <c r="S35" i="40" s="1"/>
  <c r="M35" i="40"/>
  <c r="K59" i="40"/>
  <c r="R59" i="40" s="1"/>
  <c r="L59" i="40"/>
  <c r="S59" i="40" s="1"/>
  <c r="M59" i="40"/>
  <c r="K39" i="40"/>
  <c r="R39" i="40" s="1"/>
  <c r="L39" i="40"/>
  <c r="S39" i="40" s="1"/>
  <c r="M39" i="40"/>
  <c r="K43" i="40"/>
  <c r="R43" i="40" s="1"/>
  <c r="L43" i="40"/>
  <c r="S43" i="40" s="1"/>
  <c r="M43" i="40"/>
  <c r="AA44" i="40"/>
  <c r="W44" i="40"/>
  <c r="K51" i="40"/>
  <c r="R51" i="40" s="1"/>
  <c r="L51" i="40"/>
  <c r="S51" i="40" s="1"/>
  <c r="M51" i="40"/>
  <c r="AA52" i="40"/>
  <c r="W52" i="40"/>
  <c r="K71" i="40"/>
  <c r="R71" i="40" s="1"/>
  <c r="L71" i="40"/>
  <c r="S71" i="40" s="1"/>
  <c r="M71" i="40"/>
  <c r="N6" i="40"/>
  <c r="Q34" i="40"/>
  <c r="N35" i="40"/>
  <c r="N55" i="40"/>
  <c r="N59" i="40"/>
  <c r="K29" i="40"/>
  <c r="R29" i="40" s="1"/>
  <c r="L30" i="40"/>
  <c r="S30" i="40" s="1"/>
  <c r="N32" i="40"/>
  <c r="K33" i="40"/>
  <c r="R33" i="40" s="1"/>
  <c r="N36" i="40"/>
  <c r="K37" i="40"/>
  <c r="R37" i="40" s="1"/>
  <c r="N40" i="40"/>
  <c r="K41" i="40"/>
  <c r="R41" i="40" s="1"/>
  <c r="L42" i="40"/>
  <c r="S42" i="40" s="1"/>
  <c r="N44" i="40"/>
  <c r="L46" i="40"/>
  <c r="S46" i="40" s="1"/>
  <c r="N48" i="40"/>
  <c r="K49" i="40"/>
  <c r="R49" i="40" s="1"/>
  <c r="L50" i="40"/>
  <c r="S50" i="40" s="1"/>
  <c r="N52" i="40"/>
  <c r="K53" i="40"/>
  <c r="R53" i="40" s="1"/>
  <c r="L54" i="40"/>
  <c r="S54" i="40" s="1"/>
  <c r="N56" i="40"/>
  <c r="K57" i="40"/>
  <c r="R57" i="40" s="1"/>
  <c r="L58" i="40"/>
  <c r="S58" i="40" s="1"/>
  <c r="N60" i="40"/>
  <c r="K61" i="40"/>
  <c r="R61" i="40" s="1"/>
  <c r="L62" i="40"/>
  <c r="S62" i="40" s="1"/>
  <c r="N64" i="40"/>
  <c r="K65" i="40"/>
  <c r="R65" i="40" s="1"/>
  <c r="L66" i="40"/>
  <c r="S66" i="40" s="1"/>
  <c r="N68" i="40"/>
  <c r="K69" i="40"/>
  <c r="R69" i="40" s="1"/>
  <c r="L70" i="40"/>
  <c r="S70" i="40" s="1"/>
  <c r="N29" i="40"/>
  <c r="K30" i="40"/>
  <c r="R30" i="40" s="1"/>
  <c r="M32" i="40"/>
  <c r="N33" i="40"/>
  <c r="M36" i="40"/>
  <c r="N37" i="40"/>
  <c r="N41" i="40"/>
  <c r="K42" i="40"/>
  <c r="R42" i="40" s="1"/>
  <c r="M44" i="40"/>
  <c r="N45" i="40"/>
  <c r="M48" i="40"/>
  <c r="N49" i="40"/>
  <c r="K50" i="40"/>
  <c r="R50" i="40" s="1"/>
  <c r="M52" i="40"/>
  <c r="N53" i="40"/>
  <c r="K54" i="40"/>
  <c r="R54" i="40" s="1"/>
  <c r="N57" i="40"/>
  <c r="K58" i="40"/>
  <c r="R58" i="40" s="1"/>
  <c r="M60" i="40"/>
  <c r="N61" i="40"/>
  <c r="K62" i="40"/>
  <c r="R62" i="40" s="1"/>
  <c r="M64" i="40"/>
  <c r="N65" i="40"/>
  <c r="K66" i="40"/>
  <c r="R66" i="40" s="1"/>
  <c r="M68" i="40"/>
  <c r="N69" i="40"/>
  <c r="K70" i="40"/>
  <c r="R70" i="40" s="1"/>
  <c r="M7" i="39"/>
  <c r="K5" i="39"/>
  <c r="R5" i="39" s="1"/>
  <c r="V5" i="39" s="1"/>
  <c r="M13" i="39"/>
  <c r="L21" i="39"/>
  <c r="S21" i="39" s="1"/>
  <c r="AA21" i="39" s="1"/>
  <c r="M22" i="39"/>
  <c r="M25" i="39"/>
  <c r="M21" i="39"/>
  <c r="L6" i="39"/>
  <c r="S6" i="39" s="1"/>
  <c r="W6" i="39" s="1"/>
  <c r="L10" i="39"/>
  <c r="S10" i="39" s="1"/>
  <c r="W10" i="39" s="1"/>
  <c r="L13" i="39"/>
  <c r="S13" i="39" s="1"/>
  <c r="M15" i="39"/>
  <c r="K21" i="39"/>
  <c r="R21" i="39" s="1"/>
  <c r="Z21" i="39" s="1"/>
  <c r="L22" i="39"/>
  <c r="S22" i="39" s="1"/>
  <c r="W22" i="39" s="1"/>
  <c r="L25" i="39"/>
  <c r="S25" i="39" s="1"/>
  <c r="AA25" i="39" s="1"/>
  <c r="AA5" i="39"/>
  <c r="W5" i="39"/>
  <c r="P13" i="39"/>
  <c r="Q13" i="39" s="1"/>
  <c r="P8" i="39"/>
  <c r="Q8" i="39" s="1"/>
  <c r="K12" i="39"/>
  <c r="R12" i="39" s="1"/>
  <c r="L12" i="39"/>
  <c r="S12" i="39" s="1"/>
  <c r="M12" i="39"/>
  <c r="P22" i="39"/>
  <c r="Q22" i="39" s="1"/>
  <c r="P32" i="39"/>
  <c r="Q32" i="39" s="1"/>
  <c r="P4" i="39"/>
  <c r="Q4" i="39" s="1"/>
  <c r="P19" i="39"/>
  <c r="Q19" i="39" s="1"/>
  <c r="Z24" i="39"/>
  <c r="V24" i="39"/>
  <c r="P25" i="39"/>
  <c r="Q25" i="39" s="1"/>
  <c r="P36" i="39"/>
  <c r="Q36" i="39" s="1"/>
  <c r="P21" i="39"/>
  <c r="Q21" i="39" s="1"/>
  <c r="K4" i="39"/>
  <c r="R4" i="39" s="1"/>
  <c r="L4" i="39"/>
  <c r="S4" i="39" s="1"/>
  <c r="M4" i="39"/>
  <c r="P23" i="39"/>
  <c r="Q23" i="39" s="1"/>
  <c r="P52" i="39"/>
  <c r="Q52" i="39" s="1"/>
  <c r="P53" i="39"/>
  <c r="Q53" i="39" s="1"/>
  <c r="P57" i="39"/>
  <c r="Q57" i="39" s="1"/>
  <c r="P68" i="39"/>
  <c r="Q68" i="39" s="1"/>
  <c r="P69" i="39"/>
  <c r="Q69" i="39" s="1"/>
  <c r="AF72" i="39"/>
  <c r="Q7" i="39"/>
  <c r="Z20" i="39"/>
  <c r="V20" i="39"/>
  <c r="K8" i="39"/>
  <c r="R8" i="39" s="1"/>
  <c r="L8" i="39"/>
  <c r="S8" i="39" s="1"/>
  <c r="M8" i="39"/>
  <c r="AA9" i="39"/>
  <c r="W9" i="39"/>
  <c r="K16" i="39"/>
  <c r="R16" i="39" s="1"/>
  <c r="N16" i="39"/>
  <c r="L16" i="39"/>
  <c r="S16" i="39" s="1"/>
  <c r="M16" i="39"/>
  <c r="P18" i="39"/>
  <c r="Q18" i="39" s="1"/>
  <c r="Z28" i="39"/>
  <c r="V28" i="39"/>
  <c r="P40" i="39"/>
  <c r="Q40" i="39" s="1"/>
  <c r="P45" i="39"/>
  <c r="Q45" i="39" s="1"/>
  <c r="P61" i="39"/>
  <c r="Q61" i="39" s="1"/>
  <c r="N12" i="39"/>
  <c r="Z35" i="39"/>
  <c r="P60" i="39"/>
  <c r="Q60" i="39" s="1"/>
  <c r="L44" i="39"/>
  <c r="S44" i="39" s="1"/>
  <c r="M44" i="39"/>
  <c r="K44" i="39"/>
  <c r="R44" i="39" s="1"/>
  <c r="P56" i="39"/>
  <c r="Q56" i="39" s="1"/>
  <c r="L60" i="39"/>
  <c r="S60" i="39" s="1"/>
  <c r="M60" i="39"/>
  <c r="K60" i="39"/>
  <c r="R60" i="39" s="1"/>
  <c r="N20" i="39"/>
  <c r="L3" i="39"/>
  <c r="N5" i="39"/>
  <c r="K6" i="39"/>
  <c r="R6" i="39" s="1"/>
  <c r="L7" i="39"/>
  <c r="S7" i="39" s="1"/>
  <c r="N9" i="39"/>
  <c r="K10" i="39"/>
  <c r="R10" i="39" s="1"/>
  <c r="L11" i="39"/>
  <c r="S11" i="39" s="1"/>
  <c r="K14" i="39"/>
  <c r="R14" i="39" s="1"/>
  <c r="L15" i="39"/>
  <c r="S15" i="39" s="1"/>
  <c r="K18" i="39"/>
  <c r="R18" i="39" s="1"/>
  <c r="L19" i="39"/>
  <c r="S19" i="39" s="1"/>
  <c r="M20" i="39"/>
  <c r="K22" i="39"/>
  <c r="R22" i="39" s="1"/>
  <c r="L23" i="39"/>
  <c r="S23" i="39" s="1"/>
  <c r="M24" i="39"/>
  <c r="K26" i="39"/>
  <c r="R26" i="39" s="1"/>
  <c r="L27" i="39"/>
  <c r="S27" i="39" s="1"/>
  <c r="M28" i="39"/>
  <c r="V35" i="39"/>
  <c r="L48" i="39"/>
  <c r="S48" i="39" s="1"/>
  <c r="M48" i="39"/>
  <c r="K48" i="39"/>
  <c r="R48" i="39" s="1"/>
  <c r="P49" i="39"/>
  <c r="Q49" i="39" s="1"/>
  <c r="L32" i="39"/>
  <c r="S32" i="39" s="1"/>
  <c r="M32" i="39"/>
  <c r="K32" i="39"/>
  <c r="R32" i="39" s="1"/>
  <c r="W34" i="39"/>
  <c r="L40" i="39"/>
  <c r="S40" i="39" s="1"/>
  <c r="M40" i="39"/>
  <c r="K40" i="39"/>
  <c r="R40" i="39" s="1"/>
  <c r="L56" i="39"/>
  <c r="S56" i="39" s="1"/>
  <c r="M56" i="39"/>
  <c r="K56" i="39"/>
  <c r="R56" i="39" s="1"/>
  <c r="AS72" i="39"/>
  <c r="M5" i="39"/>
  <c r="N6" i="39"/>
  <c r="K7" i="39"/>
  <c r="R7" i="39" s="1"/>
  <c r="M9" i="39"/>
  <c r="N10" i="39"/>
  <c r="K11" i="39"/>
  <c r="R11" i="39" s="1"/>
  <c r="N14" i="39"/>
  <c r="K15" i="39"/>
  <c r="R15" i="39" s="1"/>
  <c r="K19" i="39"/>
  <c r="R19" i="39" s="1"/>
  <c r="L20" i="39"/>
  <c r="S20" i="39" s="1"/>
  <c r="U20" i="39" s="1"/>
  <c r="K23" i="39"/>
  <c r="R23" i="39" s="1"/>
  <c r="L24" i="39"/>
  <c r="S24" i="39" s="1"/>
  <c r="N26" i="39"/>
  <c r="K27" i="39"/>
  <c r="R27" i="39" s="1"/>
  <c r="L28" i="39"/>
  <c r="S28" i="39" s="1"/>
  <c r="Q30" i="39"/>
  <c r="AA43" i="39"/>
  <c r="P50" i="39"/>
  <c r="Q50" i="39" s="1"/>
  <c r="Q58" i="39"/>
  <c r="AA59" i="39"/>
  <c r="P66" i="39"/>
  <c r="Q66" i="39" s="1"/>
  <c r="P44" i="39"/>
  <c r="Q44" i="39" s="1"/>
  <c r="L64" i="39"/>
  <c r="S64" i="39" s="1"/>
  <c r="M64" i="39"/>
  <c r="K64" i="39"/>
  <c r="R64" i="39" s="1"/>
  <c r="P65" i="39"/>
  <c r="Q65" i="39" s="1"/>
  <c r="Z31" i="39"/>
  <c r="L36" i="39"/>
  <c r="S36" i="39" s="1"/>
  <c r="M36" i="39"/>
  <c r="K36" i="39"/>
  <c r="R36" i="39" s="1"/>
  <c r="L52" i="39"/>
  <c r="S52" i="39" s="1"/>
  <c r="M52" i="39"/>
  <c r="K52" i="39"/>
  <c r="R52" i="39" s="1"/>
  <c r="L68" i="39"/>
  <c r="S68" i="39" s="1"/>
  <c r="M68" i="39"/>
  <c r="K68" i="39"/>
  <c r="R68" i="39" s="1"/>
  <c r="N24" i="39"/>
  <c r="N28" i="39"/>
  <c r="J72" i="39"/>
  <c r="N3" i="39"/>
  <c r="AM3" i="39" s="1"/>
  <c r="AG72" i="39"/>
  <c r="Q34" i="39"/>
  <c r="AA39" i="39"/>
  <c r="P46" i="39"/>
  <c r="Q46" i="39" s="1"/>
  <c r="N48" i="39"/>
  <c r="Q54" i="39"/>
  <c r="AA55" i="39"/>
  <c r="N64" i="39"/>
  <c r="Q70" i="39"/>
  <c r="AA71" i="39"/>
  <c r="M30" i="39"/>
  <c r="N31" i="39"/>
  <c r="L33" i="39"/>
  <c r="S33" i="39" s="1"/>
  <c r="M34" i="39"/>
  <c r="N35" i="39"/>
  <c r="L37" i="39"/>
  <c r="S37" i="39" s="1"/>
  <c r="M38" i="39"/>
  <c r="N39" i="39"/>
  <c r="L41" i="39"/>
  <c r="S41" i="39" s="1"/>
  <c r="M42" i="39"/>
  <c r="N43" i="39"/>
  <c r="L45" i="39"/>
  <c r="S45" i="39" s="1"/>
  <c r="M46" i="39"/>
  <c r="N47" i="39"/>
  <c r="L49" i="39"/>
  <c r="S49" i="39" s="1"/>
  <c r="M50" i="39"/>
  <c r="N51" i="39"/>
  <c r="L53" i="39"/>
  <c r="S53" i="39" s="1"/>
  <c r="M54" i="39"/>
  <c r="N55" i="39"/>
  <c r="L57" i="39"/>
  <c r="S57" i="39" s="1"/>
  <c r="M58" i="39"/>
  <c r="N59" i="39"/>
  <c r="L61" i="39"/>
  <c r="S61" i="39" s="1"/>
  <c r="M62" i="39"/>
  <c r="N63" i="39"/>
  <c r="L65" i="39"/>
  <c r="S65" i="39" s="1"/>
  <c r="M66" i="39"/>
  <c r="N67" i="39"/>
  <c r="L69" i="39"/>
  <c r="S69" i="39" s="1"/>
  <c r="M70" i="39"/>
  <c r="N71" i="39"/>
  <c r="K30" i="39"/>
  <c r="R30" i="39" s="1"/>
  <c r="L31" i="39"/>
  <c r="S31" i="39" s="1"/>
  <c r="U31" i="39" s="1"/>
  <c r="N33" i="39"/>
  <c r="K34" i="39"/>
  <c r="R34" i="39" s="1"/>
  <c r="L35" i="39"/>
  <c r="S35" i="39" s="1"/>
  <c r="K38" i="39"/>
  <c r="R38" i="39" s="1"/>
  <c r="K42" i="39"/>
  <c r="R42" i="39" s="1"/>
  <c r="K46" i="39"/>
  <c r="R46" i="39" s="1"/>
  <c r="K50" i="39"/>
  <c r="R50" i="39" s="1"/>
  <c r="K54" i="39"/>
  <c r="R54" i="39" s="1"/>
  <c r="K58" i="39"/>
  <c r="R58" i="39" s="1"/>
  <c r="K62" i="39"/>
  <c r="R62" i="39" s="1"/>
  <c r="K66" i="39"/>
  <c r="R66" i="39" s="1"/>
  <c r="K70" i="39"/>
  <c r="R70" i="39" s="1"/>
  <c r="BC72" i="38"/>
  <c r="E72" i="38"/>
  <c r="AT72" i="38" s="1"/>
  <c r="C72" i="38"/>
  <c r="D16" i="24" s="1"/>
  <c r="AS71" i="38"/>
  <c r="AG71" i="38"/>
  <c r="AF71" i="38"/>
  <c r="J71" i="38"/>
  <c r="M71" i="38" s="1"/>
  <c r="AS70" i="38"/>
  <c r="AG70" i="38"/>
  <c r="AF70" i="38"/>
  <c r="J70" i="38"/>
  <c r="N70" i="38" s="1"/>
  <c r="AS69" i="38"/>
  <c r="AG69" i="38"/>
  <c r="AF69" i="38"/>
  <c r="J69" i="38"/>
  <c r="N69" i="38" s="1"/>
  <c r="AS68" i="38"/>
  <c r="AG68" i="38"/>
  <c r="AF68" i="38"/>
  <c r="J68" i="38"/>
  <c r="AS67" i="38"/>
  <c r="AG67" i="38"/>
  <c r="AF67" i="38"/>
  <c r="J67" i="38"/>
  <c r="N67" i="38" s="1"/>
  <c r="AS66" i="38"/>
  <c r="AG66" i="38"/>
  <c r="AF66" i="38"/>
  <c r="J66" i="38"/>
  <c r="N66" i="38" s="1"/>
  <c r="AS65" i="38"/>
  <c r="AG65" i="38"/>
  <c r="AF65" i="38"/>
  <c r="J65" i="38"/>
  <c r="M65" i="38" s="1"/>
  <c r="AS64" i="38"/>
  <c r="AG64" i="38"/>
  <c r="AF64" i="38"/>
  <c r="J64" i="38"/>
  <c r="N64" i="38" s="1"/>
  <c r="AS63" i="38"/>
  <c r="AG63" i="38"/>
  <c r="AF63" i="38"/>
  <c r="J63" i="38"/>
  <c r="AS62" i="38"/>
  <c r="AG62" i="38"/>
  <c r="AF62" i="38"/>
  <c r="J62" i="38"/>
  <c r="N62" i="38" s="1"/>
  <c r="AS61" i="38"/>
  <c r="AG61" i="38"/>
  <c r="AF61" i="38"/>
  <c r="J61" i="38"/>
  <c r="M61" i="38" s="1"/>
  <c r="AS60" i="38"/>
  <c r="AG60" i="38"/>
  <c r="AF60" i="38"/>
  <c r="J60" i="38"/>
  <c r="N60" i="38" s="1"/>
  <c r="AS59" i="38"/>
  <c r="AG59" i="38"/>
  <c r="AF59" i="38"/>
  <c r="J59" i="38"/>
  <c r="N59" i="38" s="1"/>
  <c r="AS58" i="38"/>
  <c r="AG58" i="38"/>
  <c r="AF58" i="38"/>
  <c r="J58" i="38"/>
  <c r="N58" i="38" s="1"/>
  <c r="AS57" i="38"/>
  <c r="AG57" i="38"/>
  <c r="AF57" i="38"/>
  <c r="J57" i="38"/>
  <c r="M57" i="38" s="1"/>
  <c r="AS56" i="38"/>
  <c r="AG56" i="38"/>
  <c r="AF56" i="38"/>
  <c r="J56" i="38"/>
  <c r="AS55" i="38"/>
  <c r="AG55" i="38"/>
  <c r="AF55" i="38"/>
  <c r="J55" i="38"/>
  <c r="N55" i="38" s="1"/>
  <c r="AS54" i="38"/>
  <c r="AG54" i="38"/>
  <c r="AF54" i="38"/>
  <c r="J54" i="38"/>
  <c r="N54" i="38" s="1"/>
  <c r="AS53" i="38"/>
  <c r="AG53" i="38"/>
  <c r="AF53" i="38"/>
  <c r="J53" i="38"/>
  <c r="M53" i="38" s="1"/>
  <c r="AS52" i="38"/>
  <c r="AG52" i="38"/>
  <c r="AF52" i="38"/>
  <c r="J52" i="38"/>
  <c r="N52" i="38" s="1"/>
  <c r="AS51" i="38"/>
  <c r="AG51" i="38"/>
  <c r="AF51" i="38"/>
  <c r="J51" i="38"/>
  <c r="N51" i="38" s="1"/>
  <c r="AS50" i="38"/>
  <c r="AG50" i="38"/>
  <c r="AF50" i="38"/>
  <c r="J50" i="38"/>
  <c r="N50" i="38" s="1"/>
  <c r="AS49" i="38"/>
  <c r="AG49" i="38"/>
  <c r="AF49" i="38"/>
  <c r="J49" i="38"/>
  <c r="M49" i="38" s="1"/>
  <c r="AS48" i="38"/>
  <c r="AG48" i="38"/>
  <c r="AF48" i="38"/>
  <c r="J48" i="38"/>
  <c r="N48" i="38" s="1"/>
  <c r="AS47" i="38"/>
  <c r="AG47" i="38"/>
  <c r="AF47" i="38"/>
  <c r="J47" i="38"/>
  <c r="N47" i="38" s="1"/>
  <c r="AS46" i="38"/>
  <c r="AG46" i="38"/>
  <c r="AF46" i="38"/>
  <c r="J46" i="38"/>
  <c r="N46" i="38" s="1"/>
  <c r="AS45" i="38"/>
  <c r="AG45" i="38"/>
  <c r="AF45" i="38"/>
  <c r="J45" i="38"/>
  <c r="M45" i="38" s="1"/>
  <c r="AS44" i="38"/>
  <c r="AG44" i="38"/>
  <c r="AF44" i="38"/>
  <c r="J44" i="38"/>
  <c r="K44" i="38" s="1"/>
  <c r="R44" i="38" s="1"/>
  <c r="AS43" i="38"/>
  <c r="AG43" i="38"/>
  <c r="AF43" i="38"/>
  <c r="J43" i="38"/>
  <c r="N43" i="38" s="1"/>
  <c r="AS42" i="38"/>
  <c r="AG42" i="38"/>
  <c r="AF42" i="38"/>
  <c r="J42" i="38"/>
  <c r="N42" i="38" s="1"/>
  <c r="AS41" i="38"/>
  <c r="AG41" i="38"/>
  <c r="AF41" i="38"/>
  <c r="J41" i="38"/>
  <c r="M41" i="38" s="1"/>
  <c r="AS40" i="38"/>
  <c r="AG40" i="38"/>
  <c r="AF40" i="38"/>
  <c r="J40" i="38"/>
  <c r="N40" i="38" s="1"/>
  <c r="AS39" i="38"/>
  <c r="AG39" i="38"/>
  <c r="AF39" i="38"/>
  <c r="J39" i="38"/>
  <c r="AS38" i="38"/>
  <c r="AG38" i="38"/>
  <c r="AF38" i="38"/>
  <c r="J38" i="38"/>
  <c r="N38" i="38" s="1"/>
  <c r="AS37" i="38"/>
  <c r="AG37" i="38"/>
  <c r="AF37" i="38"/>
  <c r="J37" i="38"/>
  <c r="M37" i="38" s="1"/>
  <c r="AS36" i="38"/>
  <c r="AG36" i="38"/>
  <c r="AF36" i="38"/>
  <c r="J36" i="38"/>
  <c r="N36" i="38" s="1"/>
  <c r="AM36" i="38" s="1"/>
  <c r="AS35" i="38"/>
  <c r="AG35" i="38"/>
  <c r="AF35" i="38"/>
  <c r="J35" i="38"/>
  <c r="M35" i="38" s="1"/>
  <c r="AS34" i="38"/>
  <c r="AG34" i="38"/>
  <c r="AF34" i="38"/>
  <c r="J34" i="38"/>
  <c r="N34" i="38" s="1"/>
  <c r="AS33" i="38"/>
  <c r="AG33" i="38"/>
  <c r="AF33" i="38"/>
  <c r="J33" i="38"/>
  <c r="M33" i="38" s="1"/>
  <c r="AS32" i="38"/>
  <c r="AG32" i="38"/>
  <c r="AF32" i="38"/>
  <c r="J32" i="38"/>
  <c r="N32" i="38" s="1"/>
  <c r="AS31" i="38"/>
  <c r="AG31" i="38"/>
  <c r="AF31" i="38"/>
  <c r="J31" i="38"/>
  <c r="N31" i="38" s="1"/>
  <c r="AS30" i="38"/>
  <c r="AG30" i="38"/>
  <c r="AF30" i="38"/>
  <c r="J30" i="38"/>
  <c r="N30" i="38" s="1"/>
  <c r="AS29" i="38"/>
  <c r="AG29" i="38"/>
  <c r="AF29" i="38"/>
  <c r="J29" i="38"/>
  <c r="L29" i="38" s="1"/>
  <c r="S29" i="38" s="1"/>
  <c r="AS28" i="38"/>
  <c r="AG28" i="38"/>
  <c r="AF28" i="38"/>
  <c r="J28" i="38"/>
  <c r="N28" i="38" s="1"/>
  <c r="AS27" i="38"/>
  <c r="AG27" i="38"/>
  <c r="AF27" i="38"/>
  <c r="J27" i="38"/>
  <c r="N27" i="38" s="1"/>
  <c r="AS26" i="38"/>
  <c r="AG26" i="38"/>
  <c r="AF26" i="38"/>
  <c r="J26" i="38"/>
  <c r="N26" i="38" s="1"/>
  <c r="AS25" i="38"/>
  <c r="AG25" i="38"/>
  <c r="AF25" i="38"/>
  <c r="J25" i="38"/>
  <c r="N25" i="38" s="1"/>
  <c r="AS24" i="38"/>
  <c r="AG24" i="38"/>
  <c r="AF24" i="38"/>
  <c r="J24" i="38"/>
  <c r="N24" i="38" s="1"/>
  <c r="AS23" i="38"/>
  <c r="AG23" i="38"/>
  <c r="AF23" i="38"/>
  <c r="J23" i="38"/>
  <c r="N23" i="38" s="1"/>
  <c r="AS22" i="38"/>
  <c r="AG22" i="38"/>
  <c r="AF22" i="38"/>
  <c r="J22" i="38"/>
  <c r="N22" i="38" s="1"/>
  <c r="AS21" i="38"/>
  <c r="AG21" i="38"/>
  <c r="AF21" i="38"/>
  <c r="J21" i="38"/>
  <c r="N21" i="38" s="1"/>
  <c r="AG20" i="38"/>
  <c r="AF20" i="38"/>
  <c r="J20" i="38"/>
  <c r="L20" i="38" s="1"/>
  <c r="S20" i="38" s="1"/>
  <c r="AA20" i="38" s="1"/>
  <c r="AS20" i="38"/>
  <c r="AG19" i="38"/>
  <c r="AF19" i="38"/>
  <c r="J19" i="38"/>
  <c r="N19" i="38" s="1"/>
  <c r="AS19" i="38"/>
  <c r="AS18" i="38"/>
  <c r="AG18" i="38"/>
  <c r="AF18" i="38"/>
  <c r="J18" i="38"/>
  <c r="L18" i="38" s="1"/>
  <c r="S18" i="38" s="1"/>
  <c r="AS17" i="38"/>
  <c r="AG17" i="38"/>
  <c r="AF17" i="38"/>
  <c r="J17" i="38"/>
  <c r="N17" i="38" s="1"/>
  <c r="AS16" i="38"/>
  <c r="AG16" i="38"/>
  <c r="AF16" i="38"/>
  <c r="J16" i="38"/>
  <c r="AS15" i="38"/>
  <c r="AG15" i="38"/>
  <c r="AF15" i="38"/>
  <c r="J15" i="38"/>
  <c r="N15" i="38" s="1"/>
  <c r="AS14" i="38"/>
  <c r="AG14" i="38"/>
  <c r="AF14" i="38"/>
  <c r="J14" i="38"/>
  <c r="L14" i="38" s="1"/>
  <c r="S14" i="38" s="1"/>
  <c r="AA14" i="38" s="1"/>
  <c r="AS13" i="38"/>
  <c r="AG13" i="38"/>
  <c r="AF13" i="38"/>
  <c r="J13" i="38"/>
  <c r="N13" i="38" s="1"/>
  <c r="AS12" i="38"/>
  <c r="AG12" i="38"/>
  <c r="AF12" i="38"/>
  <c r="J12" i="38"/>
  <c r="L12" i="38" s="1"/>
  <c r="S12" i="38" s="1"/>
  <c r="AA12" i="38" s="1"/>
  <c r="AS11" i="38"/>
  <c r="AG11" i="38"/>
  <c r="AF11" i="38"/>
  <c r="J11" i="38"/>
  <c r="L11" i="38" s="1"/>
  <c r="S11" i="38" s="1"/>
  <c r="AS10" i="38"/>
  <c r="AG10" i="38"/>
  <c r="AF10" i="38"/>
  <c r="J10" i="38"/>
  <c r="K10" i="38" s="1"/>
  <c r="R10" i="38" s="1"/>
  <c r="AG9" i="38"/>
  <c r="AF9" i="38"/>
  <c r="J9" i="38"/>
  <c r="N9" i="38" s="1"/>
  <c r="AS9" i="38"/>
  <c r="AS8" i="38"/>
  <c r="AG8" i="38"/>
  <c r="AF8" i="38"/>
  <c r="J8" i="38"/>
  <c r="N8" i="38" s="1"/>
  <c r="AG7" i="38"/>
  <c r="AF7" i="38"/>
  <c r="J7" i="38"/>
  <c r="N7" i="38" s="1"/>
  <c r="AS7" i="38"/>
  <c r="AS6" i="38"/>
  <c r="AG6" i="38"/>
  <c r="AF6" i="38"/>
  <c r="J6" i="38"/>
  <c r="N6" i="38" s="1"/>
  <c r="AS5" i="38"/>
  <c r="AG5" i="38"/>
  <c r="AF5" i="38"/>
  <c r="J5" i="38"/>
  <c r="M5" i="38" s="1"/>
  <c r="AS4" i="38"/>
  <c r="AG4" i="38"/>
  <c r="AF4" i="38"/>
  <c r="J4" i="38"/>
  <c r="N4" i="38" s="1"/>
  <c r="AS3" i="38"/>
  <c r="AG3" i="38"/>
  <c r="AF3" i="38"/>
  <c r="J3" i="38"/>
  <c r="L3" i="38" s="1"/>
  <c r="D72" i="38"/>
  <c r="AS20" i="37"/>
  <c r="AS19" i="37"/>
  <c r="AS9" i="37"/>
  <c r="AS8" i="37"/>
  <c r="AS7" i="37"/>
  <c r="AS3" i="37"/>
  <c r="BC72" i="37"/>
  <c r="E72" i="37"/>
  <c r="AT72" i="37" s="1"/>
  <c r="C72" i="37"/>
  <c r="D15" i="24" s="1"/>
  <c r="AS71" i="37"/>
  <c r="AG71" i="37"/>
  <c r="AF71" i="37"/>
  <c r="J71" i="37"/>
  <c r="M71" i="37" s="1"/>
  <c r="AS70" i="37"/>
  <c r="AG70" i="37"/>
  <c r="AF70" i="37"/>
  <c r="J70" i="37"/>
  <c r="N70" i="37" s="1"/>
  <c r="AS69" i="37"/>
  <c r="AG69" i="37"/>
  <c r="AF69" i="37"/>
  <c r="J69" i="37"/>
  <c r="N69" i="37" s="1"/>
  <c r="AS68" i="37"/>
  <c r="AG68" i="37"/>
  <c r="AF68" i="37"/>
  <c r="J68" i="37"/>
  <c r="AS67" i="37"/>
  <c r="AG67" i="37"/>
  <c r="AF67" i="37"/>
  <c r="J67" i="37"/>
  <c r="M67" i="37" s="1"/>
  <c r="AS66" i="37"/>
  <c r="AG66" i="37"/>
  <c r="AF66" i="37"/>
  <c r="J66" i="37"/>
  <c r="N66" i="37" s="1"/>
  <c r="AS65" i="37"/>
  <c r="AG65" i="37"/>
  <c r="AF65" i="37"/>
  <c r="J65" i="37"/>
  <c r="N65" i="37" s="1"/>
  <c r="AS64" i="37"/>
  <c r="AG64" i="37"/>
  <c r="AF64" i="37"/>
  <c r="J64" i="37"/>
  <c r="K64" i="37" s="1"/>
  <c r="R64" i="37" s="1"/>
  <c r="AS63" i="37"/>
  <c r="AG63" i="37"/>
  <c r="AF63" i="37"/>
  <c r="J63" i="37"/>
  <c r="M63" i="37" s="1"/>
  <c r="AS62" i="37"/>
  <c r="AG62" i="37"/>
  <c r="AF62" i="37"/>
  <c r="J62" i="37"/>
  <c r="N62" i="37" s="1"/>
  <c r="AS61" i="37"/>
  <c r="AG61" i="37"/>
  <c r="AF61" i="37"/>
  <c r="J61" i="37"/>
  <c r="N61" i="37" s="1"/>
  <c r="AS60" i="37"/>
  <c r="AG60" i="37"/>
  <c r="AF60" i="37"/>
  <c r="J60" i="37"/>
  <c r="N60" i="37" s="1"/>
  <c r="AS59" i="37"/>
  <c r="AG59" i="37"/>
  <c r="AF59" i="37"/>
  <c r="J59" i="37"/>
  <c r="AS58" i="37"/>
  <c r="AG58" i="37"/>
  <c r="AF58" i="37"/>
  <c r="J58" i="37"/>
  <c r="N58" i="37" s="1"/>
  <c r="AS57" i="37"/>
  <c r="AG57" i="37"/>
  <c r="AF57" i="37"/>
  <c r="J57" i="37"/>
  <c r="N57" i="37" s="1"/>
  <c r="AS56" i="37"/>
  <c r="AG56" i="37"/>
  <c r="AF56" i="37"/>
  <c r="J56" i="37"/>
  <c r="K56" i="37" s="1"/>
  <c r="R56" i="37" s="1"/>
  <c r="AS55" i="37"/>
  <c r="AG55" i="37"/>
  <c r="AF55" i="37"/>
  <c r="J55" i="37"/>
  <c r="M55" i="37" s="1"/>
  <c r="AS54" i="37"/>
  <c r="AG54" i="37"/>
  <c r="AF54" i="37"/>
  <c r="J54" i="37"/>
  <c r="N54" i="37" s="1"/>
  <c r="AS53" i="37"/>
  <c r="AG53" i="37"/>
  <c r="AF53" i="37"/>
  <c r="J53" i="37"/>
  <c r="N53" i="37" s="1"/>
  <c r="AS52" i="37"/>
  <c r="AG52" i="37"/>
  <c r="AF52" i="37"/>
  <c r="J52" i="37"/>
  <c r="AS51" i="37"/>
  <c r="AG51" i="37"/>
  <c r="AF51" i="37"/>
  <c r="J51" i="37"/>
  <c r="N51" i="37" s="1"/>
  <c r="AS50" i="37"/>
  <c r="AG50" i="37"/>
  <c r="AF50" i="37"/>
  <c r="J50" i="37"/>
  <c r="N50" i="37" s="1"/>
  <c r="AS49" i="37"/>
  <c r="AG49" i="37"/>
  <c r="AF49" i="37"/>
  <c r="J49" i="37"/>
  <c r="N49" i="37" s="1"/>
  <c r="AS48" i="37"/>
  <c r="AG48" i="37"/>
  <c r="AF48" i="37"/>
  <c r="J48" i="37"/>
  <c r="K48" i="37" s="1"/>
  <c r="R48" i="37" s="1"/>
  <c r="AS47" i="37"/>
  <c r="AG47" i="37"/>
  <c r="AF47" i="37"/>
  <c r="J47" i="37"/>
  <c r="M47" i="37" s="1"/>
  <c r="AS46" i="37"/>
  <c r="AG46" i="37"/>
  <c r="AF46" i="37"/>
  <c r="J46" i="37"/>
  <c r="N46" i="37" s="1"/>
  <c r="AS45" i="37"/>
  <c r="AG45" i="37"/>
  <c r="AF45" i="37"/>
  <c r="J45" i="37"/>
  <c r="N45" i="37" s="1"/>
  <c r="AS44" i="37"/>
  <c r="AG44" i="37"/>
  <c r="AF44" i="37"/>
  <c r="J44" i="37"/>
  <c r="N44" i="37" s="1"/>
  <c r="AS43" i="37"/>
  <c r="AG43" i="37"/>
  <c r="AF43" i="37"/>
  <c r="J43" i="37"/>
  <c r="AS42" i="37"/>
  <c r="AG42" i="37"/>
  <c r="AF42" i="37"/>
  <c r="J42" i="37"/>
  <c r="N42" i="37" s="1"/>
  <c r="AS41" i="37"/>
  <c r="AG41" i="37"/>
  <c r="AF41" i="37"/>
  <c r="J41" i="37"/>
  <c r="N41" i="37" s="1"/>
  <c r="AS40" i="37"/>
  <c r="AG40" i="37"/>
  <c r="AF40" i="37"/>
  <c r="J40" i="37"/>
  <c r="K40" i="37" s="1"/>
  <c r="R40" i="37" s="1"/>
  <c r="AS39" i="37"/>
  <c r="AG39" i="37"/>
  <c r="AF39" i="37"/>
  <c r="J39" i="37"/>
  <c r="M39" i="37" s="1"/>
  <c r="AS38" i="37"/>
  <c r="AG38" i="37"/>
  <c r="AF38" i="37"/>
  <c r="J38" i="37"/>
  <c r="N38" i="37" s="1"/>
  <c r="AS37" i="37"/>
  <c r="AG37" i="37"/>
  <c r="AF37" i="37"/>
  <c r="J37" i="37"/>
  <c r="M37" i="37" s="1"/>
  <c r="AS36" i="37"/>
  <c r="AG36" i="37"/>
  <c r="AF36" i="37"/>
  <c r="J36" i="37"/>
  <c r="K36" i="37" s="1"/>
  <c r="R36" i="37" s="1"/>
  <c r="AS35" i="37"/>
  <c r="AG35" i="37"/>
  <c r="AF35" i="37"/>
  <c r="J35" i="37"/>
  <c r="M35" i="37" s="1"/>
  <c r="AS34" i="37"/>
  <c r="AG34" i="37"/>
  <c r="AF34" i="37"/>
  <c r="J34" i="37"/>
  <c r="N34" i="37" s="1"/>
  <c r="AS33" i="37"/>
  <c r="AG33" i="37"/>
  <c r="AF33" i="37"/>
  <c r="J33" i="37"/>
  <c r="M33" i="37" s="1"/>
  <c r="AS32" i="37"/>
  <c r="AG32" i="37"/>
  <c r="AF32" i="37"/>
  <c r="J32" i="37"/>
  <c r="AS31" i="37"/>
  <c r="AG31" i="37"/>
  <c r="AF31" i="37"/>
  <c r="J31" i="37"/>
  <c r="M31" i="37" s="1"/>
  <c r="AS30" i="37"/>
  <c r="AG30" i="37"/>
  <c r="AF30" i="37"/>
  <c r="J30" i="37"/>
  <c r="N30" i="37" s="1"/>
  <c r="AS29" i="37"/>
  <c r="AG29" i="37"/>
  <c r="AF29" i="37"/>
  <c r="J29" i="37"/>
  <c r="N29" i="37" s="1"/>
  <c r="AS28" i="37"/>
  <c r="AG28" i="37"/>
  <c r="AF28" i="37"/>
  <c r="J28" i="37"/>
  <c r="N28" i="37" s="1"/>
  <c r="AS27" i="37"/>
  <c r="AG27" i="37"/>
  <c r="AF27" i="37"/>
  <c r="J27" i="37"/>
  <c r="N27" i="37" s="1"/>
  <c r="AS26" i="37"/>
  <c r="AG26" i="37"/>
  <c r="AF26" i="37"/>
  <c r="J26" i="37"/>
  <c r="AS25" i="37"/>
  <c r="AG25" i="37"/>
  <c r="AF25" i="37"/>
  <c r="J25" i="37"/>
  <c r="N25" i="37" s="1"/>
  <c r="AS24" i="37"/>
  <c r="AG24" i="37"/>
  <c r="AF24" i="37"/>
  <c r="J24" i="37"/>
  <c r="N24" i="37" s="1"/>
  <c r="AS23" i="37"/>
  <c r="AG23" i="37"/>
  <c r="AF23" i="37"/>
  <c r="J23" i="37"/>
  <c r="N23" i="37" s="1"/>
  <c r="AS22" i="37"/>
  <c r="AG22" i="37"/>
  <c r="AF22" i="37"/>
  <c r="J22" i="37"/>
  <c r="N22" i="37" s="1"/>
  <c r="AS21" i="37"/>
  <c r="AG21" i="37"/>
  <c r="AF21" i="37"/>
  <c r="J21" i="37"/>
  <c r="N21" i="37" s="1"/>
  <c r="AG20" i="37"/>
  <c r="AF20" i="37"/>
  <c r="J20" i="37"/>
  <c r="N20" i="37" s="1"/>
  <c r="AG19" i="37"/>
  <c r="AF19" i="37"/>
  <c r="J19" i="37"/>
  <c r="AS18" i="37"/>
  <c r="AG18" i="37"/>
  <c r="AF18" i="37"/>
  <c r="J18" i="37"/>
  <c r="AG17" i="37"/>
  <c r="AF17" i="37"/>
  <c r="J17" i="37"/>
  <c r="N17" i="37" s="1"/>
  <c r="AS17" i="37"/>
  <c r="AS16" i="37"/>
  <c r="AG16" i="37"/>
  <c r="AF16" i="37"/>
  <c r="J16" i="37"/>
  <c r="N16" i="37" s="1"/>
  <c r="AS15" i="37"/>
  <c r="AG15" i="37"/>
  <c r="AF15" i="37"/>
  <c r="J15" i="37"/>
  <c r="N15" i="37" s="1"/>
  <c r="AS14" i="37"/>
  <c r="AG14" i="37"/>
  <c r="AF14" i="37"/>
  <c r="J14" i="37"/>
  <c r="N14" i="37" s="1"/>
  <c r="AS13" i="37"/>
  <c r="AG13" i="37"/>
  <c r="AF13" i="37"/>
  <c r="J13" i="37"/>
  <c r="AS12" i="37"/>
  <c r="AG12" i="37"/>
  <c r="AF12" i="37"/>
  <c r="J12" i="37"/>
  <c r="N12" i="37" s="1"/>
  <c r="AS11" i="37"/>
  <c r="AG11" i="37"/>
  <c r="AF11" i="37"/>
  <c r="J11" i="37"/>
  <c r="N11" i="37" s="1"/>
  <c r="AS10" i="37"/>
  <c r="AG10" i="37"/>
  <c r="AF10" i="37"/>
  <c r="J10" i="37"/>
  <c r="N10" i="37" s="1"/>
  <c r="AG9" i="37"/>
  <c r="AF9" i="37"/>
  <c r="J9" i="37"/>
  <c r="AG8" i="37"/>
  <c r="AF8" i="37"/>
  <c r="J8" i="37"/>
  <c r="AG7" i="37"/>
  <c r="AF7" i="37"/>
  <c r="J7" i="37"/>
  <c r="N7" i="37" s="1"/>
  <c r="AS6" i="37"/>
  <c r="AG6" i="37"/>
  <c r="AF6" i="37"/>
  <c r="J6" i="37"/>
  <c r="N6" i="37" s="1"/>
  <c r="AS5" i="37"/>
  <c r="AG5" i="37"/>
  <c r="AF5" i="37"/>
  <c r="J5" i="37"/>
  <c r="AS4" i="37"/>
  <c r="AG4" i="37"/>
  <c r="AF4" i="37"/>
  <c r="J4" i="37"/>
  <c r="N4" i="37" s="1"/>
  <c r="AG3" i="37"/>
  <c r="AF3" i="37"/>
  <c r="J3" i="37"/>
  <c r="AC21" i="39" l="1"/>
  <c r="U13" i="39"/>
  <c r="AO13" i="39" s="1"/>
  <c r="AA65" i="40"/>
  <c r="AA33" i="40"/>
  <c r="M51" i="38"/>
  <c r="V13" i="39"/>
  <c r="AA28" i="40"/>
  <c r="K49" i="38"/>
  <c r="R49" i="38" s="1"/>
  <c r="V49" i="38" s="1"/>
  <c r="Z64" i="40"/>
  <c r="AC64" i="40" s="1"/>
  <c r="AA29" i="40"/>
  <c r="Z41" i="39"/>
  <c r="W69" i="40"/>
  <c r="Z60" i="40"/>
  <c r="AC60" i="40" s="1"/>
  <c r="W45" i="40"/>
  <c r="Q46" i="40"/>
  <c r="Z57" i="39"/>
  <c r="U59" i="39"/>
  <c r="AN59" i="39" s="1"/>
  <c r="V51" i="39"/>
  <c r="Y51" i="39" s="1"/>
  <c r="W42" i="39"/>
  <c r="AA26" i="39"/>
  <c r="U64" i="40"/>
  <c r="AE64" i="40" s="1"/>
  <c r="Z52" i="40"/>
  <c r="AC52" i="40" s="1"/>
  <c r="M11" i="38"/>
  <c r="W50" i="39"/>
  <c r="W61" i="40"/>
  <c r="AA37" i="40"/>
  <c r="W27" i="40"/>
  <c r="Y27" i="40" s="1"/>
  <c r="Z15" i="40"/>
  <c r="AC15" i="40" s="1"/>
  <c r="U27" i="40"/>
  <c r="AL27" i="40" s="1"/>
  <c r="K17" i="38"/>
  <c r="R17" i="38" s="1"/>
  <c r="V17" i="38" s="1"/>
  <c r="L70" i="38"/>
  <c r="S70" i="38" s="1"/>
  <c r="W70" i="38" s="1"/>
  <c r="W46" i="39"/>
  <c r="U61" i="39"/>
  <c r="AO61" i="39" s="1"/>
  <c r="V65" i="39"/>
  <c r="M38" i="38"/>
  <c r="V61" i="39"/>
  <c r="AA30" i="39"/>
  <c r="AA57" i="40"/>
  <c r="U36" i="40"/>
  <c r="AO36" i="40" s="1"/>
  <c r="Z9" i="39"/>
  <c r="AC9" i="39" s="1"/>
  <c r="M27" i="38"/>
  <c r="L62" i="38"/>
  <c r="S62" i="38" s="1"/>
  <c r="W62" i="38" s="1"/>
  <c r="Z53" i="39"/>
  <c r="V34" i="40"/>
  <c r="Y34" i="40" s="1"/>
  <c r="V56" i="40"/>
  <c r="Y56" i="40" s="1"/>
  <c r="AA18" i="39"/>
  <c r="U9" i="39"/>
  <c r="AN9" i="39" s="1"/>
  <c r="AA49" i="40"/>
  <c r="AA34" i="40"/>
  <c r="AC34" i="40" s="1"/>
  <c r="AA12" i="40"/>
  <c r="L9" i="38"/>
  <c r="S9" i="38" s="1"/>
  <c r="W9" i="38" s="1"/>
  <c r="V47" i="39"/>
  <c r="Y47" i="39" s="1"/>
  <c r="AQ47" i="39" s="1"/>
  <c r="BI47" i="39" s="1"/>
  <c r="W70" i="39"/>
  <c r="W58" i="39"/>
  <c r="U47" i="39"/>
  <c r="AD47" i="39" s="1"/>
  <c r="Z68" i="40"/>
  <c r="AC68" i="40" s="1"/>
  <c r="U34" i="40"/>
  <c r="AN34" i="40" s="1"/>
  <c r="W11" i="40"/>
  <c r="AC19" i="40"/>
  <c r="W16" i="40"/>
  <c r="U11" i="40"/>
  <c r="AN11" i="40" s="1"/>
  <c r="O36" i="38"/>
  <c r="P36" i="38" s="1"/>
  <c r="Q36" i="38" s="1"/>
  <c r="AA22" i="39"/>
  <c r="U56" i="40"/>
  <c r="AL56" i="40" s="1"/>
  <c r="Z36" i="40"/>
  <c r="AC36" i="40" s="1"/>
  <c r="W19" i="40"/>
  <c r="Y19" i="40" s="1"/>
  <c r="U28" i="40"/>
  <c r="AL28" i="40" s="1"/>
  <c r="AA53" i="40"/>
  <c r="Z7" i="40"/>
  <c r="AC7" i="40" s="1"/>
  <c r="Z43" i="39"/>
  <c r="AC43" i="39" s="1"/>
  <c r="AQ43" i="39" s="1"/>
  <c r="BI43" i="39" s="1"/>
  <c r="W17" i="39"/>
  <c r="V69" i="39"/>
  <c r="U21" i="39"/>
  <c r="AO21" i="39" s="1"/>
  <c r="U29" i="39"/>
  <c r="AO29" i="39" s="1"/>
  <c r="AA41" i="40"/>
  <c r="U15" i="40"/>
  <c r="AO15" i="40" s="1"/>
  <c r="W4" i="40"/>
  <c r="W40" i="40"/>
  <c r="Y40" i="40" s="1"/>
  <c r="K23" i="38"/>
  <c r="R23" i="38" s="1"/>
  <c r="V23" i="38" s="1"/>
  <c r="L45" i="38"/>
  <c r="S45" i="38" s="1"/>
  <c r="W45" i="38" s="1"/>
  <c r="L61" i="38"/>
  <c r="S61" i="38" s="1"/>
  <c r="AA61" i="38" s="1"/>
  <c r="U43" i="39"/>
  <c r="AD43" i="39" s="1"/>
  <c r="U51" i="39"/>
  <c r="AL51" i="39" s="1"/>
  <c r="V21" i="39"/>
  <c r="U32" i="40"/>
  <c r="AN32" i="40" s="1"/>
  <c r="U38" i="40"/>
  <c r="AN38" i="40" s="1"/>
  <c r="AC56" i="40"/>
  <c r="Y36" i="40"/>
  <c r="L19" i="38"/>
  <c r="S19" i="38" s="1"/>
  <c r="AA19" i="38" s="1"/>
  <c r="K21" i="38"/>
  <c r="R21" i="38" s="1"/>
  <c r="V21" i="38" s="1"/>
  <c r="N35" i="38"/>
  <c r="AM35" i="38" s="1"/>
  <c r="M42" i="38"/>
  <c r="K60" i="38"/>
  <c r="R60" i="38" s="1"/>
  <c r="V60" i="38" s="1"/>
  <c r="M66" i="38"/>
  <c r="N71" i="38"/>
  <c r="AM71" i="38" s="1"/>
  <c r="BG72" i="38"/>
  <c r="W38" i="39"/>
  <c r="V29" i="39"/>
  <c r="Y29" i="39" s="1"/>
  <c r="U17" i="39"/>
  <c r="AO17" i="39" s="1"/>
  <c r="AA29" i="39"/>
  <c r="AC29" i="39" s="1"/>
  <c r="Z46" i="40"/>
  <c r="U60" i="40"/>
  <c r="AL60" i="40" s="1"/>
  <c r="W15" i="40"/>
  <c r="Y15" i="40" s="1"/>
  <c r="U52" i="40"/>
  <c r="AO52" i="40" s="1"/>
  <c r="V11" i="40"/>
  <c r="AA20" i="40"/>
  <c r="Y44" i="40"/>
  <c r="AC32" i="40"/>
  <c r="Y48" i="40"/>
  <c r="AC17" i="39"/>
  <c r="AC45" i="40"/>
  <c r="U40" i="40"/>
  <c r="AE40" i="40" s="1"/>
  <c r="U45" i="39"/>
  <c r="AL45" i="39" s="1"/>
  <c r="AQ51" i="39"/>
  <c r="BI51" i="39" s="1"/>
  <c r="Z39" i="39"/>
  <c r="AC39" i="39" s="1"/>
  <c r="AQ39" i="39" s="1"/>
  <c r="BI39" i="39" s="1"/>
  <c r="M7" i="38"/>
  <c r="L8" i="38"/>
  <c r="S8" i="38" s="1"/>
  <c r="W8" i="38" s="1"/>
  <c r="L33" i="38"/>
  <c r="S33" i="38" s="1"/>
  <c r="W33" i="38" s="1"/>
  <c r="L41" i="38"/>
  <c r="S41" i="38" s="1"/>
  <c r="W41" i="38" s="1"/>
  <c r="L49" i="38"/>
  <c r="S49" i="38" s="1"/>
  <c r="AA49" i="38" s="1"/>
  <c r="K57" i="38"/>
  <c r="R57" i="38" s="1"/>
  <c r="Z57" i="38" s="1"/>
  <c r="M70" i="38"/>
  <c r="Q42" i="39"/>
  <c r="U63" i="39"/>
  <c r="AD63" i="39" s="1"/>
  <c r="AA8" i="40"/>
  <c r="AA63" i="39"/>
  <c r="AC63" i="39" s="1"/>
  <c r="O60" i="38"/>
  <c r="P60" i="38" s="1"/>
  <c r="Q60" i="38" s="1"/>
  <c r="AM60" i="38"/>
  <c r="O40" i="38"/>
  <c r="P40" i="38" s="1"/>
  <c r="Q40" i="38" s="1"/>
  <c r="AM40" i="38"/>
  <c r="O12" i="37"/>
  <c r="P12" i="37" s="1"/>
  <c r="AM12" i="37"/>
  <c r="O15" i="37"/>
  <c r="P15" i="37" s="1"/>
  <c r="Q15" i="37" s="1"/>
  <c r="AM15" i="37"/>
  <c r="O28" i="38"/>
  <c r="P28" i="38" s="1"/>
  <c r="AM28" i="38"/>
  <c r="O24" i="39"/>
  <c r="P24" i="39" s="1"/>
  <c r="Q24" i="39" s="1"/>
  <c r="AM24" i="39"/>
  <c r="O12" i="39"/>
  <c r="P12" i="39" s="1"/>
  <c r="Q12" i="39" s="1"/>
  <c r="AM12" i="39"/>
  <c r="O49" i="40"/>
  <c r="P49" i="40" s="1"/>
  <c r="Q49" i="40" s="1"/>
  <c r="AM49" i="40"/>
  <c r="O35" i="40"/>
  <c r="P35" i="40" s="1"/>
  <c r="Q35" i="40" s="1"/>
  <c r="AM35" i="40"/>
  <c r="O6" i="37"/>
  <c r="P6" i="37" s="1"/>
  <c r="Q6" i="37" s="1"/>
  <c r="AM6" i="37"/>
  <c r="O20" i="37"/>
  <c r="P20" i="37" s="1"/>
  <c r="Q20" i="37" s="1"/>
  <c r="AM20" i="37"/>
  <c r="O7" i="38"/>
  <c r="P7" i="38" s="1"/>
  <c r="Q7" i="38" s="1"/>
  <c r="AM7" i="38"/>
  <c r="O8" i="38"/>
  <c r="P8" i="38" s="1"/>
  <c r="Q8" i="38" s="1"/>
  <c r="AM8" i="38"/>
  <c r="O13" i="38"/>
  <c r="P13" i="38" s="1"/>
  <c r="Q13" i="38" s="1"/>
  <c r="AM13" i="38"/>
  <c r="O15" i="38"/>
  <c r="P15" i="38" s="1"/>
  <c r="AM15" i="38"/>
  <c r="O17" i="38"/>
  <c r="P17" i="38" s="1"/>
  <c r="Q17" i="38" s="1"/>
  <c r="AM17" i="38"/>
  <c r="O24" i="38"/>
  <c r="P24" i="38" s="1"/>
  <c r="Q24" i="38" s="1"/>
  <c r="AM24" i="38"/>
  <c r="O25" i="38"/>
  <c r="P25" i="38" s="1"/>
  <c r="AM25" i="38"/>
  <c r="O26" i="38"/>
  <c r="P26" i="38" s="1"/>
  <c r="AM26" i="38"/>
  <c r="O27" i="38"/>
  <c r="P27" i="38" s="1"/>
  <c r="Q27" i="38" s="1"/>
  <c r="AM27" i="38"/>
  <c r="O51" i="38"/>
  <c r="AM51" i="38"/>
  <c r="O55" i="38"/>
  <c r="P55" i="38" s="1"/>
  <c r="Q55" i="38" s="1"/>
  <c r="AM55" i="38"/>
  <c r="O59" i="38"/>
  <c r="P59" i="38" s="1"/>
  <c r="AM59" i="38"/>
  <c r="O71" i="39"/>
  <c r="P71" i="39" s="1"/>
  <c r="Q71" i="39" s="1"/>
  <c r="AM71" i="39"/>
  <c r="O55" i="39"/>
  <c r="P55" i="39" s="1"/>
  <c r="Q55" i="39" s="1"/>
  <c r="AM55" i="39"/>
  <c r="O39" i="39"/>
  <c r="P39" i="39" s="1"/>
  <c r="Q39" i="39" s="1"/>
  <c r="AM39" i="39"/>
  <c r="O28" i="39"/>
  <c r="P28" i="39" s="1"/>
  <c r="Q28" i="39" s="1"/>
  <c r="AM28" i="39"/>
  <c r="O14" i="39"/>
  <c r="P14" i="39" s="1"/>
  <c r="Q14" i="39" s="1"/>
  <c r="AM14" i="39"/>
  <c r="O5" i="39"/>
  <c r="P5" i="39" s="1"/>
  <c r="Q5" i="39" s="1"/>
  <c r="AM5" i="39"/>
  <c r="O16" i="39"/>
  <c r="P16" i="39" s="1"/>
  <c r="Q16" i="39" s="1"/>
  <c r="AM16" i="39"/>
  <c r="O57" i="40"/>
  <c r="P57" i="40" s="1"/>
  <c r="AM57" i="40"/>
  <c r="O29" i="40"/>
  <c r="P29" i="40" s="1"/>
  <c r="Q29" i="40" s="1"/>
  <c r="AM29" i="40"/>
  <c r="O56" i="40"/>
  <c r="P56" i="40" s="1"/>
  <c r="AM56" i="40"/>
  <c r="O44" i="40"/>
  <c r="P44" i="40" s="1"/>
  <c r="Q44" i="40" s="1"/>
  <c r="AM44" i="40"/>
  <c r="O18" i="40"/>
  <c r="P18" i="40" s="1"/>
  <c r="Q18" i="40" s="1"/>
  <c r="AM18" i="40"/>
  <c r="O27" i="40"/>
  <c r="P27" i="40" s="1"/>
  <c r="Q27" i="40" s="1"/>
  <c r="AM27" i="40"/>
  <c r="O11" i="40"/>
  <c r="P11" i="40" s="1"/>
  <c r="Q11" i="40" s="1"/>
  <c r="AM11" i="40"/>
  <c r="O4" i="40"/>
  <c r="P4" i="40" s="1"/>
  <c r="Q4" i="40" s="1"/>
  <c r="AM4" i="40"/>
  <c r="K38" i="38"/>
  <c r="R38" i="38" s="1"/>
  <c r="V38" i="38" s="1"/>
  <c r="K42" i="38"/>
  <c r="R42" i="38" s="1"/>
  <c r="V42" i="38" s="1"/>
  <c r="L54" i="38"/>
  <c r="S54" i="38" s="1"/>
  <c r="W54" i="38" s="1"/>
  <c r="L58" i="38"/>
  <c r="S58" i="38" s="1"/>
  <c r="W58" i="38" s="1"/>
  <c r="K62" i="38"/>
  <c r="R62" i="38" s="1"/>
  <c r="Z62" i="38" s="1"/>
  <c r="L66" i="38"/>
  <c r="S66" i="38" s="1"/>
  <c r="W66" i="38" s="1"/>
  <c r="V59" i="39"/>
  <c r="Y59" i="39" s="1"/>
  <c r="V45" i="39"/>
  <c r="V17" i="39"/>
  <c r="AA14" i="39"/>
  <c r="V32" i="40"/>
  <c r="Y32" i="40" s="1"/>
  <c r="Z48" i="40"/>
  <c r="AC48" i="40" s="1"/>
  <c r="W23" i="40"/>
  <c r="Y23" i="40" s="1"/>
  <c r="Z44" i="40"/>
  <c r="AC44" i="40" s="1"/>
  <c r="U19" i="40"/>
  <c r="AE19" i="40" s="1"/>
  <c r="O10" i="37"/>
  <c r="P10" i="37" s="1"/>
  <c r="Q10" i="37" s="1"/>
  <c r="AM10" i="37"/>
  <c r="O16" i="37"/>
  <c r="P16" i="37" s="1"/>
  <c r="AM16" i="37"/>
  <c r="O33" i="39"/>
  <c r="P33" i="39" s="1"/>
  <c r="Q33" i="39" s="1"/>
  <c r="AM33" i="39"/>
  <c r="O59" i="39"/>
  <c r="P59" i="39" s="1"/>
  <c r="Q59" i="39" s="1"/>
  <c r="AM59" i="39"/>
  <c r="O6" i="39"/>
  <c r="P6" i="39" s="1"/>
  <c r="Q6" i="39" s="1"/>
  <c r="AM6" i="39"/>
  <c r="O9" i="39"/>
  <c r="P9" i="39" s="1"/>
  <c r="Q9" i="39" s="1"/>
  <c r="AM9" i="39"/>
  <c r="O33" i="40"/>
  <c r="P33" i="40" s="1"/>
  <c r="Q33" i="40" s="1"/>
  <c r="AM33" i="40"/>
  <c r="O36" i="40"/>
  <c r="P36" i="40" s="1"/>
  <c r="Q36" i="40" s="1"/>
  <c r="AM36" i="40"/>
  <c r="O21" i="37"/>
  <c r="P21" i="37" s="1"/>
  <c r="Q21" i="37" s="1"/>
  <c r="AM21" i="37"/>
  <c r="O24" i="37"/>
  <c r="P24" i="37" s="1"/>
  <c r="Q24" i="37" s="1"/>
  <c r="AM24" i="37"/>
  <c r="O28" i="37"/>
  <c r="P28" i="37" s="1"/>
  <c r="Q28" i="37" s="1"/>
  <c r="AM28" i="37"/>
  <c r="O30" i="37"/>
  <c r="P30" i="37" s="1"/>
  <c r="Q30" i="37" s="1"/>
  <c r="AM30" i="37"/>
  <c r="O42" i="37"/>
  <c r="P42" i="37" s="1"/>
  <c r="AM42" i="37"/>
  <c r="O45" i="37"/>
  <c r="P45" i="37" s="1"/>
  <c r="Q45" i="37" s="1"/>
  <c r="AM45" i="37"/>
  <c r="O50" i="37"/>
  <c r="P50" i="37" s="1"/>
  <c r="Q50" i="37" s="1"/>
  <c r="AM50" i="37"/>
  <c r="O60" i="37"/>
  <c r="P60" i="37" s="1"/>
  <c r="Q60" i="37" s="1"/>
  <c r="AM60" i="37"/>
  <c r="O62" i="37"/>
  <c r="P62" i="37" s="1"/>
  <c r="AM62" i="37"/>
  <c r="O66" i="37"/>
  <c r="P66" i="37" s="1"/>
  <c r="Q66" i="37" s="1"/>
  <c r="AM66" i="37"/>
  <c r="O70" i="37"/>
  <c r="P70" i="37" s="1"/>
  <c r="Q70" i="37" s="1"/>
  <c r="AM70" i="37"/>
  <c r="O23" i="38"/>
  <c r="P23" i="38" s="1"/>
  <c r="Q23" i="38" s="1"/>
  <c r="AM23" i="38"/>
  <c r="O34" i="38"/>
  <c r="P34" i="38" s="1"/>
  <c r="AM34" i="38"/>
  <c r="O38" i="38"/>
  <c r="P38" i="38" s="1"/>
  <c r="Q38" i="38" s="1"/>
  <c r="AM38" i="38"/>
  <c r="O42" i="38"/>
  <c r="P42" i="38" s="1"/>
  <c r="Q42" i="38" s="1"/>
  <c r="AM42" i="38"/>
  <c r="O54" i="38"/>
  <c r="P54" i="38" s="1"/>
  <c r="Q54" i="38" s="1"/>
  <c r="AM54" i="38"/>
  <c r="O58" i="38"/>
  <c r="P58" i="38" s="1"/>
  <c r="Q58" i="38" s="1"/>
  <c r="AM58" i="38"/>
  <c r="O62" i="38"/>
  <c r="P62" i="38" s="1"/>
  <c r="Q62" i="38" s="1"/>
  <c r="AM62" i="38"/>
  <c r="O64" i="38"/>
  <c r="P64" i="38" s="1"/>
  <c r="Q64" i="38" s="1"/>
  <c r="AM64" i="38"/>
  <c r="O66" i="38"/>
  <c r="AM66" i="38"/>
  <c r="O67" i="38"/>
  <c r="P67" i="38" s="1"/>
  <c r="Q67" i="38" s="1"/>
  <c r="AM67" i="38"/>
  <c r="O69" i="38"/>
  <c r="P69" i="38" s="1"/>
  <c r="Q69" i="38" s="1"/>
  <c r="AM69" i="38"/>
  <c r="O70" i="38"/>
  <c r="P70" i="38" s="1"/>
  <c r="AM70" i="38"/>
  <c r="O67" i="39"/>
  <c r="AM67" i="39"/>
  <c r="O51" i="39"/>
  <c r="P51" i="39" s="1"/>
  <c r="Q51" i="39" s="1"/>
  <c r="AM51" i="39"/>
  <c r="O35" i="39"/>
  <c r="P35" i="39" s="1"/>
  <c r="Q35" i="39" s="1"/>
  <c r="AM35" i="39"/>
  <c r="O48" i="39"/>
  <c r="P48" i="39" s="1"/>
  <c r="Q48" i="39" s="1"/>
  <c r="AM48" i="39"/>
  <c r="O20" i="39"/>
  <c r="P20" i="39" s="1"/>
  <c r="Q20" i="39" s="1"/>
  <c r="AM20" i="39"/>
  <c r="O69" i="40"/>
  <c r="P69" i="40" s="1"/>
  <c r="Q69" i="40" s="1"/>
  <c r="AM69" i="40"/>
  <c r="O45" i="40"/>
  <c r="P45" i="40" s="1"/>
  <c r="AM45" i="40"/>
  <c r="O37" i="40"/>
  <c r="P37" i="40" s="1"/>
  <c r="Q37" i="40" s="1"/>
  <c r="AM37" i="40"/>
  <c r="O68" i="40"/>
  <c r="P68" i="40" s="1"/>
  <c r="AM68" i="40"/>
  <c r="O52" i="40"/>
  <c r="P52" i="40" s="1"/>
  <c r="Q52" i="40" s="1"/>
  <c r="AM52" i="40"/>
  <c r="O40" i="40"/>
  <c r="P40" i="40" s="1"/>
  <c r="Q40" i="40" s="1"/>
  <c r="AM40" i="40"/>
  <c r="O32" i="40"/>
  <c r="P32" i="40" s="1"/>
  <c r="Q32" i="40" s="1"/>
  <c r="AM32" i="40"/>
  <c r="O55" i="40"/>
  <c r="P55" i="40" s="1"/>
  <c r="Q55" i="40" s="1"/>
  <c r="AM55" i="40"/>
  <c r="O6" i="40"/>
  <c r="P6" i="40" s="1"/>
  <c r="Q6" i="40" s="1"/>
  <c r="AM6" i="40"/>
  <c r="O26" i="40"/>
  <c r="P26" i="40" s="1"/>
  <c r="Q26" i="40" s="1"/>
  <c r="AM26" i="40"/>
  <c r="O15" i="40"/>
  <c r="P15" i="40" s="1"/>
  <c r="Q15" i="40" s="1"/>
  <c r="AM15" i="40"/>
  <c r="O13" i="40"/>
  <c r="P13" i="40" s="1"/>
  <c r="Q13" i="40" s="1"/>
  <c r="AM13" i="40"/>
  <c r="O38" i="39"/>
  <c r="AM38" i="39"/>
  <c r="O17" i="39"/>
  <c r="P17" i="39" s="1"/>
  <c r="Q17" i="39" s="1"/>
  <c r="AM17" i="39"/>
  <c r="O29" i="39"/>
  <c r="P29" i="39" s="1"/>
  <c r="Q29" i="39" s="1"/>
  <c r="AM29" i="39"/>
  <c r="M6" i="38"/>
  <c r="N44" i="38"/>
  <c r="L53" i="38"/>
  <c r="S53" i="38" s="1"/>
  <c r="AA53" i="38" s="1"/>
  <c r="Z71" i="39"/>
  <c r="AC71" i="39" s="1"/>
  <c r="AQ71" i="39" s="1"/>
  <c r="BI71" i="39" s="1"/>
  <c r="Z45" i="39"/>
  <c r="W62" i="39"/>
  <c r="W54" i="39"/>
  <c r="AA10" i="39"/>
  <c r="Q27" i="39"/>
  <c r="U48" i="40"/>
  <c r="AN48" i="40" s="1"/>
  <c r="U44" i="40"/>
  <c r="AL44" i="40" s="1"/>
  <c r="Z40" i="40"/>
  <c r="AC40" i="40" s="1"/>
  <c r="U49" i="39"/>
  <c r="AE49" i="39" s="1"/>
  <c r="U37" i="39"/>
  <c r="AL37" i="39" s="1"/>
  <c r="U33" i="39"/>
  <c r="AL33" i="39" s="1"/>
  <c r="O11" i="37"/>
  <c r="P11" i="37" s="1"/>
  <c r="Q11" i="37" s="1"/>
  <c r="AM11" i="37"/>
  <c r="O14" i="37"/>
  <c r="P14" i="37" s="1"/>
  <c r="Q14" i="37" s="1"/>
  <c r="AM14" i="37"/>
  <c r="O4" i="38"/>
  <c r="P4" i="38" s="1"/>
  <c r="Q4" i="38" s="1"/>
  <c r="AM4" i="38"/>
  <c r="O6" i="38"/>
  <c r="P6" i="38" s="1"/>
  <c r="Q6" i="38" s="1"/>
  <c r="AM6" i="38"/>
  <c r="O30" i="38"/>
  <c r="P30" i="38" s="1"/>
  <c r="Q30" i="38" s="1"/>
  <c r="AM30" i="38"/>
  <c r="O43" i="38"/>
  <c r="P43" i="38" s="1"/>
  <c r="AM43" i="38"/>
  <c r="O46" i="38"/>
  <c r="P46" i="38" s="1"/>
  <c r="Q46" i="38" s="1"/>
  <c r="AM46" i="38"/>
  <c r="O50" i="38"/>
  <c r="P50" i="38" s="1"/>
  <c r="Q50" i="38" s="1"/>
  <c r="AM50" i="38"/>
  <c r="O52" i="38"/>
  <c r="AM52" i="38"/>
  <c r="O43" i="39"/>
  <c r="P43" i="39" s="1"/>
  <c r="Q43" i="39" s="1"/>
  <c r="AM43" i="39"/>
  <c r="O61" i="40"/>
  <c r="P61" i="40" s="1"/>
  <c r="Q61" i="40" s="1"/>
  <c r="AM61" i="40"/>
  <c r="O60" i="40"/>
  <c r="P60" i="40" s="1"/>
  <c r="Q60" i="40" s="1"/>
  <c r="AM60" i="40"/>
  <c r="O14" i="40"/>
  <c r="P14" i="40" s="1"/>
  <c r="Q14" i="40" s="1"/>
  <c r="AM14" i="40"/>
  <c r="O23" i="40"/>
  <c r="P23" i="40" s="1"/>
  <c r="Q23" i="40" s="1"/>
  <c r="AM23" i="40"/>
  <c r="O4" i="37"/>
  <c r="P4" i="37" s="1"/>
  <c r="Q4" i="37" s="1"/>
  <c r="AM4" i="37"/>
  <c r="O7" i="37"/>
  <c r="P7" i="37" s="1"/>
  <c r="AM7" i="37"/>
  <c r="O22" i="37"/>
  <c r="P22" i="37" s="1"/>
  <c r="Q22" i="37" s="1"/>
  <c r="AM22" i="37"/>
  <c r="O23" i="37"/>
  <c r="P23" i="37" s="1"/>
  <c r="Q23" i="37" s="1"/>
  <c r="AM23" i="37"/>
  <c r="O25" i="37"/>
  <c r="P25" i="37" s="1"/>
  <c r="Q25" i="37" s="1"/>
  <c r="AM25" i="37"/>
  <c r="O27" i="37"/>
  <c r="P27" i="37" s="1"/>
  <c r="Q27" i="37" s="1"/>
  <c r="AM27" i="37"/>
  <c r="O29" i="37"/>
  <c r="P29" i="37" s="1"/>
  <c r="AM29" i="37"/>
  <c r="O34" i="37"/>
  <c r="P34" i="37" s="1"/>
  <c r="AM34" i="37"/>
  <c r="O38" i="37"/>
  <c r="P38" i="37" s="1"/>
  <c r="AM38" i="37"/>
  <c r="O41" i="37"/>
  <c r="P41" i="37" s="1"/>
  <c r="Q41" i="37" s="1"/>
  <c r="AM41" i="37"/>
  <c r="O44" i="37"/>
  <c r="P44" i="37" s="1"/>
  <c r="Q44" i="37" s="1"/>
  <c r="AM44" i="37"/>
  <c r="O46" i="37"/>
  <c r="P46" i="37" s="1"/>
  <c r="AM46" i="37"/>
  <c r="O49" i="37"/>
  <c r="P49" i="37" s="1"/>
  <c r="Q49" i="37" s="1"/>
  <c r="AM49" i="37"/>
  <c r="O51" i="37"/>
  <c r="P51" i="37" s="1"/>
  <c r="Q51" i="37" s="1"/>
  <c r="AM51" i="37"/>
  <c r="O53" i="37"/>
  <c r="P53" i="37" s="1"/>
  <c r="Q53" i="37" s="1"/>
  <c r="AM53" i="37"/>
  <c r="O54" i="37"/>
  <c r="P54" i="37" s="1"/>
  <c r="Q54" i="37" s="1"/>
  <c r="AM54" i="37"/>
  <c r="O57" i="37"/>
  <c r="P57" i="37" s="1"/>
  <c r="Q57" i="37" s="1"/>
  <c r="AM57" i="37"/>
  <c r="O58" i="37"/>
  <c r="P58" i="37" s="1"/>
  <c r="AM58" i="37"/>
  <c r="O61" i="37"/>
  <c r="P61" i="37" s="1"/>
  <c r="Q61" i="37" s="1"/>
  <c r="AM61" i="37"/>
  <c r="O65" i="37"/>
  <c r="P65" i="37" s="1"/>
  <c r="Q65" i="37" s="1"/>
  <c r="AM65" i="37"/>
  <c r="O69" i="37"/>
  <c r="P69" i="37" s="1"/>
  <c r="Q69" i="37" s="1"/>
  <c r="AM69" i="37"/>
  <c r="O9" i="38"/>
  <c r="P9" i="38" s="1"/>
  <c r="Q9" i="38" s="1"/>
  <c r="AM9" i="38"/>
  <c r="O22" i="38"/>
  <c r="P22" i="38" s="1"/>
  <c r="Q22" i="38" s="1"/>
  <c r="AM22" i="38"/>
  <c r="O17" i="37"/>
  <c r="P17" i="37" s="1"/>
  <c r="AM17" i="37"/>
  <c r="O19" i="38"/>
  <c r="P19" i="38" s="1"/>
  <c r="AM19" i="38"/>
  <c r="O21" i="38"/>
  <c r="P21" i="38" s="1"/>
  <c r="Q21" i="38" s="1"/>
  <c r="AM21" i="38"/>
  <c r="O31" i="38"/>
  <c r="P31" i="38" s="1"/>
  <c r="Q31" i="38" s="1"/>
  <c r="AM31" i="38"/>
  <c r="O32" i="38"/>
  <c r="AM32" i="38"/>
  <c r="O47" i="38"/>
  <c r="P47" i="38" s="1"/>
  <c r="Q47" i="38" s="1"/>
  <c r="AM47" i="38"/>
  <c r="O48" i="38"/>
  <c r="P48" i="38" s="1"/>
  <c r="Q48" i="38" s="1"/>
  <c r="AM48" i="38"/>
  <c r="O63" i="39"/>
  <c r="P63" i="39" s="1"/>
  <c r="Q63" i="39" s="1"/>
  <c r="AM63" i="39"/>
  <c r="O47" i="39"/>
  <c r="P47" i="39" s="1"/>
  <c r="Q47" i="39" s="1"/>
  <c r="AM47" i="39"/>
  <c r="O31" i="39"/>
  <c r="P31" i="39" s="1"/>
  <c r="Q31" i="39" s="1"/>
  <c r="AM31" i="39"/>
  <c r="O64" i="39"/>
  <c r="P64" i="39" s="1"/>
  <c r="Q64" i="39" s="1"/>
  <c r="AM64" i="39"/>
  <c r="O26" i="39"/>
  <c r="P26" i="39" s="1"/>
  <c r="Q26" i="39" s="1"/>
  <c r="AM26" i="39"/>
  <c r="O10" i="39"/>
  <c r="P10" i="39" s="1"/>
  <c r="Q10" i="39" s="1"/>
  <c r="AM10" i="39"/>
  <c r="O65" i="40"/>
  <c r="P65" i="40" s="1"/>
  <c r="Q65" i="40" s="1"/>
  <c r="AM65" i="40"/>
  <c r="O53" i="40"/>
  <c r="P53" i="40" s="1"/>
  <c r="Q53" i="40" s="1"/>
  <c r="AM53" i="40"/>
  <c r="O41" i="40"/>
  <c r="P41" i="40" s="1"/>
  <c r="AM41" i="40"/>
  <c r="O64" i="40"/>
  <c r="P64" i="40" s="1"/>
  <c r="Q64" i="40" s="1"/>
  <c r="AM64" i="40"/>
  <c r="O48" i="40"/>
  <c r="AM48" i="40"/>
  <c r="O59" i="40"/>
  <c r="P59" i="40" s="1"/>
  <c r="Q59" i="40" s="1"/>
  <c r="AM59" i="40"/>
  <c r="O10" i="40"/>
  <c r="P10" i="40" s="1"/>
  <c r="AM10" i="40"/>
  <c r="O19" i="40"/>
  <c r="P19" i="40" s="1"/>
  <c r="Q19" i="40" s="1"/>
  <c r="AM19" i="40"/>
  <c r="O22" i="40"/>
  <c r="P22" i="40" s="1"/>
  <c r="Q22" i="40" s="1"/>
  <c r="AM22" i="40"/>
  <c r="L6" i="38"/>
  <c r="S6" i="38" s="1"/>
  <c r="AA6" i="38" s="1"/>
  <c r="M8" i="38"/>
  <c r="K30" i="38"/>
  <c r="R30" i="38" s="1"/>
  <c r="V30" i="38" s="1"/>
  <c r="L46" i="38"/>
  <c r="S46" i="38" s="1"/>
  <c r="W46" i="38" s="1"/>
  <c r="L50" i="38"/>
  <c r="S50" i="38" s="1"/>
  <c r="AA50" i="38" s="1"/>
  <c r="K53" i="38"/>
  <c r="R53" i="38" s="1"/>
  <c r="V53" i="38" s="1"/>
  <c r="L57" i="38"/>
  <c r="S57" i="38" s="1"/>
  <c r="W57" i="38" s="1"/>
  <c r="M62" i="38"/>
  <c r="U71" i="39"/>
  <c r="AE71" i="39" s="1"/>
  <c r="Q15" i="39"/>
  <c r="L7" i="38"/>
  <c r="S7" i="38" s="1"/>
  <c r="W7" i="38" s="1"/>
  <c r="K9" i="38"/>
  <c r="R9" i="38" s="1"/>
  <c r="V9" i="38" s="1"/>
  <c r="L22" i="38"/>
  <c r="S22" i="38" s="1"/>
  <c r="AA22" i="38" s="1"/>
  <c r="L27" i="38"/>
  <c r="S27" i="38" s="1"/>
  <c r="W27" i="38" s="1"/>
  <c r="K33" i="38"/>
  <c r="R33" i="38" s="1"/>
  <c r="V33" i="38" s="1"/>
  <c r="M34" i="38"/>
  <c r="K36" i="38"/>
  <c r="R36" i="38" s="1"/>
  <c r="V36" i="38" s="1"/>
  <c r="L38" i="38"/>
  <c r="S38" i="38" s="1"/>
  <c r="K41" i="38"/>
  <c r="R41" i="38" s="1"/>
  <c r="Z41" i="38" s="1"/>
  <c r="L42" i="38"/>
  <c r="S42" i="38" s="1"/>
  <c r="M43" i="38"/>
  <c r="K45" i="38"/>
  <c r="R45" i="38" s="1"/>
  <c r="K46" i="38"/>
  <c r="R46" i="38" s="1"/>
  <c r="Z46" i="38" s="1"/>
  <c r="K50" i="38"/>
  <c r="R50" i="38" s="1"/>
  <c r="K52" i="38"/>
  <c r="R52" i="38" s="1"/>
  <c r="V52" i="38" s="1"/>
  <c r="K54" i="38"/>
  <c r="R54" i="38" s="1"/>
  <c r="Z54" i="38" s="1"/>
  <c r="K58" i="38"/>
  <c r="R58" i="38" s="1"/>
  <c r="M59" i="38"/>
  <c r="K61" i="38"/>
  <c r="R61" i="38" s="1"/>
  <c r="M69" i="38"/>
  <c r="U39" i="39"/>
  <c r="AL39" i="39" s="1"/>
  <c r="V49" i="39"/>
  <c r="Z67" i="39"/>
  <c r="AC67" i="39" s="1"/>
  <c r="AQ67" i="39" s="1"/>
  <c r="BI67" i="39" s="1"/>
  <c r="V33" i="39"/>
  <c r="Z37" i="39"/>
  <c r="AA13" i="39"/>
  <c r="AC13" i="39" s="1"/>
  <c r="Z25" i="39"/>
  <c r="AC25" i="39" s="1"/>
  <c r="U68" i="40"/>
  <c r="AO68" i="40" s="1"/>
  <c r="V38" i="40"/>
  <c r="Y38" i="40" s="1"/>
  <c r="Z38" i="40"/>
  <c r="Z28" i="40"/>
  <c r="Z23" i="40"/>
  <c r="AC23" i="40" s="1"/>
  <c r="V45" i="40"/>
  <c r="U45" i="40"/>
  <c r="L34" i="38"/>
  <c r="S34" i="38" s="1"/>
  <c r="AA34" i="38" s="1"/>
  <c r="L37" i="38"/>
  <c r="S37" i="38" s="1"/>
  <c r="AA37" i="38" s="1"/>
  <c r="L65" i="38"/>
  <c r="S65" i="38" s="1"/>
  <c r="W65" i="38" s="1"/>
  <c r="L69" i="38"/>
  <c r="S69" i="38" s="1"/>
  <c r="AA69" i="38" s="1"/>
  <c r="W66" i="39"/>
  <c r="Z55" i="39"/>
  <c r="AC55" i="39" s="1"/>
  <c r="AQ55" i="39" s="1"/>
  <c r="BI55" i="39" s="1"/>
  <c r="Z49" i="39"/>
  <c r="U67" i="39"/>
  <c r="AE67" i="39" s="1"/>
  <c r="Z33" i="39"/>
  <c r="W13" i="39"/>
  <c r="U25" i="39"/>
  <c r="AE25" i="39" s="1"/>
  <c r="Y64" i="40"/>
  <c r="Z27" i="40"/>
  <c r="AC27" i="40" s="1"/>
  <c r="Z11" i="40"/>
  <c r="AC11" i="40" s="1"/>
  <c r="U23" i="40"/>
  <c r="AO23" i="40" s="1"/>
  <c r="N14" i="38"/>
  <c r="N20" i="38"/>
  <c r="M25" i="38"/>
  <c r="K34" i="38"/>
  <c r="R34" i="38" s="1"/>
  <c r="K37" i="38"/>
  <c r="R37" i="38" s="1"/>
  <c r="M46" i="38"/>
  <c r="M50" i="38"/>
  <c r="M54" i="38"/>
  <c r="M58" i="38"/>
  <c r="K65" i="38"/>
  <c r="R65" i="38" s="1"/>
  <c r="V65" i="38" s="1"/>
  <c r="K69" i="38"/>
  <c r="R69" i="38" s="1"/>
  <c r="V69" i="38" s="1"/>
  <c r="U55" i="39"/>
  <c r="AL55" i="39" s="1"/>
  <c r="V63" i="39"/>
  <c r="Y63" i="39" s="1"/>
  <c r="W25" i="39"/>
  <c r="Y25" i="39" s="1"/>
  <c r="AA38" i="40"/>
  <c r="W7" i="40"/>
  <c r="Y7" i="40" s="1"/>
  <c r="U7" i="40"/>
  <c r="AN7" i="40" s="1"/>
  <c r="Z3" i="40"/>
  <c r="AC3" i="40" s="1"/>
  <c r="V3" i="40"/>
  <c r="Y3" i="40" s="1"/>
  <c r="AL18" i="40"/>
  <c r="AD18" i="40"/>
  <c r="AN18" i="40"/>
  <c r="AE18" i="40"/>
  <c r="AO18" i="40"/>
  <c r="AL22" i="40"/>
  <c r="AD22" i="40"/>
  <c r="AN22" i="40"/>
  <c r="AE22" i="40"/>
  <c r="AO22" i="40"/>
  <c r="AL14" i="40"/>
  <c r="AD14" i="40"/>
  <c r="AN14" i="40"/>
  <c r="AE14" i="40"/>
  <c r="AO14" i="40"/>
  <c r="V41" i="40"/>
  <c r="Y41" i="40" s="1"/>
  <c r="Z41" i="40"/>
  <c r="U41" i="40"/>
  <c r="Z51" i="40"/>
  <c r="U51" i="40"/>
  <c r="V51" i="40"/>
  <c r="AA6" i="40"/>
  <c r="AC6" i="40" s="1"/>
  <c r="W6" i="40"/>
  <c r="Y6" i="40" s="1"/>
  <c r="W21" i="40"/>
  <c r="AA21" i="40"/>
  <c r="AN3" i="40"/>
  <c r="AE3" i="40"/>
  <c r="AL3" i="40"/>
  <c r="AO3" i="40"/>
  <c r="AD3" i="40"/>
  <c r="Z66" i="40"/>
  <c r="U66" i="40"/>
  <c r="V66" i="40"/>
  <c r="Z54" i="40"/>
  <c r="U54" i="40"/>
  <c r="V54" i="40"/>
  <c r="Z42" i="40"/>
  <c r="U42" i="40"/>
  <c r="V42" i="40"/>
  <c r="W70" i="40"/>
  <c r="AA70" i="40"/>
  <c r="V65" i="40"/>
  <c r="Y65" i="40" s="1"/>
  <c r="U65" i="40"/>
  <c r="Z65" i="40"/>
  <c r="W54" i="40"/>
  <c r="AA54" i="40"/>
  <c r="V49" i="40"/>
  <c r="Y49" i="40" s="1"/>
  <c r="Z49" i="40"/>
  <c r="U49" i="40"/>
  <c r="W42" i="40"/>
  <c r="AA42" i="40"/>
  <c r="V29" i="40"/>
  <c r="Y29" i="40" s="1"/>
  <c r="U29" i="40"/>
  <c r="Z29" i="40"/>
  <c r="AA71" i="40"/>
  <c r="W71" i="40"/>
  <c r="AA51" i="40"/>
  <c r="W51" i="40"/>
  <c r="Z43" i="40"/>
  <c r="U43" i="40"/>
  <c r="V43" i="40"/>
  <c r="Z59" i="40"/>
  <c r="U59" i="40"/>
  <c r="V59" i="40"/>
  <c r="Z25" i="40"/>
  <c r="U25" i="40"/>
  <c r="V25" i="40"/>
  <c r="V17" i="40"/>
  <c r="Z17" i="40"/>
  <c r="U17" i="40"/>
  <c r="Z9" i="40"/>
  <c r="U9" i="40"/>
  <c r="V9" i="40"/>
  <c r="W25" i="40"/>
  <c r="AA25" i="40"/>
  <c r="V12" i="40"/>
  <c r="Y12" i="40" s="1"/>
  <c r="U12" i="40"/>
  <c r="Z12" i="40"/>
  <c r="W9" i="40"/>
  <c r="AA9" i="40"/>
  <c r="W5" i="40"/>
  <c r="AA5" i="40"/>
  <c r="Z63" i="40"/>
  <c r="U63" i="40"/>
  <c r="V63" i="40"/>
  <c r="M72" i="40"/>
  <c r="Y60" i="40"/>
  <c r="V53" i="40"/>
  <c r="Y53" i="40" s="1"/>
  <c r="Z53" i="40"/>
  <c r="U53" i="40"/>
  <c r="AA14" i="40"/>
  <c r="AC14" i="40" s="1"/>
  <c r="W14" i="40"/>
  <c r="Y14" i="40" s="1"/>
  <c r="AA47" i="40"/>
  <c r="W47" i="40"/>
  <c r="AA55" i="40"/>
  <c r="W55" i="40"/>
  <c r="V24" i="40"/>
  <c r="Y24" i="40" s="1"/>
  <c r="Z24" i="40"/>
  <c r="AC24" i="40" s="1"/>
  <c r="U24" i="40"/>
  <c r="V4" i="40"/>
  <c r="U4" i="40"/>
  <c r="Z4" i="40"/>
  <c r="AC4" i="40" s="1"/>
  <c r="AA31" i="40"/>
  <c r="W31" i="40"/>
  <c r="AL26" i="40"/>
  <c r="AD26" i="40"/>
  <c r="AN26" i="40"/>
  <c r="AE26" i="40"/>
  <c r="AO26" i="40"/>
  <c r="Z62" i="40"/>
  <c r="U62" i="40"/>
  <c r="V62" i="40"/>
  <c r="Z50" i="40"/>
  <c r="U50" i="40"/>
  <c r="V50" i="40"/>
  <c r="W66" i="40"/>
  <c r="AA66" i="40"/>
  <c r="V61" i="40"/>
  <c r="U61" i="40"/>
  <c r="Z61" i="40"/>
  <c r="AC61" i="40" s="1"/>
  <c r="W50" i="40"/>
  <c r="AA50" i="40"/>
  <c r="V37" i="40"/>
  <c r="Y37" i="40" s="1"/>
  <c r="U37" i="40"/>
  <c r="Z37" i="40"/>
  <c r="W30" i="40"/>
  <c r="AA30" i="40"/>
  <c r="AA43" i="40"/>
  <c r="W43" i="40"/>
  <c r="Z39" i="40"/>
  <c r="U39" i="40"/>
  <c r="V39" i="40"/>
  <c r="AA59" i="40"/>
  <c r="W59" i="40"/>
  <c r="Z35" i="40"/>
  <c r="U35" i="40"/>
  <c r="V35" i="40"/>
  <c r="AA26" i="40"/>
  <c r="AC26" i="40" s="1"/>
  <c r="W26" i="40"/>
  <c r="Y26" i="40" s="1"/>
  <c r="AA18" i="40"/>
  <c r="AC18" i="40" s="1"/>
  <c r="W18" i="40"/>
  <c r="Y18" i="40" s="1"/>
  <c r="AA10" i="40"/>
  <c r="AC10" i="40" s="1"/>
  <c r="W10" i="40"/>
  <c r="Y10" i="40" s="1"/>
  <c r="Z67" i="40"/>
  <c r="U67" i="40"/>
  <c r="V67" i="40"/>
  <c r="V16" i="40"/>
  <c r="U16" i="40"/>
  <c r="Z16" i="40"/>
  <c r="AC16" i="40" s="1"/>
  <c r="W13" i="40"/>
  <c r="AA13" i="40"/>
  <c r="N72" i="40"/>
  <c r="O3" i="40"/>
  <c r="AA63" i="40"/>
  <c r="W63" i="40"/>
  <c r="Y52" i="40"/>
  <c r="Y68" i="40"/>
  <c r="U10" i="40"/>
  <c r="Y28" i="40"/>
  <c r="R72" i="40"/>
  <c r="Z70" i="40"/>
  <c r="U70" i="40"/>
  <c r="V70" i="40"/>
  <c r="V69" i="40"/>
  <c r="Z69" i="40"/>
  <c r="AC69" i="40" s="1"/>
  <c r="U69" i="40"/>
  <c r="W58" i="40"/>
  <c r="AA58" i="40"/>
  <c r="V33" i="40"/>
  <c r="Y33" i="40" s="1"/>
  <c r="U33" i="40"/>
  <c r="Z33" i="40"/>
  <c r="Z71" i="40"/>
  <c r="U71" i="40"/>
  <c r="V71" i="40"/>
  <c r="W22" i="40"/>
  <c r="Y22" i="40" s="1"/>
  <c r="AA22" i="40"/>
  <c r="AC22" i="40" s="1"/>
  <c r="V8" i="40"/>
  <c r="Y8" i="40" s="1"/>
  <c r="U8" i="40"/>
  <c r="Z8" i="40"/>
  <c r="Z58" i="40"/>
  <c r="U58" i="40"/>
  <c r="V58" i="40"/>
  <c r="Z30" i="40"/>
  <c r="U30" i="40"/>
  <c r="V30" i="40"/>
  <c r="W62" i="40"/>
  <c r="AA62" i="40"/>
  <c r="V57" i="40"/>
  <c r="Y57" i="40" s="1"/>
  <c r="Z57" i="40"/>
  <c r="U57" i="40"/>
  <c r="W46" i="40"/>
  <c r="Y46" i="40" s="1"/>
  <c r="AA46" i="40"/>
  <c r="AA39" i="40"/>
  <c r="W39" i="40"/>
  <c r="AA35" i="40"/>
  <c r="W35" i="40"/>
  <c r="V21" i="40"/>
  <c r="Z21" i="40"/>
  <c r="U21" i="40"/>
  <c r="Z13" i="40"/>
  <c r="U13" i="40"/>
  <c r="V13" i="40"/>
  <c r="Z5" i="40"/>
  <c r="U5" i="40"/>
  <c r="V5" i="40"/>
  <c r="AA67" i="40"/>
  <c r="W67" i="40"/>
  <c r="Z47" i="40"/>
  <c r="U47" i="40"/>
  <c r="V47" i="40"/>
  <c r="Z55" i="40"/>
  <c r="U55" i="40"/>
  <c r="V55" i="40"/>
  <c r="V20" i="40"/>
  <c r="Y20" i="40" s="1"/>
  <c r="U20" i="40"/>
  <c r="Z20" i="40"/>
  <c r="W17" i="40"/>
  <c r="AA17" i="40"/>
  <c r="Z31" i="40"/>
  <c r="U31" i="40"/>
  <c r="V31" i="40"/>
  <c r="L72" i="40"/>
  <c r="K72" i="40"/>
  <c r="U46" i="40"/>
  <c r="S72" i="40"/>
  <c r="U6" i="40"/>
  <c r="AA6" i="39"/>
  <c r="M72" i="39"/>
  <c r="T72" i="39" s="1"/>
  <c r="U5" i="39"/>
  <c r="AN5" i="39" s="1"/>
  <c r="Z5" i="39"/>
  <c r="AC5" i="39" s="1"/>
  <c r="W21" i="39"/>
  <c r="Y5" i="39"/>
  <c r="AL20" i="39"/>
  <c r="AD20" i="39"/>
  <c r="AN20" i="39"/>
  <c r="AE20" i="39"/>
  <c r="AO20" i="39"/>
  <c r="V66" i="39"/>
  <c r="U66" i="39"/>
  <c r="Z66" i="39"/>
  <c r="AC66" i="39" s="1"/>
  <c r="V50" i="39"/>
  <c r="Z50" i="39"/>
  <c r="AC50" i="39" s="1"/>
  <c r="U50" i="39"/>
  <c r="AA41" i="39"/>
  <c r="W41" i="39"/>
  <c r="Y41" i="39" s="1"/>
  <c r="AL31" i="39"/>
  <c r="AD31" i="39"/>
  <c r="AN31" i="39"/>
  <c r="AE31" i="39"/>
  <c r="AO31" i="39"/>
  <c r="Z27" i="39"/>
  <c r="U27" i="39"/>
  <c r="V27" i="39"/>
  <c r="Z11" i="39"/>
  <c r="U11" i="39"/>
  <c r="V11" i="39"/>
  <c r="AA32" i="39"/>
  <c r="W32" i="39"/>
  <c r="W23" i="39"/>
  <c r="AA23" i="39"/>
  <c r="W7" i="39"/>
  <c r="AA7" i="39"/>
  <c r="V70" i="39"/>
  <c r="Z70" i="39"/>
  <c r="AC70" i="39" s="1"/>
  <c r="U70" i="39"/>
  <c r="V54" i="39"/>
  <c r="Z54" i="39"/>
  <c r="AC54" i="39" s="1"/>
  <c r="U54" i="39"/>
  <c r="V38" i="39"/>
  <c r="Z38" i="39"/>
  <c r="AC38" i="39" s="1"/>
  <c r="U38" i="39"/>
  <c r="W31" i="39"/>
  <c r="Y31" i="39" s="1"/>
  <c r="AA31" i="39"/>
  <c r="AC31" i="39" s="1"/>
  <c r="AA69" i="39"/>
  <c r="AC69" i="39" s="1"/>
  <c r="W69" i="39"/>
  <c r="AA53" i="39"/>
  <c r="W53" i="39"/>
  <c r="Y53" i="39" s="1"/>
  <c r="AA37" i="39"/>
  <c r="W37" i="39"/>
  <c r="Y37" i="39" s="1"/>
  <c r="N72" i="39"/>
  <c r="O3" i="39"/>
  <c r="AA68" i="39"/>
  <c r="W68" i="39"/>
  <c r="Z52" i="39"/>
  <c r="U52" i="39"/>
  <c r="V52" i="39"/>
  <c r="AA36" i="39"/>
  <c r="W36" i="39"/>
  <c r="AA28" i="39"/>
  <c r="AC28" i="39" s="1"/>
  <c r="W28" i="39"/>
  <c r="Y28" i="39" s="1"/>
  <c r="V23" i="39"/>
  <c r="Z23" i="39"/>
  <c r="U23" i="39"/>
  <c r="Z7" i="39"/>
  <c r="U7" i="39"/>
  <c r="V7" i="39"/>
  <c r="Z56" i="39"/>
  <c r="U56" i="39"/>
  <c r="V56" i="39"/>
  <c r="Z40" i="39"/>
  <c r="U40" i="39"/>
  <c r="V40" i="39"/>
  <c r="AA48" i="39"/>
  <c r="W48" i="39"/>
  <c r="W15" i="39"/>
  <c r="AA15" i="39"/>
  <c r="L72" i="39"/>
  <c r="S3" i="39"/>
  <c r="U3" i="39" s="1"/>
  <c r="Z60" i="39"/>
  <c r="U60" i="39"/>
  <c r="V60" i="39"/>
  <c r="Z44" i="39"/>
  <c r="U44" i="39"/>
  <c r="V44" i="39"/>
  <c r="AA16" i="39"/>
  <c r="W16" i="39"/>
  <c r="AA8" i="39"/>
  <c r="W8" i="39"/>
  <c r="Z4" i="39"/>
  <c r="U4" i="39"/>
  <c r="V4" i="39"/>
  <c r="Z12" i="39"/>
  <c r="U12" i="39"/>
  <c r="V12" i="39"/>
  <c r="U41" i="39"/>
  <c r="U28" i="39"/>
  <c r="W35" i="39"/>
  <c r="Y35" i="39" s="1"/>
  <c r="AA35" i="39"/>
  <c r="AC35" i="39" s="1"/>
  <c r="AA57" i="39"/>
  <c r="W57" i="39"/>
  <c r="Y57" i="39" s="1"/>
  <c r="W27" i="39"/>
  <c r="AA27" i="39"/>
  <c r="V14" i="39"/>
  <c r="Y14" i="39" s="1"/>
  <c r="Z14" i="39"/>
  <c r="U14" i="39"/>
  <c r="Z8" i="39"/>
  <c r="U8" i="39"/>
  <c r="V8" i="39"/>
  <c r="V58" i="39"/>
  <c r="U58" i="39"/>
  <c r="Z58" i="39"/>
  <c r="AC58" i="39" s="1"/>
  <c r="V42" i="39"/>
  <c r="U42" i="39"/>
  <c r="Z42" i="39"/>
  <c r="AC42" i="39" s="1"/>
  <c r="AA65" i="39"/>
  <c r="AC65" i="39" s="1"/>
  <c r="W65" i="39"/>
  <c r="AA49" i="39"/>
  <c r="W49" i="39"/>
  <c r="AA33" i="39"/>
  <c r="W33" i="39"/>
  <c r="AA64" i="39"/>
  <c r="W64" i="39"/>
  <c r="W24" i="39"/>
  <c r="Y24" i="39" s="1"/>
  <c r="AA24" i="39"/>
  <c r="AC24" i="39" s="1"/>
  <c r="Z15" i="39"/>
  <c r="U15" i="39"/>
  <c r="V15" i="39"/>
  <c r="Z32" i="39"/>
  <c r="U32" i="39"/>
  <c r="V32" i="39"/>
  <c r="V10" i="39"/>
  <c r="Y10" i="39" s="1"/>
  <c r="Z10" i="39"/>
  <c r="U10" i="39"/>
  <c r="AA4" i="39"/>
  <c r="W4" i="39"/>
  <c r="AA12" i="39"/>
  <c r="W12" i="39"/>
  <c r="U65" i="39"/>
  <c r="AC59" i="39"/>
  <c r="U69" i="39"/>
  <c r="U53" i="39"/>
  <c r="U35" i="39"/>
  <c r="K72" i="39"/>
  <c r="V30" i="39"/>
  <c r="Y30" i="39" s="1"/>
  <c r="U30" i="39"/>
  <c r="Z30" i="39"/>
  <c r="Z64" i="39"/>
  <c r="U64" i="39"/>
  <c r="V64" i="39"/>
  <c r="W20" i="39"/>
  <c r="Y20" i="39" s="1"/>
  <c r="AA20" i="39"/>
  <c r="AC20" i="39" s="1"/>
  <c r="W19" i="39"/>
  <c r="AA19" i="39"/>
  <c r="V62" i="39"/>
  <c r="U62" i="39"/>
  <c r="Z62" i="39"/>
  <c r="AC62" i="39" s="1"/>
  <c r="V46" i="39"/>
  <c r="U46" i="39"/>
  <c r="Z46" i="39"/>
  <c r="AC46" i="39" s="1"/>
  <c r="V34" i="39"/>
  <c r="Y34" i="39" s="1"/>
  <c r="Z34" i="39"/>
  <c r="AC34" i="39" s="1"/>
  <c r="U34" i="39"/>
  <c r="AA61" i="39"/>
  <c r="AC61" i="39" s="1"/>
  <c r="W61" i="39"/>
  <c r="AA45" i="39"/>
  <c r="W45" i="39"/>
  <c r="Z68" i="39"/>
  <c r="U68" i="39"/>
  <c r="V68" i="39"/>
  <c r="AA52" i="39"/>
  <c r="W52" i="39"/>
  <c r="Z36" i="39"/>
  <c r="U36" i="39"/>
  <c r="V36" i="39"/>
  <c r="V19" i="39"/>
  <c r="Z19" i="39"/>
  <c r="U19" i="39"/>
  <c r="AA56" i="39"/>
  <c r="W56" i="39"/>
  <c r="AA40" i="39"/>
  <c r="W40" i="39"/>
  <c r="Z48" i="39"/>
  <c r="U48" i="39"/>
  <c r="V48" i="39"/>
  <c r="V26" i="39"/>
  <c r="Y26" i="39" s="1"/>
  <c r="Z26" i="39"/>
  <c r="U26" i="39"/>
  <c r="V22" i="39"/>
  <c r="Y22" i="39" s="1"/>
  <c r="Z22" i="39"/>
  <c r="U22" i="39"/>
  <c r="V18" i="39"/>
  <c r="Y18" i="39" s="1"/>
  <c r="U18" i="39"/>
  <c r="Z18" i="39"/>
  <c r="W11" i="39"/>
  <c r="AA11" i="39"/>
  <c r="V6" i="39"/>
  <c r="Y6" i="39" s="1"/>
  <c r="Z6" i="39"/>
  <c r="U6" i="39"/>
  <c r="AA60" i="39"/>
  <c r="W60" i="39"/>
  <c r="AA44" i="39"/>
  <c r="W44" i="39"/>
  <c r="Z16" i="39"/>
  <c r="U16" i="39"/>
  <c r="V16" i="39"/>
  <c r="R72" i="39"/>
  <c r="Z3" i="39"/>
  <c r="V3" i="39"/>
  <c r="U57" i="39"/>
  <c r="U24" i="39"/>
  <c r="Y9" i="39"/>
  <c r="K13" i="38"/>
  <c r="R13" i="38" s="1"/>
  <c r="V13" i="38" s="1"/>
  <c r="N10" i="38"/>
  <c r="M9" i="38"/>
  <c r="M10" i="38"/>
  <c r="Z10" i="38"/>
  <c r="M4" i="38"/>
  <c r="L4" i="38"/>
  <c r="S4" i="38" s="1"/>
  <c r="K6" i="38"/>
  <c r="R6" i="38" s="1"/>
  <c r="V6" i="38" s="1"/>
  <c r="K7" i="38"/>
  <c r="R7" i="38" s="1"/>
  <c r="V7" i="38" s="1"/>
  <c r="K8" i="38"/>
  <c r="R8" i="38" s="1"/>
  <c r="L10" i="38"/>
  <c r="S10" i="38" s="1"/>
  <c r="U10" i="38" s="1"/>
  <c r="N12" i="38"/>
  <c r="M13" i="38"/>
  <c r="M15" i="38"/>
  <c r="M17" i="38"/>
  <c r="M23" i="38"/>
  <c r="K25" i="38"/>
  <c r="R25" i="38" s="1"/>
  <c r="V25" i="38" s="1"/>
  <c r="K27" i="38"/>
  <c r="R27" i="38" s="1"/>
  <c r="V27" i="38" s="1"/>
  <c r="M30" i="38"/>
  <c r="AS72" i="38"/>
  <c r="K4" i="38"/>
  <c r="R4" i="38" s="1"/>
  <c r="V4" i="38" s="1"/>
  <c r="L13" i="38"/>
  <c r="S13" i="38" s="1"/>
  <c r="K15" i="38"/>
  <c r="R15" i="38" s="1"/>
  <c r="V15" i="38" s="1"/>
  <c r="L17" i="38"/>
  <c r="S17" i="38" s="1"/>
  <c r="W17" i="38" s="1"/>
  <c r="M21" i="38"/>
  <c r="L23" i="38"/>
  <c r="S23" i="38" s="1"/>
  <c r="L24" i="38"/>
  <c r="S24" i="38" s="1"/>
  <c r="AA24" i="38" s="1"/>
  <c r="L30" i="38"/>
  <c r="S30" i="38" s="1"/>
  <c r="W11" i="38"/>
  <c r="AA11" i="38"/>
  <c r="AA18" i="38"/>
  <c r="W18" i="38"/>
  <c r="K16" i="38"/>
  <c r="R16" i="38" s="1"/>
  <c r="M16" i="38"/>
  <c r="K26" i="38"/>
  <c r="R26" i="38" s="1"/>
  <c r="M26" i="38"/>
  <c r="M28" i="38"/>
  <c r="K28" i="38"/>
  <c r="R28" i="38" s="1"/>
  <c r="AA29" i="38"/>
  <c r="W29" i="38"/>
  <c r="K39" i="38"/>
  <c r="R39" i="38" s="1"/>
  <c r="L39" i="38"/>
  <c r="S39" i="38" s="1"/>
  <c r="M39" i="38"/>
  <c r="Z44" i="38"/>
  <c r="V44" i="38"/>
  <c r="L56" i="38"/>
  <c r="S56" i="38" s="1"/>
  <c r="M56" i="38"/>
  <c r="K56" i="38"/>
  <c r="R56" i="38" s="1"/>
  <c r="K63" i="38"/>
  <c r="R63" i="38" s="1"/>
  <c r="L63" i="38"/>
  <c r="S63" i="38" s="1"/>
  <c r="M63" i="38"/>
  <c r="L68" i="38"/>
  <c r="S68" i="38" s="1"/>
  <c r="M68" i="38"/>
  <c r="K68" i="38"/>
  <c r="R68" i="38" s="1"/>
  <c r="K12" i="38"/>
  <c r="R12" i="38" s="1"/>
  <c r="M12" i="38"/>
  <c r="M14" i="38"/>
  <c r="K14" i="38"/>
  <c r="R14" i="38" s="1"/>
  <c r="M19" i="38"/>
  <c r="K19" i="38"/>
  <c r="R19" i="38" s="1"/>
  <c r="M20" i="38"/>
  <c r="K20" i="38"/>
  <c r="R20" i="38" s="1"/>
  <c r="M29" i="38"/>
  <c r="K29" i="38"/>
  <c r="R29" i="38" s="1"/>
  <c r="N29" i="38"/>
  <c r="L32" i="38"/>
  <c r="S32" i="38" s="1"/>
  <c r="M32" i="38"/>
  <c r="K32" i="38"/>
  <c r="R32" i="38" s="1"/>
  <c r="K55" i="38"/>
  <c r="R55" i="38" s="1"/>
  <c r="L55" i="38"/>
  <c r="S55" i="38" s="1"/>
  <c r="M55" i="38"/>
  <c r="K67" i="38"/>
  <c r="R67" i="38" s="1"/>
  <c r="L67" i="38"/>
  <c r="S67" i="38" s="1"/>
  <c r="M67" i="38"/>
  <c r="J72" i="38"/>
  <c r="N3" i="38"/>
  <c r="AM3" i="38" s="1"/>
  <c r="AG72" i="38"/>
  <c r="L5" i="38"/>
  <c r="S5" i="38" s="1"/>
  <c r="N16" i="38"/>
  <c r="N18" i="38"/>
  <c r="M3" i="38"/>
  <c r="AF72" i="38"/>
  <c r="K5" i="38"/>
  <c r="R5" i="38" s="1"/>
  <c r="V10" i="38"/>
  <c r="N11" i="38"/>
  <c r="L16" i="38"/>
  <c r="S16" i="38" s="1"/>
  <c r="M18" i="38"/>
  <c r="K18" i="38"/>
  <c r="R18" i="38" s="1"/>
  <c r="K31" i="38"/>
  <c r="R31" i="38" s="1"/>
  <c r="L31" i="38"/>
  <c r="S31" i="38" s="1"/>
  <c r="M31" i="38"/>
  <c r="L48" i="38"/>
  <c r="S48" i="38" s="1"/>
  <c r="M48" i="38"/>
  <c r="K48" i="38"/>
  <c r="R48" i="38" s="1"/>
  <c r="K22" i="38"/>
  <c r="R22" i="38" s="1"/>
  <c r="M22" i="38"/>
  <c r="M24" i="38"/>
  <c r="K24" i="38"/>
  <c r="R24" i="38" s="1"/>
  <c r="L40" i="38"/>
  <c r="S40" i="38" s="1"/>
  <c r="M40" i="38"/>
  <c r="K40" i="38"/>
  <c r="R40" i="38" s="1"/>
  <c r="K47" i="38"/>
  <c r="R47" i="38" s="1"/>
  <c r="L47" i="38"/>
  <c r="S47" i="38" s="1"/>
  <c r="M47" i="38"/>
  <c r="L64" i="38"/>
  <c r="S64" i="38" s="1"/>
  <c r="M64" i="38"/>
  <c r="K64" i="38"/>
  <c r="R64" i="38" s="1"/>
  <c r="K3" i="38"/>
  <c r="S3" i="38"/>
  <c r="N5" i="38"/>
  <c r="K11" i="38"/>
  <c r="R11" i="38" s="1"/>
  <c r="W12" i="38"/>
  <c r="W14" i="38"/>
  <c r="W20" i="38"/>
  <c r="L26" i="38"/>
  <c r="S26" i="38" s="1"/>
  <c r="L28" i="38"/>
  <c r="S28" i="38" s="1"/>
  <c r="N39" i="38"/>
  <c r="N56" i="38"/>
  <c r="N63" i="38"/>
  <c r="N68" i="38"/>
  <c r="K35" i="38"/>
  <c r="R35" i="38" s="1"/>
  <c r="L35" i="38"/>
  <c r="S35" i="38" s="1"/>
  <c r="L44" i="38"/>
  <c r="S44" i="38" s="1"/>
  <c r="M44" i="38"/>
  <c r="K51" i="38"/>
  <c r="R51" i="38" s="1"/>
  <c r="L51" i="38"/>
  <c r="S51" i="38" s="1"/>
  <c r="L60" i="38"/>
  <c r="S60" i="38" s="1"/>
  <c r="M60" i="38"/>
  <c r="L15" i="38"/>
  <c r="S15" i="38" s="1"/>
  <c r="L21" i="38"/>
  <c r="S21" i="38" s="1"/>
  <c r="L25" i="38"/>
  <c r="S25" i="38" s="1"/>
  <c r="L36" i="38"/>
  <c r="S36" i="38" s="1"/>
  <c r="M36" i="38"/>
  <c r="K43" i="38"/>
  <c r="R43" i="38" s="1"/>
  <c r="L43" i="38"/>
  <c r="S43" i="38" s="1"/>
  <c r="L52" i="38"/>
  <c r="S52" i="38" s="1"/>
  <c r="M52" i="38"/>
  <c r="K59" i="38"/>
  <c r="R59" i="38" s="1"/>
  <c r="L59" i="38"/>
  <c r="S59" i="38" s="1"/>
  <c r="K71" i="38"/>
  <c r="R71" i="38" s="1"/>
  <c r="L71" i="38"/>
  <c r="S71" i="38" s="1"/>
  <c r="N33" i="38"/>
  <c r="N37" i="38"/>
  <c r="N41" i="38"/>
  <c r="N45" i="38"/>
  <c r="N49" i="38"/>
  <c r="N53" i="38"/>
  <c r="N57" i="38"/>
  <c r="N61" i="38"/>
  <c r="N65" i="38"/>
  <c r="K66" i="38"/>
  <c r="R66" i="38" s="1"/>
  <c r="K70" i="38"/>
  <c r="R70" i="38" s="1"/>
  <c r="L66" i="37"/>
  <c r="S66" i="37" s="1"/>
  <c r="W66" i="37" s="1"/>
  <c r="L70" i="37"/>
  <c r="S70" i="37" s="1"/>
  <c r="W70" i="37" s="1"/>
  <c r="M14" i="37"/>
  <c r="L14" i="37"/>
  <c r="S14" i="37" s="1"/>
  <c r="M19" i="37"/>
  <c r="M8" i="37"/>
  <c r="K9" i="37"/>
  <c r="R9" i="37" s="1"/>
  <c r="V9" i="37" s="1"/>
  <c r="L8" i="37"/>
  <c r="S8" i="37" s="1"/>
  <c r="M9" i="37"/>
  <c r="K15" i="37"/>
  <c r="R15" i="37" s="1"/>
  <c r="V15" i="37" s="1"/>
  <c r="L20" i="37"/>
  <c r="S20" i="37" s="1"/>
  <c r="W20" i="37" s="1"/>
  <c r="M21" i="37"/>
  <c r="K27" i="37"/>
  <c r="R27" i="37" s="1"/>
  <c r="V27" i="37" s="1"/>
  <c r="K3" i="37"/>
  <c r="R3" i="37" s="1"/>
  <c r="M13" i="37"/>
  <c r="M18" i="37"/>
  <c r="K20" i="37"/>
  <c r="R20" i="37" s="1"/>
  <c r="V20" i="37" s="1"/>
  <c r="K13" i="37"/>
  <c r="R13" i="37" s="1"/>
  <c r="L7" i="37"/>
  <c r="S7" i="37" s="1"/>
  <c r="W7" i="37" s="1"/>
  <c r="L15" i="37"/>
  <c r="S15" i="37" s="1"/>
  <c r="AA15" i="37" s="1"/>
  <c r="M16" i="37"/>
  <c r="M24" i="37"/>
  <c r="L28" i="37"/>
  <c r="S28" i="37" s="1"/>
  <c r="AA28" i="37" s="1"/>
  <c r="K14" i="37"/>
  <c r="R14" i="37" s="1"/>
  <c r="Z14" i="37" s="1"/>
  <c r="K30" i="37"/>
  <c r="R30" i="37" s="1"/>
  <c r="V30" i="37" s="1"/>
  <c r="N48" i="37"/>
  <c r="K24" i="37"/>
  <c r="R24" i="37" s="1"/>
  <c r="V24" i="37" s="1"/>
  <c r="N39" i="37"/>
  <c r="K60" i="37"/>
  <c r="R60" i="37" s="1"/>
  <c r="V60" i="37" s="1"/>
  <c r="M4" i="37"/>
  <c r="M22" i="37"/>
  <c r="N36" i="37"/>
  <c r="K11" i="37"/>
  <c r="R11" i="37" s="1"/>
  <c r="V11" i="37" s="1"/>
  <c r="N18" i="37"/>
  <c r="L21" i="37"/>
  <c r="S21" i="37" s="1"/>
  <c r="W21" i="37" s="1"/>
  <c r="K28" i="37"/>
  <c r="R28" i="37" s="1"/>
  <c r="V28" i="37" s="1"/>
  <c r="K44" i="37"/>
  <c r="R44" i="37" s="1"/>
  <c r="Z44" i="37" s="1"/>
  <c r="K53" i="37"/>
  <c r="R53" i="37" s="1"/>
  <c r="Z53" i="37" s="1"/>
  <c r="L62" i="37"/>
  <c r="S62" i="37" s="1"/>
  <c r="W62" i="37" s="1"/>
  <c r="K10" i="37"/>
  <c r="R10" i="37" s="1"/>
  <c r="V10" i="37" s="1"/>
  <c r="L24" i="37"/>
  <c r="S24" i="37" s="1"/>
  <c r="K33" i="37"/>
  <c r="R33" i="37" s="1"/>
  <c r="V33" i="37" s="1"/>
  <c r="M51" i="37"/>
  <c r="L11" i="37"/>
  <c r="S11" i="37" s="1"/>
  <c r="L30" i="37"/>
  <c r="S30" i="37" s="1"/>
  <c r="W30" i="37" s="1"/>
  <c r="L38" i="37"/>
  <c r="S38" i="37" s="1"/>
  <c r="W38" i="37" s="1"/>
  <c r="K45" i="37"/>
  <c r="R45" i="37" s="1"/>
  <c r="V45" i="37" s="1"/>
  <c r="K49" i="37"/>
  <c r="R49" i="37" s="1"/>
  <c r="V49" i="37" s="1"/>
  <c r="K57" i="37"/>
  <c r="R57" i="37" s="1"/>
  <c r="V57" i="37" s="1"/>
  <c r="N64" i="37"/>
  <c r="N71" i="37"/>
  <c r="M11" i="37"/>
  <c r="L45" i="37"/>
  <c r="S45" i="37" s="1"/>
  <c r="W45" i="37" s="1"/>
  <c r="L37" i="37"/>
  <c r="S37" i="37" s="1"/>
  <c r="AA37" i="37" s="1"/>
  <c r="M49" i="37"/>
  <c r="M53" i="37"/>
  <c r="N67" i="37"/>
  <c r="N8" i="37"/>
  <c r="L10" i="37"/>
  <c r="S10" i="37" s="1"/>
  <c r="W10" i="37" s="1"/>
  <c r="L16" i="37"/>
  <c r="S16" i="37" s="1"/>
  <c r="W16" i="37" s="1"/>
  <c r="M28" i="37"/>
  <c r="L33" i="37"/>
  <c r="S33" i="37" s="1"/>
  <c r="K37" i="37"/>
  <c r="R37" i="37" s="1"/>
  <c r="V37" i="37" s="1"/>
  <c r="M38" i="37"/>
  <c r="M45" i="37"/>
  <c r="L49" i="37"/>
  <c r="S49" i="37" s="1"/>
  <c r="AA49" i="37" s="1"/>
  <c r="L53" i="37"/>
  <c r="S53" i="37" s="1"/>
  <c r="AA53" i="37" s="1"/>
  <c r="L58" i="37"/>
  <c r="S58" i="37" s="1"/>
  <c r="W58" i="37" s="1"/>
  <c r="AS72" i="37"/>
  <c r="AF72" i="37"/>
  <c r="M6" i="37"/>
  <c r="M41" i="37"/>
  <c r="M61" i="37"/>
  <c r="M65" i="37"/>
  <c r="M69" i="37"/>
  <c r="M3" i="37"/>
  <c r="L6" i="37"/>
  <c r="S6" i="37" s="1"/>
  <c r="AA6" i="37" s="1"/>
  <c r="M12" i="37"/>
  <c r="M17" i="37"/>
  <c r="M20" i="37"/>
  <c r="M25" i="37"/>
  <c r="M29" i="37"/>
  <c r="M34" i="37"/>
  <c r="L41" i="37"/>
  <c r="S41" i="37" s="1"/>
  <c r="AA41" i="37" s="1"/>
  <c r="M42" i="37"/>
  <c r="M46" i="37"/>
  <c r="M50" i="37"/>
  <c r="M54" i="37"/>
  <c r="M57" i="37"/>
  <c r="L61" i="37"/>
  <c r="S61" i="37" s="1"/>
  <c r="W61" i="37" s="1"/>
  <c r="L65" i="37"/>
  <c r="S65" i="37" s="1"/>
  <c r="W65" i="37" s="1"/>
  <c r="L69" i="37"/>
  <c r="S69" i="37" s="1"/>
  <c r="AA69" i="37" s="1"/>
  <c r="L3" i="37"/>
  <c r="S3" i="37" s="1"/>
  <c r="K6" i="37"/>
  <c r="R6" i="37" s="1"/>
  <c r="V6" i="37" s="1"/>
  <c r="M7" i="37"/>
  <c r="M10" i="37"/>
  <c r="L12" i="37"/>
  <c r="S12" i="37" s="1"/>
  <c r="W12" i="37" s="1"/>
  <c r="M15" i="37"/>
  <c r="L17" i="37"/>
  <c r="S17" i="37" s="1"/>
  <c r="W17" i="37" s="1"/>
  <c r="K23" i="37"/>
  <c r="R23" i="37" s="1"/>
  <c r="L25" i="37"/>
  <c r="S25" i="37" s="1"/>
  <c r="L29" i="37"/>
  <c r="S29" i="37" s="1"/>
  <c r="W29" i="37" s="1"/>
  <c r="M30" i="37"/>
  <c r="N31" i="37"/>
  <c r="L34" i="37"/>
  <c r="S34" i="37" s="1"/>
  <c r="W34" i="37" s="1"/>
  <c r="K41" i="37"/>
  <c r="R41" i="37" s="1"/>
  <c r="V41" i="37" s="1"/>
  <c r="L42" i="37"/>
  <c r="S42" i="37" s="1"/>
  <c r="L46" i="37"/>
  <c r="S46" i="37" s="1"/>
  <c r="W46" i="37" s="1"/>
  <c r="L50" i="37"/>
  <c r="S50" i="37" s="1"/>
  <c r="W50" i="37" s="1"/>
  <c r="L54" i="37"/>
  <c r="S54" i="37" s="1"/>
  <c r="N55" i="37"/>
  <c r="L57" i="37"/>
  <c r="S57" i="37" s="1"/>
  <c r="W57" i="37" s="1"/>
  <c r="M58" i="37"/>
  <c r="K61" i="37"/>
  <c r="R61" i="37" s="1"/>
  <c r="V61" i="37" s="1"/>
  <c r="M62" i="37"/>
  <c r="K65" i="37"/>
  <c r="R65" i="37" s="1"/>
  <c r="V65" i="37" s="1"/>
  <c r="M66" i="37"/>
  <c r="K69" i="37"/>
  <c r="R69" i="37" s="1"/>
  <c r="Z69" i="37" s="1"/>
  <c r="M70" i="37"/>
  <c r="BG72" i="37"/>
  <c r="L5" i="37"/>
  <c r="S5" i="37" s="1"/>
  <c r="M5" i="37"/>
  <c r="K5" i="37"/>
  <c r="R5" i="37" s="1"/>
  <c r="N5" i="37"/>
  <c r="L19" i="37"/>
  <c r="S19" i="37" s="1"/>
  <c r="K26" i="37"/>
  <c r="R26" i="37" s="1"/>
  <c r="L26" i="37"/>
  <c r="S26" i="37" s="1"/>
  <c r="L32" i="37"/>
  <c r="S32" i="37" s="1"/>
  <c r="M32" i="37"/>
  <c r="N32" i="37"/>
  <c r="Z36" i="37"/>
  <c r="V36" i="37"/>
  <c r="L9" i="37"/>
  <c r="S9" i="37" s="1"/>
  <c r="L13" i="37"/>
  <c r="S13" i="37" s="1"/>
  <c r="K35" i="37"/>
  <c r="R35" i="37" s="1"/>
  <c r="L35" i="37"/>
  <c r="S35" i="37" s="1"/>
  <c r="N35" i="37"/>
  <c r="K43" i="37"/>
  <c r="R43" i="37" s="1"/>
  <c r="L43" i="37"/>
  <c r="S43" i="37" s="1"/>
  <c r="M43" i="37"/>
  <c r="N43" i="37"/>
  <c r="K59" i="37"/>
  <c r="R59" i="37" s="1"/>
  <c r="L59" i="37"/>
  <c r="S59" i="37" s="1"/>
  <c r="M59" i="37"/>
  <c r="N59" i="37"/>
  <c r="K4" i="37"/>
  <c r="R4" i="37" s="1"/>
  <c r="L4" i="37"/>
  <c r="S4" i="37" s="1"/>
  <c r="K18" i="37"/>
  <c r="R18" i="37" s="1"/>
  <c r="L18" i="37"/>
  <c r="S18" i="37" s="1"/>
  <c r="K8" i="37"/>
  <c r="R8" i="37" s="1"/>
  <c r="K22" i="37"/>
  <c r="R22" i="37" s="1"/>
  <c r="L22" i="37"/>
  <c r="S22" i="37" s="1"/>
  <c r="Z40" i="37"/>
  <c r="V40" i="37"/>
  <c r="L52" i="37"/>
  <c r="S52" i="37" s="1"/>
  <c r="M52" i="37"/>
  <c r="K52" i="37"/>
  <c r="R52" i="37" s="1"/>
  <c r="N52" i="37"/>
  <c r="Z56" i="37"/>
  <c r="V56" i="37"/>
  <c r="L68" i="37"/>
  <c r="S68" i="37" s="1"/>
  <c r="M68" i="37"/>
  <c r="K68" i="37"/>
  <c r="R68" i="37" s="1"/>
  <c r="N68" i="37"/>
  <c r="N19" i="37"/>
  <c r="N26" i="37"/>
  <c r="N9" i="37"/>
  <c r="N13" i="37"/>
  <c r="K19" i="37"/>
  <c r="R19" i="37" s="1"/>
  <c r="M26" i="37"/>
  <c r="K32" i="37"/>
  <c r="R32" i="37" s="1"/>
  <c r="D72" i="37"/>
  <c r="L23" i="37"/>
  <c r="S23" i="37" s="1"/>
  <c r="M23" i="37"/>
  <c r="L27" i="37"/>
  <c r="S27" i="37" s="1"/>
  <c r="M27" i="37"/>
  <c r="Z48" i="37"/>
  <c r="V48" i="37"/>
  <c r="Z64" i="37"/>
  <c r="V64" i="37"/>
  <c r="L40" i="37"/>
  <c r="S40" i="37" s="1"/>
  <c r="U40" i="37" s="1"/>
  <c r="M40" i="37"/>
  <c r="K47" i="37"/>
  <c r="R47" i="37" s="1"/>
  <c r="L47" i="37"/>
  <c r="S47" i="37" s="1"/>
  <c r="L56" i="37"/>
  <c r="S56" i="37" s="1"/>
  <c r="M56" i="37"/>
  <c r="K63" i="37"/>
  <c r="R63" i="37" s="1"/>
  <c r="L63" i="37"/>
  <c r="S63" i="37" s="1"/>
  <c r="L44" i="37"/>
  <c r="S44" i="37" s="1"/>
  <c r="M44" i="37"/>
  <c r="K51" i="37"/>
  <c r="R51" i="37" s="1"/>
  <c r="L51" i="37"/>
  <c r="S51" i="37" s="1"/>
  <c r="L60" i="37"/>
  <c r="S60" i="37" s="1"/>
  <c r="M60" i="37"/>
  <c r="K67" i="37"/>
  <c r="R67" i="37" s="1"/>
  <c r="L67" i="37"/>
  <c r="S67" i="37" s="1"/>
  <c r="K7" i="37"/>
  <c r="R7" i="37" s="1"/>
  <c r="K12" i="37"/>
  <c r="R12" i="37" s="1"/>
  <c r="K16" i="37"/>
  <c r="R16" i="37" s="1"/>
  <c r="K17" i="37"/>
  <c r="R17" i="37" s="1"/>
  <c r="K21" i="37"/>
  <c r="R21" i="37" s="1"/>
  <c r="K25" i="37"/>
  <c r="R25" i="37" s="1"/>
  <c r="K29" i="37"/>
  <c r="R29" i="37" s="1"/>
  <c r="K31" i="37"/>
  <c r="R31" i="37" s="1"/>
  <c r="L31" i="37"/>
  <c r="S31" i="37" s="1"/>
  <c r="L36" i="37"/>
  <c r="S36" i="37" s="1"/>
  <c r="U36" i="37" s="1"/>
  <c r="M36" i="37"/>
  <c r="K39" i="37"/>
  <c r="R39" i="37" s="1"/>
  <c r="L39" i="37"/>
  <c r="S39" i="37" s="1"/>
  <c r="L48" i="37"/>
  <c r="S48" i="37" s="1"/>
  <c r="M48" i="37"/>
  <c r="K55" i="37"/>
  <c r="R55" i="37" s="1"/>
  <c r="L55" i="37"/>
  <c r="S55" i="37" s="1"/>
  <c r="L64" i="37"/>
  <c r="S64" i="37" s="1"/>
  <c r="U64" i="37" s="1"/>
  <c r="M64" i="37"/>
  <c r="K71" i="37"/>
  <c r="R71" i="37" s="1"/>
  <c r="L71" i="37"/>
  <c r="S71" i="37" s="1"/>
  <c r="J72" i="37"/>
  <c r="N3" i="37"/>
  <c r="AM3" i="37" s="1"/>
  <c r="AG72" i="37"/>
  <c r="N40" i="37"/>
  <c r="N47" i="37"/>
  <c r="N56" i="37"/>
  <c r="N63" i="37"/>
  <c r="N33" i="37"/>
  <c r="K34" i="37"/>
  <c r="R34" i="37" s="1"/>
  <c r="N37" i="37"/>
  <c r="K38" i="37"/>
  <c r="R38" i="37" s="1"/>
  <c r="K42" i="37"/>
  <c r="R42" i="37" s="1"/>
  <c r="K46" i="37"/>
  <c r="R46" i="37" s="1"/>
  <c r="K50" i="37"/>
  <c r="R50" i="37" s="1"/>
  <c r="K54" i="37"/>
  <c r="R54" i="37" s="1"/>
  <c r="K58" i="37"/>
  <c r="R58" i="37" s="1"/>
  <c r="K62" i="37"/>
  <c r="R62" i="37" s="1"/>
  <c r="K66" i="37"/>
  <c r="R66" i="37" s="1"/>
  <c r="K70" i="37"/>
  <c r="R70" i="37" s="1"/>
  <c r="AS17" i="36"/>
  <c r="AS11" i="36"/>
  <c r="BC72" i="36"/>
  <c r="E72" i="36"/>
  <c r="AT72" i="36" s="1"/>
  <c r="C72" i="36"/>
  <c r="D14" i="24" s="1"/>
  <c r="AS71" i="36"/>
  <c r="AG71" i="36"/>
  <c r="AF71" i="36"/>
  <c r="J71" i="36"/>
  <c r="N71" i="36" s="1"/>
  <c r="AS70" i="36"/>
  <c r="AG70" i="36"/>
  <c r="AF70" i="36"/>
  <c r="J70" i="36"/>
  <c r="N70" i="36" s="1"/>
  <c r="AS69" i="36"/>
  <c r="AG69" i="36"/>
  <c r="AF69" i="36"/>
  <c r="J69" i="36"/>
  <c r="N69" i="36" s="1"/>
  <c r="AS68" i="36"/>
  <c r="AG68" i="36"/>
  <c r="AF68" i="36"/>
  <c r="J68" i="36"/>
  <c r="M68" i="36" s="1"/>
  <c r="AS67" i="36"/>
  <c r="AG67" i="36"/>
  <c r="AF67" i="36"/>
  <c r="J67" i="36"/>
  <c r="AS66" i="36"/>
  <c r="AG66" i="36"/>
  <c r="AF66" i="36"/>
  <c r="J66" i="36"/>
  <c r="N66" i="36" s="1"/>
  <c r="AS65" i="36"/>
  <c r="AG65" i="36"/>
  <c r="AF65" i="36"/>
  <c r="J65" i="36"/>
  <c r="N65" i="36" s="1"/>
  <c r="AS64" i="36"/>
  <c r="AG64" i="36"/>
  <c r="AF64" i="36"/>
  <c r="J64" i="36"/>
  <c r="M64" i="36" s="1"/>
  <c r="AS63" i="36"/>
  <c r="AG63" i="36"/>
  <c r="AF63" i="36"/>
  <c r="J63" i="36"/>
  <c r="N63" i="36" s="1"/>
  <c r="AS62" i="36"/>
  <c r="AG62" i="36"/>
  <c r="AF62" i="36"/>
  <c r="J62" i="36"/>
  <c r="N62" i="36" s="1"/>
  <c r="AS61" i="36"/>
  <c r="AG61" i="36"/>
  <c r="AF61" i="36"/>
  <c r="J61" i="36"/>
  <c r="N61" i="36" s="1"/>
  <c r="AS60" i="36"/>
  <c r="AG60" i="36"/>
  <c r="AF60" i="36"/>
  <c r="J60" i="36"/>
  <c r="M60" i="36" s="1"/>
  <c r="AS59" i="36"/>
  <c r="AG59" i="36"/>
  <c r="AF59" i="36"/>
  <c r="J59" i="36"/>
  <c r="N59" i="36" s="1"/>
  <c r="AS58" i="36"/>
  <c r="AG58" i="36"/>
  <c r="AF58" i="36"/>
  <c r="J58" i="36"/>
  <c r="N58" i="36" s="1"/>
  <c r="AS57" i="36"/>
  <c r="AG57" i="36"/>
  <c r="AF57" i="36"/>
  <c r="J57" i="36"/>
  <c r="N57" i="36" s="1"/>
  <c r="AS56" i="36"/>
  <c r="AG56" i="36"/>
  <c r="AF56" i="36"/>
  <c r="J56" i="36"/>
  <c r="M56" i="36" s="1"/>
  <c r="AS55" i="36"/>
  <c r="AG55" i="36"/>
  <c r="AF55" i="36"/>
  <c r="J55" i="36"/>
  <c r="N55" i="36" s="1"/>
  <c r="AS54" i="36"/>
  <c r="AG54" i="36"/>
  <c r="AF54" i="36"/>
  <c r="J54" i="36"/>
  <c r="N54" i="36" s="1"/>
  <c r="AS53" i="36"/>
  <c r="AG53" i="36"/>
  <c r="AF53" i="36"/>
  <c r="J53" i="36"/>
  <c r="N53" i="36" s="1"/>
  <c r="AS52" i="36"/>
  <c r="AG52" i="36"/>
  <c r="AF52" i="36"/>
  <c r="J52" i="36"/>
  <c r="M52" i="36" s="1"/>
  <c r="AS51" i="36"/>
  <c r="AG51" i="36"/>
  <c r="AF51" i="36"/>
  <c r="J51" i="36"/>
  <c r="AS50" i="36"/>
  <c r="AG50" i="36"/>
  <c r="AF50" i="36"/>
  <c r="J50" i="36"/>
  <c r="N50" i="36" s="1"/>
  <c r="AS49" i="36"/>
  <c r="AG49" i="36"/>
  <c r="AF49" i="36"/>
  <c r="J49" i="36"/>
  <c r="N49" i="36" s="1"/>
  <c r="AS48" i="36"/>
  <c r="AG48" i="36"/>
  <c r="AF48" i="36"/>
  <c r="J48" i="36"/>
  <c r="M48" i="36" s="1"/>
  <c r="AS47" i="36"/>
  <c r="AG47" i="36"/>
  <c r="AF47" i="36"/>
  <c r="J47" i="36"/>
  <c r="N47" i="36" s="1"/>
  <c r="AS46" i="36"/>
  <c r="AG46" i="36"/>
  <c r="AF46" i="36"/>
  <c r="J46" i="36"/>
  <c r="N46" i="36" s="1"/>
  <c r="AS45" i="36"/>
  <c r="AG45" i="36"/>
  <c r="AF45" i="36"/>
  <c r="J45" i="36"/>
  <c r="N45" i="36" s="1"/>
  <c r="AS44" i="36"/>
  <c r="AG44" i="36"/>
  <c r="AF44" i="36"/>
  <c r="J44" i="36"/>
  <c r="M44" i="36" s="1"/>
  <c r="AS43" i="36"/>
  <c r="AG43" i="36"/>
  <c r="AF43" i="36"/>
  <c r="J43" i="36"/>
  <c r="N43" i="36" s="1"/>
  <c r="AS42" i="36"/>
  <c r="AG42" i="36"/>
  <c r="AF42" i="36"/>
  <c r="J42" i="36"/>
  <c r="N42" i="36" s="1"/>
  <c r="AS41" i="36"/>
  <c r="AG41" i="36"/>
  <c r="AF41" i="36"/>
  <c r="J41" i="36"/>
  <c r="M41" i="36" s="1"/>
  <c r="AS40" i="36"/>
  <c r="AG40" i="36"/>
  <c r="AF40" i="36"/>
  <c r="J40" i="36"/>
  <c r="L40" i="36" s="1"/>
  <c r="S40" i="36" s="1"/>
  <c r="AS39" i="36"/>
  <c r="AG39" i="36"/>
  <c r="AF39" i="36"/>
  <c r="J39" i="36"/>
  <c r="N39" i="36" s="1"/>
  <c r="AS38" i="36"/>
  <c r="AG38" i="36"/>
  <c r="AF38" i="36"/>
  <c r="J38" i="36"/>
  <c r="N38" i="36" s="1"/>
  <c r="AS37" i="36"/>
  <c r="AG37" i="36"/>
  <c r="AF37" i="36"/>
  <c r="J37" i="36"/>
  <c r="M37" i="36" s="1"/>
  <c r="AS36" i="36"/>
  <c r="AG36" i="36"/>
  <c r="AF36" i="36"/>
  <c r="J36" i="36"/>
  <c r="L36" i="36" s="1"/>
  <c r="S36" i="36" s="1"/>
  <c r="AS35" i="36"/>
  <c r="AG35" i="36"/>
  <c r="AF35" i="36"/>
  <c r="J35" i="36"/>
  <c r="N35" i="36" s="1"/>
  <c r="AS34" i="36"/>
  <c r="AG34" i="36"/>
  <c r="AF34" i="36"/>
  <c r="J34" i="36"/>
  <c r="N34" i="36" s="1"/>
  <c r="AS33" i="36"/>
  <c r="AG33" i="36"/>
  <c r="AF33" i="36"/>
  <c r="J33" i="36"/>
  <c r="M33" i="36" s="1"/>
  <c r="AS32" i="36"/>
  <c r="AG32" i="36"/>
  <c r="AF32" i="36"/>
  <c r="J32" i="36"/>
  <c r="L32" i="36" s="1"/>
  <c r="S32" i="36" s="1"/>
  <c r="AS31" i="36"/>
  <c r="AG31" i="36"/>
  <c r="AF31" i="36"/>
  <c r="J31" i="36"/>
  <c r="N31" i="36" s="1"/>
  <c r="AS30" i="36"/>
  <c r="AG30" i="36"/>
  <c r="AF30" i="36"/>
  <c r="J30" i="36"/>
  <c r="N30" i="36" s="1"/>
  <c r="AG29" i="36"/>
  <c r="AF29" i="36"/>
  <c r="J29" i="36"/>
  <c r="K29" i="36" s="1"/>
  <c r="R29" i="36" s="1"/>
  <c r="AS29" i="36"/>
  <c r="AS28" i="36"/>
  <c r="AG28" i="36"/>
  <c r="AF28" i="36"/>
  <c r="J28" i="36"/>
  <c r="K28" i="36" s="1"/>
  <c r="R28" i="36" s="1"/>
  <c r="AG27" i="36"/>
  <c r="AF27" i="36"/>
  <c r="J27" i="36"/>
  <c r="N27" i="36" s="1"/>
  <c r="AS27" i="36"/>
  <c r="AG26" i="36"/>
  <c r="AF26" i="36"/>
  <c r="J26" i="36"/>
  <c r="N26" i="36" s="1"/>
  <c r="AS26" i="36"/>
  <c r="AS25" i="36"/>
  <c r="AG25" i="36"/>
  <c r="AF25" i="36"/>
  <c r="J25" i="36"/>
  <c r="N25" i="36" s="1"/>
  <c r="AS24" i="36"/>
  <c r="AG24" i="36"/>
  <c r="AF24" i="36"/>
  <c r="J24" i="36"/>
  <c r="N24" i="36" s="1"/>
  <c r="AS23" i="36"/>
  <c r="AG23" i="36"/>
  <c r="AF23" i="36"/>
  <c r="J23" i="36"/>
  <c r="N23" i="36" s="1"/>
  <c r="AS22" i="36"/>
  <c r="AG22" i="36"/>
  <c r="AF22" i="36"/>
  <c r="J22" i="36"/>
  <c r="K22" i="36" s="1"/>
  <c r="R22" i="36" s="1"/>
  <c r="AG21" i="36"/>
  <c r="AF21" i="36"/>
  <c r="J21" i="36"/>
  <c r="N21" i="36" s="1"/>
  <c r="AS21" i="36"/>
  <c r="AG20" i="36"/>
  <c r="AF20" i="36"/>
  <c r="J20" i="36"/>
  <c r="N20" i="36" s="1"/>
  <c r="AS20" i="36"/>
  <c r="AS19" i="36"/>
  <c r="AG19" i="36"/>
  <c r="AF19" i="36"/>
  <c r="J19" i="36"/>
  <c r="N19" i="36" s="1"/>
  <c r="AS18" i="36"/>
  <c r="AG18" i="36"/>
  <c r="AF18" i="36"/>
  <c r="J18" i="36"/>
  <c r="M18" i="36" s="1"/>
  <c r="AG17" i="36"/>
  <c r="AF17" i="36"/>
  <c r="J17" i="36"/>
  <c r="N17" i="36" s="1"/>
  <c r="AS16" i="36"/>
  <c r="AG16" i="36"/>
  <c r="AF16" i="36"/>
  <c r="J16" i="36"/>
  <c r="K16" i="36" s="1"/>
  <c r="R16" i="36" s="1"/>
  <c r="AS15" i="36"/>
  <c r="AG15" i="36"/>
  <c r="AF15" i="36"/>
  <c r="J15" i="36"/>
  <c r="N15" i="36" s="1"/>
  <c r="AS14" i="36"/>
  <c r="AG14" i="36"/>
  <c r="AF14" i="36"/>
  <c r="J14" i="36"/>
  <c r="M14" i="36" s="1"/>
  <c r="AG13" i="36"/>
  <c r="AF13" i="36"/>
  <c r="J13" i="36"/>
  <c r="N13" i="36" s="1"/>
  <c r="AS12" i="36"/>
  <c r="AG12" i="36"/>
  <c r="AF12" i="36"/>
  <c r="J12" i="36"/>
  <c r="N12" i="36" s="1"/>
  <c r="AG11" i="36"/>
  <c r="AF11" i="36"/>
  <c r="J11" i="36"/>
  <c r="K11" i="36" s="1"/>
  <c r="R11" i="36" s="1"/>
  <c r="AS10" i="36"/>
  <c r="AG10" i="36"/>
  <c r="AF10" i="36"/>
  <c r="J10" i="36"/>
  <c r="N10" i="36" s="1"/>
  <c r="AS9" i="36"/>
  <c r="AG9" i="36"/>
  <c r="AF9" i="36"/>
  <c r="J9" i="36"/>
  <c r="M9" i="36" s="1"/>
  <c r="AS8" i="36"/>
  <c r="AG8" i="36"/>
  <c r="AF8" i="36"/>
  <c r="J8" i="36"/>
  <c r="N8" i="36" s="1"/>
  <c r="AS7" i="36"/>
  <c r="AG7" i="36"/>
  <c r="AF7" i="36"/>
  <c r="J7" i="36"/>
  <c r="N7" i="36" s="1"/>
  <c r="AS6" i="36"/>
  <c r="AG6" i="36"/>
  <c r="AF6" i="36"/>
  <c r="J6" i="36"/>
  <c r="N6" i="36" s="1"/>
  <c r="AS5" i="36"/>
  <c r="AG5" i="36"/>
  <c r="AF5" i="36"/>
  <c r="J5" i="36"/>
  <c r="M5" i="36" s="1"/>
  <c r="AS4" i="36"/>
  <c r="AG4" i="36"/>
  <c r="AF4" i="36"/>
  <c r="J4" i="36"/>
  <c r="N4" i="36" s="1"/>
  <c r="AS3" i="36"/>
  <c r="AG3" i="36"/>
  <c r="AF3" i="36"/>
  <c r="J3" i="36"/>
  <c r="Y69" i="40" l="1"/>
  <c r="AD56" i="40"/>
  <c r="AC57" i="39"/>
  <c r="Y50" i="39"/>
  <c r="AQ50" i="39" s="1"/>
  <c r="BI50" i="39" s="1"/>
  <c r="Z49" i="38"/>
  <c r="AC49" i="38" s="1"/>
  <c r="AD37" i="39"/>
  <c r="AD27" i="40"/>
  <c r="AL59" i="39"/>
  <c r="Y38" i="39"/>
  <c r="AQ38" i="39" s="1"/>
  <c r="BI38" i="39" s="1"/>
  <c r="AO37" i="39"/>
  <c r="AD64" i="40"/>
  <c r="AA8" i="38"/>
  <c r="AL21" i="39"/>
  <c r="AO64" i="40"/>
  <c r="AD45" i="39"/>
  <c r="AL34" i="40"/>
  <c r="AO27" i="40"/>
  <c r="AD15" i="40"/>
  <c r="AL13" i="39"/>
  <c r="AN13" i="39"/>
  <c r="AO25" i="39"/>
  <c r="AE13" i="39"/>
  <c r="AC65" i="40"/>
  <c r="AQ65" i="40" s="1"/>
  <c r="BI65" i="40" s="1"/>
  <c r="AD13" i="39"/>
  <c r="AC28" i="40"/>
  <c r="AQ28" i="40" s="1"/>
  <c r="BI28" i="40" s="1"/>
  <c r="AO59" i="39"/>
  <c r="AE21" i="39"/>
  <c r="AE61" i="39"/>
  <c r="AE48" i="40"/>
  <c r="AC33" i="40"/>
  <c r="AQ33" i="40" s="1"/>
  <c r="BI33" i="40" s="1"/>
  <c r="AD11" i="40"/>
  <c r="AO34" i="40"/>
  <c r="AN56" i="40"/>
  <c r="AN27" i="40"/>
  <c r="AO49" i="39"/>
  <c r="AE59" i="39"/>
  <c r="Y70" i="39"/>
  <c r="AQ70" i="39" s="1"/>
  <c r="BI70" i="39" s="1"/>
  <c r="AN61" i="39"/>
  <c r="AE11" i="40"/>
  <c r="AE34" i="40"/>
  <c r="AO32" i="40"/>
  <c r="AA70" i="38"/>
  <c r="AC41" i="40"/>
  <c r="AQ41" i="40" s="1"/>
  <c r="BI41" i="40" s="1"/>
  <c r="AA9" i="38"/>
  <c r="Z23" i="38"/>
  <c r="AC10" i="39"/>
  <c r="AQ10" i="39" s="1"/>
  <c r="BI10" i="39" s="1"/>
  <c r="Y42" i="39"/>
  <c r="AQ42" i="39" s="1"/>
  <c r="BI42" i="39" s="1"/>
  <c r="AC41" i="39"/>
  <c r="AQ41" i="39" s="1"/>
  <c r="BI41" i="39" s="1"/>
  <c r="AN36" i="40"/>
  <c r="AC37" i="40"/>
  <c r="AQ37" i="40" s="1"/>
  <c r="BI37" i="40" s="1"/>
  <c r="AE47" i="39"/>
  <c r="AD51" i="39"/>
  <c r="AN43" i="39"/>
  <c r="AC29" i="40"/>
  <c r="AQ29" i="40" s="1"/>
  <c r="BI29" i="40" s="1"/>
  <c r="Y13" i="39"/>
  <c r="AQ13" i="39" s="1"/>
  <c r="BI13" i="39" s="1"/>
  <c r="Z36" i="38"/>
  <c r="Y17" i="38"/>
  <c r="AN55" i="39"/>
  <c r="AN51" i="39"/>
  <c r="AO71" i="39"/>
  <c r="Y54" i="39"/>
  <c r="AQ54" i="39" s="1"/>
  <c r="BI54" i="39" s="1"/>
  <c r="Y45" i="40"/>
  <c r="AQ45" i="40" s="1"/>
  <c r="BI45" i="40" s="1"/>
  <c r="Y9" i="38"/>
  <c r="O35" i="38"/>
  <c r="P35" i="38" s="1"/>
  <c r="Q35" i="38" s="1"/>
  <c r="AQ56" i="40"/>
  <c r="BI56" i="40" s="1"/>
  <c r="U54" i="38"/>
  <c r="AD54" i="38" s="1"/>
  <c r="Y61" i="39"/>
  <c r="AQ61" i="39" s="1"/>
  <c r="BI61" i="39" s="1"/>
  <c r="AE56" i="40"/>
  <c r="AQ34" i="40"/>
  <c r="BI34" i="40" s="1"/>
  <c r="W53" i="38"/>
  <c r="Y53" i="38" s="1"/>
  <c r="W61" i="38"/>
  <c r="W37" i="38"/>
  <c r="AL67" i="39"/>
  <c r="AD59" i="39"/>
  <c r="Y46" i="39"/>
  <c r="AQ46" i="39" s="1"/>
  <c r="BI46" i="39" s="1"/>
  <c r="AD17" i="39"/>
  <c r="AE37" i="39"/>
  <c r="AL61" i="39"/>
  <c r="AD48" i="40"/>
  <c r="AN60" i="40"/>
  <c r="AO11" i="40"/>
  <c r="Y16" i="40"/>
  <c r="AQ16" i="40" s="1"/>
  <c r="BI16" i="40" s="1"/>
  <c r="AL64" i="40"/>
  <c r="AN64" i="40"/>
  <c r="AE38" i="40"/>
  <c r="AD34" i="40"/>
  <c r="AO56" i="40"/>
  <c r="AE27" i="40"/>
  <c r="Z53" i="38"/>
  <c r="AC53" i="38" s="1"/>
  <c r="U50" i="38"/>
  <c r="AD50" i="38" s="1"/>
  <c r="AQ36" i="40"/>
  <c r="BI36" i="40" s="1"/>
  <c r="AQ19" i="40"/>
  <c r="BI19" i="40" s="1"/>
  <c r="AN37" i="39"/>
  <c r="AO48" i="40"/>
  <c r="AC49" i="40"/>
  <c r="AQ49" i="40" s="1"/>
  <c r="BI49" i="40" s="1"/>
  <c r="Q12" i="37"/>
  <c r="AC26" i="39"/>
  <c r="AQ26" i="39" s="1"/>
  <c r="BI26" i="39" s="1"/>
  <c r="AD55" i="39"/>
  <c r="AC30" i="39"/>
  <c r="AQ30" i="39" s="1"/>
  <c r="BI30" i="39" s="1"/>
  <c r="Y15" i="39"/>
  <c r="AN21" i="39"/>
  <c r="AC23" i="39"/>
  <c r="AD61" i="39"/>
  <c r="AL48" i="40"/>
  <c r="AD60" i="40"/>
  <c r="AL11" i="40"/>
  <c r="Y61" i="40"/>
  <c r="AQ61" i="40" s="1"/>
  <c r="BI61" i="40" s="1"/>
  <c r="AN15" i="40"/>
  <c r="AE68" i="40"/>
  <c r="AE32" i="40"/>
  <c r="Y17" i="39"/>
  <c r="AQ17" i="39" s="1"/>
  <c r="BI17" i="39" s="1"/>
  <c r="Z17" i="38"/>
  <c r="Q46" i="37"/>
  <c r="AA65" i="38"/>
  <c r="W22" i="38"/>
  <c r="U8" i="38"/>
  <c r="AO8" i="38" s="1"/>
  <c r="U9" i="38"/>
  <c r="AO9" i="38" s="1"/>
  <c r="AE9" i="39"/>
  <c r="AL49" i="39"/>
  <c r="AL36" i="40"/>
  <c r="AL25" i="39"/>
  <c r="Y49" i="39"/>
  <c r="AN28" i="40"/>
  <c r="AD36" i="40"/>
  <c r="AO19" i="40"/>
  <c r="W49" i="38"/>
  <c r="Y49" i="38" s="1"/>
  <c r="AC57" i="40"/>
  <c r="AQ57" i="40" s="1"/>
  <c r="BI57" i="40" s="1"/>
  <c r="Y11" i="40"/>
  <c r="AQ11" i="40" s="1"/>
  <c r="BI11" i="40" s="1"/>
  <c r="Z52" i="38"/>
  <c r="U49" i="38"/>
  <c r="AE49" i="38" s="1"/>
  <c r="W6" i="38"/>
  <c r="Y6" i="38" s="1"/>
  <c r="AD25" i="39"/>
  <c r="AN25" i="39"/>
  <c r="AO9" i="39"/>
  <c r="Y33" i="39"/>
  <c r="Y65" i="39"/>
  <c r="AQ65" i="39" s="1"/>
  <c r="BI65" i="39" s="1"/>
  <c r="AD39" i="39"/>
  <c r="AL71" i="39"/>
  <c r="AD49" i="39"/>
  <c r="AO45" i="39"/>
  <c r="AO28" i="40"/>
  <c r="AO40" i="40"/>
  <c r="AE36" i="40"/>
  <c r="AD19" i="40"/>
  <c r="AA62" i="38"/>
  <c r="AC62" i="38" s="1"/>
  <c r="AN29" i="39"/>
  <c r="AQ32" i="40"/>
  <c r="BI32" i="40" s="1"/>
  <c r="Q34" i="37"/>
  <c r="Z30" i="37"/>
  <c r="AN47" i="39"/>
  <c r="AC18" i="39"/>
  <c r="AQ18" i="39" s="1"/>
  <c r="BI18" i="39" s="1"/>
  <c r="AC22" i="39"/>
  <c r="AQ22" i="39" s="1"/>
  <c r="BI22" i="39" s="1"/>
  <c r="AQ59" i="39"/>
  <c r="BI59" i="39" s="1"/>
  <c r="AC49" i="39"/>
  <c r="AO33" i="39"/>
  <c r="AD71" i="39"/>
  <c r="AC53" i="39"/>
  <c r="AQ53" i="39" s="1"/>
  <c r="BI53" i="39" s="1"/>
  <c r="AN45" i="39"/>
  <c r="AD28" i="40"/>
  <c r="AC8" i="40"/>
  <c r="AQ8" i="40" s="1"/>
  <c r="BI8" i="40" s="1"/>
  <c r="AN68" i="40"/>
  <c r="AC33" i="39"/>
  <c r="Z42" i="38"/>
  <c r="AA66" i="38"/>
  <c r="AE29" i="39"/>
  <c r="Y58" i="39"/>
  <c r="AQ58" i="39" s="1"/>
  <c r="BI58" i="39" s="1"/>
  <c r="AE43" i="39"/>
  <c r="AN52" i="40"/>
  <c r="U42" i="38"/>
  <c r="AD42" i="38" s="1"/>
  <c r="Q25" i="38"/>
  <c r="V57" i="38"/>
  <c r="Y57" i="38" s="1"/>
  <c r="W24" i="38"/>
  <c r="W69" i="38"/>
  <c r="Y69" i="38" s="1"/>
  <c r="AO47" i="39"/>
  <c r="AL47" i="39"/>
  <c r="AN63" i="39"/>
  <c r="AL9" i="39"/>
  <c r="AD29" i="39"/>
  <c r="AE51" i="39"/>
  <c r="AO43" i="39"/>
  <c r="AL43" i="39"/>
  <c r="AE45" i="39"/>
  <c r="AE28" i="40"/>
  <c r="AL52" i="40"/>
  <c r="AC21" i="40"/>
  <c r="AL19" i="40"/>
  <c r="AN19" i="40"/>
  <c r="AA54" i="38"/>
  <c r="AQ48" i="40"/>
  <c r="BI48" i="40" s="1"/>
  <c r="Y21" i="39"/>
  <c r="AQ21" i="39" s="1"/>
  <c r="BI21" i="39" s="1"/>
  <c r="AC14" i="39"/>
  <c r="AQ14" i="39" s="1"/>
  <c r="BI14" i="39" s="1"/>
  <c r="AL40" i="40"/>
  <c r="AC12" i="40"/>
  <c r="AQ12" i="40" s="1"/>
  <c r="BI12" i="40" s="1"/>
  <c r="Y10" i="37"/>
  <c r="W42" i="38"/>
  <c r="Y42" i="38" s="1"/>
  <c r="Y7" i="38"/>
  <c r="AE63" i="39"/>
  <c r="AD9" i="39"/>
  <c r="AL29" i="39"/>
  <c r="AO51" i="39"/>
  <c r="AD52" i="40"/>
  <c r="AC46" i="40"/>
  <c r="AQ46" i="40" s="1"/>
  <c r="BI46" i="40" s="1"/>
  <c r="AN44" i="40"/>
  <c r="AC54" i="38"/>
  <c r="AA33" i="38"/>
  <c r="AO67" i="39"/>
  <c r="Y69" i="39"/>
  <c r="AQ69" i="39" s="1"/>
  <c r="BI69" i="39" s="1"/>
  <c r="AE60" i="40"/>
  <c r="AD44" i="40"/>
  <c r="AL38" i="40"/>
  <c r="AM72" i="40"/>
  <c r="AQ40" i="40"/>
  <c r="BI40" i="40" s="1"/>
  <c r="Q56" i="40"/>
  <c r="AQ15" i="40"/>
  <c r="BI15" i="40" s="1"/>
  <c r="Q62" i="37"/>
  <c r="Z33" i="38"/>
  <c r="AA58" i="38"/>
  <c r="Z38" i="38"/>
  <c r="Z25" i="38"/>
  <c r="Z69" i="38"/>
  <c r="AC69" i="38" s="1"/>
  <c r="AA45" i="38"/>
  <c r="Z13" i="38"/>
  <c r="AC48" i="39"/>
  <c r="AC68" i="39"/>
  <c r="Y64" i="39"/>
  <c r="AD21" i="39"/>
  <c r="AD33" i="39"/>
  <c r="AO60" i="40"/>
  <c r="AC71" i="40"/>
  <c r="Y4" i="40"/>
  <c r="AQ4" i="40" s="1"/>
  <c r="BI4" i="40" s="1"/>
  <c r="AL15" i="40"/>
  <c r="AD38" i="40"/>
  <c r="AD32" i="40"/>
  <c r="AQ7" i="40"/>
  <c r="BI7" i="40" s="1"/>
  <c r="AQ25" i="39"/>
  <c r="BI25" i="39" s="1"/>
  <c r="O71" i="38"/>
  <c r="P71" i="38" s="1"/>
  <c r="AQ44" i="40"/>
  <c r="BI44" i="40" s="1"/>
  <c r="AM72" i="39"/>
  <c r="AE15" i="40"/>
  <c r="AO38" i="40"/>
  <c r="U62" i="38"/>
  <c r="AO62" i="38" s="1"/>
  <c r="Z9" i="38"/>
  <c r="V41" i="38"/>
  <c r="Y41" i="38" s="1"/>
  <c r="Z21" i="38"/>
  <c r="AC20" i="40"/>
  <c r="AQ20" i="40" s="1"/>
  <c r="BI20" i="40" s="1"/>
  <c r="Y47" i="40"/>
  <c r="AC70" i="40"/>
  <c r="AC53" i="40"/>
  <c r="AQ53" i="40" s="1"/>
  <c r="BI53" i="40" s="1"/>
  <c r="AL32" i="40"/>
  <c r="V62" i="38"/>
  <c r="Y62" i="38" s="1"/>
  <c r="U33" i="38"/>
  <c r="AE33" i="38" s="1"/>
  <c r="Q15" i="38"/>
  <c r="AN17" i="39"/>
  <c r="AN33" i="39"/>
  <c r="AQ52" i="40"/>
  <c r="BI52" i="40" s="1"/>
  <c r="Q57" i="40"/>
  <c r="AQ29" i="39"/>
  <c r="BI29" i="39" s="1"/>
  <c r="Q16" i="37"/>
  <c r="U60" i="38"/>
  <c r="AE60" i="38" s="1"/>
  <c r="W19" i="38"/>
  <c r="U69" i="38"/>
  <c r="AD69" i="38" s="1"/>
  <c r="Q28" i="38"/>
  <c r="AA41" i="38"/>
  <c r="AC41" i="38" s="1"/>
  <c r="Z65" i="38"/>
  <c r="Z60" i="38"/>
  <c r="AA42" i="38"/>
  <c r="W50" i="38"/>
  <c r="P32" i="38"/>
  <c r="Q32" i="38" s="1"/>
  <c r="AO63" i="39"/>
  <c r="AL63" i="39"/>
  <c r="AN67" i="39"/>
  <c r="Y36" i="39"/>
  <c r="AE17" i="39"/>
  <c r="AE33" i="39"/>
  <c r="AN71" i="39"/>
  <c r="AN49" i="39"/>
  <c r="AD40" i="40"/>
  <c r="AN40" i="40"/>
  <c r="AE52" i="40"/>
  <c r="AC13" i="40"/>
  <c r="AQ68" i="40"/>
  <c r="BI68" i="40" s="1"/>
  <c r="AD68" i="40"/>
  <c r="U53" i="38"/>
  <c r="Q26" i="38"/>
  <c r="AD67" i="39"/>
  <c r="AL17" i="39"/>
  <c r="Y55" i="40"/>
  <c r="Q58" i="37"/>
  <c r="Q17" i="37"/>
  <c r="Q7" i="37"/>
  <c r="Q59" i="38"/>
  <c r="Q43" i="38"/>
  <c r="U65" i="38"/>
  <c r="AN65" i="38" s="1"/>
  <c r="Y62" i="39"/>
  <c r="AQ62" i="39" s="1"/>
  <c r="BI62" i="39" s="1"/>
  <c r="AC8" i="39"/>
  <c r="AQ35" i="39"/>
  <c r="BI35" i="39" s="1"/>
  <c r="AQ64" i="40"/>
  <c r="BI64" i="40" s="1"/>
  <c r="AL68" i="40"/>
  <c r="U38" i="38"/>
  <c r="AD38" i="38" s="1"/>
  <c r="Q10" i="40"/>
  <c r="AC45" i="39"/>
  <c r="Q68" i="40"/>
  <c r="O15" i="36"/>
  <c r="P15" i="36" s="1"/>
  <c r="Q15" i="36" s="1"/>
  <c r="AM15" i="36"/>
  <c r="O20" i="36"/>
  <c r="P20" i="36" s="1"/>
  <c r="Q20" i="36" s="1"/>
  <c r="AM20" i="36"/>
  <c r="O43" i="37"/>
  <c r="P43" i="37" s="1"/>
  <c r="Q43" i="37" s="1"/>
  <c r="AM43" i="37"/>
  <c r="O67" i="37"/>
  <c r="P67" i="37" s="1"/>
  <c r="Q67" i="37" s="1"/>
  <c r="AM67" i="37"/>
  <c r="O48" i="37"/>
  <c r="P48" i="37" s="1"/>
  <c r="Q48" i="37" s="1"/>
  <c r="AM48" i="37"/>
  <c r="O29" i="38"/>
  <c r="P29" i="38" s="1"/>
  <c r="Q29" i="38" s="1"/>
  <c r="AM29" i="38"/>
  <c r="O31" i="36"/>
  <c r="P31" i="36" s="1"/>
  <c r="Q31" i="36" s="1"/>
  <c r="AM31" i="36"/>
  <c r="O35" i="36"/>
  <c r="P35" i="36" s="1"/>
  <c r="Q35" i="36" s="1"/>
  <c r="AM35" i="36"/>
  <c r="O39" i="36"/>
  <c r="P39" i="36" s="1"/>
  <c r="Q39" i="36" s="1"/>
  <c r="AM39" i="36"/>
  <c r="O42" i="36"/>
  <c r="P42" i="36" s="1"/>
  <c r="AM42" i="36"/>
  <c r="O53" i="36"/>
  <c r="P53" i="36" s="1"/>
  <c r="AM53" i="36"/>
  <c r="O57" i="36"/>
  <c r="P57" i="36" s="1"/>
  <c r="AM57" i="36"/>
  <c r="O61" i="36"/>
  <c r="P61" i="36" s="1"/>
  <c r="Q61" i="36" s="1"/>
  <c r="AM61" i="36"/>
  <c r="O66" i="36"/>
  <c r="P66" i="36" s="1"/>
  <c r="AM66" i="36"/>
  <c r="O70" i="36"/>
  <c r="P70" i="36" s="1"/>
  <c r="AM70" i="36"/>
  <c r="O40" i="37"/>
  <c r="P40" i="37" s="1"/>
  <c r="Q40" i="37" s="1"/>
  <c r="AM40" i="37"/>
  <c r="O68" i="37"/>
  <c r="P68" i="37" s="1"/>
  <c r="Q68" i="37" s="1"/>
  <c r="AM68" i="37"/>
  <c r="O55" i="37"/>
  <c r="P55" i="37" s="1"/>
  <c r="Q55" i="37" s="1"/>
  <c r="AM55" i="37"/>
  <c r="O31" i="37"/>
  <c r="P31" i="37" s="1"/>
  <c r="AM31" i="37"/>
  <c r="O8" i="37"/>
  <c r="P8" i="37" s="1"/>
  <c r="AM8" i="37"/>
  <c r="O71" i="37"/>
  <c r="P71" i="37" s="1"/>
  <c r="AM71" i="37"/>
  <c r="O53" i="38"/>
  <c r="P53" i="38" s="1"/>
  <c r="Q53" i="38" s="1"/>
  <c r="AM53" i="38"/>
  <c r="O37" i="38"/>
  <c r="P37" i="38" s="1"/>
  <c r="Q37" i="38" s="1"/>
  <c r="AM37" i="38"/>
  <c r="O68" i="38"/>
  <c r="AM68" i="38"/>
  <c r="AM44" i="38"/>
  <c r="O44" i="38"/>
  <c r="P44" i="38" s="1"/>
  <c r="Q44" i="38" s="1"/>
  <c r="P51" i="38"/>
  <c r="Q51" i="38" s="1"/>
  <c r="Y54" i="40"/>
  <c r="AC37" i="39"/>
  <c r="AQ37" i="39" s="1"/>
  <c r="BI37" i="39" s="1"/>
  <c r="Q19" i="38"/>
  <c r="AA57" i="38"/>
  <c r="AC57" i="38" s="1"/>
  <c r="U57" i="38"/>
  <c r="AN57" i="38" s="1"/>
  <c r="Q34" i="38"/>
  <c r="Y45" i="39"/>
  <c r="AC44" i="39"/>
  <c r="Y23" i="39"/>
  <c r="P67" i="39"/>
  <c r="Q67" i="39" s="1"/>
  <c r="AQ5" i="39"/>
  <c r="BI5" i="39" s="1"/>
  <c r="Y71" i="40"/>
  <c r="P48" i="40"/>
  <c r="Q48" i="40" s="1"/>
  <c r="AE44" i="40"/>
  <c r="AN23" i="40"/>
  <c r="Y33" i="38"/>
  <c r="O21" i="36"/>
  <c r="P21" i="36" s="1"/>
  <c r="Q21" i="36" s="1"/>
  <c r="AM21" i="36"/>
  <c r="O26" i="36"/>
  <c r="P26" i="36" s="1"/>
  <c r="Q26" i="36" s="1"/>
  <c r="AM26" i="36"/>
  <c r="O63" i="37"/>
  <c r="P63" i="37" s="1"/>
  <c r="Q63" i="37" s="1"/>
  <c r="AM63" i="37"/>
  <c r="O35" i="37"/>
  <c r="P35" i="37" s="1"/>
  <c r="Q35" i="37" s="1"/>
  <c r="AM35" i="37"/>
  <c r="O64" i="37"/>
  <c r="P64" i="37" s="1"/>
  <c r="Q64" i="37" s="1"/>
  <c r="AM64" i="37"/>
  <c r="O65" i="38"/>
  <c r="P65" i="38" s="1"/>
  <c r="Q65" i="38" s="1"/>
  <c r="AM65" i="38"/>
  <c r="O39" i="38"/>
  <c r="AM39" i="38"/>
  <c r="O24" i="36"/>
  <c r="P24" i="36" s="1"/>
  <c r="Q24" i="36" s="1"/>
  <c r="AM24" i="36"/>
  <c r="O34" i="36"/>
  <c r="P34" i="36" s="1"/>
  <c r="AM34" i="36"/>
  <c r="O38" i="36"/>
  <c r="P38" i="36" s="1"/>
  <c r="AM38" i="36"/>
  <c r="O45" i="36"/>
  <c r="P45" i="36" s="1"/>
  <c r="Q45" i="36" s="1"/>
  <c r="AM45" i="36"/>
  <c r="O49" i="36"/>
  <c r="P49" i="36" s="1"/>
  <c r="AM49" i="36"/>
  <c r="O54" i="36"/>
  <c r="P54" i="36" s="1"/>
  <c r="AM54" i="36"/>
  <c r="O58" i="36"/>
  <c r="P58" i="36" s="1"/>
  <c r="AM58" i="36"/>
  <c r="O62" i="36"/>
  <c r="P62" i="36" s="1"/>
  <c r="AM62" i="36"/>
  <c r="O65" i="36"/>
  <c r="P65" i="36" s="1"/>
  <c r="Q65" i="36" s="1"/>
  <c r="AM65" i="36"/>
  <c r="O69" i="36"/>
  <c r="P69" i="36" s="1"/>
  <c r="AM69" i="36"/>
  <c r="O7" i="36"/>
  <c r="P7" i="36" s="1"/>
  <c r="Q7" i="36" s="1"/>
  <c r="AM7" i="36"/>
  <c r="O32" i="37"/>
  <c r="P32" i="37" s="1"/>
  <c r="Q32" i="37" s="1"/>
  <c r="AM32" i="37"/>
  <c r="O5" i="37"/>
  <c r="P5" i="37" s="1"/>
  <c r="Q5" i="37" s="1"/>
  <c r="AM5" i="37"/>
  <c r="O39" i="37"/>
  <c r="P39" i="37" s="1"/>
  <c r="AM39" i="37"/>
  <c r="O57" i="38"/>
  <c r="P57" i="38" s="1"/>
  <c r="Q57" i="38" s="1"/>
  <c r="AM57" i="38"/>
  <c r="O41" i="38"/>
  <c r="P41" i="38" s="1"/>
  <c r="Q41" i="38" s="1"/>
  <c r="AM41" i="38"/>
  <c r="O56" i="38"/>
  <c r="P56" i="38" s="1"/>
  <c r="Q56" i="38" s="1"/>
  <c r="AM56" i="38"/>
  <c r="O12" i="38"/>
  <c r="P12" i="38" s="1"/>
  <c r="AM12" i="38"/>
  <c r="O10" i="38"/>
  <c r="AM10" i="38"/>
  <c r="O14" i="38"/>
  <c r="AM14" i="38"/>
  <c r="P38" i="39"/>
  <c r="Q38" i="39" s="1"/>
  <c r="P66" i="38"/>
  <c r="Q66" i="38" s="1"/>
  <c r="Z27" i="38"/>
  <c r="P52" i="38"/>
  <c r="Q52" i="38" s="1"/>
  <c r="U30" i="38"/>
  <c r="AE30" i="38" s="1"/>
  <c r="Z30" i="38"/>
  <c r="AE5" i="39"/>
  <c r="Q45" i="40"/>
  <c r="Q41" i="40"/>
  <c r="AO44" i="40"/>
  <c r="AL23" i="40"/>
  <c r="AQ63" i="39"/>
  <c r="BI63" i="39" s="1"/>
  <c r="O17" i="36"/>
  <c r="P17" i="36" s="1"/>
  <c r="Q17" i="36" s="1"/>
  <c r="AM17" i="36"/>
  <c r="O27" i="36"/>
  <c r="P27" i="36" s="1"/>
  <c r="Q27" i="36" s="1"/>
  <c r="AM27" i="36"/>
  <c r="O26" i="37"/>
  <c r="P26" i="37" s="1"/>
  <c r="Q26" i="37" s="1"/>
  <c r="AM26" i="37"/>
  <c r="O59" i="37"/>
  <c r="P59" i="37" s="1"/>
  <c r="Q59" i="37" s="1"/>
  <c r="AM59" i="37"/>
  <c r="O18" i="37"/>
  <c r="P18" i="37" s="1"/>
  <c r="AM18" i="37"/>
  <c r="O49" i="38"/>
  <c r="P49" i="38" s="1"/>
  <c r="Q49" i="38" s="1"/>
  <c r="AM49" i="38"/>
  <c r="O33" i="38"/>
  <c r="P33" i="38" s="1"/>
  <c r="Q33" i="38" s="1"/>
  <c r="AM33" i="38"/>
  <c r="O63" i="38"/>
  <c r="P63" i="38" s="1"/>
  <c r="Q63" i="38" s="1"/>
  <c r="AM63" i="38"/>
  <c r="O11" i="38"/>
  <c r="P11" i="38" s="1"/>
  <c r="Q11" i="38" s="1"/>
  <c r="AM11" i="38"/>
  <c r="O18" i="38"/>
  <c r="P18" i="38" s="1"/>
  <c r="Q18" i="38" s="1"/>
  <c r="AM18" i="38"/>
  <c r="O19" i="36"/>
  <c r="P19" i="36" s="1"/>
  <c r="Q19" i="36" s="1"/>
  <c r="AM19" i="36"/>
  <c r="O23" i="36"/>
  <c r="P23" i="36" s="1"/>
  <c r="Q23" i="36" s="1"/>
  <c r="AM23" i="36"/>
  <c r="O25" i="36"/>
  <c r="P25" i="36" s="1"/>
  <c r="Q25" i="36" s="1"/>
  <c r="AM25" i="36"/>
  <c r="O30" i="36"/>
  <c r="P30" i="36" s="1"/>
  <c r="Q30" i="36" s="1"/>
  <c r="AM30" i="36"/>
  <c r="O43" i="36"/>
  <c r="P43" i="36" s="1"/>
  <c r="Q43" i="36" s="1"/>
  <c r="AM43" i="36"/>
  <c r="O46" i="36"/>
  <c r="P46" i="36" s="1"/>
  <c r="AM46" i="36"/>
  <c r="O47" i="36"/>
  <c r="P47" i="36" s="1"/>
  <c r="Q47" i="36" s="1"/>
  <c r="AM47" i="36"/>
  <c r="O50" i="36"/>
  <c r="P50" i="36" s="1"/>
  <c r="AM50" i="36"/>
  <c r="O55" i="36"/>
  <c r="P55" i="36" s="1"/>
  <c r="Q55" i="36" s="1"/>
  <c r="AM55" i="36"/>
  <c r="O59" i="36"/>
  <c r="P59" i="36" s="1"/>
  <c r="Q59" i="36" s="1"/>
  <c r="AM59" i="36"/>
  <c r="O63" i="36"/>
  <c r="P63" i="36" s="1"/>
  <c r="Q63" i="36" s="1"/>
  <c r="AM63" i="36"/>
  <c r="O71" i="36"/>
  <c r="P71" i="36" s="1"/>
  <c r="Q71" i="36" s="1"/>
  <c r="AM71" i="36"/>
  <c r="O33" i="37"/>
  <c r="P33" i="37" s="1"/>
  <c r="Q33" i="37" s="1"/>
  <c r="AM33" i="37"/>
  <c r="O4" i="36"/>
  <c r="P4" i="36" s="1"/>
  <c r="Q4" i="36" s="1"/>
  <c r="AM4" i="36"/>
  <c r="O6" i="36"/>
  <c r="P6" i="36" s="1"/>
  <c r="AM6" i="36"/>
  <c r="O8" i="36"/>
  <c r="P8" i="36" s="1"/>
  <c r="Q8" i="36" s="1"/>
  <c r="AM8" i="36"/>
  <c r="O10" i="36"/>
  <c r="P10" i="36" s="1"/>
  <c r="Q10" i="36" s="1"/>
  <c r="AM10" i="36"/>
  <c r="O47" i="37"/>
  <c r="P47" i="37" s="1"/>
  <c r="Q47" i="37" s="1"/>
  <c r="AM47" i="37"/>
  <c r="O9" i="37"/>
  <c r="P9" i="37" s="1"/>
  <c r="Q9" i="37" s="1"/>
  <c r="AM9" i="37"/>
  <c r="O52" i="37"/>
  <c r="P52" i="37" s="1"/>
  <c r="Q52" i="37" s="1"/>
  <c r="AM52" i="37"/>
  <c r="O36" i="37"/>
  <c r="P36" i="37" s="1"/>
  <c r="Q36" i="37" s="1"/>
  <c r="AM36" i="37"/>
  <c r="O12" i="36"/>
  <c r="P12" i="36" s="1"/>
  <c r="Q12" i="36" s="1"/>
  <c r="AM12" i="36"/>
  <c r="O13" i="36"/>
  <c r="P13" i="36" s="1"/>
  <c r="Q13" i="36" s="1"/>
  <c r="AM13" i="36"/>
  <c r="O37" i="37"/>
  <c r="P37" i="37" s="1"/>
  <c r="Q37" i="37" s="1"/>
  <c r="AM37" i="37"/>
  <c r="O56" i="37"/>
  <c r="P56" i="37" s="1"/>
  <c r="Q56" i="37" s="1"/>
  <c r="AM56" i="37"/>
  <c r="O13" i="37"/>
  <c r="P13" i="37" s="1"/>
  <c r="Q13" i="37" s="1"/>
  <c r="AM13" i="37"/>
  <c r="O19" i="37"/>
  <c r="P19" i="37" s="1"/>
  <c r="Q19" i="37" s="1"/>
  <c r="AM19" i="37"/>
  <c r="O61" i="38"/>
  <c r="P61" i="38" s="1"/>
  <c r="Q61" i="38" s="1"/>
  <c r="AM61" i="38"/>
  <c r="O45" i="38"/>
  <c r="P45" i="38" s="1"/>
  <c r="AM45" i="38"/>
  <c r="O5" i="38"/>
  <c r="P5" i="38" s="1"/>
  <c r="Q5" i="38" s="1"/>
  <c r="AM5" i="38"/>
  <c r="O16" i="38"/>
  <c r="P16" i="38" s="1"/>
  <c r="AM16" i="38"/>
  <c r="O20" i="38"/>
  <c r="AM20" i="38"/>
  <c r="Q29" i="37"/>
  <c r="Q42" i="37"/>
  <c r="Q38" i="37"/>
  <c r="U58" i="38"/>
  <c r="AN58" i="38" s="1"/>
  <c r="AC64" i="39"/>
  <c r="AC58" i="40"/>
  <c r="AQ27" i="40"/>
  <c r="BI27" i="40" s="1"/>
  <c r="AD7" i="40"/>
  <c r="AA46" i="38"/>
  <c r="AC46" i="38" s="1"/>
  <c r="AC38" i="40"/>
  <c r="AQ38" i="40" s="1"/>
  <c r="BI38" i="40" s="1"/>
  <c r="Q70" i="38"/>
  <c r="AQ57" i="39"/>
  <c r="BI57" i="39" s="1"/>
  <c r="V58" i="38"/>
  <c r="Y58" i="38" s="1"/>
  <c r="Z58" i="38"/>
  <c r="AI72" i="40"/>
  <c r="V37" i="38"/>
  <c r="Z37" i="38"/>
  <c r="AC37" i="38" s="1"/>
  <c r="U37" i="38"/>
  <c r="V50" i="38"/>
  <c r="Z50" i="38"/>
  <c r="AC50" i="38" s="1"/>
  <c r="Z4" i="38"/>
  <c r="Y66" i="39"/>
  <c r="AQ66" i="39" s="1"/>
  <c r="BI66" i="39" s="1"/>
  <c r="AE23" i="40"/>
  <c r="Y63" i="40"/>
  <c r="W34" i="38"/>
  <c r="V46" i="38"/>
  <c r="Y46" i="38" s="1"/>
  <c r="AA7" i="38"/>
  <c r="U46" i="38"/>
  <c r="AL46" i="38" s="1"/>
  <c r="U41" i="38"/>
  <c r="AE41" i="38" s="1"/>
  <c r="Y27" i="38"/>
  <c r="AQ9" i="39"/>
  <c r="BI9" i="39" s="1"/>
  <c r="Y16" i="39"/>
  <c r="Y48" i="39"/>
  <c r="Y19" i="39"/>
  <c r="AC36" i="39"/>
  <c r="AE55" i="39"/>
  <c r="Y68" i="39"/>
  <c r="AE39" i="39"/>
  <c r="Y52" i="39"/>
  <c r="AC55" i="40"/>
  <c r="AC47" i="40"/>
  <c r="Y30" i="40"/>
  <c r="AQ26" i="40"/>
  <c r="BI26" i="40" s="1"/>
  <c r="AC50" i="40"/>
  <c r="AD23" i="40"/>
  <c r="AQ14" i="40"/>
  <c r="BI14" i="40" s="1"/>
  <c r="AQ23" i="40"/>
  <c r="BI23" i="40" s="1"/>
  <c r="Y25" i="40"/>
  <c r="Y51" i="40"/>
  <c r="V45" i="38"/>
  <c r="Y45" i="38" s="1"/>
  <c r="U45" i="38"/>
  <c r="Z45" i="38"/>
  <c r="W38" i="38"/>
  <c r="Y38" i="38" s="1"/>
  <c r="AA38" i="38"/>
  <c r="V34" i="38"/>
  <c r="Z34" i="38"/>
  <c r="AC34" i="38" s="1"/>
  <c r="U34" i="38"/>
  <c r="AI72" i="39"/>
  <c r="AE45" i="40"/>
  <c r="AO45" i="40"/>
  <c r="AL45" i="40"/>
  <c r="AN45" i="40"/>
  <c r="AD45" i="40"/>
  <c r="V61" i="38"/>
  <c r="U61" i="38"/>
  <c r="Z61" i="38"/>
  <c r="AC61" i="38" s="1"/>
  <c r="AC32" i="39"/>
  <c r="Y56" i="39"/>
  <c r="AN39" i="39"/>
  <c r="AC27" i="39"/>
  <c r="U25" i="38"/>
  <c r="AN25" i="38" s="1"/>
  <c r="V54" i="38"/>
  <c r="Y54" i="38" s="1"/>
  <c r="AA27" i="38"/>
  <c r="AO55" i="39"/>
  <c r="AO39" i="39"/>
  <c r="AC31" i="40"/>
  <c r="Y58" i="40"/>
  <c r="AQ60" i="40"/>
  <c r="BI60" i="40" s="1"/>
  <c r="AE7" i="40"/>
  <c r="AO7" i="40"/>
  <c r="AL7" i="40"/>
  <c r="Z72" i="40"/>
  <c r="AC9" i="40"/>
  <c r="AC5" i="40"/>
  <c r="AA72" i="40"/>
  <c r="AL5" i="40"/>
  <c r="AD5" i="40"/>
  <c r="AN5" i="40"/>
  <c r="AE5" i="40"/>
  <c r="AO5" i="40"/>
  <c r="AO69" i="40"/>
  <c r="AL69" i="40"/>
  <c r="AD69" i="40"/>
  <c r="AN69" i="40"/>
  <c r="AE69" i="40"/>
  <c r="AL10" i="40"/>
  <c r="AD10" i="40"/>
  <c r="AN10" i="40"/>
  <c r="AE10" i="40"/>
  <c r="AO10" i="40"/>
  <c r="AL46" i="40"/>
  <c r="AD46" i="40"/>
  <c r="AN46" i="40"/>
  <c r="AE46" i="40"/>
  <c r="AO46" i="40"/>
  <c r="AL31" i="40"/>
  <c r="AD31" i="40"/>
  <c r="AN31" i="40"/>
  <c r="AE31" i="40"/>
  <c r="AO31" i="40"/>
  <c r="AL13" i="40"/>
  <c r="AD13" i="40"/>
  <c r="AN13" i="40"/>
  <c r="AE13" i="40"/>
  <c r="AO13" i="40"/>
  <c r="AL67" i="40"/>
  <c r="AD67" i="40"/>
  <c r="AN67" i="40"/>
  <c r="AE67" i="40"/>
  <c r="AO67" i="40"/>
  <c r="AL39" i="40"/>
  <c r="AD39" i="40"/>
  <c r="AN39" i="40"/>
  <c r="AE39" i="40"/>
  <c r="AO39" i="40"/>
  <c r="AO37" i="40"/>
  <c r="AL37" i="40"/>
  <c r="AD37" i="40"/>
  <c r="AN37" i="40"/>
  <c r="AE37" i="40"/>
  <c r="AL50" i="40"/>
  <c r="AD50" i="40"/>
  <c r="AN50" i="40"/>
  <c r="AE50" i="40"/>
  <c r="AO50" i="40"/>
  <c r="AO4" i="40"/>
  <c r="AN4" i="40"/>
  <c r="AL4" i="40"/>
  <c r="AD4" i="40"/>
  <c r="AE4" i="40"/>
  <c r="AL9" i="40"/>
  <c r="AD9" i="40"/>
  <c r="AN9" i="40"/>
  <c r="AE9" i="40"/>
  <c r="AO9" i="40"/>
  <c r="AO29" i="40"/>
  <c r="AL29" i="40"/>
  <c r="AD29" i="40"/>
  <c r="AN29" i="40"/>
  <c r="AE29" i="40"/>
  <c r="AO41" i="40"/>
  <c r="AL41" i="40"/>
  <c r="AD41" i="40"/>
  <c r="AN41" i="40"/>
  <c r="AE41" i="40"/>
  <c r="AQ22" i="40"/>
  <c r="BI22" i="40" s="1"/>
  <c r="Y5" i="40"/>
  <c r="Y21" i="40"/>
  <c r="AC35" i="40"/>
  <c r="Y62" i="40"/>
  <c r="AQ24" i="40"/>
  <c r="BI24" i="40" s="1"/>
  <c r="Y17" i="40"/>
  <c r="Y59" i="40"/>
  <c r="Y43" i="40"/>
  <c r="Y42" i="40"/>
  <c r="AC66" i="40"/>
  <c r="AO20" i="40"/>
  <c r="AN20" i="40"/>
  <c r="AE20" i="40"/>
  <c r="AL20" i="40"/>
  <c r="AD20" i="40"/>
  <c r="AL58" i="40"/>
  <c r="AD58" i="40"/>
  <c r="AN58" i="40"/>
  <c r="AE58" i="40"/>
  <c r="AO58" i="40"/>
  <c r="AO61" i="40"/>
  <c r="AL61" i="40"/>
  <c r="AD61" i="40"/>
  <c r="AE61" i="40"/>
  <c r="AN61" i="40"/>
  <c r="AL62" i="40"/>
  <c r="AD62" i="40"/>
  <c r="AN62" i="40"/>
  <c r="AE62" i="40"/>
  <c r="AO62" i="40"/>
  <c r="AO53" i="40"/>
  <c r="AL53" i="40"/>
  <c r="AD53" i="40"/>
  <c r="AE53" i="40"/>
  <c r="AN53" i="40"/>
  <c r="AQ3" i="40"/>
  <c r="AO12" i="40"/>
  <c r="AN12" i="40"/>
  <c r="AL12" i="40"/>
  <c r="AD12" i="40"/>
  <c r="AE12" i="40"/>
  <c r="AL6" i="40"/>
  <c r="AD6" i="40"/>
  <c r="AN6" i="40"/>
  <c r="AE6" i="40"/>
  <c r="AO6" i="40"/>
  <c r="AO33" i="40"/>
  <c r="AL33" i="40"/>
  <c r="AD33" i="40"/>
  <c r="AN33" i="40"/>
  <c r="AE33" i="40"/>
  <c r="AL70" i="40"/>
  <c r="AD70" i="40"/>
  <c r="AN70" i="40"/>
  <c r="AE70" i="40"/>
  <c r="AO70" i="40"/>
  <c r="AO16" i="40"/>
  <c r="AN16" i="40"/>
  <c r="AE16" i="40"/>
  <c r="AL16" i="40"/>
  <c r="AD16" i="40"/>
  <c r="AL35" i="40"/>
  <c r="AD35" i="40"/>
  <c r="AN35" i="40"/>
  <c r="AE35" i="40"/>
  <c r="AO35" i="40"/>
  <c r="AL66" i="40"/>
  <c r="AD66" i="40"/>
  <c r="AN66" i="40"/>
  <c r="AE66" i="40"/>
  <c r="AO66" i="40"/>
  <c r="AQ10" i="40"/>
  <c r="BI10" i="40" s="1"/>
  <c r="Y31" i="40"/>
  <c r="Y13" i="40"/>
  <c r="AC30" i="40"/>
  <c r="AQ69" i="40"/>
  <c r="BI69" i="40" s="1"/>
  <c r="Y67" i="40"/>
  <c r="Y39" i="40"/>
  <c r="Y50" i="40"/>
  <c r="AC63" i="40"/>
  <c r="Y9" i="40"/>
  <c r="AC17" i="40"/>
  <c r="AC25" i="40"/>
  <c r="AC54" i="40"/>
  <c r="AC51" i="40"/>
  <c r="AL59" i="40"/>
  <c r="AD59" i="40"/>
  <c r="AN59" i="40"/>
  <c r="AE59" i="40"/>
  <c r="AO59" i="40"/>
  <c r="AL43" i="40"/>
  <c r="AD43" i="40"/>
  <c r="AN43" i="40"/>
  <c r="AE43" i="40"/>
  <c r="AO43" i="40"/>
  <c r="AL42" i="40"/>
  <c r="AD42" i="40"/>
  <c r="AN42" i="40"/>
  <c r="AE42" i="40"/>
  <c r="AO42" i="40"/>
  <c r="AL55" i="40"/>
  <c r="AD55" i="40"/>
  <c r="AN55" i="40"/>
  <c r="AE55" i="40"/>
  <c r="AO55" i="40"/>
  <c r="AL47" i="40"/>
  <c r="AD47" i="40"/>
  <c r="AN47" i="40"/>
  <c r="AE47" i="40"/>
  <c r="AO47" i="40"/>
  <c r="AO21" i="40"/>
  <c r="AL21" i="40"/>
  <c r="AD21" i="40"/>
  <c r="AN21" i="40"/>
  <c r="AE21" i="40"/>
  <c r="AO57" i="40"/>
  <c r="AL57" i="40"/>
  <c r="AD57" i="40"/>
  <c r="AE57" i="40"/>
  <c r="AN57" i="40"/>
  <c r="AL30" i="40"/>
  <c r="AD30" i="40"/>
  <c r="AN30" i="40"/>
  <c r="AE30" i="40"/>
  <c r="AO30" i="40"/>
  <c r="AO8" i="40"/>
  <c r="AE8" i="40"/>
  <c r="AL8" i="40"/>
  <c r="AD8" i="40"/>
  <c r="AN8" i="40"/>
  <c r="AL71" i="40"/>
  <c r="AD71" i="40"/>
  <c r="AN71" i="40"/>
  <c r="AE71" i="40"/>
  <c r="AO71" i="40"/>
  <c r="O72" i="40"/>
  <c r="P3" i="40"/>
  <c r="AO24" i="40"/>
  <c r="AN24" i="40"/>
  <c r="AL24" i="40"/>
  <c r="AD24" i="40"/>
  <c r="AE24" i="40"/>
  <c r="T72" i="40"/>
  <c r="AL63" i="40"/>
  <c r="AD63" i="40"/>
  <c r="AN63" i="40"/>
  <c r="AE63" i="40"/>
  <c r="AO63" i="40"/>
  <c r="AO17" i="40"/>
  <c r="AL17" i="40"/>
  <c r="AD17" i="40"/>
  <c r="AN17" i="40"/>
  <c r="AE17" i="40"/>
  <c r="AL25" i="40"/>
  <c r="AD25" i="40"/>
  <c r="AN25" i="40"/>
  <c r="AE25" i="40"/>
  <c r="AO25" i="40"/>
  <c r="AO49" i="40"/>
  <c r="AL49" i="40"/>
  <c r="AD49" i="40"/>
  <c r="AN49" i="40"/>
  <c r="AE49" i="40"/>
  <c r="AO65" i="40"/>
  <c r="AL65" i="40"/>
  <c r="AD65" i="40"/>
  <c r="AN65" i="40"/>
  <c r="AE65" i="40"/>
  <c r="AL54" i="40"/>
  <c r="AD54" i="40"/>
  <c r="AN54" i="40"/>
  <c r="AE54" i="40"/>
  <c r="AO54" i="40"/>
  <c r="AL51" i="40"/>
  <c r="AD51" i="40"/>
  <c r="AN51" i="40"/>
  <c r="AE51" i="40"/>
  <c r="AO51" i="40"/>
  <c r="AC67" i="40"/>
  <c r="AC39" i="40"/>
  <c r="W72" i="40"/>
  <c r="Y70" i="40"/>
  <c r="AQ18" i="40"/>
  <c r="BI18" i="40" s="1"/>
  <c r="Y35" i="40"/>
  <c r="AC62" i="40"/>
  <c r="AQ6" i="40"/>
  <c r="BI6" i="40" s="1"/>
  <c r="V72" i="40"/>
  <c r="AC59" i="40"/>
  <c r="AC43" i="40"/>
  <c r="AC42" i="40"/>
  <c r="Y66" i="40"/>
  <c r="AC6" i="39"/>
  <c r="AQ6" i="39" s="1"/>
  <c r="BI6" i="39" s="1"/>
  <c r="AL5" i="39"/>
  <c r="AO5" i="39"/>
  <c r="AD5" i="39"/>
  <c r="AQ24" i="39"/>
  <c r="BI24" i="39" s="1"/>
  <c r="Y8" i="39"/>
  <c r="AC4" i="39"/>
  <c r="AC19" i="39"/>
  <c r="Y7" i="39"/>
  <c r="AL3" i="39"/>
  <c r="AD3" i="39"/>
  <c r="AN3" i="39"/>
  <c r="AE3" i="39"/>
  <c r="AO3" i="39"/>
  <c r="AO18" i="39"/>
  <c r="AN18" i="39"/>
  <c r="AL18" i="39"/>
  <c r="AD18" i="39"/>
  <c r="AE18" i="39"/>
  <c r="W3" i="39"/>
  <c r="W72" i="39" s="1"/>
  <c r="S72" i="39"/>
  <c r="AA3" i="39"/>
  <c r="AA72" i="39" s="1"/>
  <c r="V72" i="39"/>
  <c r="AL19" i="39"/>
  <c r="AD19" i="39"/>
  <c r="AO19" i="39"/>
  <c r="AN19" i="39"/>
  <c r="AE19" i="39"/>
  <c r="AN68" i="39"/>
  <c r="AE68" i="39"/>
  <c r="AO68" i="39"/>
  <c r="AL68" i="39"/>
  <c r="AD68" i="39"/>
  <c r="AO14" i="39"/>
  <c r="AL14" i="39"/>
  <c r="AD14" i="39"/>
  <c r="AN14" i="39"/>
  <c r="AE14" i="39"/>
  <c r="AL4" i="39"/>
  <c r="AD4" i="39"/>
  <c r="AN4" i="39"/>
  <c r="AE4" i="39"/>
  <c r="AO4" i="39"/>
  <c r="AN44" i="39"/>
  <c r="AE44" i="39"/>
  <c r="AO44" i="39"/>
  <c r="AL44" i="39"/>
  <c r="AD44" i="39"/>
  <c r="AL54" i="39"/>
  <c r="AD54" i="39"/>
  <c r="AO54" i="39"/>
  <c r="AN54" i="39"/>
  <c r="AE54" i="39"/>
  <c r="AO27" i="39"/>
  <c r="AL27" i="39"/>
  <c r="AD27" i="39"/>
  <c r="AN27" i="39"/>
  <c r="AE27" i="39"/>
  <c r="AL50" i="39"/>
  <c r="AD50" i="39"/>
  <c r="AO50" i="39"/>
  <c r="AE50" i="39"/>
  <c r="AN50" i="39"/>
  <c r="AL66" i="39"/>
  <c r="AD66" i="39"/>
  <c r="AO66" i="39"/>
  <c r="AE66" i="39"/>
  <c r="AN66" i="39"/>
  <c r="AQ20" i="39"/>
  <c r="BI20" i="39" s="1"/>
  <c r="Y40" i="39"/>
  <c r="AQ34" i="39"/>
  <c r="BI34" i="39" s="1"/>
  <c r="Y12" i="39"/>
  <c r="AC60" i="39"/>
  <c r="AQ31" i="39"/>
  <c r="BI31" i="39" s="1"/>
  <c r="Y11" i="39"/>
  <c r="AL16" i="39"/>
  <c r="AD16" i="39"/>
  <c r="AN16" i="39"/>
  <c r="AE16" i="39"/>
  <c r="AO16" i="39"/>
  <c r="AL62" i="39"/>
  <c r="AD62" i="39"/>
  <c r="AO62" i="39"/>
  <c r="AN62" i="39"/>
  <c r="AE62" i="39"/>
  <c r="AL30" i="39"/>
  <c r="AD30" i="39"/>
  <c r="AO30" i="39"/>
  <c r="AN30" i="39"/>
  <c r="AE30" i="39"/>
  <c r="AO53" i="39"/>
  <c r="AN53" i="39"/>
  <c r="AE53" i="39"/>
  <c r="AD53" i="39"/>
  <c r="AL53" i="39"/>
  <c r="AL8" i="39"/>
  <c r="AD8" i="39"/>
  <c r="AN8" i="39"/>
  <c r="AE8" i="39"/>
  <c r="AO8" i="39"/>
  <c r="AL28" i="39"/>
  <c r="AD28" i="39"/>
  <c r="AN28" i="39"/>
  <c r="AE28" i="39"/>
  <c r="AO28" i="39"/>
  <c r="AL7" i="39"/>
  <c r="AD7" i="39"/>
  <c r="AN7" i="39"/>
  <c r="AE7" i="39"/>
  <c r="AO7" i="39"/>
  <c r="AL38" i="39"/>
  <c r="AD38" i="39"/>
  <c r="AO38" i="39"/>
  <c r="AN38" i="39"/>
  <c r="AE38" i="39"/>
  <c r="AL11" i="39"/>
  <c r="AD11" i="39"/>
  <c r="AN11" i="39"/>
  <c r="AE11" i="39"/>
  <c r="AO11" i="39"/>
  <c r="AL24" i="39"/>
  <c r="AD24" i="39"/>
  <c r="AN24" i="39"/>
  <c r="AE24" i="39"/>
  <c r="AO24" i="39"/>
  <c r="AO57" i="39"/>
  <c r="AN57" i="39"/>
  <c r="AE57" i="39"/>
  <c r="AD57" i="39"/>
  <c r="AL57" i="39"/>
  <c r="AO6" i="39"/>
  <c r="AL6" i="39"/>
  <c r="AD6" i="39"/>
  <c r="AN6" i="39"/>
  <c r="AE6" i="39"/>
  <c r="AO22" i="39"/>
  <c r="AL22" i="39"/>
  <c r="AD22" i="39"/>
  <c r="AN22" i="39"/>
  <c r="AE22" i="39"/>
  <c r="AL35" i="39"/>
  <c r="AD35" i="39"/>
  <c r="AN35" i="39"/>
  <c r="AE35" i="39"/>
  <c r="AO35" i="39"/>
  <c r="AO65" i="39"/>
  <c r="AN65" i="39"/>
  <c r="AE65" i="39"/>
  <c r="AL65" i="39"/>
  <c r="AD65" i="39"/>
  <c r="AO10" i="39"/>
  <c r="AL10" i="39"/>
  <c r="AD10" i="39"/>
  <c r="AE10" i="39"/>
  <c r="AN10" i="39"/>
  <c r="AN32" i="39"/>
  <c r="AE32" i="39"/>
  <c r="AO32" i="39"/>
  <c r="AL32" i="39"/>
  <c r="AD32" i="39"/>
  <c r="AL42" i="39"/>
  <c r="AD42" i="39"/>
  <c r="AO42" i="39"/>
  <c r="AN42" i="39"/>
  <c r="AE42" i="39"/>
  <c r="AO41" i="39"/>
  <c r="AN41" i="39"/>
  <c r="AE41" i="39"/>
  <c r="AD41" i="39"/>
  <c r="AL41" i="39"/>
  <c r="AN60" i="39"/>
  <c r="AE60" i="39"/>
  <c r="AO60" i="39"/>
  <c r="AL60" i="39"/>
  <c r="AD60" i="39"/>
  <c r="O72" i="39"/>
  <c r="P3" i="39"/>
  <c r="AL70" i="39"/>
  <c r="AD70" i="39"/>
  <c r="AO70" i="39"/>
  <c r="AN70" i="39"/>
  <c r="AE70" i="39"/>
  <c r="AC15" i="39"/>
  <c r="Y4" i="39"/>
  <c r="Y44" i="39"/>
  <c r="AC40" i="39"/>
  <c r="AC56" i="39"/>
  <c r="AC52" i="39"/>
  <c r="Y27" i="39"/>
  <c r="AL12" i="39"/>
  <c r="AD12" i="39"/>
  <c r="AN12" i="39"/>
  <c r="AE12" i="39"/>
  <c r="AO12" i="39"/>
  <c r="AL23" i="39"/>
  <c r="AD23" i="39"/>
  <c r="AN23" i="39"/>
  <c r="AE23" i="39"/>
  <c r="AO23" i="39"/>
  <c r="Z72" i="39"/>
  <c r="AO26" i="39"/>
  <c r="AN26" i="39"/>
  <c r="AL26" i="39"/>
  <c r="AD26" i="39"/>
  <c r="AE26" i="39"/>
  <c r="AN48" i="39"/>
  <c r="AE48" i="39"/>
  <c r="AO48" i="39"/>
  <c r="AL48" i="39"/>
  <c r="AD48" i="39"/>
  <c r="AN36" i="39"/>
  <c r="AE36" i="39"/>
  <c r="AO36" i="39"/>
  <c r="AL36" i="39"/>
  <c r="AD36" i="39"/>
  <c r="AL34" i="39"/>
  <c r="AD34" i="39"/>
  <c r="AO34" i="39"/>
  <c r="AN34" i="39"/>
  <c r="AE34" i="39"/>
  <c r="AL46" i="39"/>
  <c r="AD46" i="39"/>
  <c r="AO46" i="39"/>
  <c r="AE46" i="39"/>
  <c r="AN46" i="39"/>
  <c r="AN64" i="39"/>
  <c r="AE64" i="39"/>
  <c r="AO64" i="39"/>
  <c r="AL64" i="39"/>
  <c r="AD64" i="39"/>
  <c r="AO69" i="39"/>
  <c r="AN69" i="39"/>
  <c r="AE69" i="39"/>
  <c r="AD69" i="39"/>
  <c r="AL69" i="39"/>
  <c r="AL15" i="39"/>
  <c r="AD15" i="39"/>
  <c r="AN15" i="39"/>
  <c r="AE15" i="39"/>
  <c r="AO15" i="39"/>
  <c r="AL58" i="39"/>
  <c r="AD58" i="39"/>
  <c r="AO58" i="39"/>
  <c r="AN58" i="39"/>
  <c r="AE58" i="39"/>
  <c r="AN40" i="39"/>
  <c r="AE40" i="39"/>
  <c r="AO40" i="39"/>
  <c r="AL40" i="39"/>
  <c r="AD40" i="39"/>
  <c r="AN56" i="39"/>
  <c r="AE56" i="39"/>
  <c r="AO56" i="39"/>
  <c r="AL56" i="39"/>
  <c r="AD56" i="39"/>
  <c r="AN52" i="39"/>
  <c r="AE52" i="39"/>
  <c r="AO52" i="39"/>
  <c r="AL52" i="39"/>
  <c r="AD52" i="39"/>
  <c r="AB72" i="39"/>
  <c r="X72" i="39"/>
  <c r="AC16" i="39"/>
  <c r="AQ28" i="39"/>
  <c r="BI28" i="39" s="1"/>
  <c r="Y32" i="39"/>
  <c r="AC12" i="39"/>
  <c r="Y60" i="39"/>
  <c r="AC7" i="39"/>
  <c r="AC11" i="39"/>
  <c r="U13" i="38"/>
  <c r="AO13" i="38" s="1"/>
  <c r="U6" i="38"/>
  <c r="AL6" i="38" s="1"/>
  <c r="AA17" i="38"/>
  <c r="U17" i="38"/>
  <c r="AO17" i="38" s="1"/>
  <c r="U4" i="38"/>
  <c r="AL4" i="38" s="1"/>
  <c r="U15" i="38"/>
  <c r="AN15" i="38" s="1"/>
  <c r="AO10" i="38"/>
  <c r="AD10" i="38"/>
  <c r="AE10" i="38"/>
  <c r="AN10" i="38"/>
  <c r="Z15" i="38"/>
  <c r="W23" i="38"/>
  <c r="Y23" i="38" s="1"/>
  <c r="AA23" i="38"/>
  <c r="W13" i="38"/>
  <c r="Y13" i="38" s="1"/>
  <c r="AA13" i="38"/>
  <c r="V8" i="38"/>
  <c r="Y8" i="38" s="1"/>
  <c r="Z8" i="38"/>
  <c r="W10" i="38"/>
  <c r="Y10" i="38" s="1"/>
  <c r="AA10" i="38"/>
  <c r="AC10" i="38" s="1"/>
  <c r="W4" i="38"/>
  <c r="Y4" i="38" s="1"/>
  <c r="AA4" i="38"/>
  <c r="Z6" i="38"/>
  <c r="AC6" i="38" s="1"/>
  <c r="AL10" i="38"/>
  <c r="W30" i="38"/>
  <c r="Y30" i="38" s="1"/>
  <c r="AA30" i="38"/>
  <c r="U7" i="38"/>
  <c r="Z7" i="38"/>
  <c r="U27" i="38"/>
  <c r="AL27" i="38" s="1"/>
  <c r="U23" i="38"/>
  <c r="AE23" i="38" s="1"/>
  <c r="Z66" i="38"/>
  <c r="U66" i="38"/>
  <c r="V66" i="38"/>
  <c r="Y66" i="38" s="1"/>
  <c r="Z59" i="38"/>
  <c r="U59" i="38"/>
  <c r="V59" i="38"/>
  <c r="W21" i="38"/>
  <c r="Y21" i="38" s="1"/>
  <c r="AA21" i="38"/>
  <c r="W51" i="38"/>
  <c r="AA51" i="38"/>
  <c r="Z40" i="38"/>
  <c r="U40" i="38"/>
  <c r="V40" i="38"/>
  <c r="AA16" i="38"/>
  <c r="W16" i="38"/>
  <c r="Z71" i="38"/>
  <c r="U71" i="38"/>
  <c r="V71" i="38"/>
  <c r="AA52" i="38"/>
  <c r="W52" i="38"/>
  <c r="Y52" i="38" s="1"/>
  <c r="AA36" i="38"/>
  <c r="W36" i="38"/>
  <c r="Y36" i="38" s="1"/>
  <c r="Z11" i="38"/>
  <c r="AC11" i="38" s="1"/>
  <c r="U11" i="38"/>
  <c r="V11" i="38"/>
  <c r="Y11" i="38" s="1"/>
  <c r="S72" i="38"/>
  <c r="AA3" i="38"/>
  <c r="W3" i="38"/>
  <c r="AA47" i="38"/>
  <c r="W47" i="38"/>
  <c r="AA40" i="38"/>
  <c r="W40" i="38"/>
  <c r="V22" i="38"/>
  <c r="U22" i="38"/>
  <c r="Z22" i="38"/>
  <c r="AC22" i="38" s="1"/>
  <c r="AA48" i="38"/>
  <c r="W48" i="38"/>
  <c r="V18" i="38"/>
  <c r="Y18" i="38" s="1"/>
  <c r="Z18" i="38"/>
  <c r="AC18" i="38" s="1"/>
  <c r="U18" i="38"/>
  <c r="AA5" i="38"/>
  <c r="W5" i="38"/>
  <c r="Z67" i="38"/>
  <c r="U67" i="38"/>
  <c r="V67" i="38"/>
  <c r="AA32" i="38"/>
  <c r="W32" i="38"/>
  <c r="V19" i="38"/>
  <c r="Z19" i="38"/>
  <c r="AC19" i="38" s="1"/>
  <c r="U19" i="38"/>
  <c r="V14" i="38"/>
  <c r="Y14" i="38" s="1"/>
  <c r="U14" i="38"/>
  <c r="Z14" i="38"/>
  <c r="AC14" i="38" s="1"/>
  <c r="Z68" i="38"/>
  <c r="U68" i="38"/>
  <c r="V68" i="38"/>
  <c r="Z56" i="38"/>
  <c r="U56" i="38"/>
  <c r="V56" i="38"/>
  <c r="AA39" i="38"/>
  <c r="W39" i="38"/>
  <c r="W71" i="38"/>
  <c r="AA71" i="38"/>
  <c r="W15" i="38"/>
  <c r="Y15" i="38" s="1"/>
  <c r="AA15" i="38"/>
  <c r="Z51" i="38"/>
  <c r="U51" i="38"/>
  <c r="V51" i="38"/>
  <c r="Z35" i="38"/>
  <c r="U35" i="38"/>
  <c r="V35" i="38"/>
  <c r="AA28" i="38"/>
  <c r="W28" i="38"/>
  <c r="Z64" i="38"/>
  <c r="U64" i="38"/>
  <c r="V64" i="38"/>
  <c r="Z31" i="38"/>
  <c r="U31" i="38"/>
  <c r="V31" i="38"/>
  <c r="AA67" i="38"/>
  <c r="W67" i="38"/>
  <c r="Z55" i="38"/>
  <c r="U55" i="38"/>
  <c r="V55" i="38"/>
  <c r="V12" i="38"/>
  <c r="Y12" i="38" s="1"/>
  <c r="U12" i="38"/>
  <c r="Z12" i="38"/>
  <c r="AC12" i="38" s="1"/>
  <c r="Z63" i="38"/>
  <c r="U63" i="38"/>
  <c r="V63" i="38"/>
  <c r="V16" i="38"/>
  <c r="Z16" i="38"/>
  <c r="U16" i="38"/>
  <c r="U21" i="38"/>
  <c r="M72" i="38"/>
  <c r="Y65" i="38"/>
  <c r="U36" i="38"/>
  <c r="Z43" i="38"/>
  <c r="U43" i="38"/>
  <c r="V43" i="38"/>
  <c r="W35" i="38"/>
  <c r="AA35" i="38"/>
  <c r="Z48" i="38"/>
  <c r="U48" i="38"/>
  <c r="V48" i="38"/>
  <c r="AA31" i="38"/>
  <c r="W31" i="38"/>
  <c r="N72" i="38"/>
  <c r="O3" i="38"/>
  <c r="AA55" i="38"/>
  <c r="W55" i="38"/>
  <c r="Z32" i="38"/>
  <c r="U32" i="38"/>
  <c r="V32" i="38"/>
  <c r="V29" i="38"/>
  <c r="Y29" i="38" s="1"/>
  <c r="Z29" i="38"/>
  <c r="AC29" i="38" s="1"/>
  <c r="U29" i="38"/>
  <c r="V20" i="38"/>
  <c r="Y20" i="38" s="1"/>
  <c r="Z20" i="38"/>
  <c r="AC20" i="38" s="1"/>
  <c r="U20" i="38"/>
  <c r="AA68" i="38"/>
  <c r="W68" i="38"/>
  <c r="AA63" i="38"/>
  <c r="W63" i="38"/>
  <c r="AA56" i="38"/>
  <c r="W56" i="38"/>
  <c r="V28" i="38"/>
  <c r="U28" i="38"/>
  <c r="Z28" i="38"/>
  <c r="V70" i="38"/>
  <c r="Y70" i="38" s="1"/>
  <c r="U70" i="38"/>
  <c r="Z70" i="38"/>
  <c r="W59" i="38"/>
  <c r="AA59" i="38"/>
  <c r="W43" i="38"/>
  <c r="AA43" i="38"/>
  <c r="W25" i="38"/>
  <c r="Y25" i="38" s="1"/>
  <c r="AA25" i="38"/>
  <c r="AA60" i="38"/>
  <c r="W60" i="38"/>
  <c r="Y60" i="38" s="1"/>
  <c r="AA44" i="38"/>
  <c r="AC44" i="38" s="1"/>
  <c r="W44" i="38"/>
  <c r="Y44" i="38" s="1"/>
  <c r="AA26" i="38"/>
  <c r="W26" i="38"/>
  <c r="K72" i="38"/>
  <c r="R3" i="38"/>
  <c r="AA64" i="38"/>
  <c r="W64" i="38"/>
  <c r="Z47" i="38"/>
  <c r="U47" i="38"/>
  <c r="V47" i="38"/>
  <c r="V24" i="38"/>
  <c r="U24" i="38"/>
  <c r="Z24" i="38"/>
  <c r="AC24" i="38" s="1"/>
  <c r="V5" i="38"/>
  <c r="Z5" i="38"/>
  <c r="U5" i="38"/>
  <c r="Z39" i="38"/>
  <c r="U39" i="38"/>
  <c r="V39" i="38"/>
  <c r="V26" i="38"/>
  <c r="U26" i="38"/>
  <c r="Z26" i="38"/>
  <c r="L72" i="38"/>
  <c r="U52" i="38"/>
  <c r="U44" i="38"/>
  <c r="AA66" i="37"/>
  <c r="Z11" i="37"/>
  <c r="AA70" i="37"/>
  <c r="U11" i="37"/>
  <c r="AN11" i="37" s="1"/>
  <c r="Z9" i="37"/>
  <c r="W28" i="37"/>
  <c r="Y28" i="37" s="1"/>
  <c r="U24" i="37"/>
  <c r="AN24" i="37" s="1"/>
  <c r="V44" i="37"/>
  <c r="Z28" i="37"/>
  <c r="AC28" i="37" s="1"/>
  <c r="U60" i="37"/>
  <c r="AL60" i="37" s="1"/>
  <c r="Z20" i="37"/>
  <c r="V14" i="37"/>
  <c r="W49" i="37"/>
  <c r="Y49" i="37" s="1"/>
  <c r="W37" i="37"/>
  <c r="Y37" i="37" s="1"/>
  <c r="U37" i="37"/>
  <c r="AO37" i="37" s="1"/>
  <c r="W53" i="37"/>
  <c r="U14" i="37"/>
  <c r="AE14" i="37" s="1"/>
  <c r="Z60" i="37"/>
  <c r="Z27" i="37"/>
  <c r="AA7" i="37"/>
  <c r="Y45" i="37"/>
  <c r="Z45" i="37"/>
  <c r="V69" i="37"/>
  <c r="Z37" i="37"/>
  <c r="AC37" i="37" s="1"/>
  <c r="Y20" i="37"/>
  <c r="W24" i="37"/>
  <c r="Y24" i="37" s="1"/>
  <c r="U33" i="37"/>
  <c r="AE33" i="37" s="1"/>
  <c r="Z49" i="37"/>
  <c r="AC49" i="37" s="1"/>
  <c r="Z10" i="37"/>
  <c r="U53" i="37"/>
  <c r="AD53" i="37" s="1"/>
  <c r="AA58" i="37"/>
  <c r="Z15" i="37"/>
  <c r="AC15" i="37" s="1"/>
  <c r="Z24" i="37"/>
  <c r="AA21" i="37"/>
  <c r="W33" i="37"/>
  <c r="Y33" i="37" s="1"/>
  <c r="AA57" i="37"/>
  <c r="W6" i="37"/>
  <c r="Y6" i="37" s="1"/>
  <c r="U45" i="37"/>
  <c r="AN45" i="37" s="1"/>
  <c r="Z41" i="37"/>
  <c r="AC41" i="37" s="1"/>
  <c r="AA12" i="37"/>
  <c r="V53" i="37"/>
  <c r="AA61" i="37"/>
  <c r="AA62" i="37"/>
  <c r="Z33" i="37"/>
  <c r="U28" i="37"/>
  <c r="AN28" i="37" s="1"/>
  <c r="AA24" i="37"/>
  <c r="U15" i="37"/>
  <c r="AO15" i="37" s="1"/>
  <c r="AA38" i="37"/>
  <c r="U69" i="37"/>
  <c r="AD69" i="37" s="1"/>
  <c r="U30" i="37"/>
  <c r="AE30" i="37" s="1"/>
  <c r="AA17" i="37"/>
  <c r="AA34" i="37"/>
  <c r="AA11" i="37"/>
  <c r="W15" i="37"/>
  <c r="Y15" i="37" s="1"/>
  <c r="AA20" i="37"/>
  <c r="Y57" i="37"/>
  <c r="U57" i="37"/>
  <c r="AO57" i="37" s="1"/>
  <c r="AA45" i="37"/>
  <c r="Z6" i="37"/>
  <c r="AC6" i="37" s="1"/>
  <c r="W11" i="37"/>
  <c r="Y11" i="37" s="1"/>
  <c r="U23" i="37"/>
  <c r="AN23" i="37" s="1"/>
  <c r="Y30" i="37"/>
  <c r="AA30" i="37"/>
  <c r="Z57" i="37"/>
  <c r="U49" i="37"/>
  <c r="AO49" i="37" s="1"/>
  <c r="AA46" i="37"/>
  <c r="U10" i="37"/>
  <c r="AO10" i="37" s="1"/>
  <c r="U65" i="37"/>
  <c r="AN65" i="37" s="1"/>
  <c r="AA29" i="37"/>
  <c r="U6" i="37"/>
  <c r="AE6" i="37" s="1"/>
  <c r="Y61" i="37"/>
  <c r="Z65" i="37"/>
  <c r="AA16" i="37"/>
  <c r="AA33" i="37"/>
  <c r="Y65" i="37"/>
  <c r="AA50" i="37"/>
  <c r="Z61" i="37"/>
  <c r="U61" i="37"/>
  <c r="AE61" i="37" s="1"/>
  <c r="AA10" i="37"/>
  <c r="Z23" i="37"/>
  <c r="AA65" i="37"/>
  <c r="W41" i="37"/>
  <c r="Y41" i="37" s="1"/>
  <c r="V23" i="37"/>
  <c r="W42" i="37"/>
  <c r="AA42" i="37"/>
  <c r="M72" i="37"/>
  <c r="T72" i="37" s="1"/>
  <c r="U41" i="37"/>
  <c r="AL41" i="37" s="1"/>
  <c r="W69" i="37"/>
  <c r="W54" i="37"/>
  <c r="AA54" i="37"/>
  <c r="W25" i="37"/>
  <c r="AA25" i="37"/>
  <c r="U20" i="37"/>
  <c r="AN20" i="37" s="1"/>
  <c r="AN64" i="37"/>
  <c r="AE64" i="37"/>
  <c r="AO64" i="37"/>
  <c r="AL64" i="37"/>
  <c r="AD64" i="37"/>
  <c r="AN36" i="37"/>
  <c r="AE36" i="37"/>
  <c r="AO36" i="37"/>
  <c r="AL36" i="37"/>
  <c r="AD36" i="37"/>
  <c r="U58" i="37"/>
  <c r="V58" i="37"/>
  <c r="Y58" i="37" s="1"/>
  <c r="Z58" i="37"/>
  <c r="W71" i="37"/>
  <c r="AA71" i="37"/>
  <c r="W39" i="37"/>
  <c r="AA39" i="37"/>
  <c r="AA51" i="37"/>
  <c r="W51" i="37"/>
  <c r="W47" i="37"/>
  <c r="AA47" i="37"/>
  <c r="AA27" i="37"/>
  <c r="W27" i="37"/>
  <c r="Y27" i="37" s="1"/>
  <c r="AA52" i="37"/>
  <c r="W52" i="37"/>
  <c r="AN40" i="37"/>
  <c r="AE40" i="37"/>
  <c r="AO40" i="37"/>
  <c r="AL40" i="37"/>
  <c r="AD40" i="37"/>
  <c r="W59" i="37"/>
  <c r="AA59" i="37"/>
  <c r="Z13" i="37"/>
  <c r="U13" i="37"/>
  <c r="V13" i="37"/>
  <c r="AA19" i="37"/>
  <c r="W19" i="37"/>
  <c r="AA5" i="37"/>
  <c r="W5" i="37"/>
  <c r="AA48" i="37"/>
  <c r="AC48" i="37" s="1"/>
  <c r="W48" i="37"/>
  <c r="Y48" i="37" s="1"/>
  <c r="U7" i="37"/>
  <c r="V7" i="37"/>
  <c r="Y7" i="37" s="1"/>
  <c r="Z7" i="37"/>
  <c r="AA60" i="37"/>
  <c r="W60" i="37"/>
  <c r="Y60" i="37" s="1"/>
  <c r="AA56" i="37"/>
  <c r="AC56" i="37" s="1"/>
  <c r="W56" i="37"/>
  <c r="Y56" i="37" s="1"/>
  <c r="AA40" i="37"/>
  <c r="AC40" i="37" s="1"/>
  <c r="W40" i="37"/>
  <c r="Y40" i="37" s="1"/>
  <c r="Z22" i="37"/>
  <c r="U22" i="37"/>
  <c r="V22" i="37"/>
  <c r="Z18" i="37"/>
  <c r="U18" i="37"/>
  <c r="V18" i="37"/>
  <c r="W13" i="37"/>
  <c r="AA13" i="37"/>
  <c r="Z66" i="37"/>
  <c r="U66" i="37"/>
  <c r="V66" i="37"/>
  <c r="Y66" i="37" s="1"/>
  <c r="Z50" i="37"/>
  <c r="U50" i="37"/>
  <c r="V50" i="37"/>
  <c r="Y50" i="37" s="1"/>
  <c r="N72" i="37"/>
  <c r="O3" i="37"/>
  <c r="AA31" i="37"/>
  <c r="W31" i="37"/>
  <c r="U25" i="37"/>
  <c r="V25" i="37"/>
  <c r="Z25" i="37"/>
  <c r="V12" i="37"/>
  <c r="Y12" i="37" s="1"/>
  <c r="Z12" i="37"/>
  <c r="U12" i="37"/>
  <c r="R72" i="37"/>
  <c r="Z3" i="37"/>
  <c r="U3" i="37"/>
  <c r="V3" i="37"/>
  <c r="AA23" i="37"/>
  <c r="W23" i="37"/>
  <c r="Z32" i="37"/>
  <c r="U32" i="37"/>
  <c r="V32" i="37"/>
  <c r="Z52" i="37"/>
  <c r="U52" i="37"/>
  <c r="V52" i="37"/>
  <c r="W22" i="37"/>
  <c r="AA22" i="37"/>
  <c r="W8" i="37"/>
  <c r="AA8" i="37"/>
  <c r="W18" i="37"/>
  <c r="AA18" i="37"/>
  <c r="W43" i="37"/>
  <c r="AA43" i="37"/>
  <c r="Z35" i="37"/>
  <c r="U35" i="37"/>
  <c r="V35" i="37"/>
  <c r="AA9" i="37"/>
  <c r="W9" i="37"/>
  <c r="Y9" i="37" s="1"/>
  <c r="Z26" i="37"/>
  <c r="U26" i="37"/>
  <c r="V26" i="37"/>
  <c r="Z5" i="37"/>
  <c r="U5" i="37"/>
  <c r="V5" i="37"/>
  <c r="U42" i="37"/>
  <c r="V42" i="37"/>
  <c r="Z42" i="37"/>
  <c r="W55" i="37"/>
  <c r="AA55" i="37"/>
  <c r="U17" i="37"/>
  <c r="V17" i="37"/>
  <c r="Y17" i="37" s="1"/>
  <c r="Z17" i="37"/>
  <c r="AA67" i="37"/>
  <c r="W67" i="37"/>
  <c r="W63" i="37"/>
  <c r="AA63" i="37"/>
  <c r="AA4" i="37"/>
  <c r="W4" i="37"/>
  <c r="W3" i="37"/>
  <c r="S72" i="37"/>
  <c r="AA3" i="37"/>
  <c r="AA32" i="37"/>
  <c r="W32" i="37"/>
  <c r="V62" i="37"/>
  <c r="Y62" i="37" s="1"/>
  <c r="Z62" i="37"/>
  <c r="U62" i="37"/>
  <c r="V46" i="37"/>
  <c r="Y46" i="37" s="1"/>
  <c r="Z46" i="37"/>
  <c r="U46" i="37"/>
  <c r="V34" i="37"/>
  <c r="Y34" i="37" s="1"/>
  <c r="Z34" i="37"/>
  <c r="U34" i="37"/>
  <c r="AA64" i="37"/>
  <c r="AC64" i="37" s="1"/>
  <c r="W64" i="37"/>
  <c r="Y64" i="37" s="1"/>
  <c r="Z31" i="37"/>
  <c r="U31" i="37"/>
  <c r="V31" i="37"/>
  <c r="Z21" i="37"/>
  <c r="U21" i="37"/>
  <c r="V21" i="37"/>
  <c r="Y21" i="37" s="1"/>
  <c r="AA44" i="37"/>
  <c r="AC44" i="37" s="1"/>
  <c r="W44" i="37"/>
  <c r="Z19" i="37"/>
  <c r="U19" i="37"/>
  <c r="V19" i="37"/>
  <c r="Z68" i="37"/>
  <c r="U68" i="37"/>
  <c r="V68" i="37"/>
  <c r="Z8" i="37"/>
  <c r="U8" i="37"/>
  <c r="V8" i="37"/>
  <c r="Z43" i="37"/>
  <c r="U43" i="37"/>
  <c r="V43" i="37"/>
  <c r="U70" i="37"/>
  <c r="V70" i="37"/>
  <c r="Y70" i="37" s="1"/>
  <c r="Z70" i="37"/>
  <c r="U54" i="37"/>
  <c r="V54" i="37"/>
  <c r="Z54" i="37"/>
  <c r="U38" i="37"/>
  <c r="V38" i="37"/>
  <c r="Y38" i="37" s="1"/>
  <c r="Z38" i="37"/>
  <c r="Z71" i="37"/>
  <c r="U71" i="37"/>
  <c r="V71" i="37"/>
  <c r="Z55" i="37"/>
  <c r="U55" i="37"/>
  <c r="V55" i="37"/>
  <c r="Z39" i="37"/>
  <c r="U39" i="37"/>
  <c r="V39" i="37"/>
  <c r="AA36" i="37"/>
  <c r="AC36" i="37" s="1"/>
  <c r="W36" i="37"/>
  <c r="Y36" i="37" s="1"/>
  <c r="V29" i="37"/>
  <c r="Y29" i="37" s="1"/>
  <c r="U29" i="37"/>
  <c r="Z29" i="37"/>
  <c r="V16" i="37"/>
  <c r="Y16" i="37" s="1"/>
  <c r="Z16" i="37"/>
  <c r="U16" i="37"/>
  <c r="Z67" i="37"/>
  <c r="U67" i="37"/>
  <c r="V67" i="37"/>
  <c r="Z51" i="37"/>
  <c r="U51" i="37"/>
  <c r="V51" i="37"/>
  <c r="Z63" i="37"/>
  <c r="U63" i="37"/>
  <c r="V63" i="37"/>
  <c r="Z47" i="37"/>
  <c r="U47" i="37"/>
  <c r="V47" i="37"/>
  <c r="AO24" i="37"/>
  <c r="AA68" i="37"/>
  <c r="W68" i="37"/>
  <c r="AA14" i="37"/>
  <c r="AC14" i="37" s="1"/>
  <c r="W14" i="37"/>
  <c r="Z4" i="37"/>
  <c r="U4" i="37"/>
  <c r="V4" i="37"/>
  <c r="Z59" i="37"/>
  <c r="U59" i="37"/>
  <c r="V59" i="37"/>
  <c r="W35" i="37"/>
  <c r="AA35" i="37"/>
  <c r="AA26" i="37"/>
  <c r="W26" i="37"/>
  <c r="U48" i="37"/>
  <c r="U44" i="37"/>
  <c r="L72" i="37"/>
  <c r="U27" i="37"/>
  <c r="K72" i="37"/>
  <c r="AC69" i="37"/>
  <c r="AC53" i="37"/>
  <c r="U56" i="37"/>
  <c r="U9" i="37"/>
  <c r="M65" i="36"/>
  <c r="L64" i="36"/>
  <c r="S64" i="36" s="1"/>
  <c r="W64" i="36" s="1"/>
  <c r="M38" i="36"/>
  <c r="K12" i="36"/>
  <c r="R12" i="36" s="1"/>
  <c r="V12" i="36" s="1"/>
  <c r="M23" i="36"/>
  <c r="L23" i="36"/>
  <c r="S23" i="36" s="1"/>
  <c r="AA23" i="36" s="1"/>
  <c r="K36" i="36"/>
  <c r="R36" i="36" s="1"/>
  <c r="V36" i="36" s="1"/>
  <c r="M57" i="36"/>
  <c r="L4" i="36"/>
  <c r="S4" i="36" s="1"/>
  <c r="AA4" i="36" s="1"/>
  <c r="L17" i="36"/>
  <c r="S17" i="36" s="1"/>
  <c r="AA17" i="36" s="1"/>
  <c r="M26" i="36"/>
  <c r="K32" i="36"/>
  <c r="R32" i="36" s="1"/>
  <c r="Z32" i="36" s="1"/>
  <c r="L57" i="36"/>
  <c r="S57" i="36" s="1"/>
  <c r="W57" i="36" s="1"/>
  <c r="M61" i="36"/>
  <c r="K13" i="36"/>
  <c r="R13" i="36" s="1"/>
  <c r="Z13" i="36" s="1"/>
  <c r="L14" i="36"/>
  <c r="S14" i="36" s="1"/>
  <c r="AA14" i="36" s="1"/>
  <c r="L41" i="36"/>
  <c r="S41" i="36" s="1"/>
  <c r="AA41" i="36" s="1"/>
  <c r="L53" i="36"/>
  <c r="S53" i="36" s="1"/>
  <c r="W53" i="36" s="1"/>
  <c r="L60" i="36"/>
  <c r="S60" i="36" s="1"/>
  <c r="W60" i="36" s="1"/>
  <c r="M6" i="36"/>
  <c r="M12" i="36"/>
  <c r="M19" i="36"/>
  <c r="K25" i="36"/>
  <c r="R25" i="36" s="1"/>
  <c r="Z25" i="36" s="1"/>
  <c r="L38" i="36"/>
  <c r="S38" i="36" s="1"/>
  <c r="W38" i="36" s="1"/>
  <c r="L45" i="36"/>
  <c r="S45" i="36" s="1"/>
  <c r="AA45" i="36" s="1"/>
  <c r="M50" i="36"/>
  <c r="K56" i="36"/>
  <c r="R56" i="36" s="1"/>
  <c r="Z56" i="36" s="1"/>
  <c r="K60" i="36"/>
  <c r="R60" i="36" s="1"/>
  <c r="K64" i="36"/>
  <c r="R64" i="36" s="1"/>
  <c r="Z64" i="36" s="1"/>
  <c r="L69" i="36"/>
  <c r="S69" i="36" s="1"/>
  <c r="W69" i="36" s="1"/>
  <c r="M4" i="36"/>
  <c r="L12" i="36"/>
  <c r="S12" i="36" s="1"/>
  <c r="AA12" i="36" s="1"/>
  <c r="M17" i="36"/>
  <c r="M24" i="36"/>
  <c r="M27" i="36"/>
  <c r="K30" i="36"/>
  <c r="R30" i="36" s="1"/>
  <c r="V30" i="36" s="1"/>
  <c r="M42" i="36"/>
  <c r="L49" i="36"/>
  <c r="S49" i="36" s="1"/>
  <c r="W49" i="36" s="1"/>
  <c r="M62" i="36"/>
  <c r="M66" i="36"/>
  <c r="M8" i="36"/>
  <c r="AF72" i="36"/>
  <c r="K4" i="36"/>
  <c r="R4" i="36" s="1"/>
  <c r="V4" i="36" s="1"/>
  <c r="L5" i="36"/>
  <c r="S5" i="36" s="1"/>
  <c r="W5" i="36" s="1"/>
  <c r="L8" i="36"/>
  <c r="S8" i="36" s="1"/>
  <c r="W8" i="36" s="1"/>
  <c r="M10" i="36"/>
  <c r="D72" i="36"/>
  <c r="M13" i="36"/>
  <c r="AS13" i="36"/>
  <c r="AS72" i="36" s="1"/>
  <c r="K17" i="36"/>
  <c r="R17" i="36" s="1"/>
  <c r="V17" i="36" s="1"/>
  <c r="L18" i="36"/>
  <c r="S18" i="36" s="1"/>
  <c r="W18" i="36" s="1"/>
  <c r="M21" i="36"/>
  <c r="K23" i="36"/>
  <c r="R23" i="36" s="1"/>
  <c r="V23" i="36" s="1"/>
  <c r="L24" i="36"/>
  <c r="S24" i="36" s="1"/>
  <c r="W24" i="36" s="1"/>
  <c r="M34" i="36"/>
  <c r="K38" i="36"/>
  <c r="R38" i="36" s="1"/>
  <c r="K40" i="36"/>
  <c r="R40" i="36" s="1"/>
  <c r="Z40" i="36" s="1"/>
  <c r="L44" i="36"/>
  <c r="S44" i="36" s="1"/>
  <c r="AA44" i="36" s="1"/>
  <c r="M46" i="36"/>
  <c r="L48" i="36"/>
  <c r="S48" i="36" s="1"/>
  <c r="W48" i="36" s="1"/>
  <c r="L52" i="36"/>
  <c r="S52" i="36" s="1"/>
  <c r="M54" i="36"/>
  <c r="M58" i="36"/>
  <c r="L61" i="36"/>
  <c r="S61" i="36" s="1"/>
  <c r="W61" i="36" s="1"/>
  <c r="L65" i="36"/>
  <c r="S65" i="36" s="1"/>
  <c r="W65" i="36" s="1"/>
  <c r="L68" i="36"/>
  <c r="S68" i="36" s="1"/>
  <c r="W68" i="36" s="1"/>
  <c r="M70" i="36"/>
  <c r="BG72" i="36"/>
  <c r="AG72" i="36"/>
  <c r="K8" i="36"/>
  <c r="R8" i="36" s="1"/>
  <c r="V8" i="36" s="1"/>
  <c r="L9" i="36"/>
  <c r="S9" i="36" s="1"/>
  <c r="AA9" i="36" s="1"/>
  <c r="L13" i="36"/>
  <c r="S13" i="36" s="1"/>
  <c r="AA13" i="36" s="1"/>
  <c r="M15" i="36"/>
  <c r="M20" i="36"/>
  <c r="M25" i="36"/>
  <c r="M30" i="36"/>
  <c r="L33" i="36"/>
  <c r="S33" i="36" s="1"/>
  <c r="W33" i="36" s="1"/>
  <c r="L37" i="36"/>
  <c r="S37" i="36" s="1"/>
  <c r="W37" i="36" s="1"/>
  <c r="K44" i="36"/>
  <c r="R44" i="36" s="1"/>
  <c r="Z44" i="36" s="1"/>
  <c r="M45" i="36"/>
  <c r="K48" i="36"/>
  <c r="R48" i="36" s="1"/>
  <c r="V48" i="36" s="1"/>
  <c r="M49" i="36"/>
  <c r="K52" i="36"/>
  <c r="R52" i="36" s="1"/>
  <c r="V52" i="36" s="1"/>
  <c r="M53" i="36"/>
  <c r="L56" i="36"/>
  <c r="S56" i="36" s="1"/>
  <c r="W56" i="36" s="1"/>
  <c r="K68" i="36"/>
  <c r="R68" i="36" s="1"/>
  <c r="Z68" i="36" s="1"/>
  <c r="M69" i="36"/>
  <c r="Z29" i="36"/>
  <c r="V29" i="36"/>
  <c r="Z28" i="36"/>
  <c r="V28" i="36"/>
  <c r="AA32" i="36"/>
  <c r="W32" i="36"/>
  <c r="Z11" i="36"/>
  <c r="V11" i="36"/>
  <c r="J72" i="36"/>
  <c r="K3" i="36"/>
  <c r="L3" i="36"/>
  <c r="M3" i="36"/>
  <c r="K7" i="36"/>
  <c r="R7" i="36" s="1"/>
  <c r="L7" i="36"/>
  <c r="S7" i="36" s="1"/>
  <c r="M7" i="36"/>
  <c r="Z16" i="36"/>
  <c r="V16" i="36"/>
  <c r="Z22" i="36"/>
  <c r="V22" i="36"/>
  <c r="AA40" i="36"/>
  <c r="W40" i="36"/>
  <c r="N3" i="36"/>
  <c r="AM3" i="36" s="1"/>
  <c r="K31" i="36"/>
  <c r="R31" i="36" s="1"/>
  <c r="L31" i="36"/>
  <c r="S31" i="36" s="1"/>
  <c r="M31" i="36"/>
  <c r="K39" i="36"/>
  <c r="R39" i="36" s="1"/>
  <c r="L39" i="36"/>
  <c r="S39" i="36" s="1"/>
  <c r="M39" i="36"/>
  <c r="K47" i="36"/>
  <c r="R47" i="36" s="1"/>
  <c r="L47" i="36"/>
  <c r="S47" i="36" s="1"/>
  <c r="M47" i="36"/>
  <c r="K63" i="36"/>
  <c r="R63" i="36" s="1"/>
  <c r="L63" i="36"/>
  <c r="S63" i="36" s="1"/>
  <c r="M63" i="36"/>
  <c r="N22" i="36"/>
  <c r="K5" i="36"/>
  <c r="R5" i="36" s="1"/>
  <c r="L6" i="36"/>
  <c r="S6" i="36" s="1"/>
  <c r="K9" i="36"/>
  <c r="R9" i="36" s="1"/>
  <c r="L10" i="36"/>
  <c r="S10" i="36" s="1"/>
  <c r="M11" i="36"/>
  <c r="K14" i="36"/>
  <c r="R14" i="36" s="1"/>
  <c r="L15" i="36"/>
  <c r="S15" i="36" s="1"/>
  <c r="M16" i="36"/>
  <c r="K18" i="36"/>
  <c r="R18" i="36" s="1"/>
  <c r="L19" i="36"/>
  <c r="S19" i="36" s="1"/>
  <c r="L20" i="36"/>
  <c r="S20" i="36" s="1"/>
  <c r="L21" i="36"/>
  <c r="S21" i="36" s="1"/>
  <c r="M22" i="36"/>
  <c r="K24" i="36"/>
  <c r="R24" i="36" s="1"/>
  <c r="L25" i="36"/>
  <c r="S25" i="36" s="1"/>
  <c r="L26" i="36"/>
  <c r="S26" i="36" s="1"/>
  <c r="L27" i="36"/>
  <c r="S27" i="36" s="1"/>
  <c r="M28" i="36"/>
  <c r="M29" i="36"/>
  <c r="K67" i="36"/>
  <c r="R67" i="36" s="1"/>
  <c r="L67" i="36"/>
  <c r="S67" i="36" s="1"/>
  <c r="M67" i="36"/>
  <c r="K35" i="36"/>
  <c r="R35" i="36" s="1"/>
  <c r="L35" i="36"/>
  <c r="S35" i="36" s="1"/>
  <c r="M35" i="36"/>
  <c r="AA36" i="36"/>
  <c r="W36" i="36"/>
  <c r="K43" i="36"/>
  <c r="R43" i="36" s="1"/>
  <c r="L43" i="36"/>
  <c r="S43" i="36" s="1"/>
  <c r="M43" i="36"/>
  <c r="K59" i="36"/>
  <c r="R59" i="36" s="1"/>
  <c r="L59" i="36"/>
  <c r="S59" i="36" s="1"/>
  <c r="M59" i="36"/>
  <c r="N11" i="36"/>
  <c r="N28" i="36"/>
  <c r="N29" i="36"/>
  <c r="N5" i="36"/>
  <c r="K6" i="36"/>
  <c r="R6" i="36" s="1"/>
  <c r="N9" i="36"/>
  <c r="K10" i="36"/>
  <c r="R10" i="36" s="1"/>
  <c r="L11" i="36"/>
  <c r="S11" i="36" s="1"/>
  <c r="N14" i="36"/>
  <c r="K15" i="36"/>
  <c r="R15" i="36" s="1"/>
  <c r="L16" i="36"/>
  <c r="S16" i="36" s="1"/>
  <c r="U16" i="36" s="1"/>
  <c r="N18" i="36"/>
  <c r="K19" i="36"/>
  <c r="R19" i="36" s="1"/>
  <c r="K20" i="36"/>
  <c r="R20" i="36" s="1"/>
  <c r="K21" i="36"/>
  <c r="R21" i="36" s="1"/>
  <c r="L22" i="36"/>
  <c r="S22" i="36" s="1"/>
  <c r="K26" i="36"/>
  <c r="R26" i="36" s="1"/>
  <c r="K27" i="36"/>
  <c r="R27" i="36" s="1"/>
  <c r="L28" i="36"/>
  <c r="S28" i="36" s="1"/>
  <c r="L29" i="36"/>
  <c r="S29" i="36" s="1"/>
  <c r="U29" i="36" s="1"/>
  <c r="K51" i="36"/>
  <c r="R51" i="36" s="1"/>
  <c r="L51" i="36"/>
  <c r="S51" i="36" s="1"/>
  <c r="M51" i="36"/>
  <c r="K55" i="36"/>
  <c r="R55" i="36" s="1"/>
  <c r="L55" i="36"/>
  <c r="S55" i="36" s="1"/>
  <c r="M55" i="36"/>
  <c r="K71" i="36"/>
  <c r="R71" i="36" s="1"/>
  <c r="L71" i="36"/>
  <c r="S71" i="36" s="1"/>
  <c r="M71" i="36"/>
  <c r="N16" i="36"/>
  <c r="N51" i="36"/>
  <c r="N67" i="36"/>
  <c r="L30" i="36"/>
  <c r="S30" i="36" s="1"/>
  <c r="N32" i="36"/>
  <c r="K33" i="36"/>
  <c r="R33" i="36" s="1"/>
  <c r="L34" i="36"/>
  <c r="S34" i="36" s="1"/>
  <c r="N36" i="36"/>
  <c r="K37" i="36"/>
  <c r="R37" i="36" s="1"/>
  <c r="N40" i="36"/>
  <c r="K41" i="36"/>
  <c r="R41" i="36" s="1"/>
  <c r="L42" i="36"/>
  <c r="S42" i="36" s="1"/>
  <c r="N44" i="36"/>
  <c r="K45" i="36"/>
  <c r="R45" i="36" s="1"/>
  <c r="L46" i="36"/>
  <c r="S46" i="36" s="1"/>
  <c r="N48" i="36"/>
  <c r="K49" i="36"/>
  <c r="R49" i="36" s="1"/>
  <c r="L50" i="36"/>
  <c r="S50" i="36" s="1"/>
  <c r="N52" i="36"/>
  <c r="K53" i="36"/>
  <c r="R53" i="36" s="1"/>
  <c r="L54" i="36"/>
  <c r="S54" i="36" s="1"/>
  <c r="N56" i="36"/>
  <c r="K57" i="36"/>
  <c r="R57" i="36" s="1"/>
  <c r="L58" i="36"/>
  <c r="S58" i="36" s="1"/>
  <c r="N60" i="36"/>
  <c r="K61" i="36"/>
  <c r="R61" i="36" s="1"/>
  <c r="L62" i="36"/>
  <c r="S62" i="36" s="1"/>
  <c r="N64" i="36"/>
  <c r="K65" i="36"/>
  <c r="R65" i="36" s="1"/>
  <c r="L66" i="36"/>
  <c r="S66" i="36" s="1"/>
  <c r="N68" i="36"/>
  <c r="K69" i="36"/>
  <c r="R69" i="36" s="1"/>
  <c r="L70" i="36"/>
  <c r="S70" i="36" s="1"/>
  <c r="M32" i="36"/>
  <c r="N33" i="36"/>
  <c r="K34" i="36"/>
  <c r="R34" i="36" s="1"/>
  <c r="M36" i="36"/>
  <c r="N37" i="36"/>
  <c r="M40" i="36"/>
  <c r="N41" i="36"/>
  <c r="K42" i="36"/>
  <c r="R42" i="36" s="1"/>
  <c r="K46" i="36"/>
  <c r="R46" i="36" s="1"/>
  <c r="K50" i="36"/>
  <c r="R50" i="36" s="1"/>
  <c r="K54" i="36"/>
  <c r="R54" i="36" s="1"/>
  <c r="K58" i="36"/>
  <c r="R58" i="36" s="1"/>
  <c r="K62" i="36"/>
  <c r="R62" i="36" s="1"/>
  <c r="K66" i="36"/>
  <c r="R66" i="36" s="1"/>
  <c r="K70" i="36"/>
  <c r="R70" i="36" s="1"/>
  <c r="D13" i="24"/>
  <c r="AC8" i="38" l="1"/>
  <c r="AQ8" i="38" s="1"/>
  <c r="BI8" i="38" s="1"/>
  <c r="U38" i="36"/>
  <c r="AD38" i="36" s="1"/>
  <c r="AQ4" i="39"/>
  <c r="BI4" i="39" s="1"/>
  <c r="AL8" i="38"/>
  <c r="AD49" i="38"/>
  <c r="AC23" i="38"/>
  <c r="AQ23" i="38" s="1"/>
  <c r="BI23" i="38" s="1"/>
  <c r="AQ15" i="39"/>
  <c r="BI15" i="39" s="1"/>
  <c r="AQ62" i="38"/>
  <c r="BI62" i="38" s="1"/>
  <c r="AL65" i="38"/>
  <c r="Y22" i="38"/>
  <c r="AQ22" i="38" s="1"/>
  <c r="BI22" i="38" s="1"/>
  <c r="AC36" i="38"/>
  <c r="AQ36" i="38" s="1"/>
  <c r="BI36" i="38" s="1"/>
  <c r="Y37" i="38"/>
  <c r="AQ37" i="38" s="1"/>
  <c r="BI37" i="38" s="1"/>
  <c r="AC65" i="38"/>
  <c r="AQ65" i="38" s="1"/>
  <c r="BI65" i="38" s="1"/>
  <c r="AQ33" i="39"/>
  <c r="BI33" i="39" s="1"/>
  <c r="AC70" i="38"/>
  <c r="AQ70" i="38" s="1"/>
  <c r="BI70" i="38" s="1"/>
  <c r="AC52" i="38"/>
  <c r="AQ52" i="38" s="1"/>
  <c r="BI52" i="38" s="1"/>
  <c r="Q42" i="36"/>
  <c r="AO54" i="38"/>
  <c r="AC21" i="38"/>
  <c r="AQ21" i="38" s="1"/>
  <c r="BI21" i="38" s="1"/>
  <c r="AC9" i="38"/>
  <c r="AQ9" i="38" s="1"/>
  <c r="BI9" i="38" s="1"/>
  <c r="AL24" i="37"/>
  <c r="AQ54" i="38"/>
  <c r="BI54" i="38" s="1"/>
  <c r="AD24" i="37"/>
  <c r="AN50" i="38"/>
  <c r="AQ56" i="39"/>
  <c r="BI56" i="39" s="1"/>
  <c r="AQ23" i="39"/>
  <c r="BI23" i="39" s="1"/>
  <c r="AL17" i="38"/>
  <c r="AO50" i="38"/>
  <c r="AQ63" i="40"/>
  <c r="BI63" i="40" s="1"/>
  <c r="AQ53" i="38"/>
  <c r="BI53" i="38" s="1"/>
  <c r="AE54" i="38"/>
  <c r="AQ50" i="40"/>
  <c r="BI50" i="40" s="1"/>
  <c r="Y24" i="38"/>
  <c r="AQ24" i="38" s="1"/>
  <c r="BI24" i="38" s="1"/>
  <c r="AN54" i="38"/>
  <c r="AL54" i="38"/>
  <c r="Y32" i="38"/>
  <c r="AE50" i="38"/>
  <c r="AL50" i="38"/>
  <c r="AC66" i="38"/>
  <c r="AQ66" i="38" s="1"/>
  <c r="BI66" i="38" s="1"/>
  <c r="Y61" i="38"/>
  <c r="AQ61" i="38" s="1"/>
  <c r="BI61" i="38" s="1"/>
  <c r="AQ68" i="39"/>
  <c r="BI68" i="39" s="1"/>
  <c r="AQ48" i="39"/>
  <c r="BI48" i="39" s="1"/>
  <c r="AC33" i="38"/>
  <c r="AQ33" i="38" s="1"/>
  <c r="BI33" i="38" s="1"/>
  <c r="Q62" i="36"/>
  <c r="AO46" i="38"/>
  <c r="AE9" i="38"/>
  <c r="AQ16" i="39"/>
  <c r="BI16" i="39" s="1"/>
  <c r="AL9" i="38"/>
  <c r="Q71" i="38"/>
  <c r="AC42" i="38"/>
  <c r="AQ42" i="38" s="1"/>
  <c r="BI42" i="38" s="1"/>
  <c r="AQ49" i="39"/>
  <c r="BI49" i="39" s="1"/>
  <c r="AN8" i="38"/>
  <c r="AC25" i="38"/>
  <c r="AQ25" i="38" s="1"/>
  <c r="BI25" i="38" s="1"/>
  <c r="AO38" i="38"/>
  <c r="AO30" i="38"/>
  <c r="AO60" i="38"/>
  <c r="AD9" i="38"/>
  <c r="AQ70" i="40"/>
  <c r="BI70" i="40" s="1"/>
  <c r="AE11" i="37"/>
  <c r="AD8" i="38"/>
  <c r="AO41" i="38"/>
  <c r="AE8" i="38"/>
  <c r="AE65" i="38"/>
  <c r="AE17" i="38"/>
  <c r="AE38" i="38"/>
  <c r="AL33" i="38"/>
  <c r="AE57" i="38"/>
  <c r="AN30" i="38"/>
  <c r="AL60" i="38"/>
  <c r="AN9" i="38"/>
  <c r="AC17" i="38"/>
  <c r="AQ17" i="38" s="1"/>
  <c r="BI17" i="38" s="1"/>
  <c r="Y3" i="39"/>
  <c r="Y72" i="39" s="1"/>
  <c r="AL41" i="38"/>
  <c r="AO49" i="38"/>
  <c r="AN69" i="38"/>
  <c r="AC30" i="37"/>
  <c r="AQ30" i="37" s="1"/>
  <c r="BI30" i="37" s="1"/>
  <c r="AC28" i="38"/>
  <c r="AD41" i="38"/>
  <c r="AN49" i="38"/>
  <c r="AN42" i="38"/>
  <c r="AQ69" i="38"/>
  <c r="BI69" i="38" s="1"/>
  <c r="AL49" i="38"/>
  <c r="AC26" i="38"/>
  <c r="AL58" i="38"/>
  <c r="AE62" i="38"/>
  <c r="AC45" i="38"/>
  <c r="AQ45" i="38" s="1"/>
  <c r="BI45" i="38" s="1"/>
  <c r="AD17" i="38"/>
  <c r="AN41" i="38"/>
  <c r="AO23" i="38"/>
  <c r="AE58" i="38"/>
  <c r="AC30" i="38"/>
  <c r="AQ30" i="38" s="1"/>
  <c r="BI30" i="38" s="1"/>
  <c r="AC13" i="38"/>
  <c r="AQ13" i="38" s="1"/>
  <c r="BI13" i="38" s="1"/>
  <c r="AQ8" i="39"/>
  <c r="BI8" i="39" s="1"/>
  <c r="AQ21" i="40"/>
  <c r="BI21" i="40" s="1"/>
  <c r="AQ64" i="39"/>
  <c r="BI64" i="39" s="1"/>
  <c r="AE42" i="38"/>
  <c r="AO42" i="38"/>
  <c r="Q31" i="37"/>
  <c r="AO58" i="38"/>
  <c r="AE69" i="38"/>
  <c r="AQ25" i="40"/>
  <c r="BI25" i="40" s="1"/>
  <c r="AL42" i="38"/>
  <c r="AL11" i="37"/>
  <c r="AN17" i="38"/>
  <c r="AD46" i="38"/>
  <c r="AO69" i="38"/>
  <c r="AC27" i="38"/>
  <c r="AQ27" i="38" s="1"/>
  <c r="BI27" i="38" s="1"/>
  <c r="AC48" i="38"/>
  <c r="AN62" i="38"/>
  <c r="AQ54" i="40"/>
  <c r="BI54" i="40" s="1"/>
  <c r="Q70" i="36"/>
  <c r="Q46" i="36"/>
  <c r="AC60" i="38"/>
  <c r="AQ60" i="38" s="1"/>
  <c r="BI60" i="38" s="1"/>
  <c r="Y28" i="38"/>
  <c r="AE27" i="38"/>
  <c r="Y19" i="38"/>
  <c r="AQ19" i="38" s="1"/>
  <c r="BI19" i="38" s="1"/>
  <c r="AE25" i="38"/>
  <c r="AD58" i="38"/>
  <c r="AD57" i="38"/>
  <c r="AO57" i="38"/>
  <c r="AD62" i="38"/>
  <c r="AL69" i="38"/>
  <c r="AD30" i="38"/>
  <c r="P72" i="40"/>
  <c r="AC38" i="38"/>
  <c r="AQ38" i="38" s="1"/>
  <c r="BI38" i="38" s="1"/>
  <c r="AQ55" i="40"/>
  <c r="BI55" i="40" s="1"/>
  <c r="AQ36" i="39"/>
  <c r="BI36" i="39" s="1"/>
  <c r="AQ45" i="39"/>
  <c r="BI45" i="39" s="1"/>
  <c r="AL57" i="38"/>
  <c r="AL62" i="38"/>
  <c r="AL30" i="38"/>
  <c r="AM72" i="38"/>
  <c r="Q53" i="36"/>
  <c r="Q50" i="36"/>
  <c r="Q71" i="37"/>
  <c r="AD23" i="38"/>
  <c r="AC7" i="38"/>
  <c r="AQ7" i="38" s="1"/>
  <c r="BI7" i="38" s="1"/>
  <c r="AQ27" i="39"/>
  <c r="BI27" i="39" s="1"/>
  <c r="AQ13" i="40"/>
  <c r="BI13" i="40" s="1"/>
  <c r="AQ47" i="40"/>
  <c r="BI47" i="40" s="1"/>
  <c r="AC58" i="38"/>
  <c r="AQ58" i="38" s="1"/>
  <c r="BI58" i="38" s="1"/>
  <c r="AM72" i="37"/>
  <c r="AQ71" i="40"/>
  <c r="BI71" i="40" s="1"/>
  <c r="Q38" i="36"/>
  <c r="Y8" i="37"/>
  <c r="AO27" i="38"/>
  <c r="AO33" i="38"/>
  <c r="Q49" i="36"/>
  <c r="Q18" i="37"/>
  <c r="AQ49" i="38"/>
  <c r="BI49" i="38" s="1"/>
  <c r="Y39" i="38"/>
  <c r="AD65" i="38"/>
  <c r="AO65" i="38"/>
  <c r="AE46" i="38"/>
  <c r="AN23" i="38"/>
  <c r="AN38" i="38"/>
  <c r="AL38" i="38"/>
  <c r="AO25" i="38"/>
  <c r="AN33" i="38"/>
  <c r="P68" i="38"/>
  <c r="Q68" i="38" s="1"/>
  <c r="AD60" i="38"/>
  <c r="AN60" i="38"/>
  <c r="AQ60" i="39"/>
  <c r="BI60" i="39" s="1"/>
  <c r="AN53" i="38"/>
  <c r="AD53" i="38"/>
  <c r="AL53" i="38"/>
  <c r="AO53" i="38"/>
  <c r="AE53" i="38"/>
  <c r="Q16" i="38"/>
  <c r="Q45" i="38"/>
  <c r="Y51" i="38"/>
  <c r="AL25" i="38"/>
  <c r="AD33" i="38"/>
  <c r="P72" i="39"/>
  <c r="Q58" i="36"/>
  <c r="AA18" i="36"/>
  <c r="AQ20" i="38"/>
  <c r="BI20" i="38" s="1"/>
  <c r="AN46" i="38"/>
  <c r="AL23" i="38"/>
  <c r="AD25" i="38"/>
  <c r="AQ32" i="39"/>
  <c r="BI32" i="39" s="1"/>
  <c r="AQ44" i="39"/>
  <c r="BI44" i="39" s="1"/>
  <c r="AQ19" i="39"/>
  <c r="BI19" i="39" s="1"/>
  <c r="AQ51" i="40"/>
  <c r="BI51" i="40" s="1"/>
  <c r="AQ31" i="40"/>
  <c r="BI31" i="40" s="1"/>
  <c r="AQ52" i="39"/>
  <c r="BI52" i="39" s="1"/>
  <c r="Y50" i="38"/>
  <c r="AQ50" i="38" s="1"/>
  <c r="BI50" i="38" s="1"/>
  <c r="O18" i="36"/>
  <c r="P18" i="36" s="1"/>
  <c r="Q18" i="36" s="1"/>
  <c r="AM18" i="36"/>
  <c r="O28" i="36"/>
  <c r="P28" i="36" s="1"/>
  <c r="Q28" i="36" s="1"/>
  <c r="AM28" i="36"/>
  <c r="P14" i="38"/>
  <c r="Q14" i="38" s="1"/>
  <c r="O41" i="36"/>
  <c r="P41" i="36" s="1"/>
  <c r="Q41" i="36" s="1"/>
  <c r="AM41" i="36"/>
  <c r="O64" i="36"/>
  <c r="P64" i="36" s="1"/>
  <c r="Q64" i="36" s="1"/>
  <c r="AM64" i="36"/>
  <c r="O48" i="36"/>
  <c r="P48" i="36" s="1"/>
  <c r="Q48" i="36" s="1"/>
  <c r="AM48" i="36"/>
  <c r="O36" i="36"/>
  <c r="P36" i="36" s="1"/>
  <c r="Q36" i="36" s="1"/>
  <c r="AM36" i="36"/>
  <c r="O16" i="36"/>
  <c r="P16" i="36" s="1"/>
  <c r="Q16" i="36" s="1"/>
  <c r="AM16" i="36"/>
  <c r="O14" i="36"/>
  <c r="P14" i="36" s="1"/>
  <c r="Q14" i="36" s="1"/>
  <c r="AM14" i="36"/>
  <c r="O29" i="36"/>
  <c r="P29" i="36" s="1"/>
  <c r="Q29" i="36" s="1"/>
  <c r="AM29" i="36"/>
  <c r="Q57" i="36"/>
  <c r="Q54" i="36"/>
  <c r="Q39" i="37"/>
  <c r="Y5" i="38"/>
  <c r="Y47" i="38"/>
  <c r="AQ44" i="38"/>
  <c r="BI44" i="38" s="1"/>
  <c r="AD6" i="38"/>
  <c r="O68" i="36"/>
  <c r="P68" i="36" s="1"/>
  <c r="Q68" i="36" s="1"/>
  <c r="AM68" i="36"/>
  <c r="O51" i="36"/>
  <c r="P51" i="36" s="1"/>
  <c r="Q51" i="36" s="1"/>
  <c r="AM51" i="36"/>
  <c r="O5" i="36"/>
  <c r="P5" i="36" s="1"/>
  <c r="Q5" i="36" s="1"/>
  <c r="AM5" i="36"/>
  <c r="O60" i="36"/>
  <c r="P60" i="36" s="1"/>
  <c r="Q60" i="36" s="1"/>
  <c r="AM60" i="36"/>
  <c r="O32" i="36"/>
  <c r="P32" i="36" s="1"/>
  <c r="Q32" i="36" s="1"/>
  <c r="AM32" i="36"/>
  <c r="O9" i="36"/>
  <c r="P9" i="36" s="1"/>
  <c r="Q9" i="36" s="1"/>
  <c r="AM9" i="36"/>
  <c r="P20" i="38"/>
  <c r="Q20" i="38" s="1"/>
  <c r="P10" i="38"/>
  <c r="Q10" i="38" s="1"/>
  <c r="Q69" i="36"/>
  <c r="Q8" i="37"/>
  <c r="P39" i="38"/>
  <c r="Q39" i="38" s="1"/>
  <c r="AE15" i="38"/>
  <c r="Y16" i="38"/>
  <c r="AQ46" i="38"/>
  <c r="BI46" i="38" s="1"/>
  <c r="O33" i="36"/>
  <c r="P33" i="36" s="1"/>
  <c r="Q33" i="36" s="1"/>
  <c r="AM33" i="36"/>
  <c r="O52" i="36"/>
  <c r="P52" i="36" s="1"/>
  <c r="Q52" i="36" s="1"/>
  <c r="AM52" i="36"/>
  <c r="O67" i="36"/>
  <c r="P67" i="36" s="1"/>
  <c r="Q67" i="36" s="1"/>
  <c r="AM67" i="36"/>
  <c r="O44" i="36"/>
  <c r="P44" i="36" s="1"/>
  <c r="Q44" i="36" s="1"/>
  <c r="AM44" i="36"/>
  <c r="O37" i="36"/>
  <c r="P37" i="36" s="1"/>
  <c r="Q37" i="36" s="1"/>
  <c r="AM37" i="36"/>
  <c r="O56" i="36"/>
  <c r="P56" i="36" s="1"/>
  <c r="Q56" i="36" s="1"/>
  <c r="AM56" i="36"/>
  <c r="O40" i="36"/>
  <c r="P40" i="36" s="1"/>
  <c r="Q40" i="36" s="1"/>
  <c r="AM40" i="36"/>
  <c r="O11" i="36"/>
  <c r="P11" i="36" s="1"/>
  <c r="Q11" i="36" s="1"/>
  <c r="AM11" i="36"/>
  <c r="O22" i="36"/>
  <c r="P22" i="36" s="1"/>
  <c r="Q22" i="36" s="1"/>
  <c r="AM22" i="36"/>
  <c r="Q66" i="36"/>
  <c r="Q34" i="36"/>
  <c r="Q6" i="36"/>
  <c r="AC39" i="38"/>
  <c r="AC32" i="38"/>
  <c r="Y48" i="38"/>
  <c r="Y71" i="38"/>
  <c r="Y59" i="38"/>
  <c r="Q12" i="38"/>
  <c r="AQ66" i="40"/>
  <c r="BI66" i="40" s="1"/>
  <c r="AQ58" i="40"/>
  <c r="BI58" i="40" s="1"/>
  <c r="Y34" i="38"/>
  <c r="AQ34" i="38" s="1"/>
  <c r="BI34" i="38" s="1"/>
  <c r="U72" i="40"/>
  <c r="AO34" i="38"/>
  <c r="AL34" i="38"/>
  <c r="AE34" i="38"/>
  <c r="AN34" i="38"/>
  <c r="AD34" i="38"/>
  <c r="AC35" i="38"/>
  <c r="AE13" i="38"/>
  <c r="AI72" i="37"/>
  <c r="AE61" i="38"/>
  <c r="AN61" i="38"/>
  <c r="AD61" i="38"/>
  <c r="AL61" i="38"/>
  <c r="AO61" i="38"/>
  <c r="AE37" i="38"/>
  <c r="AN37" i="38"/>
  <c r="AL37" i="38"/>
  <c r="AO37" i="38"/>
  <c r="AD37" i="38"/>
  <c r="AC47" i="38"/>
  <c r="AN4" i="38"/>
  <c r="AD13" i="38"/>
  <c r="AQ35" i="40"/>
  <c r="BI35" i="40" s="1"/>
  <c r="AQ30" i="40"/>
  <c r="BI30" i="40" s="1"/>
  <c r="AQ42" i="40"/>
  <c r="BI42" i="40" s="1"/>
  <c r="AI72" i="38"/>
  <c r="U72" i="39"/>
  <c r="AN45" i="38"/>
  <c r="AO45" i="38"/>
  <c r="AE45" i="38"/>
  <c r="AD45" i="38"/>
  <c r="AL45" i="38"/>
  <c r="AC38" i="37"/>
  <c r="AQ38" i="37" s="1"/>
  <c r="BI38" i="37" s="1"/>
  <c r="AD4" i="38"/>
  <c r="Y68" i="38"/>
  <c r="AC4" i="38"/>
  <c r="AQ4" i="38" s="1"/>
  <c r="BI4" i="38" s="1"/>
  <c r="AQ9" i="40"/>
  <c r="BI9" i="40" s="1"/>
  <c r="AN72" i="40"/>
  <c r="AD72" i="40"/>
  <c r="AE72" i="40"/>
  <c r="AQ5" i="40"/>
  <c r="BI5" i="40" s="1"/>
  <c r="AC72" i="40"/>
  <c r="AL72" i="40"/>
  <c r="AO72" i="40"/>
  <c r="BI3" i="40"/>
  <c r="Y72" i="40"/>
  <c r="Q3" i="40"/>
  <c r="Q72" i="40" s="1"/>
  <c r="AV72" i="40" s="1"/>
  <c r="AQ67" i="40"/>
  <c r="BI67" i="40" s="1"/>
  <c r="AQ17" i="40"/>
  <c r="BI17" i="40" s="1"/>
  <c r="AQ39" i="40"/>
  <c r="BI39" i="40" s="1"/>
  <c r="AQ59" i="40"/>
  <c r="BI59" i="40" s="1"/>
  <c r="AB72" i="40"/>
  <c r="X72" i="40"/>
  <c r="AQ43" i="40"/>
  <c r="BI43" i="40" s="1"/>
  <c r="AQ62" i="40"/>
  <c r="BI62" i="40" s="1"/>
  <c r="Q3" i="39"/>
  <c r="Q72" i="39" s="1"/>
  <c r="AV72" i="39" s="1"/>
  <c r="AQ7" i="39"/>
  <c r="BI7" i="39" s="1"/>
  <c r="AR72" i="39"/>
  <c r="AL72" i="39"/>
  <c r="AQ11" i="39"/>
  <c r="BI11" i="39" s="1"/>
  <c r="AQ12" i="39"/>
  <c r="BI12" i="39" s="1"/>
  <c r="AD72" i="39"/>
  <c r="AQ40" i="39"/>
  <c r="BI40" i="39" s="1"/>
  <c r="AN72" i="39"/>
  <c r="AO72" i="39"/>
  <c r="AC3" i="39"/>
  <c r="AC72" i="39" s="1"/>
  <c r="AE72" i="39"/>
  <c r="AC16" i="38"/>
  <c r="AL13" i="38"/>
  <c r="AN13" i="38"/>
  <c r="AN6" i="38"/>
  <c r="AO6" i="38"/>
  <c r="AE6" i="38"/>
  <c r="AE4" i="38"/>
  <c r="AO4" i="38"/>
  <c r="AO15" i="38"/>
  <c r="AL15" i="38"/>
  <c r="AD15" i="38"/>
  <c r="AQ6" i="38"/>
  <c r="BI6" i="38" s="1"/>
  <c r="AQ10" i="38"/>
  <c r="BI10" i="38" s="1"/>
  <c r="AC15" i="38"/>
  <c r="AQ15" i="38" s="1"/>
  <c r="BI15" i="38" s="1"/>
  <c r="AE7" i="38"/>
  <c r="AN7" i="38"/>
  <c r="AD7" i="38"/>
  <c r="AL7" i="38"/>
  <c r="AO7" i="38"/>
  <c r="AQ14" i="38"/>
  <c r="BI14" i="38" s="1"/>
  <c r="AD27" i="38"/>
  <c r="AN27" i="38"/>
  <c r="AC5" i="38"/>
  <c r="AQ12" i="38"/>
  <c r="BI12" i="38" s="1"/>
  <c r="AC31" i="38"/>
  <c r="AL26" i="38"/>
  <c r="AD26" i="38"/>
  <c r="AO26" i="38"/>
  <c r="AE26" i="38"/>
  <c r="AN26" i="38"/>
  <c r="AO5" i="38"/>
  <c r="AL5" i="38"/>
  <c r="AD5" i="38"/>
  <c r="AN5" i="38"/>
  <c r="AE5" i="38"/>
  <c r="AO24" i="38"/>
  <c r="AL24" i="38"/>
  <c r="AD24" i="38"/>
  <c r="AN24" i="38"/>
  <c r="AE24" i="38"/>
  <c r="R72" i="38"/>
  <c r="V3" i="38"/>
  <c r="Z3" i="38"/>
  <c r="U3" i="38"/>
  <c r="AL43" i="38"/>
  <c r="AD43" i="38"/>
  <c r="AN43" i="38"/>
  <c r="AE43" i="38"/>
  <c r="AO43" i="38"/>
  <c r="AL55" i="38"/>
  <c r="AD55" i="38"/>
  <c r="AN55" i="38"/>
  <c r="AE55" i="38"/>
  <c r="AO55" i="38"/>
  <c r="AO14" i="38"/>
  <c r="AL14" i="38"/>
  <c r="AD14" i="38"/>
  <c r="AN14" i="38"/>
  <c r="AE14" i="38"/>
  <c r="AL67" i="38"/>
  <c r="AD67" i="38"/>
  <c r="AN67" i="38"/>
  <c r="AE67" i="38"/>
  <c r="AO67" i="38"/>
  <c r="AN40" i="38"/>
  <c r="AE40" i="38"/>
  <c r="AO40" i="38"/>
  <c r="AD40" i="38"/>
  <c r="AL40" i="38"/>
  <c r="AL47" i="38"/>
  <c r="AD47" i="38"/>
  <c r="AN47" i="38"/>
  <c r="AE47" i="38"/>
  <c r="AO47" i="38"/>
  <c r="P3" i="38"/>
  <c r="O72" i="38"/>
  <c r="AN48" i="38"/>
  <c r="AE48" i="38"/>
  <c r="AO48" i="38"/>
  <c r="AD48" i="38"/>
  <c r="AL48" i="38"/>
  <c r="AL35" i="38"/>
  <c r="AD35" i="38"/>
  <c r="AN35" i="38"/>
  <c r="AE35" i="38"/>
  <c r="AO35" i="38"/>
  <c r="AO18" i="38"/>
  <c r="AL18" i="38"/>
  <c r="AD18" i="38"/>
  <c r="AN18" i="38"/>
  <c r="AE18" i="38"/>
  <c r="Y31" i="38"/>
  <c r="AQ11" i="38"/>
  <c r="BI11" i="38" s="1"/>
  <c r="Y26" i="38"/>
  <c r="AQ29" i="38"/>
  <c r="BI29" i="38" s="1"/>
  <c r="Y43" i="38"/>
  <c r="AQ41" i="38"/>
  <c r="BI41" i="38" s="1"/>
  <c r="AQ57" i="38"/>
  <c r="BI57" i="38" s="1"/>
  <c r="AC63" i="38"/>
  <c r="Y55" i="38"/>
  <c r="AC64" i="38"/>
  <c r="AC51" i="38"/>
  <c r="AC56" i="38"/>
  <c r="Y67" i="38"/>
  <c r="Y40" i="38"/>
  <c r="AO20" i="38"/>
  <c r="AL20" i="38"/>
  <c r="AD20" i="38"/>
  <c r="AN20" i="38"/>
  <c r="AE20" i="38"/>
  <c r="T72" i="38"/>
  <c r="AL63" i="38"/>
  <c r="AD63" i="38"/>
  <c r="AN63" i="38"/>
  <c r="AE63" i="38"/>
  <c r="AO63" i="38"/>
  <c r="AN64" i="38"/>
  <c r="AE64" i="38"/>
  <c r="AO64" i="38"/>
  <c r="AD64" i="38"/>
  <c r="AL64" i="38"/>
  <c r="AL51" i="38"/>
  <c r="AD51" i="38"/>
  <c r="AN51" i="38"/>
  <c r="AE51" i="38"/>
  <c r="AO51" i="38"/>
  <c r="AN56" i="38"/>
  <c r="AE56" i="38"/>
  <c r="AO56" i="38"/>
  <c r="AD56" i="38"/>
  <c r="AL56" i="38"/>
  <c r="AO19" i="38"/>
  <c r="AL19" i="38"/>
  <c r="AD19" i="38"/>
  <c r="AN19" i="38"/>
  <c r="AE19" i="38"/>
  <c r="AL22" i="38"/>
  <c r="AD22" i="38"/>
  <c r="AO22" i="38"/>
  <c r="AN22" i="38"/>
  <c r="AE22" i="38"/>
  <c r="AL66" i="38"/>
  <c r="AD66" i="38"/>
  <c r="AO66" i="38"/>
  <c r="AE66" i="38"/>
  <c r="AN66" i="38"/>
  <c r="AN44" i="38"/>
  <c r="AE44" i="38"/>
  <c r="AO44" i="38"/>
  <c r="AL44" i="38"/>
  <c r="AD44" i="38"/>
  <c r="AN52" i="38"/>
  <c r="AE52" i="38"/>
  <c r="AO52" i="38"/>
  <c r="AL52" i="38"/>
  <c r="AD52" i="38"/>
  <c r="AL39" i="38"/>
  <c r="AD39" i="38"/>
  <c r="AN39" i="38"/>
  <c r="AE39" i="38"/>
  <c r="AO39" i="38"/>
  <c r="AL70" i="38"/>
  <c r="AD70" i="38"/>
  <c r="AN70" i="38"/>
  <c r="AO70" i="38"/>
  <c r="AE70" i="38"/>
  <c r="AO28" i="38"/>
  <c r="AL28" i="38"/>
  <c r="AD28" i="38"/>
  <c r="AE28" i="38"/>
  <c r="AN28" i="38"/>
  <c r="AO29" i="38"/>
  <c r="AL29" i="38"/>
  <c r="AD29" i="38"/>
  <c r="AN29" i="38"/>
  <c r="AE29" i="38"/>
  <c r="AN32" i="38"/>
  <c r="AE32" i="38"/>
  <c r="AO32" i="38"/>
  <c r="AD32" i="38"/>
  <c r="AL32" i="38"/>
  <c r="AN36" i="38"/>
  <c r="AE36" i="38"/>
  <c r="AO36" i="38"/>
  <c r="AL36" i="38"/>
  <c r="AD36" i="38"/>
  <c r="AN21" i="38"/>
  <c r="AE21" i="38"/>
  <c r="AL21" i="38"/>
  <c r="AO21" i="38"/>
  <c r="AD21" i="38"/>
  <c r="AL16" i="38"/>
  <c r="AD16" i="38"/>
  <c r="AO16" i="38"/>
  <c r="AE16" i="38"/>
  <c r="AN16" i="38"/>
  <c r="AL12" i="38"/>
  <c r="AD12" i="38"/>
  <c r="AO12" i="38"/>
  <c r="AN12" i="38"/>
  <c r="AE12" i="38"/>
  <c r="AL31" i="38"/>
  <c r="AD31" i="38"/>
  <c r="AN31" i="38"/>
  <c r="AE31" i="38"/>
  <c r="AO31" i="38"/>
  <c r="AN68" i="38"/>
  <c r="AE68" i="38"/>
  <c r="AO68" i="38"/>
  <c r="AD68" i="38"/>
  <c r="AL68" i="38"/>
  <c r="AN11" i="38"/>
  <c r="AE11" i="38"/>
  <c r="AO11" i="38"/>
  <c r="AD11" i="38"/>
  <c r="AL11" i="38"/>
  <c r="AL71" i="38"/>
  <c r="AD71" i="38"/>
  <c r="AN71" i="38"/>
  <c r="AE71" i="38"/>
  <c r="AO71" i="38"/>
  <c r="AL59" i="38"/>
  <c r="AD59" i="38"/>
  <c r="AN59" i="38"/>
  <c r="AE59" i="38"/>
  <c r="AO59" i="38"/>
  <c r="Y35" i="38"/>
  <c r="AC68" i="38"/>
  <c r="AA72" i="38"/>
  <c r="AC71" i="38"/>
  <c r="AC59" i="38"/>
  <c r="AC43" i="38"/>
  <c r="Y63" i="38"/>
  <c r="AC55" i="38"/>
  <c r="Y64" i="38"/>
  <c r="Y56" i="38"/>
  <c r="AC67" i="38"/>
  <c r="AQ18" i="38"/>
  <c r="BI18" i="38" s="1"/>
  <c r="W72" i="38"/>
  <c r="AC40" i="38"/>
  <c r="AD11" i="37"/>
  <c r="AO11" i="37"/>
  <c r="AE24" i="37"/>
  <c r="AC66" i="37"/>
  <c r="AQ66" i="37" s="1"/>
  <c r="BI66" i="37" s="1"/>
  <c r="AC9" i="37"/>
  <c r="AQ9" i="37" s="1"/>
  <c r="BI9" i="37" s="1"/>
  <c r="AC60" i="37"/>
  <c r="AQ60" i="37" s="1"/>
  <c r="BI60" i="37" s="1"/>
  <c r="AC70" i="37"/>
  <c r="AQ70" i="37" s="1"/>
  <c r="BI70" i="37" s="1"/>
  <c r="AC11" i="37"/>
  <c r="AQ11" i="37" s="1"/>
  <c r="BI11" i="37" s="1"/>
  <c r="Y14" i="37"/>
  <c r="AQ14" i="37" s="1"/>
  <c r="BI14" i="37" s="1"/>
  <c r="Y44" i="37"/>
  <c r="AQ44" i="37" s="1"/>
  <c r="BI44" i="37" s="1"/>
  <c r="AC45" i="37"/>
  <c r="AQ45" i="37" s="1"/>
  <c r="BI45" i="37" s="1"/>
  <c r="AC20" i="37"/>
  <c r="AQ20" i="37" s="1"/>
  <c r="BI20" i="37" s="1"/>
  <c r="Y51" i="37"/>
  <c r="AO14" i="37"/>
  <c r="AD60" i="37"/>
  <c r="AO45" i="37"/>
  <c r="AN60" i="37"/>
  <c r="AE60" i="37"/>
  <c r="AO60" i="37"/>
  <c r="AL14" i="37"/>
  <c r="AD49" i="37"/>
  <c r="AL23" i="37"/>
  <c r="AL37" i="37"/>
  <c r="AC7" i="37"/>
  <c r="AQ7" i="37" s="1"/>
  <c r="BI7" i="37" s="1"/>
  <c r="AQ28" i="37"/>
  <c r="BI28" i="37" s="1"/>
  <c r="AE20" i="37"/>
  <c r="AD14" i="37"/>
  <c r="AN14" i="37"/>
  <c r="Y68" i="37"/>
  <c r="AD65" i="37"/>
  <c r="AL45" i="37"/>
  <c r="AL33" i="37"/>
  <c r="AQ49" i="37"/>
  <c r="BI49" i="37" s="1"/>
  <c r="AQ37" i="37"/>
  <c r="BI37" i="37" s="1"/>
  <c r="AN53" i="37"/>
  <c r="AC21" i="37"/>
  <c r="AQ21" i="37" s="1"/>
  <c r="BI21" i="37" s="1"/>
  <c r="AO23" i="37"/>
  <c r="AL28" i="37"/>
  <c r="AN69" i="37"/>
  <c r="AD33" i="37"/>
  <c r="Y69" i="37"/>
  <c r="AQ69" i="37" s="1"/>
  <c r="BI69" i="37" s="1"/>
  <c r="AO30" i="37"/>
  <c r="AD37" i="37"/>
  <c r="AC27" i="37"/>
  <c r="AQ27" i="37" s="1"/>
  <c r="BI27" i="37" s="1"/>
  <c r="AN37" i="37"/>
  <c r="Y53" i="37"/>
  <c r="AQ53" i="37" s="1"/>
  <c r="BI53" i="37" s="1"/>
  <c r="AE37" i="37"/>
  <c r="AN15" i="37"/>
  <c r="AQ15" i="37"/>
  <c r="BI15" i="37" s="1"/>
  <c r="AN49" i="37"/>
  <c r="AL65" i="37"/>
  <c r="AE45" i="37"/>
  <c r="AC50" i="37"/>
  <c r="AQ50" i="37" s="1"/>
  <c r="BI50" i="37" s="1"/>
  <c r="AL6" i="37"/>
  <c r="AO33" i="37"/>
  <c r="AC58" i="37"/>
  <c r="AQ58" i="37" s="1"/>
  <c r="BI58" i="37" s="1"/>
  <c r="AC57" i="37"/>
  <c r="AQ57" i="37" s="1"/>
  <c r="BI57" i="37" s="1"/>
  <c r="AQ6" i="37"/>
  <c r="BI6" i="37" s="1"/>
  <c r="AC24" i="37"/>
  <c r="AQ24" i="37" s="1"/>
  <c r="BI24" i="37" s="1"/>
  <c r="AC62" i="37"/>
  <c r="AQ62" i="37" s="1"/>
  <c r="BI62" i="37" s="1"/>
  <c r="AC10" i="37"/>
  <c r="AQ10" i="37" s="1"/>
  <c r="BI10" i="37" s="1"/>
  <c r="Y54" i="37"/>
  <c r="AO53" i="37"/>
  <c r="AL53" i="37"/>
  <c r="AN57" i="37"/>
  <c r="AE28" i="37"/>
  <c r="AO28" i="37"/>
  <c r="AD45" i="37"/>
  <c r="AL61" i="37"/>
  <c r="AN10" i="37"/>
  <c r="AL69" i="37"/>
  <c r="AN33" i="37"/>
  <c r="AD30" i="37"/>
  <c r="AQ41" i="37"/>
  <c r="BI41" i="37" s="1"/>
  <c r="AE53" i="37"/>
  <c r="AD28" i="37"/>
  <c r="AE69" i="37"/>
  <c r="AO69" i="37"/>
  <c r="Y59" i="37"/>
  <c r="Y55" i="37"/>
  <c r="Y31" i="37"/>
  <c r="AC5" i="37"/>
  <c r="AD61" i="37"/>
  <c r="AC61" i="37"/>
  <c r="AQ61" i="37" s="1"/>
  <c r="BI61" i="37" s="1"/>
  <c r="AC33" i="37"/>
  <c r="AQ33" i="37" s="1"/>
  <c r="BI33" i="37" s="1"/>
  <c r="AN30" i="37"/>
  <c r="AL30" i="37"/>
  <c r="AC16" i="37"/>
  <c r="AQ16" i="37" s="1"/>
  <c r="BI16" i="37" s="1"/>
  <c r="AE57" i="37"/>
  <c r="AE15" i="37"/>
  <c r="AL49" i="37"/>
  <c r="AN41" i="37"/>
  <c r="AE23" i="37"/>
  <c r="AC17" i="37"/>
  <c r="AQ17" i="37" s="1"/>
  <c r="BI17" i="37" s="1"/>
  <c r="AE65" i="37"/>
  <c r="AO65" i="37"/>
  <c r="AO61" i="37"/>
  <c r="AC12" i="37"/>
  <c r="AQ12" i="37" s="1"/>
  <c r="BI12" i="37" s="1"/>
  <c r="AO6" i="37"/>
  <c r="AL15" i="37"/>
  <c r="Y23" i="37"/>
  <c r="AC25" i="37"/>
  <c r="AD6" i="37"/>
  <c r="AE10" i="37"/>
  <c r="AE49" i="37"/>
  <c r="AO41" i="37"/>
  <c r="AC34" i="37"/>
  <c r="AQ34" i="37" s="1"/>
  <c r="BI34" i="37" s="1"/>
  <c r="AD23" i="37"/>
  <c r="AN61" i="37"/>
  <c r="AD15" i="37"/>
  <c r="AC8" i="37"/>
  <c r="AC23" i="37"/>
  <c r="Y63" i="37"/>
  <c r="AC29" i="37"/>
  <c r="AQ29" i="37" s="1"/>
  <c r="BI29" i="37" s="1"/>
  <c r="Y43" i="37"/>
  <c r="AD41" i="37"/>
  <c r="AD57" i="37"/>
  <c r="AC46" i="37"/>
  <c r="AQ46" i="37" s="1"/>
  <c r="BI46" i="37" s="1"/>
  <c r="AC52" i="37"/>
  <c r="AN6" i="37"/>
  <c r="AL10" i="37"/>
  <c r="AC65" i="37"/>
  <c r="AQ65" i="37" s="1"/>
  <c r="BI65" i="37" s="1"/>
  <c r="AO20" i="37"/>
  <c r="AC47" i="37"/>
  <c r="Y71" i="37"/>
  <c r="AL57" i="37"/>
  <c r="Y42" i="37"/>
  <c r="AD10" i="37"/>
  <c r="AC42" i="37"/>
  <c r="AD20" i="37"/>
  <c r="AC54" i="37"/>
  <c r="AQ40" i="37"/>
  <c r="BI40" i="37" s="1"/>
  <c r="AL20" i="37"/>
  <c r="AC32" i="37"/>
  <c r="AC67" i="37"/>
  <c r="AC19" i="37"/>
  <c r="Y35" i="37"/>
  <c r="AC39" i="37"/>
  <c r="Y67" i="37"/>
  <c r="AC43" i="37"/>
  <c r="AE41" i="37"/>
  <c r="Y5" i="37"/>
  <c r="Y26" i="37"/>
  <c r="Y52" i="37"/>
  <c r="AC22" i="37"/>
  <c r="AQ56" i="37"/>
  <c r="BI56" i="37" s="1"/>
  <c r="W72" i="37"/>
  <c r="U72" i="37"/>
  <c r="AC4" i="37"/>
  <c r="Y25" i="37"/>
  <c r="AC13" i="37"/>
  <c r="AQ48" i="37"/>
  <c r="BI48" i="37" s="1"/>
  <c r="AL38" i="37"/>
  <c r="AD38" i="37"/>
  <c r="AN38" i="37"/>
  <c r="AO38" i="37"/>
  <c r="AE38" i="37"/>
  <c r="AL8" i="37"/>
  <c r="AD8" i="37"/>
  <c r="AN8" i="37"/>
  <c r="AE8" i="37"/>
  <c r="AO8" i="37"/>
  <c r="AL18" i="37"/>
  <c r="AD18" i="37"/>
  <c r="AN18" i="37"/>
  <c r="AE18" i="37"/>
  <c r="AO18" i="37"/>
  <c r="AL58" i="37"/>
  <c r="AD58" i="37"/>
  <c r="AO58" i="37"/>
  <c r="AE58" i="37"/>
  <c r="AN58" i="37"/>
  <c r="X72" i="37"/>
  <c r="AB72" i="37"/>
  <c r="AN48" i="37"/>
  <c r="AE48" i="37"/>
  <c r="AO48" i="37"/>
  <c r="AL48" i="37"/>
  <c r="AD48" i="37"/>
  <c r="AL67" i="37"/>
  <c r="AD67" i="37"/>
  <c r="AN67" i="37"/>
  <c r="AE67" i="37"/>
  <c r="AO67" i="37"/>
  <c r="AL54" i="37"/>
  <c r="AD54" i="37"/>
  <c r="AN54" i="37"/>
  <c r="AO54" i="37"/>
  <c r="AE54" i="37"/>
  <c r="AN19" i="37"/>
  <c r="AE19" i="37"/>
  <c r="AO19" i="37"/>
  <c r="AD19" i="37"/>
  <c r="AL19" i="37"/>
  <c r="AN32" i="37"/>
  <c r="AE32" i="37"/>
  <c r="AO32" i="37"/>
  <c r="AL32" i="37"/>
  <c r="AD32" i="37"/>
  <c r="Z72" i="37"/>
  <c r="AC3" i="37"/>
  <c r="AL22" i="37"/>
  <c r="AD22" i="37"/>
  <c r="AN22" i="37"/>
  <c r="AE22" i="37"/>
  <c r="AO22" i="37"/>
  <c r="AN27" i="37"/>
  <c r="AE27" i="37"/>
  <c r="AO27" i="37"/>
  <c r="AL27" i="37"/>
  <c r="AD27" i="37"/>
  <c r="AL63" i="37"/>
  <c r="AD63" i="37"/>
  <c r="AN63" i="37"/>
  <c r="AE63" i="37"/>
  <c r="AO63" i="37"/>
  <c r="AL16" i="37"/>
  <c r="AD16" i="37"/>
  <c r="AN16" i="37"/>
  <c r="AO16" i="37"/>
  <c r="AE16" i="37"/>
  <c r="AO29" i="37"/>
  <c r="AN29" i="37"/>
  <c r="AE29" i="37"/>
  <c r="AL29" i="37"/>
  <c r="AD29" i="37"/>
  <c r="AL55" i="37"/>
  <c r="AD55" i="37"/>
  <c r="AN55" i="37"/>
  <c r="AE55" i="37"/>
  <c r="AO55" i="37"/>
  <c r="AL43" i="37"/>
  <c r="AD43" i="37"/>
  <c r="AN43" i="37"/>
  <c r="AE43" i="37"/>
  <c r="AO43" i="37"/>
  <c r="AL21" i="37"/>
  <c r="AD21" i="37"/>
  <c r="AN21" i="37"/>
  <c r="AO21" i="37"/>
  <c r="AE21" i="37"/>
  <c r="AL46" i="37"/>
  <c r="AD46" i="37"/>
  <c r="AN46" i="37"/>
  <c r="AO46" i="37"/>
  <c r="AE46" i="37"/>
  <c r="AL42" i="37"/>
  <c r="AD42" i="37"/>
  <c r="AO42" i="37"/>
  <c r="AE42" i="37"/>
  <c r="AN42" i="37"/>
  <c r="AN5" i="37"/>
  <c r="AE5" i="37"/>
  <c r="AO5" i="37"/>
  <c r="AD5" i="37"/>
  <c r="AL5" i="37"/>
  <c r="AL26" i="37"/>
  <c r="AD26" i="37"/>
  <c r="AN26" i="37"/>
  <c r="AE26" i="37"/>
  <c r="AO26" i="37"/>
  <c r="V72" i="37"/>
  <c r="Y3" i="37"/>
  <c r="AL12" i="37"/>
  <c r="AD12" i="37"/>
  <c r="AN12" i="37"/>
  <c r="AO12" i="37"/>
  <c r="AE12" i="37"/>
  <c r="P3" i="37"/>
  <c r="P72" i="37" s="1"/>
  <c r="O72" i="37"/>
  <c r="AL66" i="37"/>
  <c r="AD66" i="37"/>
  <c r="AN66" i="37"/>
  <c r="AO66" i="37"/>
  <c r="AE66" i="37"/>
  <c r="AQ36" i="37"/>
  <c r="BI36" i="37" s="1"/>
  <c r="AC59" i="37"/>
  <c r="Y47" i="37"/>
  <c r="AC51" i="37"/>
  <c r="Y39" i="37"/>
  <c r="AC71" i="37"/>
  <c r="AC68" i="37"/>
  <c r="AC31" i="37"/>
  <c r="AC35" i="37"/>
  <c r="AC18" i="37"/>
  <c r="Y13" i="37"/>
  <c r="AN9" i="37"/>
  <c r="AE9" i="37"/>
  <c r="AO9" i="37"/>
  <c r="AL9" i="37"/>
  <c r="AD9" i="37"/>
  <c r="AN56" i="37"/>
  <c r="AE56" i="37"/>
  <c r="AO56" i="37"/>
  <c r="AL56" i="37"/>
  <c r="AD56" i="37"/>
  <c r="AL59" i="37"/>
  <c r="AD59" i="37"/>
  <c r="AN59" i="37"/>
  <c r="AE59" i="37"/>
  <c r="AO59" i="37"/>
  <c r="AL51" i="37"/>
  <c r="AD51" i="37"/>
  <c r="AN51" i="37"/>
  <c r="AE51" i="37"/>
  <c r="AO51" i="37"/>
  <c r="AL71" i="37"/>
  <c r="AD71" i="37"/>
  <c r="AN71" i="37"/>
  <c r="AE71" i="37"/>
  <c r="AO71" i="37"/>
  <c r="AN68" i="37"/>
  <c r="AE68" i="37"/>
  <c r="AO68" i="37"/>
  <c r="AD68" i="37"/>
  <c r="AL68" i="37"/>
  <c r="AL31" i="37"/>
  <c r="AD31" i="37"/>
  <c r="AN31" i="37"/>
  <c r="AE31" i="37"/>
  <c r="AO31" i="37"/>
  <c r="AL62" i="37"/>
  <c r="AD62" i="37"/>
  <c r="AN62" i="37"/>
  <c r="AO62" i="37"/>
  <c r="AE62" i="37"/>
  <c r="AL35" i="37"/>
  <c r="AD35" i="37"/>
  <c r="AN35" i="37"/>
  <c r="AE35" i="37"/>
  <c r="AO35" i="37"/>
  <c r="AL4" i="37"/>
  <c r="AD4" i="37"/>
  <c r="AN4" i="37"/>
  <c r="AE4" i="37"/>
  <c r="AO4" i="37"/>
  <c r="AN44" i="37"/>
  <c r="AE44" i="37"/>
  <c r="AO44" i="37"/>
  <c r="AL44" i="37"/>
  <c r="AD44" i="37"/>
  <c r="AL47" i="37"/>
  <c r="AD47" i="37"/>
  <c r="AN47" i="37"/>
  <c r="AE47" i="37"/>
  <c r="AO47" i="37"/>
  <c r="AL39" i="37"/>
  <c r="AD39" i="37"/>
  <c r="AN39" i="37"/>
  <c r="AE39" i="37"/>
  <c r="AO39" i="37"/>
  <c r="AL70" i="37"/>
  <c r="AD70" i="37"/>
  <c r="AN70" i="37"/>
  <c r="AO70" i="37"/>
  <c r="AE70" i="37"/>
  <c r="AL34" i="37"/>
  <c r="AD34" i="37"/>
  <c r="AN34" i="37"/>
  <c r="AO34" i="37"/>
  <c r="AE34" i="37"/>
  <c r="AL17" i="37"/>
  <c r="AD17" i="37"/>
  <c r="AO17" i="37"/>
  <c r="AE17" i="37"/>
  <c r="AN17" i="37"/>
  <c r="AN52" i="37"/>
  <c r="AE52" i="37"/>
  <c r="AO52" i="37"/>
  <c r="AD52" i="37"/>
  <c r="AL52" i="37"/>
  <c r="AL3" i="37"/>
  <c r="AD3" i="37"/>
  <c r="AN3" i="37"/>
  <c r="AE3" i="37"/>
  <c r="AO3" i="37"/>
  <c r="AL25" i="37"/>
  <c r="AD25" i="37"/>
  <c r="AN25" i="37"/>
  <c r="AO25" i="37"/>
  <c r="AE25" i="37"/>
  <c r="AL50" i="37"/>
  <c r="AD50" i="37"/>
  <c r="AN50" i="37"/>
  <c r="AO50" i="37"/>
  <c r="AE50" i="37"/>
  <c r="AL7" i="37"/>
  <c r="AD7" i="37"/>
  <c r="AN7" i="37"/>
  <c r="AO7" i="37"/>
  <c r="AE7" i="37"/>
  <c r="AL13" i="37"/>
  <c r="AD13" i="37"/>
  <c r="AN13" i="37"/>
  <c r="AE13" i="37"/>
  <c r="AO13" i="37"/>
  <c r="Y18" i="37"/>
  <c r="AQ64" i="37"/>
  <c r="BI64" i="37" s="1"/>
  <c r="Y4" i="37"/>
  <c r="AC63" i="37"/>
  <c r="AC55" i="37"/>
  <c r="Y19" i="37"/>
  <c r="AA72" i="37"/>
  <c r="AC26" i="37"/>
  <c r="Y32" i="37"/>
  <c r="Y22" i="37"/>
  <c r="U32" i="36"/>
  <c r="AE32" i="36" s="1"/>
  <c r="V56" i="36"/>
  <c r="Y56" i="36" s="1"/>
  <c r="V68" i="36"/>
  <c r="Y68" i="36" s="1"/>
  <c r="AA57" i="36"/>
  <c r="AA64" i="36"/>
  <c r="AC64" i="36" s="1"/>
  <c r="AA48" i="36"/>
  <c r="W41" i="36"/>
  <c r="W17" i="36"/>
  <c r="Y17" i="36" s="1"/>
  <c r="W44" i="36"/>
  <c r="Z12" i="36"/>
  <c r="AC12" i="36" s="1"/>
  <c r="AA68" i="36"/>
  <c r="AC68" i="36" s="1"/>
  <c r="V32" i="36"/>
  <c r="Y32" i="36" s="1"/>
  <c r="AA24" i="36"/>
  <c r="W13" i="36"/>
  <c r="Z52" i="36"/>
  <c r="V13" i="36"/>
  <c r="U64" i="36"/>
  <c r="AO64" i="36" s="1"/>
  <c r="W23" i="36"/>
  <c r="Y23" i="36" s="1"/>
  <c r="W4" i="36"/>
  <c r="Y4" i="36" s="1"/>
  <c r="W14" i="36"/>
  <c r="AC13" i="36"/>
  <c r="AA37" i="36"/>
  <c r="AA69" i="36"/>
  <c r="AA53" i="36"/>
  <c r="AA49" i="36"/>
  <c r="AA60" i="36"/>
  <c r="U36" i="36"/>
  <c r="AO36" i="36" s="1"/>
  <c r="Z4" i="36"/>
  <c r="AC4" i="36" s="1"/>
  <c r="U60" i="36"/>
  <c r="AO60" i="36" s="1"/>
  <c r="Z36" i="36"/>
  <c r="AC36" i="36" s="1"/>
  <c r="U44" i="36"/>
  <c r="AE44" i="36" s="1"/>
  <c r="V44" i="36"/>
  <c r="W9" i="36"/>
  <c r="U56" i="36"/>
  <c r="AD56" i="36" s="1"/>
  <c r="U52" i="36"/>
  <c r="AN52" i="36" s="1"/>
  <c r="AC40" i="36"/>
  <c r="AA5" i="36"/>
  <c r="U4" i="36"/>
  <c r="AO4" i="36" s="1"/>
  <c r="V64" i="36"/>
  <c r="Y64" i="36" s="1"/>
  <c r="U40" i="36"/>
  <c r="AD40" i="36" s="1"/>
  <c r="Z60" i="36"/>
  <c r="AA61" i="36"/>
  <c r="W45" i="36"/>
  <c r="V25" i="36"/>
  <c r="U17" i="36"/>
  <c r="AN17" i="36" s="1"/>
  <c r="AA33" i="36"/>
  <c r="Z30" i="36"/>
  <c r="Y48" i="36"/>
  <c r="U13" i="36"/>
  <c r="AO13" i="36" s="1"/>
  <c r="U12" i="36"/>
  <c r="AE12" i="36" s="1"/>
  <c r="U48" i="36"/>
  <c r="AO48" i="36" s="1"/>
  <c r="U30" i="36"/>
  <c r="AD30" i="36" s="1"/>
  <c r="V60" i="36"/>
  <c r="Y60" i="36" s="1"/>
  <c r="U8" i="36"/>
  <c r="AN8" i="36" s="1"/>
  <c r="U68" i="36"/>
  <c r="AE68" i="36" s="1"/>
  <c r="V38" i="36"/>
  <c r="Y38" i="36" s="1"/>
  <c r="Z38" i="36"/>
  <c r="AA65" i="36"/>
  <c r="AA38" i="36"/>
  <c r="W12" i="36"/>
  <c r="Y12" i="36" s="1"/>
  <c r="AA52" i="36"/>
  <c r="V40" i="36"/>
  <c r="Y40" i="36" s="1"/>
  <c r="Z23" i="36"/>
  <c r="AC23" i="36" s="1"/>
  <c r="AA8" i="36"/>
  <c r="W52" i="36"/>
  <c r="Y52" i="36" s="1"/>
  <c r="Z48" i="36"/>
  <c r="AC32" i="36"/>
  <c r="U23" i="36"/>
  <c r="AO23" i="36" s="1"/>
  <c r="Z17" i="36"/>
  <c r="AC17" i="36" s="1"/>
  <c r="Z8" i="36"/>
  <c r="AA56" i="36"/>
  <c r="AC56" i="36" s="1"/>
  <c r="AL16" i="36"/>
  <c r="AD16" i="36"/>
  <c r="AN16" i="36"/>
  <c r="AE16" i="36"/>
  <c r="AO16" i="36"/>
  <c r="AO29" i="36"/>
  <c r="AL29" i="36"/>
  <c r="AD29" i="36"/>
  <c r="AE29" i="36"/>
  <c r="AN29" i="36"/>
  <c r="Z62" i="36"/>
  <c r="U62" i="36"/>
  <c r="V62" i="36"/>
  <c r="W66" i="36"/>
  <c r="AA66" i="36"/>
  <c r="W50" i="36"/>
  <c r="AA50" i="36"/>
  <c r="V45" i="36"/>
  <c r="U45" i="36"/>
  <c r="Z45" i="36"/>
  <c r="AC45" i="36" s="1"/>
  <c r="V33" i="36"/>
  <c r="Y33" i="36" s="1"/>
  <c r="U33" i="36"/>
  <c r="Z33" i="36"/>
  <c r="Z55" i="36"/>
  <c r="U55" i="36"/>
  <c r="V55" i="36"/>
  <c r="W22" i="36"/>
  <c r="Y22" i="36" s="1"/>
  <c r="AA22" i="36"/>
  <c r="AC22" i="36" s="1"/>
  <c r="AA11" i="36"/>
  <c r="AC11" i="36" s="1"/>
  <c r="W11" i="36"/>
  <c r="Y11" i="36" s="1"/>
  <c r="AA67" i="36"/>
  <c r="W67" i="36"/>
  <c r="W25" i="36"/>
  <c r="AA25" i="36"/>
  <c r="AC25" i="36" s="1"/>
  <c r="V9" i="36"/>
  <c r="Z9" i="36"/>
  <c r="AC9" i="36" s="1"/>
  <c r="U9" i="36"/>
  <c r="Z47" i="36"/>
  <c r="U47" i="36"/>
  <c r="V47" i="36"/>
  <c r="AA39" i="36"/>
  <c r="W39" i="36"/>
  <c r="Z66" i="36"/>
  <c r="U66" i="36"/>
  <c r="V66" i="36"/>
  <c r="Z50" i="36"/>
  <c r="U50" i="36"/>
  <c r="V50" i="36"/>
  <c r="W62" i="36"/>
  <c r="AA62" i="36"/>
  <c r="V57" i="36"/>
  <c r="Y57" i="36" s="1"/>
  <c r="U57" i="36"/>
  <c r="Z57" i="36"/>
  <c r="W46" i="36"/>
  <c r="AA46" i="36"/>
  <c r="V41" i="36"/>
  <c r="U41" i="36"/>
  <c r="Z41" i="36"/>
  <c r="AC41" i="36" s="1"/>
  <c r="W34" i="36"/>
  <c r="AA34" i="36"/>
  <c r="AA55" i="36"/>
  <c r="W55" i="36"/>
  <c r="AL38" i="36"/>
  <c r="Z51" i="36"/>
  <c r="U51" i="36"/>
  <c r="V51" i="36"/>
  <c r="V26" i="36"/>
  <c r="Z26" i="36"/>
  <c r="U26" i="36"/>
  <c r="Z19" i="36"/>
  <c r="U19" i="36"/>
  <c r="V19" i="36"/>
  <c r="Z6" i="36"/>
  <c r="U6" i="36"/>
  <c r="V6" i="36"/>
  <c r="Z59" i="36"/>
  <c r="U59" i="36"/>
  <c r="V59" i="36"/>
  <c r="Z43" i="36"/>
  <c r="U43" i="36"/>
  <c r="V43" i="36"/>
  <c r="W26" i="36"/>
  <c r="AA26" i="36"/>
  <c r="V18" i="36"/>
  <c r="Y18" i="36" s="1"/>
  <c r="Z18" i="36"/>
  <c r="U18" i="36"/>
  <c r="V14" i="36"/>
  <c r="U14" i="36"/>
  <c r="Z14" i="36"/>
  <c r="AC14" i="36" s="1"/>
  <c r="W10" i="36"/>
  <c r="AA10" i="36"/>
  <c r="AA47" i="36"/>
  <c r="W47" i="36"/>
  <c r="K72" i="36"/>
  <c r="R3" i="36"/>
  <c r="U22" i="36"/>
  <c r="U25" i="36"/>
  <c r="Z46" i="36"/>
  <c r="U46" i="36"/>
  <c r="V46" i="36"/>
  <c r="V61" i="36"/>
  <c r="Y61" i="36" s="1"/>
  <c r="U61" i="36"/>
  <c r="Z61" i="36"/>
  <c r="AA29" i="36"/>
  <c r="AC29" i="36" s="1"/>
  <c r="W29" i="36"/>
  <c r="Y29" i="36" s="1"/>
  <c r="W21" i="36"/>
  <c r="AA21" i="36"/>
  <c r="Z70" i="36"/>
  <c r="U70" i="36"/>
  <c r="V70" i="36"/>
  <c r="Z54" i="36"/>
  <c r="U54" i="36"/>
  <c r="V54" i="36"/>
  <c r="Z34" i="36"/>
  <c r="U34" i="36"/>
  <c r="V34" i="36"/>
  <c r="V69" i="36"/>
  <c r="Y69" i="36" s="1"/>
  <c r="Z69" i="36"/>
  <c r="U69" i="36"/>
  <c r="W58" i="36"/>
  <c r="AA58" i="36"/>
  <c r="V53" i="36"/>
  <c r="Y53" i="36" s="1"/>
  <c r="Z53" i="36"/>
  <c r="U53" i="36"/>
  <c r="W42" i="36"/>
  <c r="AA42" i="36"/>
  <c r="W30" i="36"/>
  <c r="Y30" i="36" s="1"/>
  <c r="AA30" i="36"/>
  <c r="Z71" i="36"/>
  <c r="U71" i="36"/>
  <c r="V71" i="36"/>
  <c r="AA51" i="36"/>
  <c r="W51" i="36"/>
  <c r="V27" i="36"/>
  <c r="Z27" i="36"/>
  <c r="U27" i="36"/>
  <c r="V20" i="36"/>
  <c r="Z20" i="36"/>
  <c r="U20" i="36"/>
  <c r="Z15" i="36"/>
  <c r="U15" i="36"/>
  <c r="V15" i="36"/>
  <c r="AA59" i="36"/>
  <c r="W59" i="36"/>
  <c r="AA43" i="36"/>
  <c r="W43" i="36"/>
  <c r="Z35" i="36"/>
  <c r="U35" i="36"/>
  <c r="V35" i="36"/>
  <c r="W27" i="36"/>
  <c r="AA27" i="36"/>
  <c r="W19" i="36"/>
  <c r="AA19" i="36"/>
  <c r="W15" i="36"/>
  <c r="AA15" i="36"/>
  <c r="V5" i="36"/>
  <c r="Y5" i="36" s="1"/>
  <c r="Z5" i="36"/>
  <c r="U5" i="36"/>
  <c r="Z63" i="36"/>
  <c r="U63" i="36"/>
  <c r="V63" i="36"/>
  <c r="Z31" i="36"/>
  <c r="U31" i="36"/>
  <c r="V31" i="36"/>
  <c r="N72" i="36"/>
  <c r="O3" i="36"/>
  <c r="Z7" i="36"/>
  <c r="U7" i="36"/>
  <c r="V7" i="36"/>
  <c r="L72" i="36"/>
  <c r="S3" i="36"/>
  <c r="AC44" i="36"/>
  <c r="U11" i="36"/>
  <c r="Y8" i="36"/>
  <c r="Z58" i="36"/>
  <c r="U58" i="36"/>
  <c r="V58" i="36"/>
  <c r="Z42" i="36"/>
  <c r="U42" i="36"/>
  <c r="V42" i="36"/>
  <c r="W70" i="36"/>
  <c r="AA70" i="36"/>
  <c r="V65" i="36"/>
  <c r="Y65" i="36" s="1"/>
  <c r="Z65" i="36"/>
  <c r="U65" i="36"/>
  <c r="W54" i="36"/>
  <c r="AA54" i="36"/>
  <c r="V49" i="36"/>
  <c r="Y49" i="36" s="1"/>
  <c r="U49" i="36"/>
  <c r="Z49" i="36"/>
  <c r="V37" i="36"/>
  <c r="Y37" i="36" s="1"/>
  <c r="Z37" i="36"/>
  <c r="U37" i="36"/>
  <c r="AA71" i="36"/>
  <c r="W71" i="36"/>
  <c r="W28" i="36"/>
  <c r="Y28" i="36" s="1"/>
  <c r="AA28" i="36"/>
  <c r="AC28" i="36" s="1"/>
  <c r="V21" i="36"/>
  <c r="Z21" i="36"/>
  <c r="U21" i="36"/>
  <c r="W16" i="36"/>
  <c r="Y16" i="36" s="1"/>
  <c r="AA16" i="36"/>
  <c r="AC16" i="36" s="1"/>
  <c r="V10" i="36"/>
  <c r="Z10" i="36"/>
  <c r="U10" i="36"/>
  <c r="AA35" i="36"/>
  <c r="W35" i="36"/>
  <c r="Z67" i="36"/>
  <c r="U67" i="36"/>
  <c r="V67" i="36"/>
  <c r="V24" i="36"/>
  <c r="Y24" i="36" s="1"/>
  <c r="U24" i="36"/>
  <c r="Z24" i="36"/>
  <c r="W20" i="36"/>
  <c r="AA20" i="36"/>
  <c r="W6" i="36"/>
  <c r="AA6" i="36"/>
  <c r="AA63" i="36"/>
  <c r="W63" i="36"/>
  <c r="Z39" i="36"/>
  <c r="U39" i="36"/>
  <c r="V39" i="36"/>
  <c r="AA31" i="36"/>
  <c r="W31" i="36"/>
  <c r="AA7" i="36"/>
  <c r="W7" i="36"/>
  <c r="Y36" i="36"/>
  <c r="M72" i="36"/>
  <c r="U28" i="36"/>
  <c r="AR45" i="33"/>
  <c r="AR43" i="33"/>
  <c r="AR37" i="33"/>
  <c r="AR34" i="33"/>
  <c r="AR24" i="33"/>
  <c r="AR7" i="33"/>
  <c r="AK72" i="33"/>
  <c r="AJ72" i="33"/>
  <c r="E72" i="33"/>
  <c r="D11" i="24"/>
  <c r="AR71" i="33"/>
  <c r="AG71" i="33"/>
  <c r="AF71" i="33"/>
  <c r="J71" i="33"/>
  <c r="N71" i="33" s="1"/>
  <c r="AR70" i="33"/>
  <c r="AG70" i="33"/>
  <c r="AF70" i="33"/>
  <c r="J70" i="33"/>
  <c r="N70" i="33" s="1"/>
  <c r="AR69" i="33"/>
  <c r="AG69" i="33"/>
  <c r="AF69" i="33"/>
  <c r="J69" i="33"/>
  <c r="AR68" i="33"/>
  <c r="AG68" i="33"/>
  <c r="AF68" i="33"/>
  <c r="J68" i="33"/>
  <c r="N68" i="33" s="1"/>
  <c r="AR67" i="33"/>
  <c r="AG67" i="33"/>
  <c r="AF67" i="33"/>
  <c r="J67" i="33"/>
  <c r="N67" i="33" s="1"/>
  <c r="AR66" i="33"/>
  <c r="AG66" i="33"/>
  <c r="AF66" i="33"/>
  <c r="J66" i="33"/>
  <c r="N66" i="33" s="1"/>
  <c r="AR65" i="33"/>
  <c r="AG65" i="33"/>
  <c r="AF65" i="33"/>
  <c r="J65" i="33"/>
  <c r="K65" i="33" s="1"/>
  <c r="R65" i="33" s="1"/>
  <c r="AR64" i="33"/>
  <c r="AG64" i="33"/>
  <c r="AF64" i="33"/>
  <c r="J64" i="33"/>
  <c r="M64" i="33" s="1"/>
  <c r="AR63" i="33"/>
  <c r="AG63" i="33"/>
  <c r="AF63" i="33"/>
  <c r="J63" i="33"/>
  <c r="N63" i="33" s="1"/>
  <c r="AR62" i="33"/>
  <c r="AG62" i="33"/>
  <c r="AF62" i="33"/>
  <c r="J62" i="33"/>
  <c r="N62" i="33" s="1"/>
  <c r="AR61" i="33"/>
  <c r="AG61" i="33"/>
  <c r="AF61" i="33"/>
  <c r="J61" i="33"/>
  <c r="K61" i="33" s="1"/>
  <c r="R61" i="33" s="1"/>
  <c r="AR60" i="33"/>
  <c r="AG60" i="33"/>
  <c r="AF60" i="33"/>
  <c r="J60" i="33"/>
  <c r="AR59" i="33"/>
  <c r="AG59" i="33"/>
  <c r="AF59" i="33"/>
  <c r="J59" i="33"/>
  <c r="N59" i="33" s="1"/>
  <c r="AR58" i="33"/>
  <c r="AG58" i="33"/>
  <c r="AF58" i="33"/>
  <c r="J58" i="33"/>
  <c r="N58" i="33" s="1"/>
  <c r="AR57" i="33"/>
  <c r="AG57" i="33"/>
  <c r="AF57" i="33"/>
  <c r="J57" i="33"/>
  <c r="K57" i="33" s="1"/>
  <c r="R57" i="33" s="1"/>
  <c r="AR56" i="33"/>
  <c r="AG56" i="33"/>
  <c r="AF56" i="33"/>
  <c r="J56" i="33"/>
  <c r="M56" i="33" s="1"/>
  <c r="AR55" i="33"/>
  <c r="AG55" i="33"/>
  <c r="AF55" i="33"/>
  <c r="J55" i="33"/>
  <c r="N55" i="33" s="1"/>
  <c r="AR54" i="33"/>
  <c r="AG54" i="33"/>
  <c r="AF54" i="33"/>
  <c r="J54" i="33"/>
  <c r="N54" i="33" s="1"/>
  <c r="AR53" i="33"/>
  <c r="AG53" i="33"/>
  <c r="AF53" i="33"/>
  <c r="J53" i="33"/>
  <c r="AR52" i="33"/>
  <c r="AG52" i="33"/>
  <c r="AF52" i="33"/>
  <c r="J52" i="33"/>
  <c r="M52" i="33" s="1"/>
  <c r="AR51" i="33"/>
  <c r="AG51" i="33"/>
  <c r="AF51" i="33"/>
  <c r="J51" i="33"/>
  <c r="N51" i="33" s="1"/>
  <c r="AR50" i="33"/>
  <c r="AG50" i="33"/>
  <c r="AF50" i="33"/>
  <c r="J50" i="33"/>
  <c r="N50" i="33" s="1"/>
  <c r="AR49" i="33"/>
  <c r="AG49" i="33"/>
  <c r="AF49" i="33"/>
  <c r="J49" i="33"/>
  <c r="K49" i="33" s="1"/>
  <c r="R49" i="33" s="1"/>
  <c r="AR48" i="33"/>
  <c r="AG48" i="33"/>
  <c r="AF48" i="33"/>
  <c r="J48" i="33"/>
  <c r="M48" i="33" s="1"/>
  <c r="AG47" i="33"/>
  <c r="AF47" i="33"/>
  <c r="J47" i="33"/>
  <c r="N47" i="33" s="1"/>
  <c r="AR46" i="33"/>
  <c r="AG46" i="33"/>
  <c r="AF46" i="33"/>
  <c r="J46" i="33"/>
  <c r="N46" i="33" s="1"/>
  <c r="AG45" i="33"/>
  <c r="AF45" i="33"/>
  <c r="J45" i="33"/>
  <c r="K45" i="33" s="1"/>
  <c r="R45" i="33" s="1"/>
  <c r="AR44" i="33"/>
  <c r="AG44" i="33"/>
  <c r="AF44" i="33"/>
  <c r="J44" i="33"/>
  <c r="AG43" i="33"/>
  <c r="AF43" i="33"/>
  <c r="J43" i="33"/>
  <c r="N43" i="33" s="1"/>
  <c r="AR42" i="33"/>
  <c r="AG42" i="33"/>
  <c r="AF42" i="33"/>
  <c r="J42" i="33"/>
  <c r="N42" i="33" s="1"/>
  <c r="AR41" i="33"/>
  <c r="AG41" i="33"/>
  <c r="AF41" i="33"/>
  <c r="J41" i="33"/>
  <c r="K41" i="33" s="1"/>
  <c r="R41" i="33" s="1"/>
  <c r="AR40" i="33"/>
  <c r="AG40" i="33"/>
  <c r="AF40" i="33"/>
  <c r="J40" i="33"/>
  <c r="M40" i="33" s="1"/>
  <c r="AR39" i="33"/>
  <c r="AG39" i="33"/>
  <c r="AF39" i="33"/>
  <c r="J39" i="33"/>
  <c r="K39" i="33" s="1"/>
  <c r="R39" i="33" s="1"/>
  <c r="AR38" i="33"/>
  <c r="AG38" i="33"/>
  <c r="AF38" i="33"/>
  <c r="J38" i="33"/>
  <c r="N38" i="33" s="1"/>
  <c r="AG37" i="33"/>
  <c r="AF37" i="33"/>
  <c r="J37" i="33"/>
  <c r="K37" i="33" s="1"/>
  <c r="R37" i="33" s="1"/>
  <c r="AR36" i="33"/>
  <c r="AG36" i="33"/>
  <c r="AF36" i="33"/>
  <c r="J36" i="33"/>
  <c r="AR35" i="33"/>
  <c r="AG35" i="33"/>
  <c r="AF35" i="33"/>
  <c r="J35" i="33"/>
  <c r="K35" i="33" s="1"/>
  <c r="R35" i="33" s="1"/>
  <c r="AG34" i="33"/>
  <c r="AF34" i="33"/>
  <c r="J34" i="33"/>
  <c r="N34" i="33" s="1"/>
  <c r="AR33" i="33"/>
  <c r="AG33" i="33"/>
  <c r="AF33" i="33"/>
  <c r="J33" i="33"/>
  <c r="AR32" i="33"/>
  <c r="AG32" i="33"/>
  <c r="AF32" i="33"/>
  <c r="J32" i="33"/>
  <c r="M32" i="33" s="1"/>
  <c r="AR31" i="33"/>
  <c r="AG31" i="33"/>
  <c r="AF31" i="33"/>
  <c r="J31" i="33"/>
  <c r="K31" i="33" s="1"/>
  <c r="AR30" i="33"/>
  <c r="AG30" i="33"/>
  <c r="AF30" i="33"/>
  <c r="J30" i="33"/>
  <c r="N30" i="33" s="1"/>
  <c r="AR29" i="33"/>
  <c r="AG29" i="33"/>
  <c r="AF29" i="33"/>
  <c r="J29" i="33"/>
  <c r="N29" i="33" s="1"/>
  <c r="AR28" i="33"/>
  <c r="AG28" i="33"/>
  <c r="AF28" i="33"/>
  <c r="J28" i="33"/>
  <c r="M28" i="33" s="1"/>
  <c r="AR27" i="33"/>
  <c r="AG27" i="33"/>
  <c r="AF27" i="33"/>
  <c r="J27" i="33"/>
  <c r="N27" i="33" s="1"/>
  <c r="AR26" i="33"/>
  <c r="AG26" i="33"/>
  <c r="AF26" i="33"/>
  <c r="J26" i="33"/>
  <c r="N26" i="33" s="1"/>
  <c r="AR25" i="33"/>
  <c r="AG25" i="33"/>
  <c r="AF25" i="33"/>
  <c r="J25" i="33"/>
  <c r="N25" i="33" s="1"/>
  <c r="AG24" i="33"/>
  <c r="AF24" i="33"/>
  <c r="J24" i="33"/>
  <c r="M24" i="33" s="1"/>
  <c r="AG23" i="33"/>
  <c r="AF23" i="33"/>
  <c r="J23" i="33"/>
  <c r="L23" i="33" s="1"/>
  <c r="S23" i="33" s="1"/>
  <c r="AR23" i="33"/>
  <c r="AR22" i="33"/>
  <c r="AG22" i="33"/>
  <c r="AF22" i="33"/>
  <c r="J22" i="33"/>
  <c r="L22" i="33" s="1"/>
  <c r="S22" i="33" s="1"/>
  <c r="AR21" i="33"/>
  <c r="AG21" i="33"/>
  <c r="AF21" i="33"/>
  <c r="J21" i="33"/>
  <c r="K21" i="33" s="1"/>
  <c r="R21" i="33" s="1"/>
  <c r="AR20" i="33"/>
  <c r="AG20" i="33"/>
  <c r="AF20" i="33"/>
  <c r="J20" i="33"/>
  <c r="N20" i="33" s="1"/>
  <c r="AG19" i="33"/>
  <c r="AF19" i="33"/>
  <c r="J19" i="33"/>
  <c r="M19" i="33" s="1"/>
  <c r="AR19" i="33"/>
  <c r="AR18" i="33"/>
  <c r="AG18" i="33"/>
  <c r="AF18" i="33"/>
  <c r="J18" i="33"/>
  <c r="M18" i="33" s="1"/>
  <c r="AG17" i="33"/>
  <c r="AF17" i="33"/>
  <c r="J17" i="33"/>
  <c r="L17" i="33" s="1"/>
  <c r="S17" i="33" s="1"/>
  <c r="AR17" i="33"/>
  <c r="AG16" i="33"/>
  <c r="AF16" i="33"/>
  <c r="J16" i="33"/>
  <c r="L16" i="33" s="1"/>
  <c r="S16" i="33" s="1"/>
  <c r="AR16" i="33"/>
  <c r="AR15" i="33"/>
  <c r="AG15" i="33"/>
  <c r="AF15" i="33"/>
  <c r="J15" i="33"/>
  <c r="L15" i="33" s="1"/>
  <c r="AG14" i="33"/>
  <c r="AF14" i="33"/>
  <c r="J14" i="33"/>
  <c r="K14" i="33" s="1"/>
  <c r="R14" i="33" s="1"/>
  <c r="AR14" i="33"/>
  <c r="AG13" i="33"/>
  <c r="AF13" i="33"/>
  <c r="J13" i="33"/>
  <c r="K13" i="33" s="1"/>
  <c r="R13" i="33" s="1"/>
  <c r="AR13" i="33"/>
  <c r="AG12" i="33"/>
  <c r="AF12" i="33"/>
  <c r="J12" i="33"/>
  <c r="K12" i="33" s="1"/>
  <c r="R12" i="33" s="1"/>
  <c r="AR12" i="33"/>
  <c r="AG11" i="33"/>
  <c r="AF11" i="33"/>
  <c r="J11" i="33"/>
  <c r="K11" i="33" s="1"/>
  <c r="AR11" i="33"/>
  <c r="AR10" i="33"/>
  <c r="AG10" i="33"/>
  <c r="AF10" i="33"/>
  <c r="J10" i="33"/>
  <c r="K10" i="33" s="1"/>
  <c r="R10" i="33" s="1"/>
  <c r="AR9" i="33"/>
  <c r="AG9" i="33"/>
  <c r="AF9" i="33"/>
  <c r="J9" i="33"/>
  <c r="N9" i="33" s="1"/>
  <c r="AG8" i="33"/>
  <c r="AF8" i="33"/>
  <c r="J8" i="33"/>
  <c r="M8" i="33" s="1"/>
  <c r="AR8" i="33"/>
  <c r="AG7" i="33"/>
  <c r="AF7" i="33"/>
  <c r="J7" i="33"/>
  <c r="M7" i="33" s="1"/>
  <c r="AG6" i="33"/>
  <c r="AF6" i="33"/>
  <c r="J6" i="33"/>
  <c r="N6" i="33" s="1"/>
  <c r="AR5" i="33"/>
  <c r="AG5" i="33"/>
  <c r="AF5" i="33"/>
  <c r="J5" i="33"/>
  <c r="N5" i="33" s="1"/>
  <c r="AR4" i="33"/>
  <c r="AG4" i="33"/>
  <c r="AF4" i="33"/>
  <c r="J4" i="33"/>
  <c r="AR3" i="33"/>
  <c r="AG3" i="33"/>
  <c r="AF3" i="33"/>
  <c r="L3" i="33"/>
  <c r="M4" i="33" l="1"/>
  <c r="J72" i="33"/>
  <c r="AO38" i="36"/>
  <c r="AN38" i="36"/>
  <c r="AE38" i="36"/>
  <c r="R31" i="33"/>
  <c r="V31" i="33" s="1"/>
  <c r="S15" i="33"/>
  <c r="W15" i="33" s="1"/>
  <c r="R11" i="33"/>
  <c r="V11" i="33" s="1"/>
  <c r="AX72" i="39"/>
  <c r="BA72" i="40"/>
  <c r="AW72" i="39"/>
  <c r="BA72" i="39"/>
  <c r="AW72" i="40"/>
  <c r="AQ59" i="38"/>
  <c r="BI59" i="38" s="1"/>
  <c r="AQ39" i="38"/>
  <c r="BI39" i="38" s="1"/>
  <c r="AC18" i="36"/>
  <c r="AQ18" i="36" s="1"/>
  <c r="BI18" i="36" s="1"/>
  <c r="AQ8" i="37"/>
  <c r="BI8" i="37" s="1"/>
  <c r="AQ26" i="38"/>
  <c r="BI26" i="38" s="1"/>
  <c r="AQ32" i="38"/>
  <c r="BI32" i="38" s="1"/>
  <c r="AQ51" i="38"/>
  <c r="BI51" i="38" s="1"/>
  <c r="AQ28" i="38"/>
  <c r="BI28" i="38" s="1"/>
  <c r="AQ47" i="38"/>
  <c r="BI47" i="38" s="1"/>
  <c r="AQ48" i="38"/>
  <c r="BI48" i="38" s="1"/>
  <c r="AQ68" i="38"/>
  <c r="BI68" i="38" s="1"/>
  <c r="AM72" i="36"/>
  <c r="AQ16" i="38"/>
  <c r="BI16" i="38" s="1"/>
  <c r="AQ35" i="38"/>
  <c r="BI35" i="38" s="1"/>
  <c r="P72" i="38"/>
  <c r="O27" i="33"/>
  <c r="P27" i="33" s="1"/>
  <c r="Q27" i="33" s="1"/>
  <c r="AM27" i="33"/>
  <c r="O29" i="33"/>
  <c r="P29" i="33" s="1"/>
  <c r="Q29" i="33" s="1"/>
  <c r="AM29" i="33"/>
  <c r="O47" i="33"/>
  <c r="P47" i="33" s="1"/>
  <c r="Q47" i="33" s="1"/>
  <c r="AM47" i="33"/>
  <c r="AP72" i="40"/>
  <c r="O50" i="33"/>
  <c r="P50" i="33" s="1"/>
  <c r="Q50" i="33" s="1"/>
  <c r="AM50" i="33"/>
  <c r="O59" i="33"/>
  <c r="P59" i="33" s="1"/>
  <c r="Q59" i="33" s="1"/>
  <c r="AM59" i="33"/>
  <c r="O66" i="33"/>
  <c r="P66" i="33" s="1"/>
  <c r="AM66" i="33"/>
  <c r="O68" i="33"/>
  <c r="P68" i="33" s="1"/>
  <c r="Q68" i="33" s="1"/>
  <c r="AM68" i="33"/>
  <c r="O70" i="33"/>
  <c r="P70" i="33" s="1"/>
  <c r="AM70" i="33"/>
  <c r="O71" i="33"/>
  <c r="P71" i="33" s="1"/>
  <c r="Q71" i="33" s="1"/>
  <c r="AM71" i="33"/>
  <c r="AQ5" i="38"/>
  <c r="BI5" i="38" s="1"/>
  <c r="O25" i="33"/>
  <c r="P25" i="33" s="1"/>
  <c r="Q25" i="33" s="1"/>
  <c r="AM25" i="33"/>
  <c r="O30" i="33"/>
  <c r="P30" i="33" s="1"/>
  <c r="Q30" i="33" s="1"/>
  <c r="AM30" i="33"/>
  <c r="O46" i="33"/>
  <c r="P46" i="33" s="1"/>
  <c r="Q46" i="33" s="1"/>
  <c r="AM46" i="33"/>
  <c r="O5" i="33"/>
  <c r="P5" i="33" s="1"/>
  <c r="Q5" i="33" s="1"/>
  <c r="AM5" i="33"/>
  <c r="O55" i="33"/>
  <c r="P55" i="33" s="1"/>
  <c r="Q55" i="33" s="1"/>
  <c r="AM55" i="33"/>
  <c r="O58" i="33"/>
  <c r="P58" i="33" s="1"/>
  <c r="AM58" i="33"/>
  <c r="O62" i="33"/>
  <c r="P62" i="33" s="1"/>
  <c r="Q62" i="33" s="1"/>
  <c r="AM62" i="33"/>
  <c r="O67" i="33"/>
  <c r="P67" i="33" s="1"/>
  <c r="AM67" i="33"/>
  <c r="O38" i="33"/>
  <c r="P38" i="33" s="1"/>
  <c r="Q38" i="33" s="1"/>
  <c r="AM38" i="33"/>
  <c r="O42" i="33"/>
  <c r="P42" i="33" s="1"/>
  <c r="AM42" i="33"/>
  <c r="AP72" i="39"/>
  <c r="O26" i="33"/>
  <c r="P26" i="33" s="1"/>
  <c r="Q26" i="33" s="1"/>
  <c r="AM26" i="33"/>
  <c r="O34" i="33"/>
  <c r="P34" i="33" s="1"/>
  <c r="AM34" i="33"/>
  <c r="O6" i="33"/>
  <c r="P6" i="33" s="1"/>
  <c r="Q6" i="33" s="1"/>
  <c r="AM6" i="33"/>
  <c r="O51" i="33"/>
  <c r="P51" i="33" s="1"/>
  <c r="AM51" i="33"/>
  <c r="O54" i="33"/>
  <c r="P54" i="33" s="1"/>
  <c r="AM54" i="33"/>
  <c r="O63" i="33"/>
  <c r="P63" i="33" s="1"/>
  <c r="Q63" i="33" s="1"/>
  <c r="AM63" i="33"/>
  <c r="O43" i="33"/>
  <c r="P43" i="33" s="1"/>
  <c r="Q43" i="33" s="1"/>
  <c r="AM43" i="33"/>
  <c r="O9" i="33"/>
  <c r="P9" i="33" s="1"/>
  <c r="Q9" i="33" s="1"/>
  <c r="AM9" i="33"/>
  <c r="O20" i="33"/>
  <c r="P20" i="33" s="1"/>
  <c r="Q20" i="33" s="1"/>
  <c r="AM20" i="33"/>
  <c r="AQ71" i="38"/>
  <c r="BI71" i="38" s="1"/>
  <c r="AH72" i="40"/>
  <c r="AI72" i="36"/>
  <c r="AH72" i="39"/>
  <c r="AQ40" i="38"/>
  <c r="BI40" i="38" s="1"/>
  <c r="AQ72" i="40"/>
  <c r="AX72" i="40"/>
  <c r="AR72" i="40"/>
  <c r="AQ3" i="39"/>
  <c r="BI3" i="39" s="1"/>
  <c r="AQ31" i="38"/>
  <c r="BI31" i="38" s="1"/>
  <c r="Q3" i="38"/>
  <c r="Q72" i="38" s="1"/>
  <c r="AV72" i="38" s="1"/>
  <c r="X72" i="38"/>
  <c r="AB72" i="38"/>
  <c r="V72" i="38"/>
  <c r="Y3" i="38"/>
  <c r="Z72" i="38"/>
  <c r="AC3" i="38"/>
  <c r="AC72" i="38" s="1"/>
  <c r="AQ64" i="38"/>
  <c r="BI64" i="38" s="1"/>
  <c r="AL3" i="38"/>
  <c r="AL72" i="38" s="1"/>
  <c r="AD3" i="38"/>
  <c r="AD72" i="38" s="1"/>
  <c r="AN3" i="38"/>
  <c r="AN72" i="38" s="1"/>
  <c r="AO3" i="38"/>
  <c r="AO72" i="38" s="1"/>
  <c r="AE3" i="38"/>
  <c r="AE72" i="38" s="1"/>
  <c r="AQ43" i="38"/>
  <c r="BI43" i="38" s="1"/>
  <c r="AQ56" i="38"/>
  <c r="BI56" i="38" s="1"/>
  <c r="AQ63" i="38"/>
  <c r="BI63" i="38" s="1"/>
  <c r="AQ67" i="38"/>
  <c r="BI67" i="38" s="1"/>
  <c r="AQ55" i="38"/>
  <c r="BI55" i="38" s="1"/>
  <c r="U72" i="38"/>
  <c r="AQ71" i="37"/>
  <c r="BI71" i="37" s="1"/>
  <c r="AQ51" i="37"/>
  <c r="BI51" i="37" s="1"/>
  <c r="AQ32" i="37"/>
  <c r="BI32" i="37" s="1"/>
  <c r="AQ68" i="37"/>
  <c r="BI68" i="37" s="1"/>
  <c r="AQ31" i="37"/>
  <c r="BI31" i="37" s="1"/>
  <c r="AQ26" i="37"/>
  <c r="BI26" i="37" s="1"/>
  <c r="AQ55" i="37"/>
  <c r="BI55" i="37" s="1"/>
  <c r="AQ59" i="37"/>
  <c r="BI59" i="37" s="1"/>
  <c r="AQ5" i="37"/>
  <c r="BI5" i="37" s="1"/>
  <c r="AQ54" i="37"/>
  <c r="BI54" i="37" s="1"/>
  <c r="AQ23" i="37"/>
  <c r="BI23" i="37" s="1"/>
  <c r="AQ35" i="37"/>
  <c r="BI35" i="37" s="1"/>
  <c r="AQ47" i="37"/>
  <c r="BI47" i="37" s="1"/>
  <c r="AQ67" i="37"/>
  <c r="BI67" i="37" s="1"/>
  <c r="AQ63" i="37"/>
  <c r="BI63" i="37" s="1"/>
  <c r="AQ25" i="37"/>
  <c r="BI25" i="37" s="1"/>
  <c r="AQ52" i="37"/>
  <c r="BI52" i="37" s="1"/>
  <c r="AQ19" i="37"/>
  <c r="BI19" i="37" s="1"/>
  <c r="AQ4" i="37"/>
  <c r="BI4" i="37" s="1"/>
  <c r="AQ43" i="37"/>
  <c r="BI43" i="37" s="1"/>
  <c r="AQ42" i="37"/>
  <c r="BI42" i="37" s="1"/>
  <c r="AQ22" i="37"/>
  <c r="BI22" i="37" s="1"/>
  <c r="AQ18" i="37"/>
  <c r="BI18" i="37" s="1"/>
  <c r="AQ13" i="37"/>
  <c r="BI13" i="37" s="1"/>
  <c r="AQ39" i="37"/>
  <c r="BI39" i="37" s="1"/>
  <c r="AC72" i="37"/>
  <c r="AL72" i="37"/>
  <c r="AN72" i="37"/>
  <c r="AR72" i="37"/>
  <c r="Y72" i="37"/>
  <c r="AQ3" i="37"/>
  <c r="AE72" i="37"/>
  <c r="AO72" i="37"/>
  <c r="Q3" i="37"/>
  <c r="Q72" i="37" s="1"/>
  <c r="AV72" i="37" s="1"/>
  <c r="AD72" i="37"/>
  <c r="AO32" i="36"/>
  <c r="AD32" i="36"/>
  <c r="AL32" i="36"/>
  <c r="AN32" i="36"/>
  <c r="AC48" i="36"/>
  <c r="AQ48" i="36" s="1"/>
  <c r="BI48" i="36" s="1"/>
  <c r="AC61" i="36"/>
  <c r="AQ61" i="36" s="1"/>
  <c r="BI61" i="36" s="1"/>
  <c r="AL23" i="36"/>
  <c r="AC60" i="36"/>
  <c r="AQ60" i="36" s="1"/>
  <c r="BI60" i="36" s="1"/>
  <c r="AD36" i="36"/>
  <c r="AE8" i="36"/>
  <c r="AQ32" i="36"/>
  <c r="BI32" i="36" s="1"/>
  <c r="AC57" i="36"/>
  <c r="AQ57" i="36" s="1"/>
  <c r="BI57" i="36" s="1"/>
  <c r="AC52" i="36"/>
  <c r="AQ52" i="36" s="1"/>
  <c r="BI52" i="36" s="1"/>
  <c r="AQ40" i="36"/>
  <c r="BI40" i="36" s="1"/>
  <c r="AN12" i="36"/>
  <c r="AC30" i="36"/>
  <c r="AQ30" i="36" s="1"/>
  <c r="BI30" i="36" s="1"/>
  <c r="AL68" i="36"/>
  <c r="AD8" i="36"/>
  <c r="Y45" i="36"/>
  <c r="AQ45" i="36" s="1"/>
  <c r="BI45" i="36" s="1"/>
  <c r="Y67" i="36"/>
  <c r="AD12" i="36"/>
  <c r="AC53" i="36"/>
  <c r="AQ53" i="36" s="1"/>
  <c r="BI53" i="36" s="1"/>
  <c r="AD60" i="36"/>
  <c r="AL64" i="36"/>
  <c r="AD44" i="36"/>
  <c r="AO52" i="36"/>
  <c r="AC65" i="36"/>
  <c r="AQ65" i="36" s="1"/>
  <c r="BI65" i="36" s="1"/>
  <c r="AO12" i="36"/>
  <c r="AO8" i="36"/>
  <c r="Y14" i="36"/>
  <c r="AQ14" i="36" s="1"/>
  <c r="BI14" i="36" s="1"/>
  <c r="Y44" i="36"/>
  <c r="AQ44" i="36" s="1"/>
  <c r="BI44" i="36" s="1"/>
  <c r="AL12" i="36"/>
  <c r="AL36" i="36"/>
  <c r="Y41" i="36"/>
  <c r="AQ41" i="36" s="1"/>
  <c r="BI41" i="36" s="1"/>
  <c r="Y13" i="36"/>
  <c r="AQ13" i="36" s="1"/>
  <c r="BI13" i="36" s="1"/>
  <c r="AN40" i="36"/>
  <c r="AL60" i="36"/>
  <c r="AD64" i="36"/>
  <c r="AQ23" i="36"/>
  <c r="BI23" i="36" s="1"/>
  <c r="AC24" i="36"/>
  <c r="AQ24" i="36" s="1"/>
  <c r="BI24" i="36" s="1"/>
  <c r="AL40" i="36"/>
  <c r="AQ17" i="36"/>
  <c r="BI17" i="36" s="1"/>
  <c r="AE60" i="36"/>
  <c r="Y9" i="36"/>
  <c r="AQ9" i="36" s="1"/>
  <c r="BI9" i="36" s="1"/>
  <c r="AE64" i="36"/>
  <c r="AC49" i="36"/>
  <c r="AQ49" i="36" s="1"/>
  <c r="BI49" i="36" s="1"/>
  <c r="AN60" i="36"/>
  <c r="AN64" i="36"/>
  <c r="AL48" i="36"/>
  <c r="AL13" i="36"/>
  <c r="AC69" i="36"/>
  <c r="AQ69" i="36" s="1"/>
  <c r="BI69" i="36" s="1"/>
  <c r="AL56" i="36"/>
  <c r="AD17" i="36"/>
  <c r="AN56" i="36"/>
  <c r="AO44" i="36"/>
  <c r="AN36" i="36"/>
  <c r="AD4" i="36"/>
  <c r="AE52" i="36"/>
  <c r="AC10" i="36"/>
  <c r="AQ68" i="36"/>
  <c r="BI68" i="36" s="1"/>
  <c r="AL44" i="36"/>
  <c r="AN44" i="36"/>
  <c r="AC37" i="36"/>
  <c r="AQ37" i="36" s="1"/>
  <c r="BI37" i="36" s="1"/>
  <c r="AN13" i="36"/>
  <c r="AE36" i="36"/>
  <c r="AO56" i="36"/>
  <c r="AL52" i="36"/>
  <c r="AQ64" i="36"/>
  <c r="BI64" i="36" s="1"/>
  <c r="AQ4" i="36"/>
  <c r="BI4" i="36" s="1"/>
  <c r="AE56" i="36"/>
  <c r="AL4" i="36"/>
  <c r="AE17" i="36"/>
  <c r="AE13" i="36"/>
  <c r="AN4" i="36"/>
  <c r="AD52" i="36"/>
  <c r="AC33" i="36"/>
  <c r="AQ33" i="36" s="1"/>
  <c r="BI33" i="36" s="1"/>
  <c r="Y19" i="36"/>
  <c r="AE40" i="36"/>
  <c r="AD23" i="36"/>
  <c r="AN23" i="36"/>
  <c r="AC5" i="36"/>
  <c r="AQ5" i="36" s="1"/>
  <c r="BI5" i="36" s="1"/>
  <c r="AD48" i="36"/>
  <c r="AN48" i="36"/>
  <c r="AD68" i="36"/>
  <c r="AQ12" i="36"/>
  <c r="BI12" i="36" s="1"/>
  <c r="AO17" i="36"/>
  <c r="Y39" i="36"/>
  <c r="AO40" i="36"/>
  <c r="AE23" i="36"/>
  <c r="AE48" i="36"/>
  <c r="AL8" i="36"/>
  <c r="AE4" i="36"/>
  <c r="AN68" i="36"/>
  <c r="Y66" i="36"/>
  <c r="Y25" i="36"/>
  <c r="AQ25" i="36" s="1"/>
  <c r="BI25" i="36" s="1"/>
  <c r="AC38" i="36"/>
  <c r="AQ38" i="36" s="1"/>
  <c r="BI38" i="36" s="1"/>
  <c r="AL17" i="36"/>
  <c r="AC34" i="36"/>
  <c r="AO68" i="36"/>
  <c r="AN30" i="36"/>
  <c r="AC63" i="36"/>
  <c r="AQ11" i="36"/>
  <c r="BI11" i="36" s="1"/>
  <c r="AE30" i="36"/>
  <c r="Y21" i="36"/>
  <c r="AD13" i="36"/>
  <c r="Y20" i="36"/>
  <c r="Y71" i="36"/>
  <c r="Y46" i="36"/>
  <c r="AC50" i="36"/>
  <c r="AO30" i="36"/>
  <c r="AL30" i="36"/>
  <c r="AC8" i="36"/>
  <c r="AQ8" i="36" s="1"/>
  <c r="BI8" i="36" s="1"/>
  <c r="AC39" i="36"/>
  <c r="Y10" i="36"/>
  <c r="AC21" i="36"/>
  <c r="AC66" i="36"/>
  <c r="Y58" i="36"/>
  <c r="AQ16" i="36"/>
  <c r="BI16" i="36" s="1"/>
  <c r="AC42" i="36"/>
  <c r="AQ29" i="36"/>
  <c r="BI29" i="36" s="1"/>
  <c r="AC46" i="36"/>
  <c r="AQ22" i="36"/>
  <c r="BI22" i="36" s="1"/>
  <c r="AC54" i="36"/>
  <c r="AC35" i="36"/>
  <c r="AC26" i="36"/>
  <c r="AC51" i="36"/>
  <c r="AQ36" i="36"/>
  <c r="BI36" i="36" s="1"/>
  <c r="AC67" i="36"/>
  <c r="AC58" i="36"/>
  <c r="AQ28" i="36"/>
  <c r="BI28" i="36" s="1"/>
  <c r="AO24" i="36"/>
  <c r="AE24" i="36"/>
  <c r="AL24" i="36"/>
  <c r="AD24" i="36"/>
  <c r="AN24" i="36"/>
  <c r="AL67" i="36"/>
  <c r="AD67" i="36"/>
  <c r="AN67" i="36"/>
  <c r="AE67" i="36"/>
  <c r="AO67" i="36"/>
  <c r="AL11" i="36"/>
  <c r="AD11" i="36"/>
  <c r="AN11" i="36"/>
  <c r="AE11" i="36"/>
  <c r="AO11" i="36"/>
  <c r="O72" i="36"/>
  <c r="P3" i="36"/>
  <c r="P72" i="36" s="1"/>
  <c r="AL31" i="36"/>
  <c r="AD31" i="36"/>
  <c r="AN31" i="36"/>
  <c r="AE31" i="36"/>
  <c r="AO31" i="36"/>
  <c r="AL15" i="36"/>
  <c r="AD15" i="36"/>
  <c r="AN15" i="36"/>
  <c r="AE15" i="36"/>
  <c r="AO15" i="36"/>
  <c r="AO61" i="36"/>
  <c r="AL61" i="36"/>
  <c r="AD61" i="36"/>
  <c r="AE61" i="36"/>
  <c r="AN61" i="36"/>
  <c r="AO18" i="36"/>
  <c r="AE18" i="36"/>
  <c r="AL18" i="36"/>
  <c r="AD18" i="36"/>
  <c r="AN18" i="36"/>
  <c r="AL6" i="36"/>
  <c r="AD6" i="36"/>
  <c r="AN6" i="36"/>
  <c r="AE6" i="36"/>
  <c r="AO6" i="36"/>
  <c r="AO9" i="36"/>
  <c r="AN9" i="36"/>
  <c r="AL9" i="36"/>
  <c r="AD9" i="36"/>
  <c r="AE9" i="36"/>
  <c r="AL62" i="36"/>
  <c r="AD62" i="36"/>
  <c r="AN62" i="36"/>
  <c r="AE62" i="36"/>
  <c r="AO62" i="36"/>
  <c r="AL39" i="36"/>
  <c r="AD39" i="36"/>
  <c r="AN39" i="36"/>
  <c r="AE39" i="36"/>
  <c r="AO39" i="36"/>
  <c r="AL21" i="36"/>
  <c r="AD21" i="36"/>
  <c r="AN21" i="36"/>
  <c r="AE21" i="36"/>
  <c r="AO21" i="36"/>
  <c r="AO49" i="36"/>
  <c r="AL49" i="36"/>
  <c r="AD49" i="36"/>
  <c r="AE49" i="36"/>
  <c r="AN49" i="36"/>
  <c r="AL42" i="36"/>
  <c r="AD42" i="36"/>
  <c r="AN42" i="36"/>
  <c r="AE42" i="36"/>
  <c r="AO42" i="36"/>
  <c r="S72" i="36"/>
  <c r="AA3" i="36"/>
  <c r="AA72" i="36" s="1"/>
  <c r="W3" i="36"/>
  <c r="W72" i="36" s="1"/>
  <c r="AL63" i="36"/>
  <c r="AD63" i="36"/>
  <c r="AN63" i="36"/>
  <c r="AE63" i="36"/>
  <c r="AO63" i="36"/>
  <c r="AL35" i="36"/>
  <c r="AD35" i="36"/>
  <c r="AN35" i="36"/>
  <c r="AE35" i="36"/>
  <c r="AO35" i="36"/>
  <c r="AO53" i="36"/>
  <c r="AL53" i="36"/>
  <c r="AD53" i="36"/>
  <c r="AN53" i="36"/>
  <c r="AE53" i="36"/>
  <c r="AL54" i="36"/>
  <c r="AD54" i="36"/>
  <c r="AN54" i="36"/>
  <c r="AE54" i="36"/>
  <c r="AO54" i="36"/>
  <c r="AL46" i="36"/>
  <c r="AD46" i="36"/>
  <c r="AN46" i="36"/>
  <c r="AE46" i="36"/>
  <c r="AO46" i="36"/>
  <c r="AO26" i="36"/>
  <c r="AL26" i="36"/>
  <c r="AD26" i="36"/>
  <c r="AN26" i="36"/>
  <c r="AE26" i="36"/>
  <c r="AL51" i="36"/>
  <c r="AD51" i="36"/>
  <c r="AN51" i="36"/>
  <c r="AE51" i="36"/>
  <c r="AO51" i="36"/>
  <c r="AC7" i="36"/>
  <c r="Y31" i="36"/>
  <c r="Y15" i="36"/>
  <c r="AC20" i="36"/>
  <c r="Y27" i="36"/>
  <c r="AC70" i="36"/>
  <c r="AQ56" i="36"/>
  <c r="BI56" i="36" s="1"/>
  <c r="AC43" i="36"/>
  <c r="AC59" i="36"/>
  <c r="Y6" i="36"/>
  <c r="AC47" i="36"/>
  <c r="AC55" i="36"/>
  <c r="Y62" i="36"/>
  <c r="AL28" i="36"/>
  <c r="AD28" i="36"/>
  <c r="AN28" i="36"/>
  <c r="AE28" i="36"/>
  <c r="AO28" i="36"/>
  <c r="T72" i="36"/>
  <c r="AL10" i="36"/>
  <c r="AD10" i="36"/>
  <c r="AO10" i="36"/>
  <c r="AN10" i="36"/>
  <c r="AE10" i="36"/>
  <c r="AL58" i="36"/>
  <c r="AD58" i="36"/>
  <c r="AN58" i="36"/>
  <c r="AE58" i="36"/>
  <c r="AO58" i="36"/>
  <c r="AL7" i="36"/>
  <c r="AD7" i="36"/>
  <c r="AN7" i="36"/>
  <c r="AE7" i="36"/>
  <c r="AO7" i="36"/>
  <c r="AO20" i="36"/>
  <c r="AL20" i="36"/>
  <c r="AD20" i="36"/>
  <c r="AN20" i="36"/>
  <c r="AE20" i="36"/>
  <c r="AO69" i="36"/>
  <c r="AL69" i="36"/>
  <c r="AD69" i="36"/>
  <c r="AN69" i="36"/>
  <c r="AE69" i="36"/>
  <c r="AL34" i="36"/>
  <c r="AD34" i="36"/>
  <c r="AN34" i="36"/>
  <c r="AE34" i="36"/>
  <c r="AO34" i="36"/>
  <c r="AL70" i="36"/>
  <c r="AD70" i="36"/>
  <c r="AN70" i="36"/>
  <c r="AE70" i="36"/>
  <c r="AO70" i="36"/>
  <c r="AO14" i="36"/>
  <c r="AE14" i="36"/>
  <c r="AN14" i="36"/>
  <c r="AL14" i="36"/>
  <c r="AD14" i="36"/>
  <c r="AL43" i="36"/>
  <c r="AD43" i="36"/>
  <c r="AN43" i="36"/>
  <c r="AE43" i="36"/>
  <c r="AO43" i="36"/>
  <c r="AL59" i="36"/>
  <c r="AD59" i="36"/>
  <c r="AN59" i="36"/>
  <c r="AE59" i="36"/>
  <c r="AO59" i="36"/>
  <c r="AO41" i="36"/>
  <c r="AL41" i="36"/>
  <c r="AD41" i="36"/>
  <c r="AN41" i="36"/>
  <c r="AE41" i="36"/>
  <c r="AL50" i="36"/>
  <c r="AD50" i="36"/>
  <c r="AN50" i="36"/>
  <c r="AE50" i="36"/>
  <c r="AO50" i="36"/>
  <c r="AL47" i="36"/>
  <c r="AD47" i="36"/>
  <c r="AN47" i="36"/>
  <c r="AE47" i="36"/>
  <c r="AO47" i="36"/>
  <c r="AL55" i="36"/>
  <c r="AD55" i="36"/>
  <c r="AN55" i="36"/>
  <c r="AE55" i="36"/>
  <c r="AO55" i="36"/>
  <c r="AO33" i="36"/>
  <c r="AL33" i="36"/>
  <c r="AD33" i="36"/>
  <c r="AN33" i="36"/>
  <c r="AE33" i="36"/>
  <c r="Y42" i="36"/>
  <c r="Y63" i="36"/>
  <c r="Y35" i="36"/>
  <c r="AC27" i="36"/>
  <c r="AC71" i="36"/>
  <c r="Y54" i="36"/>
  <c r="AC19" i="36"/>
  <c r="Y51" i="36"/>
  <c r="AO37" i="36"/>
  <c r="AL37" i="36"/>
  <c r="AD37" i="36"/>
  <c r="AN37" i="36"/>
  <c r="AE37" i="36"/>
  <c r="AO65" i="36"/>
  <c r="AL65" i="36"/>
  <c r="AD65" i="36"/>
  <c r="AE65" i="36"/>
  <c r="AN65" i="36"/>
  <c r="AO5" i="36"/>
  <c r="AL5" i="36"/>
  <c r="AD5" i="36"/>
  <c r="AN5" i="36"/>
  <c r="AE5" i="36"/>
  <c r="AL27" i="36"/>
  <c r="AD27" i="36"/>
  <c r="AO27" i="36"/>
  <c r="AN27" i="36"/>
  <c r="AE27" i="36"/>
  <c r="AL71" i="36"/>
  <c r="AD71" i="36"/>
  <c r="AN71" i="36"/>
  <c r="AE71" i="36"/>
  <c r="AO71" i="36"/>
  <c r="AL25" i="36"/>
  <c r="AD25" i="36"/>
  <c r="AN25" i="36"/>
  <c r="AE25" i="36"/>
  <c r="AO25" i="36"/>
  <c r="AL22" i="36"/>
  <c r="AD22" i="36"/>
  <c r="AN22" i="36"/>
  <c r="AE22" i="36"/>
  <c r="AO22" i="36"/>
  <c r="R72" i="36"/>
  <c r="Z3" i="36"/>
  <c r="U3" i="36"/>
  <c r="V3" i="36"/>
  <c r="AL19" i="36"/>
  <c r="AD19" i="36"/>
  <c r="AN19" i="36"/>
  <c r="AE19" i="36"/>
  <c r="AO19" i="36"/>
  <c r="AO57" i="36"/>
  <c r="AL57" i="36"/>
  <c r="AD57" i="36"/>
  <c r="AN57" i="36"/>
  <c r="AE57" i="36"/>
  <c r="AL66" i="36"/>
  <c r="AD66" i="36"/>
  <c r="AN66" i="36"/>
  <c r="AE66" i="36"/>
  <c r="AO66" i="36"/>
  <c r="AO45" i="36"/>
  <c r="AL45" i="36"/>
  <c r="AD45" i="36"/>
  <c r="AN45" i="36"/>
  <c r="AE45" i="36"/>
  <c r="Y7" i="36"/>
  <c r="AC31" i="36"/>
  <c r="AC15" i="36"/>
  <c r="Y34" i="36"/>
  <c r="Y70" i="36"/>
  <c r="Y43" i="36"/>
  <c r="Y59" i="36"/>
  <c r="AC6" i="36"/>
  <c r="Y26" i="36"/>
  <c r="Y50" i="36"/>
  <c r="Y47" i="36"/>
  <c r="Y55" i="36"/>
  <c r="AC62" i="36"/>
  <c r="M11" i="33"/>
  <c r="M15" i="33"/>
  <c r="K29" i="33"/>
  <c r="K51" i="33"/>
  <c r="L43" i="33"/>
  <c r="K59" i="33"/>
  <c r="L42" i="33"/>
  <c r="K62" i="33"/>
  <c r="L6" i="33"/>
  <c r="K22" i="33"/>
  <c r="K55" i="33"/>
  <c r="M67" i="33"/>
  <c r="K3" i="33"/>
  <c r="R3" i="33" s="1"/>
  <c r="L19" i="33"/>
  <c r="L21" i="33"/>
  <c r="K34" i="33"/>
  <c r="L35" i="33"/>
  <c r="L54" i="33"/>
  <c r="L67" i="33"/>
  <c r="K6" i="33"/>
  <c r="N14" i="33"/>
  <c r="K15" i="33"/>
  <c r="L27" i="33"/>
  <c r="N45" i="33"/>
  <c r="K54" i="33"/>
  <c r="M55" i="33"/>
  <c r="N65" i="33"/>
  <c r="K71" i="33"/>
  <c r="K5" i="33"/>
  <c r="M14" i="33"/>
  <c r="K17" i="33"/>
  <c r="K18" i="33"/>
  <c r="K25" i="33"/>
  <c r="M31" i="33"/>
  <c r="K38" i="33"/>
  <c r="L51" i="33"/>
  <c r="L55" i="33"/>
  <c r="K63" i="33"/>
  <c r="M68" i="33"/>
  <c r="M5" i="33"/>
  <c r="L5" i="33"/>
  <c r="M6" i="33"/>
  <c r="L9" i="33"/>
  <c r="N15" i="33"/>
  <c r="L30" i="33"/>
  <c r="N32" i="33"/>
  <c r="M43" i="33"/>
  <c r="K50" i="33"/>
  <c r="M51" i="33"/>
  <c r="L62" i="33"/>
  <c r="M9" i="33"/>
  <c r="L50" i="33"/>
  <c r="V14" i="33"/>
  <c r="Z39" i="33"/>
  <c r="M47" i="33"/>
  <c r="L4" i="33"/>
  <c r="K9" i="33"/>
  <c r="L11" i="33"/>
  <c r="L14" i="33"/>
  <c r="M16" i="33"/>
  <c r="K19" i="33"/>
  <c r="L20" i="33"/>
  <c r="S20" i="33" s="1"/>
  <c r="N24" i="33"/>
  <c r="L26" i="33"/>
  <c r="K30" i="33"/>
  <c r="R30" i="33" s="1"/>
  <c r="L31" i="33"/>
  <c r="S31" i="33" s="1"/>
  <c r="N37" i="33"/>
  <c r="M39" i="33"/>
  <c r="N40" i="33"/>
  <c r="K42" i="33"/>
  <c r="K43" i="33"/>
  <c r="L46" i="33"/>
  <c r="L47" i="33"/>
  <c r="N52" i="33"/>
  <c r="L58" i="33"/>
  <c r="S58" i="33" s="1"/>
  <c r="M59" i="33"/>
  <c r="N61" i="33"/>
  <c r="M63" i="33"/>
  <c r="L66" i="33"/>
  <c r="K67" i="33"/>
  <c r="R67" i="33" s="1"/>
  <c r="L70" i="33"/>
  <c r="M71" i="33"/>
  <c r="M20" i="33"/>
  <c r="M26" i="33"/>
  <c r="V39" i="33"/>
  <c r="K4" i="33"/>
  <c r="D72" i="33"/>
  <c r="L12" i="33"/>
  <c r="K16" i="33"/>
  <c r="K20" i="33"/>
  <c r="R20" i="33" s="1"/>
  <c r="M21" i="33"/>
  <c r="K26" i="33"/>
  <c r="M27" i="33"/>
  <c r="L34" i="33"/>
  <c r="M35" i="33"/>
  <c r="L38" i="33"/>
  <c r="S38" i="33" s="1"/>
  <c r="L39" i="33"/>
  <c r="S39" i="33" s="1"/>
  <c r="K46" i="33"/>
  <c r="R46" i="33" s="1"/>
  <c r="K47" i="33"/>
  <c r="R47" i="33" s="1"/>
  <c r="N49" i="33"/>
  <c r="N56" i="33"/>
  <c r="K58" i="33"/>
  <c r="L59" i="33"/>
  <c r="S59" i="33" s="1"/>
  <c r="L63" i="33"/>
  <c r="K66" i="33"/>
  <c r="R66" i="33" s="1"/>
  <c r="K70" i="33"/>
  <c r="L71" i="33"/>
  <c r="S71" i="33" s="1"/>
  <c r="Z13" i="33"/>
  <c r="V13" i="33"/>
  <c r="Z10" i="33"/>
  <c r="V10" i="33"/>
  <c r="Z12" i="33"/>
  <c r="V12" i="33"/>
  <c r="W16" i="33"/>
  <c r="AA16" i="33"/>
  <c r="W23" i="33"/>
  <c r="AA23" i="33"/>
  <c r="S3" i="33"/>
  <c r="AA17" i="33"/>
  <c r="W17" i="33"/>
  <c r="AA22" i="33"/>
  <c r="W22" i="33"/>
  <c r="M33" i="33"/>
  <c r="L33" i="33"/>
  <c r="S33" i="33" s="1"/>
  <c r="N33" i="33"/>
  <c r="V35" i="33"/>
  <c r="Z35" i="33"/>
  <c r="L36" i="33"/>
  <c r="S36" i="33" s="1"/>
  <c r="K36" i="33"/>
  <c r="R36" i="33" s="1"/>
  <c r="N36" i="33"/>
  <c r="K28" i="33"/>
  <c r="R28" i="33" s="1"/>
  <c r="L28" i="33"/>
  <c r="S28" i="33" s="1"/>
  <c r="V41" i="33"/>
  <c r="Z41" i="33"/>
  <c r="L48" i="33"/>
  <c r="S48" i="33" s="1"/>
  <c r="K48" i="33"/>
  <c r="R48" i="33" s="1"/>
  <c r="N48" i="33"/>
  <c r="L25" i="33"/>
  <c r="S25" i="33" s="1"/>
  <c r="M25" i="33"/>
  <c r="L44" i="33"/>
  <c r="S44" i="33" s="1"/>
  <c r="K44" i="33"/>
  <c r="R44" i="33" s="1"/>
  <c r="M44" i="33"/>
  <c r="N44" i="33"/>
  <c r="K24" i="33"/>
  <c r="R24" i="33" s="1"/>
  <c r="L24" i="33"/>
  <c r="S24" i="33" s="1"/>
  <c r="L29" i="33"/>
  <c r="S29" i="33" s="1"/>
  <c r="M29" i="33"/>
  <c r="V37" i="33"/>
  <c r="Z37" i="33"/>
  <c r="M41" i="33"/>
  <c r="L41" i="33"/>
  <c r="S41" i="33" s="1"/>
  <c r="N41" i="33"/>
  <c r="V45" i="33"/>
  <c r="Z45" i="33"/>
  <c r="V65" i="33"/>
  <c r="Z65" i="33"/>
  <c r="M69" i="33"/>
  <c r="L69" i="33"/>
  <c r="S69" i="33" s="1"/>
  <c r="K69" i="33"/>
  <c r="R69" i="33" s="1"/>
  <c r="N69" i="33"/>
  <c r="N7" i="33"/>
  <c r="Z21" i="33"/>
  <c r="N3" i="33"/>
  <c r="AM3" i="33" s="1"/>
  <c r="N8" i="33"/>
  <c r="N13" i="33"/>
  <c r="Z14" i="33"/>
  <c r="M3" i="33"/>
  <c r="AF72" i="33"/>
  <c r="N4" i="33"/>
  <c r="AR6" i="33"/>
  <c r="AR72" i="33" s="1"/>
  <c r="L7" i="33"/>
  <c r="S7" i="33" s="1"/>
  <c r="L8" i="33"/>
  <c r="S8" i="33" s="1"/>
  <c r="M10" i="33"/>
  <c r="N12" i="33"/>
  <c r="M13" i="33"/>
  <c r="N17" i="33"/>
  <c r="N18" i="33"/>
  <c r="V21" i="33"/>
  <c r="N22" i="33"/>
  <c r="M23" i="33"/>
  <c r="K7" i="33"/>
  <c r="R7" i="33" s="1"/>
  <c r="K8" i="33"/>
  <c r="R8" i="33" s="1"/>
  <c r="L10" i="33"/>
  <c r="N11" i="33"/>
  <c r="M12" i="33"/>
  <c r="L13" i="33"/>
  <c r="N16" i="33"/>
  <c r="M17" i="33"/>
  <c r="L18" i="33"/>
  <c r="S18" i="33" s="1"/>
  <c r="N19" i="33"/>
  <c r="N21" i="33"/>
  <c r="M22" i="33"/>
  <c r="K23" i="33"/>
  <c r="R23" i="33" s="1"/>
  <c r="N28" i="33"/>
  <c r="K33" i="33"/>
  <c r="R33" i="33" s="1"/>
  <c r="M36" i="33"/>
  <c r="V49" i="33"/>
  <c r="Z49" i="33"/>
  <c r="M53" i="33"/>
  <c r="L53" i="33"/>
  <c r="S53" i="33" s="1"/>
  <c r="K53" i="33"/>
  <c r="R53" i="33" s="1"/>
  <c r="N53" i="33"/>
  <c r="V57" i="33"/>
  <c r="Z57" i="33"/>
  <c r="L64" i="33"/>
  <c r="S64" i="33" s="1"/>
  <c r="K64" i="33"/>
  <c r="R64" i="33" s="1"/>
  <c r="N64" i="33"/>
  <c r="L60" i="33"/>
  <c r="S60" i="33" s="1"/>
  <c r="K60" i="33"/>
  <c r="R60" i="33" s="1"/>
  <c r="M60" i="33"/>
  <c r="N60" i="33"/>
  <c r="M57" i="33"/>
  <c r="L57" i="33"/>
  <c r="N57" i="33"/>
  <c r="V61" i="33"/>
  <c r="Z61" i="33"/>
  <c r="AG72" i="33"/>
  <c r="N10" i="33"/>
  <c r="N23" i="33"/>
  <c r="M45" i="33"/>
  <c r="L45" i="33"/>
  <c r="S45" i="33" s="1"/>
  <c r="L52" i="33"/>
  <c r="S52" i="33" s="1"/>
  <c r="K52" i="33"/>
  <c r="R52" i="33" s="1"/>
  <c r="M61" i="33"/>
  <c r="L61" i="33"/>
  <c r="S61" i="33" s="1"/>
  <c r="L68" i="33"/>
  <c r="S68" i="33" s="1"/>
  <c r="K68" i="33"/>
  <c r="R68" i="33" s="1"/>
  <c r="K27" i="33"/>
  <c r="R27" i="33" s="1"/>
  <c r="L32" i="33"/>
  <c r="S32" i="33" s="1"/>
  <c r="K32" i="33"/>
  <c r="R32" i="33" s="1"/>
  <c r="M37" i="33"/>
  <c r="L37" i="33"/>
  <c r="S37" i="33" s="1"/>
  <c r="L40" i="33"/>
  <c r="S40" i="33" s="1"/>
  <c r="K40" i="33"/>
  <c r="R40" i="33" s="1"/>
  <c r="M49" i="33"/>
  <c r="L49" i="33"/>
  <c r="L56" i="33"/>
  <c r="S56" i="33" s="1"/>
  <c r="K56" i="33"/>
  <c r="R56" i="33" s="1"/>
  <c r="M65" i="33"/>
  <c r="L65" i="33"/>
  <c r="M30" i="33"/>
  <c r="N31" i="33"/>
  <c r="M34" i="33"/>
  <c r="N35" i="33"/>
  <c r="M38" i="33"/>
  <c r="N39" i="33"/>
  <c r="M42" i="33"/>
  <c r="M46" i="33"/>
  <c r="M50" i="33"/>
  <c r="M54" i="33"/>
  <c r="M58" i="33"/>
  <c r="M62" i="33"/>
  <c r="M66" i="33"/>
  <c r="M70" i="33"/>
  <c r="Z11" i="33" l="1"/>
  <c r="AA15" i="33"/>
  <c r="Z31" i="33"/>
  <c r="S30" i="33"/>
  <c r="AA30" i="33" s="1"/>
  <c r="S65" i="33"/>
  <c r="U65" i="33" s="1"/>
  <c r="R26" i="33"/>
  <c r="V26" i="33" s="1"/>
  <c r="S50" i="33"/>
  <c r="W50" i="33" s="1"/>
  <c r="S51" i="33"/>
  <c r="AA51" i="33" s="1"/>
  <c r="R71" i="33"/>
  <c r="V71" i="33" s="1"/>
  <c r="R6" i="33"/>
  <c r="Z6" i="33" s="1"/>
  <c r="R70" i="33"/>
  <c r="S14" i="33"/>
  <c r="U14" i="33" s="1"/>
  <c r="S9" i="33"/>
  <c r="AA9" i="33" s="1"/>
  <c r="R38" i="33"/>
  <c r="V38" i="33" s="1"/>
  <c r="S67" i="33"/>
  <c r="AA67" i="33" s="1"/>
  <c r="R55" i="33"/>
  <c r="V55" i="33" s="1"/>
  <c r="R51" i="33"/>
  <c r="V51" i="33" s="1"/>
  <c r="S11" i="33"/>
  <c r="AA11" i="33" s="1"/>
  <c r="S62" i="33"/>
  <c r="AA62" i="33" s="1"/>
  <c r="S54" i="33"/>
  <c r="AA54" i="33" s="1"/>
  <c r="R22" i="33"/>
  <c r="U22" i="33" s="1"/>
  <c r="R29" i="33"/>
  <c r="Z29" i="33" s="1"/>
  <c r="S63" i="33"/>
  <c r="W63" i="33" s="1"/>
  <c r="R16" i="33"/>
  <c r="U16" i="33" s="1"/>
  <c r="S70" i="33"/>
  <c r="W70" i="33" s="1"/>
  <c r="S47" i="33"/>
  <c r="W47" i="33" s="1"/>
  <c r="R9" i="33"/>
  <c r="V9" i="33" s="1"/>
  <c r="S5" i="33"/>
  <c r="W5" i="33" s="1"/>
  <c r="R25" i="33"/>
  <c r="V25" i="33" s="1"/>
  <c r="R54" i="33"/>
  <c r="V54" i="33" s="1"/>
  <c r="S35" i="33"/>
  <c r="AA35" i="33" s="1"/>
  <c r="AC35" i="33" s="1"/>
  <c r="S6" i="33"/>
  <c r="AA6" i="33" s="1"/>
  <c r="R19" i="33"/>
  <c r="V19" i="33" s="1"/>
  <c r="R5" i="33"/>
  <c r="V5" i="33" s="1"/>
  <c r="S49" i="33"/>
  <c r="U49" i="33" s="1"/>
  <c r="S57" i="33"/>
  <c r="U57" i="33" s="1"/>
  <c r="S12" i="33"/>
  <c r="AA12" i="33" s="1"/>
  <c r="AC12" i="33" s="1"/>
  <c r="S46" i="33"/>
  <c r="AA46" i="33" s="1"/>
  <c r="S26" i="33"/>
  <c r="W26" i="33" s="1"/>
  <c r="S4" i="33"/>
  <c r="AA4" i="33" s="1"/>
  <c r="R50" i="33"/>
  <c r="R18" i="33"/>
  <c r="Z18" i="33" s="1"/>
  <c r="R34" i="33"/>
  <c r="Z34" i="33" s="1"/>
  <c r="R62" i="33"/>
  <c r="V62" i="33" s="1"/>
  <c r="S13" i="33"/>
  <c r="U13" i="33" s="1"/>
  <c r="S10" i="33"/>
  <c r="U10" i="33" s="1"/>
  <c r="R58" i="33"/>
  <c r="U58" i="33" s="1"/>
  <c r="AL58" i="33" s="1"/>
  <c r="S34" i="33"/>
  <c r="AA34" i="33" s="1"/>
  <c r="S66" i="33"/>
  <c r="AA66" i="33" s="1"/>
  <c r="R43" i="33"/>
  <c r="Z43" i="33" s="1"/>
  <c r="R17" i="33"/>
  <c r="V17" i="33" s="1"/>
  <c r="Y17" i="33" s="1"/>
  <c r="S27" i="33"/>
  <c r="W27" i="33" s="1"/>
  <c r="S21" i="33"/>
  <c r="W21" i="33" s="1"/>
  <c r="Y21" i="33" s="1"/>
  <c r="S42" i="33"/>
  <c r="AA42" i="33" s="1"/>
  <c r="S55" i="33"/>
  <c r="W55" i="33" s="1"/>
  <c r="S43" i="33"/>
  <c r="W43" i="33" s="1"/>
  <c r="R4" i="33"/>
  <c r="Z4" i="33" s="1"/>
  <c r="R42" i="33"/>
  <c r="V42" i="33" s="1"/>
  <c r="R63" i="33"/>
  <c r="R15" i="33"/>
  <c r="V15" i="33" s="1"/>
  <c r="Y15" i="33" s="1"/>
  <c r="S19" i="33"/>
  <c r="AA19" i="33" s="1"/>
  <c r="R59" i="33"/>
  <c r="Z59" i="33" s="1"/>
  <c r="AW72" i="37"/>
  <c r="BA72" i="37"/>
  <c r="Q58" i="33"/>
  <c r="Q51" i="33"/>
  <c r="Q34" i="33"/>
  <c r="Q67" i="33"/>
  <c r="Q42" i="33"/>
  <c r="Q54" i="33"/>
  <c r="O39" i="33"/>
  <c r="P39" i="33" s="1"/>
  <c r="Q39" i="33" s="1"/>
  <c r="AM39" i="33"/>
  <c r="O17" i="33"/>
  <c r="P17" i="33" s="1"/>
  <c r="Q17" i="33" s="1"/>
  <c r="AM17" i="33"/>
  <c r="O11" i="33"/>
  <c r="P11" i="33" s="1"/>
  <c r="Q11" i="33" s="1"/>
  <c r="AM11" i="33"/>
  <c r="O41" i="33"/>
  <c r="P41" i="33" s="1"/>
  <c r="Q41" i="33" s="1"/>
  <c r="AM41" i="33"/>
  <c r="O48" i="33"/>
  <c r="P48" i="33" s="1"/>
  <c r="Q48" i="33" s="1"/>
  <c r="AM48" i="33"/>
  <c r="O65" i="33"/>
  <c r="P65" i="33" s="1"/>
  <c r="Q65" i="33" s="1"/>
  <c r="AM65" i="33"/>
  <c r="BD72" i="39"/>
  <c r="O31" i="33"/>
  <c r="P31" i="33" s="1"/>
  <c r="Q31" i="33" s="1"/>
  <c r="AM31" i="33"/>
  <c r="O21" i="33"/>
  <c r="P21" i="33" s="1"/>
  <c r="Q21" i="33" s="1"/>
  <c r="AM21" i="33"/>
  <c r="O16" i="33"/>
  <c r="P16" i="33" s="1"/>
  <c r="Q16" i="33" s="1"/>
  <c r="AM16" i="33"/>
  <c r="O44" i="33"/>
  <c r="P44" i="33" s="1"/>
  <c r="Q44" i="33" s="1"/>
  <c r="AM44" i="33"/>
  <c r="O52" i="33"/>
  <c r="P52" i="33" s="1"/>
  <c r="AM52" i="33"/>
  <c r="O18" i="33"/>
  <c r="P18" i="33" s="1"/>
  <c r="Q18" i="33" s="1"/>
  <c r="AM18" i="33"/>
  <c r="O13" i="33"/>
  <c r="P13" i="33" s="1"/>
  <c r="Q13" i="33" s="1"/>
  <c r="AM13" i="33"/>
  <c r="O37" i="33"/>
  <c r="P37" i="33" s="1"/>
  <c r="Q37" i="33" s="1"/>
  <c r="AM37" i="33"/>
  <c r="O24" i="33"/>
  <c r="P24" i="33" s="1"/>
  <c r="Q24" i="33" s="1"/>
  <c r="AM24" i="33"/>
  <c r="O35" i="33"/>
  <c r="P35" i="33" s="1"/>
  <c r="Q35" i="33" s="1"/>
  <c r="AM35" i="33"/>
  <c r="O12" i="33"/>
  <c r="P12" i="33" s="1"/>
  <c r="Q12" i="33" s="1"/>
  <c r="AM12" i="33"/>
  <c r="O45" i="33"/>
  <c r="P45" i="33" s="1"/>
  <c r="Q45" i="33" s="1"/>
  <c r="AM45" i="33"/>
  <c r="BD72" i="40"/>
  <c r="O8" i="33"/>
  <c r="P8" i="33" s="1"/>
  <c r="Q8" i="33" s="1"/>
  <c r="AM8" i="33"/>
  <c r="O56" i="33"/>
  <c r="P56" i="33" s="1"/>
  <c r="Q56" i="33" s="1"/>
  <c r="AM56" i="33"/>
  <c r="O32" i="33"/>
  <c r="P32" i="33" s="1"/>
  <c r="AM32" i="33"/>
  <c r="O10" i="33"/>
  <c r="P10" i="33" s="1"/>
  <c r="Q10" i="33" s="1"/>
  <c r="AM10" i="33"/>
  <c r="O4" i="33"/>
  <c r="P4" i="33" s="1"/>
  <c r="Q4" i="33" s="1"/>
  <c r="AM4" i="33"/>
  <c r="O33" i="33"/>
  <c r="P33" i="33" s="1"/>
  <c r="Q33" i="33" s="1"/>
  <c r="AM33" i="33"/>
  <c r="O23" i="33"/>
  <c r="P23" i="33" s="1"/>
  <c r="Q23" i="33" s="1"/>
  <c r="AM23" i="33"/>
  <c r="O57" i="33"/>
  <c r="P57" i="33" s="1"/>
  <c r="Q57" i="33" s="1"/>
  <c r="AM57" i="33"/>
  <c r="O53" i="33"/>
  <c r="P53" i="33" s="1"/>
  <c r="Q53" i="33" s="1"/>
  <c r="AM53" i="33"/>
  <c r="O69" i="33"/>
  <c r="P69" i="33" s="1"/>
  <c r="Q69" i="33" s="1"/>
  <c r="AM69" i="33"/>
  <c r="O36" i="33"/>
  <c r="P36" i="33" s="1"/>
  <c r="Q36" i="33" s="1"/>
  <c r="AM36" i="33"/>
  <c r="O15" i="33"/>
  <c r="P15" i="33" s="1"/>
  <c r="Q15" i="33" s="1"/>
  <c r="AM15" i="33"/>
  <c r="O60" i="33"/>
  <c r="P60" i="33" s="1"/>
  <c r="Q60" i="33" s="1"/>
  <c r="AM60" i="33"/>
  <c r="O64" i="33"/>
  <c r="P64" i="33" s="1"/>
  <c r="Q64" i="33" s="1"/>
  <c r="AM64" i="33"/>
  <c r="O28" i="33"/>
  <c r="P28" i="33" s="1"/>
  <c r="Q28" i="33" s="1"/>
  <c r="AM28" i="33"/>
  <c r="O19" i="33"/>
  <c r="P19" i="33" s="1"/>
  <c r="Q19" i="33" s="1"/>
  <c r="AM19" i="33"/>
  <c r="O22" i="33"/>
  <c r="P22" i="33" s="1"/>
  <c r="Q22" i="33" s="1"/>
  <c r="AM22" i="33"/>
  <c r="O7" i="33"/>
  <c r="P7" i="33" s="1"/>
  <c r="Q7" i="33" s="1"/>
  <c r="AM7" i="33"/>
  <c r="O49" i="33"/>
  <c r="P49" i="33" s="1"/>
  <c r="Q49" i="33" s="1"/>
  <c r="AM49" i="33"/>
  <c r="O61" i="33"/>
  <c r="P61" i="33" s="1"/>
  <c r="Q61" i="33" s="1"/>
  <c r="AM61" i="33"/>
  <c r="O40" i="33"/>
  <c r="P40" i="33" s="1"/>
  <c r="Q40" i="33" s="1"/>
  <c r="AM40" i="33"/>
  <c r="O14" i="33"/>
  <c r="P14" i="33" s="1"/>
  <c r="AM14" i="33"/>
  <c r="AP72" i="37"/>
  <c r="AP72" i="38"/>
  <c r="BI72" i="40"/>
  <c r="Q70" i="33"/>
  <c r="Q66" i="33"/>
  <c r="AH72" i="37"/>
  <c r="AH72" i="38"/>
  <c r="BB72" i="40"/>
  <c r="BB72" i="39"/>
  <c r="AQ72" i="39"/>
  <c r="AR72" i="38"/>
  <c r="Y72" i="38"/>
  <c r="AW72" i="38" s="1"/>
  <c r="AQ3" i="38"/>
  <c r="AQ72" i="37"/>
  <c r="BI3" i="37"/>
  <c r="AX72" i="37"/>
  <c r="AQ42" i="36"/>
  <c r="BI42" i="36" s="1"/>
  <c r="AQ10" i="36"/>
  <c r="BI10" i="36" s="1"/>
  <c r="AQ67" i="36"/>
  <c r="BI67" i="36" s="1"/>
  <c r="AQ71" i="36"/>
  <c r="BI71" i="36" s="1"/>
  <c r="AQ20" i="36"/>
  <c r="BI20" i="36" s="1"/>
  <c r="AQ39" i="36"/>
  <c r="BI39" i="36" s="1"/>
  <c r="AQ50" i="36"/>
  <c r="BI50" i="36" s="1"/>
  <c r="AQ59" i="36"/>
  <c r="BI59" i="36" s="1"/>
  <c r="U72" i="36"/>
  <c r="AQ46" i="36"/>
  <c r="BI46" i="36" s="1"/>
  <c r="AQ66" i="36"/>
  <c r="BI66" i="36" s="1"/>
  <c r="AQ70" i="36"/>
  <c r="BI70" i="36" s="1"/>
  <c r="AQ58" i="36"/>
  <c r="BI58" i="36" s="1"/>
  <c r="AQ43" i="36"/>
  <c r="BI43" i="36" s="1"/>
  <c r="AQ19" i="36"/>
  <c r="BI19" i="36" s="1"/>
  <c r="AQ34" i="36"/>
  <c r="BI34" i="36" s="1"/>
  <c r="AQ63" i="36"/>
  <c r="BI63" i="36" s="1"/>
  <c r="AQ21" i="36"/>
  <c r="BI21" i="36" s="1"/>
  <c r="AQ35" i="36"/>
  <c r="BI35" i="36" s="1"/>
  <c r="AQ55" i="36"/>
  <c r="BI55" i="36" s="1"/>
  <c r="AQ51" i="36"/>
  <c r="BI51" i="36" s="1"/>
  <c r="AQ54" i="36"/>
  <c r="BI54" i="36" s="1"/>
  <c r="Q3" i="36"/>
  <c r="Q72" i="36" s="1"/>
  <c r="AV72" i="36" s="1"/>
  <c r="AQ7" i="36"/>
  <c r="BI7" i="36" s="1"/>
  <c r="AQ26" i="36"/>
  <c r="BI26" i="36" s="1"/>
  <c r="AQ15" i="36"/>
  <c r="BI15" i="36" s="1"/>
  <c r="V72" i="36"/>
  <c r="Y3" i="36"/>
  <c r="AB72" i="36"/>
  <c r="X72" i="36"/>
  <c r="AQ62" i="36"/>
  <c r="BI62" i="36" s="1"/>
  <c r="AQ27" i="36"/>
  <c r="BI27" i="36" s="1"/>
  <c r="AQ31" i="36"/>
  <c r="BI31" i="36" s="1"/>
  <c r="AL3" i="36"/>
  <c r="AL72" i="36" s="1"/>
  <c r="AD3" i="36"/>
  <c r="AD72" i="36" s="1"/>
  <c r="AN3" i="36"/>
  <c r="AN72" i="36" s="1"/>
  <c r="AE3" i="36"/>
  <c r="AE72" i="36" s="1"/>
  <c r="AO3" i="36"/>
  <c r="AO72" i="36" s="1"/>
  <c r="Z72" i="36"/>
  <c r="AC3" i="36"/>
  <c r="AC72" i="36" s="1"/>
  <c r="AQ47" i="36"/>
  <c r="BI47" i="36" s="1"/>
  <c r="AQ6" i="36"/>
  <c r="BI6" i="36" s="1"/>
  <c r="W58" i="33"/>
  <c r="AA58" i="33"/>
  <c r="W38" i="33"/>
  <c r="V47" i="33"/>
  <c r="Y47" i="33" s="1"/>
  <c r="AA38" i="33"/>
  <c r="Z47" i="33"/>
  <c r="V46" i="33"/>
  <c r="Z46" i="33"/>
  <c r="V30" i="33"/>
  <c r="Z30" i="33"/>
  <c r="W59" i="33"/>
  <c r="AA59" i="33"/>
  <c r="W20" i="33"/>
  <c r="AA20" i="33"/>
  <c r="V66" i="33"/>
  <c r="Z66" i="33"/>
  <c r="W39" i="33"/>
  <c r="Y39" i="33" s="1"/>
  <c r="AA39" i="33"/>
  <c r="AC39" i="33" s="1"/>
  <c r="U39" i="33"/>
  <c r="V67" i="33"/>
  <c r="Z67" i="33"/>
  <c r="W71" i="33"/>
  <c r="AA71" i="33"/>
  <c r="W31" i="33"/>
  <c r="Y31" i="33" s="1"/>
  <c r="AA31" i="33"/>
  <c r="V20" i="33"/>
  <c r="U20" i="33"/>
  <c r="Z20" i="33"/>
  <c r="U31" i="33"/>
  <c r="AA56" i="33"/>
  <c r="W56" i="33"/>
  <c r="AA61" i="33"/>
  <c r="AC61" i="33" s="1"/>
  <c r="W61" i="33"/>
  <c r="Y61" i="33" s="1"/>
  <c r="AA45" i="33"/>
  <c r="AC45" i="33" s="1"/>
  <c r="W45" i="33"/>
  <c r="Y45" i="33" s="1"/>
  <c r="Z64" i="33"/>
  <c r="U64" i="33"/>
  <c r="V64" i="33"/>
  <c r="V33" i="33"/>
  <c r="Z33" i="33"/>
  <c r="U33" i="33"/>
  <c r="V69" i="33"/>
  <c r="Z69" i="33"/>
  <c r="U69" i="33"/>
  <c r="Z36" i="33"/>
  <c r="U36" i="33"/>
  <c r="V36" i="33"/>
  <c r="Z56" i="33"/>
  <c r="U56" i="33"/>
  <c r="V56" i="33"/>
  <c r="Z32" i="33"/>
  <c r="U32" i="33"/>
  <c r="V32" i="33"/>
  <c r="AA52" i="33"/>
  <c r="W52" i="33"/>
  <c r="V7" i="33"/>
  <c r="U7" i="33"/>
  <c r="Z7" i="33"/>
  <c r="N72" i="33"/>
  <c r="O3" i="33"/>
  <c r="Z24" i="33"/>
  <c r="U24" i="33"/>
  <c r="V24" i="33"/>
  <c r="W28" i="33"/>
  <c r="AA28" i="33"/>
  <c r="W40" i="33"/>
  <c r="AA40" i="33"/>
  <c r="Z68" i="33"/>
  <c r="U68" i="33"/>
  <c r="V68" i="33"/>
  <c r="Z52" i="33"/>
  <c r="U52" i="33"/>
  <c r="V52" i="33"/>
  <c r="AA18" i="33"/>
  <c r="W18" i="33"/>
  <c r="AA7" i="33"/>
  <c r="W7" i="33"/>
  <c r="AA41" i="33"/>
  <c r="AC41" i="33" s="1"/>
  <c r="W41" i="33"/>
  <c r="Y41" i="33" s="1"/>
  <c r="W24" i="33"/>
  <c r="AA24" i="33"/>
  <c r="Z40" i="33"/>
  <c r="U40" i="33"/>
  <c r="V40" i="33"/>
  <c r="AA37" i="33"/>
  <c r="AC37" i="33" s="1"/>
  <c r="W37" i="33"/>
  <c r="Y37" i="33" s="1"/>
  <c r="V27" i="33"/>
  <c r="Z27" i="33"/>
  <c r="Z60" i="33"/>
  <c r="U60" i="33"/>
  <c r="V60" i="33"/>
  <c r="W64" i="33"/>
  <c r="AA64" i="33"/>
  <c r="AA53" i="33"/>
  <c r="W53" i="33"/>
  <c r="AA8" i="33"/>
  <c r="W8" i="33"/>
  <c r="AA69" i="33"/>
  <c r="W69" i="33"/>
  <c r="AA29" i="33"/>
  <c r="W29" i="33"/>
  <c r="AA25" i="33"/>
  <c r="W25" i="33"/>
  <c r="W48" i="33"/>
  <c r="AA48" i="33"/>
  <c r="W36" i="33"/>
  <c r="AA36" i="33"/>
  <c r="AA33" i="33"/>
  <c r="W33" i="33"/>
  <c r="L72" i="33"/>
  <c r="K72" i="33"/>
  <c r="M72" i="33"/>
  <c r="U41" i="33"/>
  <c r="U61" i="33"/>
  <c r="U37" i="33"/>
  <c r="AA32" i="33"/>
  <c r="W32" i="33"/>
  <c r="V53" i="33"/>
  <c r="Z53" i="33"/>
  <c r="U53" i="33"/>
  <c r="Z48" i="33"/>
  <c r="U48" i="33"/>
  <c r="V48" i="33"/>
  <c r="Z28" i="33"/>
  <c r="U28" i="33"/>
  <c r="V28" i="33"/>
  <c r="AA68" i="33"/>
  <c r="W68" i="33"/>
  <c r="Z23" i="33"/>
  <c r="AC23" i="33" s="1"/>
  <c r="U23" i="33"/>
  <c r="V23" i="33"/>
  <c r="Y23" i="33" s="1"/>
  <c r="W44" i="33"/>
  <c r="AA44" i="33"/>
  <c r="AA3" i="33"/>
  <c r="W3" i="33"/>
  <c r="W60" i="33"/>
  <c r="AA60" i="33"/>
  <c r="V8" i="33"/>
  <c r="Z8" i="33"/>
  <c r="U8" i="33"/>
  <c r="V3" i="33"/>
  <c r="Z3" i="33"/>
  <c r="U3" i="33"/>
  <c r="Z44" i="33"/>
  <c r="U44" i="33"/>
  <c r="V44" i="33"/>
  <c r="U45" i="33"/>
  <c r="Y52" i="33" l="1"/>
  <c r="Y53" i="33"/>
  <c r="Y40" i="33"/>
  <c r="Y48" i="33"/>
  <c r="Y60" i="33"/>
  <c r="Y25" i="33"/>
  <c r="Y8" i="33"/>
  <c r="Y28" i="33"/>
  <c r="Y68" i="33"/>
  <c r="Y56" i="33"/>
  <c r="Y55" i="33"/>
  <c r="Y32" i="33"/>
  <c r="Y38" i="33"/>
  <c r="Y26" i="33"/>
  <c r="Y44" i="33"/>
  <c r="Y69" i="33"/>
  <c r="Y20" i="33"/>
  <c r="Y7" i="33"/>
  <c r="W4" i="33"/>
  <c r="Y27" i="33"/>
  <c r="Y24" i="33"/>
  <c r="Y36" i="33"/>
  <c r="Y33" i="33"/>
  <c r="Y5" i="33"/>
  <c r="Y64" i="33"/>
  <c r="Y71" i="33"/>
  <c r="Z62" i="33"/>
  <c r="Z54" i="33"/>
  <c r="AC54" i="33" s="1"/>
  <c r="W67" i="33"/>
  <c r="Y67" i="33" s="1"/>
  <c r="W10" i="33"/>
  <c r="Y10" i="33" s="1"/>
  <c r="W46" i="33"/>
  <c r="Y46" i="33" s="1"/>
  <c r="AC11" i="33"/>
  <c r="W13" i="33"/>
  <c r="Y13" i="33" s="1"/>
  <c r="Z22" i="33"/>
  <c r="AC22" i="33" s="1"/>
  <c r="W49" i="33"/>
  <c r="Y49" i="33" s="1"/>
  <c r="AA65" i="33"/>
  <c r="AC65" i="33" s="1"/>
  <c r="U67" i="33"/>
  <c r="AO67" i="33" s="1"/>
  <c r="AC31" i="33"/>
  <c r="AQ31" i="33" s="1"/>
  <c r="AT31" i="33" s="1"/>
  <c r="W9" i="33"/>
  <c r="Y9" i="33" s="1"/>
  <c r="U19" i="33"/>
  <c r="W19" i="33"/>
  <c r="Y19" i="33" s="1"/>
  <c r="AA13" i="33"/>
  <c r="AC13" i="33" s="1"/>
  <c r="W65" i="33"/>
  <c r="Y65" i="33" s="1"/>
  <c r="AA70" i="33"/>
  <c r="AA63" i="33"/>
  <c r="Z25" i="33"/>
  <c r="AC25" i="33" s="1"/>
  <c r="U25" i="33"/>
  <c r="AL25" i="33" s="1"/>
  <c r="AA50" i="33"/>
  <c r="V22" i="33"/>
  <c r="Y22" i="33" s="1"/>
  <c r="Z51" i="33"/>
  <c r="AC51" i="33" s="1"/>
  <c r="AA57" i="33"/>
  <c r="AC57" i="33" s="1"/>
  <c r="W42" i="33"/>
  <c r="Y42" i="33" s="1"/>
  <c r="Z15" i="33"/>
  <c r="AC15" i="33" s="1"/>
  <c r="AQ15" i="33" s="1"/>
  <c r="AT15" i="33" s="1"/>
  <c r="W30" i="33"/>
  <c r="Y30" i="33" s="1"/>
  <c r="U15" i="33"/>
  <c r="AD15" i="33" s="1"/>
  <c r="V34" i="33"/>
  <c r="U30" i="33"/>
  <c r="V16" i="33"/>
  <c r="Y16" i="33" s="1"/>
  <c r="AA5" i="33"/>
  <c r="U34" i="33"/>
  <c r="AO34" i="33" s="1"/>
  <c r="W54" i="33"/>
  <c r="Y54" i="33" s="1"/>
  <c r="AA14" i="33"/>
  <c r="AC14" i="33" s="1"/>
  <c r="U26" i="33"/>
  <c r="W51" i="33"/>
  <c r="Y51" i="33" s="1"/>
  <c r="W6" i="33"/>
  <c r="V58" i="33"/>
  <c r="Y58" i="33" s="1"/>
  <c r="U27" i="33"/>
  <c r="AL27" i="33" s="1"/>
  <c r="AA27" i="33"/>
  <c r="AC27" i="33" s="1"/>
  <c r="W57" i="33"/>
  <c r="Y57" i="33" s="1"/>
  <c r="W14" i="33"/>
  <c r="W34" i="33"/>
  <c r="Z16" i="33"/>
  <c r="AC16" i="33" s="1"/>
  <c r="AA43" i="33"/>
  <c r="AC43" i="33" s="1"/>
  <c r="U46" i="33"/>
  <c r="AD46" i="33" s="1"/>
  <c r="U54" i="33"/>
  <c r="AE54" i="33" s="1"/>
  <c r="AA10" i="33"/>
  <c r="AC10" i="33" s="1"/>
  <c r="U51" i="33"/>
  <c r="AL51" i="33" s="1"/>
  <c r="Z26" i="33"/>
  <c r="U42" i="33"/>
  <c r="AE42" i="33" s="1"/>
  <c r="Z42" i="33"/>
  <c r="AC42" i="33" s="1"/>
  <c r="U43" i="33"/>
  <c r="AL43" i="33" s="1"/>
  <c r="V43" i="33"/>
  <c r="Y43" i="33" s="1"/>
  <c r="AL13" i="33"/>
  <c r="AO13" i="33"/>
  <c r="V18" i="33"/>
  <c r="Y18" i="33" s="1"/>
  <c r="U4" i="33"/>
  <c r="AD4" i="33" s="1"/>
  <c r="AC34" i="33"/>
  <c r="U18" i="33"/>
  <c r="W11" i="33"/>
  <c r="Y11" i="33" s="1"/>
  <c r="U11" i="33"/>
  <c r="AL11" i="33" s="1"/>
  <c r="Z5" i="33"/>
  <c r="V6" i="33"/>
  <c r="U6" i="33"/>
  <c r="AE6" i="33" s="1"/>
  <c r="W66" i="33"/>
  <c r="Y66" i="33" s="1"/>
  <c r="U50" i="33"/>
  <c r="AO50" i="33" s="1"/>
  <c r="U59" i="33"/>
  <c r="AO59" i="33" s="1"/>
  <c r="AA47" i="33"/>
  <c r="AC47" i="33" s="1"/>
  <c r="U47" i="33"/>
  <c r="AO47" i="33" s="1"/>
  <c r="U5" i="33"/>
  <c r="AD5" i="33" s="1"/>
  <c r="V59" i="33"/>
  <c r="Y59" i="33" s="1"/>
  <c r="AE22" i="33"/>
  <c r="U66" i="33"/>
  <c r="V4" i="33"/>
  <c r="Y4" i="33" s="1"/>
  <c r="U63" i="33"/>
  <c r="AD63" i="33" s="1"/>
  <c r="AE65" i="33"/>
  <c r="AL65" i="33"/>
  <c r="AO65" i="33"/>
  <c r="AD65" i="33"/>
  <c r="U21" i="33"/>
  <c r="AL21" i="33" s="1"/>
  <c r="W12" i="33"/>
  <c r="S72" i="33"/>
  <c r="U12" i="33"/>
  <c r="AD12" i="33" s="1"/>
  <c r="AE13" i="33"/>
  <c r="AA21" i="33"/>
  <c r="AC21" i="33" s="1"/>
  <c r="AQ21" i="33" s="1"/>
  <c r="AT21" i="33" s="1"/>
  <c r="AD13" i="33"/>
  <c r="AC66" i="33"/>
  <c r="U70" i="33"/>
  <c r="AE70" i="33" s="1"/>
  <c r="U71" i="33"/>
  <c r="AD71" i="33" s="1"/>
  <c r="U29" i="33"/>
  <c r="AO29" i="33" s="1"/>
  <c r="V50" i="33"/>
  <c r="Y50" i="33" s="1"/>
  <c r="Z71" i="33"/>
  <c r="AC71" i="33" s="1"/>
  <c r="AD22" i="33"/>
  <c r="Z19" i="33"/>
  <c r="AC19" i="33" s="1"/>
  <c r="U38" i="33"/>
  <c r="AL38" i="33" s="1"/>
  <c r="AO22" i="33"/>
  <c r="Z50" i="33"/>
  <c r="U62" i="33"/>
  <c r="AC4" i="33"/>
  <c r="AL22" i="33"/>
  <c r="U9" i="33"/>
  <c r="AE9" i="33" s="1"/>
  <c r="Z55" i="33"/>
  <c r="U55" i="33"/>
  <c r="AL55" i="33" s="1"/>
  <c r="R72" i="33"/>
  <c r="Z38" i="33"/>
  <c r="AC38" i="33" s="1"/>
  <c r="V29" i="33"/>
  <c r="Y29" i="33" s="1"/>
  <c r="AE49" i="33"/>
  <c r="AL49" i="33"/>
  <c r="AD49" i="33"/>
  <c r="AO49" i="33"/>
  <c r="AO10" i="33"/>
  <c r="AE10" i="33"/>
  <c r="AL10" i="33"/>
  <c r="AD10" i="33"/>
  <c r="AD14" i="33"/>
  <c r="AL14" i="33"/>
  <c r="AE14" i="33"/>
  <c r="AO14" i="33"/>
  <c r="AE16" i="33"/>
  <c r="AL16" i="33"/>
  <c r="AO16" i="33"/>
  <c r="AD16" i="33"/>
  <c r="AD57" i="33"/>
  <c r="AO57" i="33"/>
  <c r="AL57" i="33"/>
  <c r="AE57" i="33"/>
  <c r="AC6" i="33"/>
  <c r="AA49" i="33"/>
  <c r="AC49" i="33" s="1"/>
  <c r="AC18" i="33"/>
  <c r="AA55" i="33"/>
  <c r="U35" i="33"/>
  <c r="AO35" i="33" s="1"/>
  <c r="V63" i="33"/>
  <c r="Y63" i="33" s="1"/>
  <c r="Z63" i="33"/>
  <c r="U17" i="33"/>
  <c r="Z58" i="33"/>
  <c r="AC58" i="33" s="1"/>
  <c r="AA26" i="33"/>
  <c r="W35" i="33"/>
  <c r="Z9" i="33"/>
  <c r="AC9" i="33" s="1"/>
  <c r="W62" i="33"/>
  <c r="Y62" i="33" s="1"/>
  <c r="V70" i="33"/>
  <c r="Y70" i="33" s="1"/>
  <c r="AC59" i="33"/>
  <c r="AC30" i="33"/>
  <c r="Z70" i="33"/>
  <c r="AC29" i="33"/>
  <c r="Z17" i="33"/>
  <c r="AC17" i="33" s="1"/>
  <c r="AQ17" i="33" s="1"/>
  <c r="AT17" i="33" s="1"/>
  <c r="AC67" i="33"/>
  <c r="AC46" i="33"/>
  <c r="BA72" i="38"/>
  <c r="Q52" i="33"/>
  <c r="Q14" i="33"/>
  <c r="AM72" i="33"/>
  <c r="BI72" i="39"/>
  <c r="AP72" i="36"/>
  <c r="Q32" i="33"/>
  <c r="BD72" i="37"/>
  <c r="BD72" i="38"/>
  <c r="AI72" i="33"/>
  <c r="BI72" i="37"/>
  <c r="AH72" i="36"/>
  <c r="AX72" i="38"/>
  <c r="AQ72" i="38"/>
  <c r="BI3" i="38"/>
  <c r="BB72" i="37"/>
  <c r="Y72" i="36"/>
  <c r="AW72" i="36" s="1"/>
  <c r="AQ3" i="36"/>
  <c r="AR72" i="36"/>
  <c r="AD58" i="33"/>
  <c r="AE58" i="33"/>
  <c r="AO58" i="33"/>
  <c r="AC62" i="33"/>
  <c r="AQ39" i="33"/>
  <c r="AT39" i="33" s="1"/>
  <c r="AC48" i="33"/>
  <c r="AQ37" i="33"/>
  <c r="AT37" i="33" s="1"/>
  <c r="AQ23" i="33"/>
  <c r="AT23" i="33" s="1"/>
  <c r="AC20" i="33"/>
  <c r="AC69" i="33"/>
  <c r="AL39" i="33"/>
  <c r="AE39" i="33"/>
  <c r="AD39" i="33"/>
  <c r="AO39" i="33"/>
  <c r="AO20" i="33"/>
  <c r="AE20" i="33"/>
  <c r="AL20" i="33"/>
  <c r="AD20" i="33"/>
  <c r="AQ61" i="33"/>
  <c r="AT61" i="33" s="1"/>
  <c r="AC68" i="33"/>
  <c r="AC7" i="33"/>
  <c r="AL31" i="33"/>
  <c r="AE31" i="33"/>
  <c r="AD31" i="33"/>
  <c r="AO31" i="33"/>
  <c r="AC32" i="33"/>
  <c r="AQ41" i="33"/>
  <c r="AT41" i="33" s="1"/>
  <c r="AO45" i="33"/>
  <c r="AE45" i="33"/>
  <c r="AL45" i="33"/>
  <c r="AD45" i="33"/>
  <c r="AC3" i="33"/>
  <c r="AL23" i="33"/>
  <c r="AD23" i="33"/>
  <c r="AE23" i="33"/>
  <c r="AO23" i="33"/>
  <c r="AL28" i="33"/>
  <c r="AD28" i="33"/>
  <c r="AE28" i="33"/>
  <c r="AO28" i="33"/>
  <c r="AO61" i="33"/>
  <c r="AE61" i="33"/>
  <c r="AL61" i="33"/>
  <c r="AD61" i="33"/>
  <c r="AE60" i="33"/>
  <c r="AL60" i="33"/>
  <c r="AD60" i="33"/>
  <c r="AO60" i="33"/>
  <c r="AE52" i="33"/>
  <c r="AL52" i="33"/>
  <c r="AD52" i="33"/>
  <c r="AO52" i="33"/>
  <c r="AL24" i="33"/>
  <c r="AD24" i="33"/>
  <c r="AE24" i="33"/>
  <c r="AO24" i="33"/>
  <c r="AO7" i="33"/>
  <c r="AL7" i="33"/>
  <c r="AD7" i="33"/>
  <c r="AE7" i="33"/>
  <c r="AE56" i="33"/>
  <c r="AL56" i="33"/>
  <c r="AD56" i="33"/>
  <c r="AO56" i="33"/>
  <c r="AO3" i="33"/>
  <c r="AE3" i="33"/>
  <c r="AL3" i="33"/>
  <c r="AD3" i="33"/>
  <c r="AO41" i="33"/>
  <c r="AE41" i="33"/>
  <c r="AL41" i="33"/>
  <c r="AD41" i="33"/>
  <c r="AO69" i="33"/>
  <c r="AE69" i="33"/>
  <c r="AD69" i="33"/>
  <c r="AL69" i="33"/>
  <c r="AE44" i="33"/>
  <c r="AL44" i="33"/>
  <c r="AD44" i="33"/>
  <c r="AO44" i="33"/>
  <c r="Y3" i="33"/>
  <c r="AO8" i="33"/>
  <c r="AL8" i="33"/>
  <c r="AD8" i="33"/>
  <c r="AE8" i="33"/>
  <c r="AO37" i="33"/>
  <c r="AE37" i="33"/>
  <c r="AL37" i="33"/>
  <c r="AD37" i="33"/>
  <c r="AE32" i="33"/>
  <c r="AL32" i="33"/>
  <c r="AD32" i="33"/>
  <c r="AO32" i="33"/>
  <c r="AE36" i="33"/>
  <c r="AL36" i="33"/>
  <c r="AD36" i="33"/>
  <c r="AO36" i="33"/>
  <c r="AC64" i="33"/>
  <c r="AC28" i="33"/>
  <c r="AC53" i="33"/>
  <c r="AC60" i="33"/>
  <c r="AC40" i="33"/>
  <c r="AC52" i="33"/>
  <c r="AC24" i="33"/>
  <c r="AC56" i="33"/>
  <c r="AO53" i="33"/>
  <c r="AE53" i="33"/>
  <c r="AD53" i="33"/>
  <c r="AL53" i="33"/>
  <c r="AE40" i="33"/>
  <c r="AL40" i="33"/>
  <c r="AD40" i="33"/>
  <c r="AO40" i="33"/>
  <c r="AE48" i="33"/>
  <c r="AL48" i="33"/>
  <c r="AD48" i="33"/>
  <c r="AO48" i="33"/>
  <c r="AE68" i="33"/>
  <c r="AL68" i="33"/>
  <c r="AD68" i="33"/>
  <c r="AO68" i="33"/>
  <c r="O72" i="33"/>
  <c r="P3" i="33"/>
  <c r="P72" i="33" s="1"/>
  <c r="AE64" i="33"/>
  <c r="AL64" i="33"/>
  <c r="AD64" i="33"/>
  <c r="AO64" i="33"/>
  <c r="AO33" i="33"/>
  <c r="AE33" i="33"/>
  <c r="AD33" i="33"/>
  <c r="AL33" i="33"/>
  <c r="AQ45" i="33"/>
  <c r="AT45" i="33" s="1"/>
  <c r="AC33" i="33"/>
  <c r="AC44" i="33"/>
  <c r="AC8" i="33"/>
  <c r="AC36" i="33"/>
  <c r="Y34" i="33" l="1"/>
  <c r="Y35" i="33"/>
  <c r="AQ35" i="33" s="1"/>
  <c r="AT35" i="33" s="1"/>
  <c r="Y12" i="33"/>
  <c r="AQ12" i="33" s="1"/>
  <c r="AT12" i="33" s="1"/>
  <c r="Y14" i="33"/>
  <c r="AQ14" i="33" s="1"/>
  <c r="AT14" i="33" s="1"/>
  <c r="Y6" i="33"/>
  <c r="AQ6" i="33" s="1"/>
  <c r="AT6" i="33" s="1"/>
  <c r="AQ10" i="33"/>
  <c r="AT10" i="33" s="1"/>
  <c r="AL30" i="33"/>
  <c r="AQ11" i="33"/>
  <c r="AT11" i="33" s="1"/>
  <c r="AE30" i="33"/>
  <c r="AO43" i="33"/>
  <c r="AC50" i="33"/>
  <c r="AQ50" i="33" s="1"/>
  <c r="AT50" i="33" s="1"/>
  <c r="AQ13" i="33"/>
  <c r="AT13" i="33" s="1"/>
  <c r="AE59" i="33"/>
  <c r="AL67" i="33"/>
  <c r="AO18" i="33"/>
  <c r="AD43" i="33"/>
  <c r="AQ49" i="33"/>
  <c r="AT49" i="33" s="1"/>
  <c r="AQ57" i="33"/>
  <c r="AT57" i="33" s="1"/>
  <c r="AO19" i="33"/>
  <c r="AD54" i="33"/>
  <c r="AO15" i="33"/>
  <c r="AD30" i="33"/>
  <c r="AO30" i="33"/>
  <c r="AO26" i="33"/>
  <c r="AD59" i="33"/>
  <c r="AO71" i="33"/>
  <c r="AD19" i="33"/>
  <c r="AL26" i="33"/>
  <c r="AE19" i="33"/>
  <c r="AL54" i="33"/>
  <c r="AL19" i="33"/>
  <c r="AO54" i="33"/>
  <c r="AE15" i="33"/>
  <c r="AE18" i="33"/>
  <c r="AL15" i="33"/>
  <c r="AC5" i="33"/>
  <c r="AQ5" i="33" s="1"/>
  <c r="AT5" i="33" s="1"/>
  <c r="AQ34" i="33"/>
  <c r="AT34" i="33" s="1"/>
  <c r="AQ22" i="33"/>
  <c r="AT22" i="33" s="1"/>
  <c r="AQ65" i="33"/>
  <c r="AT65" i="33" s="1"/>
  <c r="AQ16" i="33"/>
  <c r="AT16" i="33" s="1"/>
  <c r="AE67" i="33"/>
  <c r="AD67" i="33"/>
  <c r="AL46" i="33"/>
  <c r="AE46" i="33"/>
  <c r="AO62" i="33"/>
  <c r="AD25" i="33"/>
  <c r="AO25" i="33"/>
  <c r="AE25" i="33"/>
  <c r="AC63" i="33"/>
  <c r="AQ63" i="33" s="1"/>
  <c r="AT63" i="33" s="1"/>
  <c r="AL62" i="33"/>
  <c r="AO46" i="33"/>
  <c r="AD62" i="33"/>
  <c r="AQ67" i="33"/>
  <c r="AT67" i="33" s="1"/>
  <c r="AE26" i="33"/>
  <c r="V72" i="33"/>
  <c r="AO27" i="33"/>
  <c r="AL34" i="33"/>
  <c r="AD27" i="33"/>
  <c r="AL42" i="33"/>
  <c r="AL47" i="33"/>
  <c r="AD42" i="33"/>
  <c r="AE34" i="33"/>
  <c r="AE27" i="33"/>
  <c r="AD26" i="33"/>
  <c r="AD34" i="33"/>
  <c r="AC26" i="33"/>
  <c r="AQ26" i="33" s="1"/>
  <c r="AT26" i="33" s="1"/>
  <c r="AE51" i="33"/>
  <c r="AD51" i="33"/>
  <c r="AO42" i="33"/>
  <c r="AO51" i="33"/>
  <c r="AL9" i="33"/>
  <c r="AL66" i="33"/>
  <c r="AO6" i="33"/>
  <c r="AL4" i="33"/>
  <c r="AD18" i="33"/>
  <c r="AE21" i="33"/>
  <c r="AD6" i="33"/>
  <c r="AL59" i="33"/>
  <c r="AE43" i="33"/>
  <c r="AE4" i="33"/>
  <c r="AO66" i="33"/>
  <c r="AD21" i="33"/>
  <c r="AL18" i="33"/>
  <c r="AE50" i="33"/>
  <c r="AO4" i="33"/>
  <c r="AL12" i="33"/>
  <c r="AO11" i="33"/>
  <c r="AD11" i="33"/>
  <c r="AL71" i="33"/>
  <c r="AE47" i="33"/>
  <c r="AQ4" i="33"/>
  <c r="AT4" i="33" s="1"/>
  <c r="AE71" i="33"/>
  <c r="AE11" i="33"/>
  <c r="AD47" i="33"/>
  <c r="AO21" i="33"/>
  <c r="AD9" i="33"/>
  <c r="AO5" i="33"/>
  <c r="AD66" i="33"/>
  <c r="AL50" i="33"/>
  <c r="AD35" i="33"/>
  <c r="AD50" i="33"/>
  <c r="AE35" i="33"/>
  <c r="AE66" i="33"/>
  <c r="AQ43" i="33"/>
  <c r="AT43" i="33" s="1"/>
  <c r="AE5" i="33"/>
  <c r="AL5" i="33"/>
  <c r="AE12" i="33"/>
  <c r="AE55" i="33"/>
  <c r="AL6" i="33"/>
  <c r="AQ42" i="33"/>
  <c r="AT42" i="33" s="1"/>
  <c r="AQ54" i="33"/>
  <c r="AT54" i="33" s="1"/>
  <c r="AQ29" i="33"/>
  <c r="AT29" i="33" s="1"/>
  <c r="AQ51" i="33"/>
  <c r="AT51" i="33" s="1"/>
  <c r="AO12" i="33"/>
  <c r="AD29" i="33"/>
  <c r="AD55" i="33"/>
  <c r="AE63" i="33"/>
  <c r="AO9" i="33"/>
  <c r="AL63" i="33"/>
  <c r="AO55" i="33"/>
  <c r="AE62" i="33"/>
  <c r="W72" i="33"/>
  <c r="AO70" i="33"/>
  <c r="AO63" i="33"/>
  <c r="AA72" i="33"/>
  <c r="AQ9" i="33"/>
  <c r="AT9" i="33" s="1"/>
  <c r="AQ30" i="33"/>
  <c r="AT30" i="33" s="1"/>
  <c r="AQ19" i="33"/>
  <c r="AT19" i="33" s="1"/>
  <c r="AQ66" i="33"/>
  <c r="AT66" i="33" s="1"/>
  <c r="AQ71" i="33"/>
  <c r="AT71" i="33" s="1"/>
  <c r="AC55" i="33"/>
  <c r="AQ55" i="33" s="1"/>
  <c r="AT55" i="33" s="1"/>
  <c r="AD70" i="33"/>
  <c r="AD38" i="33"/>
  <c r="AO38" i="33"/>
  <c r="AL70" i="33"/>
  <c r="AE38" i="33"/>
  <c r="AQ47" i="33"/>
  <c r="AT47" i="33" s="1"/>
  <c r="AQ27" i="33"/>
  <c r="AT27" i="33" s="1"/>
  <c r="AQ25" i="33"/>
  <c r="AT25" i="33" s="1"/>
  <c r="AL29" i="33"/>
  <c r="Z72" i="33"/>
  <c r="AQ46" i="33"/>
  <c r="AT46" i="33" s="1"/>
  <c r="AL35" i="33"/>
  <c r="AQ59" i="33"/>
  <c r="AT59" i="33" s="1"/>
  <c r="AE29" i="33"/>
  <c r="AC70" i="33"/>
  <c r="AQ70" i="33" s="1"/>
  <c r="AT70" i="33" s="1"/>
  <c r="AE17" i="33"/>
  <c r="AD17" i="33"/>
  <c r="AL17" i="33"/>
  <c r="AO17" i="33"/>
  <c r="AQ58" i="33"/>
  <c r="AT58" i="33" s="1"/>
  <c r="AQ62" i="33"/>
  <c r="AT62" i="33" s="1"/>
  <c r="AQ38" i="33"/>
  <c r="AT38" i="33" s="1"/>
  <c r="AQ18" i="33"/>
  <c r="AT18" i="33" s="1"/>
  <c r="BA72" i="36"/>
  <c r="BI72" i="38"/>
  <c r="BD72" i="36"/>
  <c r="U72" i="33"/>
  <c r="BB72" i="38"/>
  <c r="AQ72" i="36"/>
  <c r="BI3" i="36"/>
  <c r="AX72" i="36"/>
  <c r="AQ44" i="33"/>
  <c r="AT44" i="33" s="1"/>
  <c r="AQ33" i="33"/>
  <c r="AT33" i="33" s="1"/>
  <c r="AQ7" i="33"/>
  <c r="AT7" i="33" s="1"/>
  <c r="AQ53" i="33"/>
  <c r="AT53" i="33" s="1"/>
  <c r="AQ20" i="33"/>
  <c r="AT20" i="33" s="1"/>
  <c r="AQ40" i="33"/>
  <c r="AT40" i="33" s="1"/>
  <c r="AQ36" i="33"/>
  <c r="AT36" i="33" s="1"/>
  <c r="AQ60" i="33"/>
  <c r="AT60" i="33" s="1"/>
  <c r="AQ64" i="33"/>
  <c r="AT64" i="33" s="1"/>
  <c r="AQ52" i="33"/>
  <c r="AT52" i="33" s="1"/>
  <c r="AQ48" i="33"/>
  <c r="AT48" i="33" s="1"/>
  <c r="AQ56" i="33"/>
  <c r="AT56" i="33" s="1"/>
  <c r="AQ69" i="33"/>
  <c r="AT69" i="33" s="1"/>
  <c r="AQ24" i="33"/>
  <c r="AT24" i="33" s="1"/>
  <c r="AQ68" i="33"/>
  <c r="AT68" i="33" s="1"/>
  <c r="AQ8" i="33"/>
  <c r="AT8" i="33" s="1"/>
  <c r="Q3" i="33"/>
  <c r="Q72" i="33" s="1"/>
  <c r="AQ32" i="33"/>
  <c r="AT32" i="33" s="1"/>
  <c r="AB72" i="33"/>
  <c r="AQ28" i="33"/>
  <c r="AT28" i="33" s="1"/>
  <c r="AQ3" i="33"/>
  <c r="AO72" i="33" l="1"/>
  <c r="Y72" i="33"/>
  <c r="AC72" i="33"/>
  <c r="AE72" i="33"/>
  <c r="AL72" i="33"/>
  <c r="AD72" i="33"/>
  <c r="BI72" i="36"/>
  <c r="AH72" i="33"/>
  <c r="BB72" i="36"/>
  <c r="AQ72" i="33"/>
  <c r="AT74" i="33" s="1"/>
  <c r="AT72" i="33" l="1"/>
  <c r="F16" i="30" l="1"/>
  <c r="F15" i="30"/>
  <c r="I8" i="30" l="1"/>
  <c r="I9" i="30"/>
  <c r="I10" i="30"/>
  <c r="I11" i="30"/>
  <c r="I12" i="30"/>
  <c r="I13" i="30"/>
  <c r="I14" i="30"/>
  <c r="I17" i="30"/>
  <c r="I18" i="30"/>
  <c r="I15" i="30"/>
  <c r="J15" i="30" s="1"/>
  <c r="I16" i="30"/>
  <c r="J16" i="30" s="1"/>
  <c r="H19" i="30"/>
  <c r="G19" i="30"/>
  <c r="E19" i="30"/>
  <c r="D19" i="30"/>
  <c r="C19" i="30"/>
  <c r="F18" i="30"/>
  <c r="F17" i="30"/>
  <c r="F14" i="30"/>
  <c r="F13" i="30"/>
  <c r="B13" i="30"/>
  <c r="F12" i="30"/>
  <c r="F11" i="30"/>
  <c r="B11" i="30"/>
  <c r="F10" i="30"/>
  <c r="F9" i="30"/>
  <c r="F8" i="30"/>
  <c r="A9" i="24"/>
  <c r="A10" i="24"/>
  <c r="A11" i="24"/>
  <c r="A12" i="24"/>
  <c r="A13" i="24"/>
  <c r="A14" i="24"/>
  <c r="A15" i="24"/>
  <c r="A16" i="24"/>
  <c r="C9" i="24"/>
  <c r="F9" i="24"/>
  <c r="C10" i="24"/>
  <c r="F10" i="24"/>
  <c r="C11" i="24"/>
  <c r="F11" i="24"/>
  <c r="C12" i="24"/>
  <c r="C13" i="24"/>
  <c r="C14" i="24"/>
  <c r="C15" i="24"/>
  <c r="C16" i="24"/>
  <c r="C17" i="24"/>
  <c r="C18" i="24"/>
  <c r="G19" i="24"/>
  <c r="H20" i="24"/>
  <c r="H21" i="24"/>
  <c r="B22" i="24"/>
  <c r="E18" i="24"/>
  <c r="E15" i="24"/>
  <c r="E14" i="24"/>
  <c r="E13" i="24"/>
  <c r="E12" i="24"/>
  <c r="E11" i="24"/>
  <c r="E9" i="24"/>
  <c r="B16" i="30" l="1"/>
  <c r="B15" i="30"/>
  <c r="J11" i="30"/>
  <c r="J17" i="30"/>
  <c r="B14" i="30"/>
  <c r="J12" i="30"/>
  <c r="J18" i="30"/>
  <c r="H18" i="24"/>
  <c r="H11" i="24"/>
  <c r="H15" i="24"/>
  <c r="H13" i="24"/>
  <c r="H12" i="24"/>
  <c r="B10" i="30"/>
  <c r="B9" i="30"/>
  <c r="H19" i="24"/>
  <c r="G22" i="24"/>
  <c r="B7" i="30"/>
  <c r="H14" i="24"/>
  <c r="E17" i="24"/>
  <c r="H17" i="24" s="1"/>
  <c r="E10" i="24"/>
  <c r="H10" i="24" s="1"/>
  <c r="B12" i="30"/>
  <c r="J9" i="30"/>
  <c r="C22" i="24"/>
  <c r="H9" i="24"/>
  <c r="F22" i="24"/>
  <c r="B8" i="30"/>
  <c r="F19" i="30"/>
  <c r="J14" i="30"/>
  <c r="J13" i="30"/>
  <c r="J10" i="30"/>
  <c r="I19" i="30"/>
  <c r="J8" i="30"/>
  <c r="E16" i="24"/>
  <c r="H16" i="24" s="1"/>
  <c r="B17" i="30" l="1"/>
  <c r="E22" i="24"/>
  <c r="H22" i="24"/>
  <c r="D22" i="24"/>
  <c r="J19" i="30"/>
</calcChain>
</file>

<file path=xl/sharedStrings.xml><?xml version="1.0" encoding="utf-8"?>
<sst xmlns="http://schemas.openxmlformats.org/spreadsheetml/2006/main" count="530" uniqueCount="174">
  <si>
    <t>nombre équipes</t>
  </si>
  <si>
    <t>Aires de santé</t>
  </si>
  <si>
    <t>CF</t>
  </si>
  <si>
    <t>SA</t>
  </si>
  <si>
    <t>EMS</t>
  </si>
  <si>
    <t>District</t>
  </si>
  <si>
    <t>Total</t>
  </si>
  <si>
    <t>Désignation</t>
  </si>
  <si>
    <t>Valeur</t>
  </si>
  <si>
    <t>Nombre d'agents de santé par équipe fixe</t>
  </si>
  <si>
    <t>Nombre d'agents de santé par équipe de vaccination (équipe mobile)</t>
  </si>
  <si>
    <t>Nombre d'agents santé par équipe stratégie avancée</t>
  </si>
  <si>
    <t>Nombre d'agents/véhicule de vaccination</t>
  </si>
  <si>
    <t>Nombre d'agents/motos: stratégie avancée</t>
  </si>
  <si>
    <t>Nombre de chauffeurs/équipe mobile</t>
  </si>
  <si>
    <t>Nombre d'équipes par superviseur</t>
  </si>
  <si>
    <t>Nbre glacières par superviseur</t>
  </si>
  <si>
    <t>Nombre km par enfant pour équipes mobiles/avancées</t>
  </si>
  <si>
    <t>Nombre d'accu/porte vaccins</t>
  </si>
  <si>
    <t>Nbre d'accus 0,6 litres par glacière</t>
  </si>
  <si>
    <t>Facteur de perte</t>
  </si>
  <si>
    <t>Nbre portes vaccins par équipe</t>
  </si>
  <si>
    <t>Volume par accumulateur (litres)</t>
  </si>
  <si>
    <t xml:space="preserve">Consommation (qté litres de gaz oil au 100 km) </t>
  </si>
  <si>
    <t>Consommation motos (qté litres d'essence sur 100km (moto)</t>
  </si>
  <si>
    <t>Consommation pinasse (litre d’essence mélange au Km)</t>
  </si>
  <si>
    <t>Frais Incinération par boite de sécurité (CFA)</t>
  </si>
  <si>
    <t>Forfait par radio pour la mobilisation sociale</t>
  </si>
  <si>
    <t xml:space="preserve">Forfait pour journée d'informations </t>
  </si>
  <si>
    <t>Perdiem formation vaccinateurs/relais (Perdiem 2000 F CFA+ Frais de transport 1000 F CFA)</t>
  </si>
  <si>
    <t>Perdiem formateurs (CPM et superviseurs)</t>
  </si>
  <si>
    <t>Nombre jours formation</t>
  </si>
  <si>
    <t>Nombre de kilomètres par superviseur de proximité / jour</t>
  </si>
  <si>
    <t>Nombre de kilomètres par superviseur de district /de région/national / jour</t>
  </si>
  <si>
    <t>Nombre de kilomètres parcouru par pinasse par jour</t>
  </si>
  <si>
    <t>Perdiem  résidents atelier de restitution</t>
  </si>
  <si>
    <t>Perdiem  non résidents atelier de restitution</t>
  </si>
  <si>
    <t>forfait par radio pour  un passage</t>
  </si>
  <si>
    <t>Frais pause café par personne par jour pour restitution</t>
  </si>
  <si>
    <t>Coût couverture  médiatique pour la restitution F CFA</t>
  </si>
  <si>
    <t>Forfait mobilisateurs de proximité</t>
  </si>
  <si>
    <t>Forfait pour journées d'information par district sanitaire</t>
  </si>
  <si>
    <t>Forfait frais de lancement par région</t>
  </si>
  <si>
    <t>Réhabilitation des incinérateurs</t>
  </si>
  <si>
    <t>Frais d'incinération déchets (opérateurs) par jour (CFA)</t>
  </si>
  <si>
    <t>Durée de la campagne</t>
  </si>
  <si>
    <t>Nombre villages</t>
  </si>
  <si>
    <t>Nombre de volontaires par équipe fixe/avancée/mobile</t>
  </si>
  <si>
    <t>Seringues</t>
  </si>
  <si>
    <t>Seringues Autobloquantes (SAB)</t>
  </si>
  <si>
    <t>Seringues de dilution (S D)</t>
  </si>
  <si>
    <t>Boites de sécurité (BS)</t>
  </si>
  <si>
    <t>Besoins en coton 
(2 rouleaux de 500g par équipe)</t>
  </si>
  <si>
    <t>Fiches de pointage</t>
  </si>
  <si>
    <t>Fiche synthèse journalière Aire de santé</t>
  </si>
  <si>
    <t>Fiche synthèse journalière utilisation du matériel d'injection</t>
  </si>
  <si>
    <t>Fiche de réception/déstruction déchets</t>
  </si>
  <si>
    <t>Fiches synthèse élimimation déchets au niveau district sanitaire</t>
  </si>
  <si>
    <t>Fiches monitorage et d'évaluation rapide</t>
  </si>
  <si>
    <t>Intrants</t>
  </si>
  <si>
    <t>Fiches de synthèse</t>
  </si>
  <si>
    <t>Besoins en sachets poubelles</t>
  </si>
  <si>
    <t>Coûts</t>
  </si>
  <si>
    <t>Nombres d'agents</t>
  </si>
  <si>
    <t>Nombres de volontaires</t>
  </si>
  <si>
    <t>Coûts de déplacement stratégie avancée</t>
  </si>
  <si>
    <t>Incinération déchets</t>
  </si>
  <si>
    <t>Aménagement Fosse</t>
  </si>
  <si>
    <t>Frais d'incinération déchets (opérateurs)  F CFA</t>
  </si>
  <si>
    <t>Coûts Totaux</t>
  </si>
  <si>
    <t>MOBILISATION SOCIALE</t>
  </si>
  <si>
    <t>(Radio, Animation traditionnelle)</t>
  </si>
  <si>
    <t>Districts</t>
  </si>
  <si>
    <t>Radios</t>
  </si>
  <si>
    <t>Mobilisateurs de proximité</t>
  </si>
  <si>
    <t>Couts journées d'information</t>
  </si>
  <si>
    <t>Couts Lancement</t>
  </si>
  <si>
    <t xml:space="preserve">Total Mob Soc </t>
  </si>
  <si>
    <t>Nombre de radios</t>
  </si>
  <si>
    <t>Couts diffusion message</t>
  </si>
  <si>
    <t>Nbre de mobilisateurs de proximité</t>
  </si>
  <si>
    <t>Couts mobilisateurs de proximité</t>
  </si>
  <si>
    <t>Total Region</t>
  </si>
  <si>
    <t>Districts Sanitaires</t>
  </si>
  <si>
    <t>Cout F CFA</t>
  </si>
  <si>
    <t>Perdiem</t>
  </si>
  <si>
    <t>Cout total F CFA</t>
  </si>
  <si>
    <t>Coûts location chaine du froid</t>
  </si>
  <si>
    <t>Location Chaîne du froid</t>
  </si>
  <si>
    <t>Carburant Groupe (district sans électricité) pour fonctionnement chaine du froid</t>
  </si>
  <si>
    <t>Total F CFA</t>
  </si>
  <si>
    <t>Congélateurs</t>
  </si>
  <si>
    <t>Consommation par jour (litres)</t>
  </si>
  <si>
    <t>Nbre jours de fonctionnement</t>
  </si>
  <si>
    <t>Nbre congélateurs</t>
  </si>
  <si>
    <t>Nbre jours location</t>
  </si>
  <si>
    <t>Cout par jour</t>
  </si>
  <si>
    <t>Coûts de déplacement des Equipes Mobiles</t>
  </si>
  <si>
    <t>N°</t>
  </si>
  <si>
    <t>Nombre de jours mobilisateurs de proximité</t>
  </si>
  <si>
    <t>Distance moyenne à parcourir par l'équipe régionale dans les districts</t>
  </si>
  <si>
    <t>Perdiem superviseurs et chauffeurs régionaux dans les districts non résidents</t>
  </si>
  <si>
    <t>Perdiem superviseurs et chauffeurs régionaux dans le district résident</t>
  </si>
  <si>
    <t>Perdiem cadres et chauffeurs pourla mise en place des intrants dans les aires de santé</t>
  </si>
  <si>
    <t>Distance à parcourir SA</t>
  </si>
  <si>
    <t>Distance à parcourir EM</t>
  </si>
  <si>
    <t>EMS plus chauffeurs</t>
  </si>
  <si>
    <t>Perdiem vaccinateurs/volontaires centre fixe et avancée</t>
  </si>
  <si>
    <t>Perdiem vaccinateurs/volontaires équipes mobiles</t>
  </si>
  <si>
    <t>Coût transport aller/Retour</t>
  </si>
  <si>
    <t>Pause</t>
  </si>
  <si>
    <t>Perdiem facilitateurs</t>
  </si>
  <si>
    <t>Nombre facilitateurs par District</t>
  </si>
  <si>
    <t>Nombre de jour Formation y compris voyage</t>
  </si>
  <si>
    <t xml:space="preserve">Nombre de jour Formation </t>
  </si>
  <si>
    <t>Coût transport aller/Retour Bamako</t>
  </si>
  <si>
    <t>Pause/Bamako</t>
  </si>
  <si>
    <t>Pauses</t>
  </si>
  <si>
    <t>Perdiem participants</t>
  </si>
  <si>
    <t>Frais Transport</t>
  </si>
  <si>
    <t>Perdiem Facilitateurs district</t>
  </si>
  <si>
    <t>Total agents vaccinateurs</t>
  </si>
  <si>
    <t>Total volontaires</t>
  </si>
  <si>
    <t>Formations vaccinateurs volontaires</t>
  </si>
  <si>
    <t>Total Formation</t>
  </si>
  <si>
    <t>Coût coordination au niveau aire de santé</t>
  </si>
  <si>
    <t>Frais coordination</t>
  </si>
  <si>
    <t>Coût boite de Gant en vrac</t>
  </si>
  <si>
    <t>Nombre de boite par équipe</t>
  </si>
  <si>
    <t>Nombre de Gants par équipe</t>
  </si>
  <si>
    <t>Nombre de jour utilisation</t>
  </si>
  <si>
    <t>Nombre de Gant par boite</t>
  </si>
  <si>
    <t>Coût Gants</t>
  </si>
  <si>
    <t>Nombre de module par équipe</t>
  </si>
  <si>
    <t>Module par équipe</t>
  </si>
  <si>
    <t>Nombre de Gants</t>
  </si>
  <si>
    <t>Nombre boites de Gants</t>
  </si>
  <si>
    <t>Formation opérateurs</t>
  </si>
  <si>
    <t>Nombre opérateurs par district</t>
  </si>
  <si>
    <t>Forfait gestion MAPI</t>
  </si>
  <si>
    <t>Forfait MAPI par district</t>
  </si>
  <si>
    <t>Forfait MAPI par région</t>
  </si>
  <si>
    <t>Frais de facilitation dans les distrcits</t>
  </si>
  <si>
    <t>Frais de facilitation des formateurs district</t>
  </si>
  <si>
    <t>EM</t>
  </si>
  <si>
    <t>POP TOTAL 2016</t>
  </si>
  <si>
    <t>Population Cibles à vacciner par stratégies</t>
  </si>
  <si>
    <t>Cible Totale</t>
  </si>
  <si>
    <t>% à Couvrir par stratégies</t>
  </si>
  <si>
    <t>Cartes de vaccination</t>
  </si>
  <si>
    <t>Nombre doses de MenAfiVac</t>
  </si>
  <si>
    <t>DRS GAO</t>
  </si>
  <si>
    <t>Nombre doses de Vaccin</t>
  </si>
  <si>
    <t>CIBLES</t>
  </si>
  <si>
    <t>Campagne de vaccination contre la COVID-19</t>
  </si>
  <si>
    <t>Nombre de cible à vacciner/équipe fixe/jour</t>
  </si>
  <si>
    <t>Nombre de cible à vacciner/équipes stratégie avancée/jour</t>
  </si>
  <si>
    <t>POP TOTAL 2022</t>
  </si>
  <si>
    <t>Nombre de cible à vacciner/équipe mo/jour</t>
  </si>
  <si>
    <t>Perdiem permanence au niveau district et région</t>
  </si>
  <si>
    <t>Saisie des données</t>
  </si>
  <si>
    <t>collecte journaliere</t>
  </si>
  <si>
    <t>Total:</t>
  </si>
  <si>
    <t xml:space="preserve">Tableau N°1: Paramètres de base pour la campagne de vaccination </t>
  </si>
  <si>
    <t>Prix d'un litre de gasoil (CFA)</t>
  </si>
  <si>
    <t>Prix d'un litre d'essence (CFA)</t>
  </si>
  <si>
    <t>Cout location de véhicules par jour (CFA)</t>
  </si>
  <si>
    <t>Cout location moto par jour (CFA)</t>
  </si>
  <si>
    <t>Cout location de chameaux par jour (CFA)</t>
  </si>
  <si>
    <t>Cout location de pirogues par jour (CFA)</t>
  </si>
  <si>
    <t>Cout location de pinasses par jour (CFA)</t>
  </si>
  <si>
    <t>Perdiem vaccinateurs/Volontaires (CFA)</t>
  </si>
  <si>
    <t>Perdiem superviseurs et chauffeurs districts (CFA)</t>
  </si>
  <si>
    <t>Région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</si>
</sst>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_-* #,##0\ &quot;F&quot;_-;\-* #,##0\ &quot;F&quot;_-;_-* &quot;-&quot;\ &quot;F&quot;_-;_-@_-"/>
    <numFmt numFmtId="168" formatCode="_-&quot;£&quot;* #,##0.00_-;\-&quot;£&quot;* #,##0.00_-;_-&quot;£&quot;* &quot;-&quot;??_-;_-@_-"/>
    <numFmt numFmtId="169" formatCode="_-* #,##0.00\ [$€-1]_-;\-* #,##0.00\ [$€-1]_-;_-* &quot;-&quot;??\ [$€-1]_-"/>
    <numFmt numFmtId="170" formatCode="_-* #,##0\ _€_-;\-* #,##0\ _€_-;_-* &quot;-&quot;??\ _€_-;_-@_-"/>
    <numFmt numFmtId="171" formatCode="_-* #,##0.00\ &quot;F&quot;_-;\-* #,##0.00\ &quot;F&quot;_-;_-* &quot;-&quot;??\ &quot;F&quot;_-;_-@_-"/>
    <numFmt numFmtId="172" formatCode="[$-F800]dddd\,\ mmmm\ dd\,\ yyyy"/>
  </numFmts>
  <fonts count="3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name val="Verdana"/>
      <family val="2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1"/>
      <name val="Calibri"/>
      <family val="2"/>
      <scheme val="minor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indexed="8"/>
      <name val="Times New Roman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2">
    <xf numFmtId="0" fontId="0" fillId="0" borderId="0"/>
    <xf numFmtId="0" fontId="3" fillId="0" borderId="0"/>
    <xf numFmtId="169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166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4" fillId="0" borderId="0"/>
    <xf numFmtId="0" fontId="2" fillId="0" borderId="0"/>
    <xf numFmtId="0" fontId="4" fillId="0" borderId="0"/>
    <xf numFmtId="0" fontId="3" fillId="0" borderId="0"/>
    <xf numFmtId="9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166" fontId="2" fillId="0" borderId="0" applyFont="0" applyFill="0" applyBorder="0" applyAlignment="0" applyProtection="0"/>
    <xf numFmtId="0" fontId="3" fillId="0" borderId="0"/>
    <xf numFmtId="166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4" fillId="0" borderId="0"/>
    <xf numFmtId="0" fontId="14" fillId="0" borderId="0"/>
    <xf numFmtId="9" fontId="5" fillId="0" borderId="0" applyFont="0" applyFill="0" applyBorder="0" applyAlignment="0" applyProtection="0"/>
    <xf numFmtId="172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2" fontId="3" fillId="0" borderId="0"/>
    <xf numFmtId="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18" fillId="7" borderId="0" applyNumberFormat="0" applyBorder="0" applyAlignment="0" applyProtection="0"/>
    <xf numFmtId="172" fontId="18" fillId="8" borderId="0" applyNumberFormat="0" applyBorder="0" applyAlignment="0" applyProtection="0"/>
    <xf numFmtId="172" fontId="18" fillId="9" borderId="0" applyNumberFormat="0" applyBorder="0" applyAlignment="0" applyProtection="0"/>
    <xf numFmtId="172" fontId="18" fillId="10" borderId="0" applyNumberFormat="0" applyBorder="0" applyAlignment="0" applyProtection="0"/>
    <xf numFmtId="172" fontId="18" fillId="11" borderId="0" applyNumberFormat="0" applyBorder="0" applyAlignment="0" applyProtection="0"/>
    <xf numFmtId="172" fontId="18" fillId="12" borderId="0" applyNumberFormat="0" applyBorder="0" applyAlignment="0" applyProtection="0"/>
    <xf numFmtId="172" fontId="18" fillId="13" borderId="0" applyNumberFormat="0" applyBorder="0" applyAlignment="0" applyProtection="0"/>
    <xf numFmtId="172" fontId="18" fillId="14" borderId="0" applyNumberFormat="0" applyBorder="0" applyAlignment="0" applyProtection="0"/>
    <xf numFmtId="172" fontId="18" fillId="15" borderId="0" applyNumberFormat="0" applyBorder="0" applyAlignment="0" applyProtection="0"/>
    <xf numFmtId="172" fontId="18" fillId="10" borderId="0" applyNumberFormat="0" applyBorder="0" applyAlignment="0" applyProtection="0"/>
    <xf numFmtId="172" fontId="18" fillId="13" borderId="0" applyNumberFormat="0" applyBorder="0" applyAlignment="0" applyProtection="0"/>
    <xf numFmtId="172" fontId="18" fillId="16" borderId="0" applyNumberFormat="0" applyBorder="0" applyAlignment="0" applyProtection="0"/>
    <xf numFmtId="172" fontId="17" fillId="17" borderId="0" applyNumberFormat="0" applyBorder="0" applyAlignment="0" applyProtection="0"/>
    <xf numFmtId="172" fontId="17" fillId="14" borderId="0" applyNumberFormat="0" applyBorder="0" applyAlignment="0" applyProtection="0"/>
    <xf numFmtId="172" fontId="17" fillId="15" borderId="0" applyNumberFormat="0" applyBorder="0" applyAlignment="0" applyProtection="0"/>
    <xf numFmtId="172" fontId="17" fillId="18" borderId="0" applyNumberFormat="0" applyBorder="0" applyAlignment="0" applyProtection="0"/>
    <xf numFmtId="172" fontId="17" fillId="19" borderId="0" applyNumberFormat="0" applyBorder="0" applyAlignment="0" applyProtection="0"/>
    <xf numFmtId="172" fontId="17" fillId="20" borderId="0" applyNumberFormat="0" applyBorder="0" applyAlignment="0" applyProtection="0"/>
    <xf numFmtId="172" fontId="19" fillId="0" borderId="0" applyNumberFormat="0" applyFill="0" applyBorder="0" applyAlignment="0" applyProtection="0"/>
    <xf numFmtId="172" fontId="20" fillId="21" borderId="9" applyNumberFormat="0" applyAlignment="0" applyProtection="0"/>
    <xf numFmtId="172" fontId="21" fillId="0" borderId="10" applyNumberFormat="0" applyFill="0" applyAlignment="0" applyProtection="0"/>
    <xf numFmtId="172" fontId="3" fillId="22" borderId="11" applyNumberFormat="0" applyFont="0" applyAlignment="0" applyProtection="0"/>
    <xf numFmtId="172" fontId="22" fillId="12" borderId="9" applyNumberFormat="0" applyAlignment="0" applyProtection="0"/>
    <xf numFmtId="172" fontId="3" fillId="0" borderId="0" applyFont="0" applyFill="0" applyBorder="0" applyAlignment="0" applyProtection="0"/>
    <xf numFmtId="172" fontId="23" fillId="8" borderId="0" applyNumberFormat="0" applyBorder="0" applyAlignment="0" applyProtection="0"/>
    <xf numFmtId="172" fontId="24" fillId="23" borderId="0" applyNumberFormat="0" applyBorder="0" applyAlignment="0" applyProtection="0"/>
    <xf numFmtId="172" fontId="3" fillId="0" borderId="0"/>
    <xf numFmtId="9" fontId="3" fillId="0" borderId="0" applyFont="0" applyFill="0" applyBorder="0" applyAlignment="0" applyProtection="0"/>
    <xf numFmtId="172" fontId="25" fillId="9" borderId="0" applyNumberFormat="0" applyBorder="0" applyAlignment="0" applyProtection="0"/>
    <xf numFmtId="172" fontId="26" fillId="21" borderId="12" applyNumberFormat="0" applyAlignment="0" applyProtection="0"/>
    <xf numFmtId="172" fontId="27" fillId="0" borderId="0" applyNumberFormat="0" applyFill="0" applyBorder="0" applyAlignment="0" applyProtection="0"/>
    <xf numFmtId="172" fontId="28" fillId="0" borderId="0" applyNumberFormat="0" applyFill="0" applyBorder="0" applyAlignment="0" applyProtection="0"/>
    <xf numFmtId="172" fontId="29" fillId="0" borderId="13" applyNumberFormat="0" applyFill="0" applyAlignment="0" applyProtection="0"/>
    <xf numFmtId="172" fontId="30" fillId="0" borderId="14" applyNumberFormat="0" applyFill="0" applyAlignment="0" applyProtection="0"/>
    <xf numFmtId="172" fontId="31" fillId="0" borderId="15" applyNumberFormat="0" applyFill="0" applyAlignment="0" applyProtection="0"/>
    <xf numFmtId="172" fontId="31" fillId="0" borderId="0" applyNumberFormat="0" applyFill="0" applyBorder="0" applyAlignment="0" applyProtection="0"/>
    <xf numFmtId="172" fontId="32" fillId="24" borderId="16" applyNumberFormat="0" applyAlignment="0" applyProtection="0"/>
    <xf numFmtId="172" fontId="2" fillId="0" borderId="0"/>
    <xf numFmtId="166" fontId="1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2" fillId="0" borderId="0"/>
    <xf numFmtId="0" fontId="2" fillId="0" borderId="0"/>
    <xf numFmtId="0" fontId="33" fillId="0" borderId="0"/>
    <xf numFmtId="165" fontId="2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" fillId="0" borderId="0"/>
    <xf numFmtId="165" fontId="3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1"/>
    <xf numFmtId="0" fontId="7" fillId="2" borderId="0" xfId="1" applyFont="1" applyFill="1"/>
    <xf numFmtId="0" fontId="4" fillId="0" borderId="0" xfId="1" applyFont="1"/>
    <xf numFmtId="0" fontId="6" fillId="0" borderId="0" xfId="0" applyFont="1"/>
    <xf numFmtId="170" fontId="3" fillId="3" borderId="0" xfId="36" applyNumberFormat="1" applyFont="1" applyFill="1"/>
    <xf numFmtId="170" fontId="7" fillId="3" borderId="0" xfId="36" applyNumberFormat="1" applyFont="1" applyFill="1"/>
    <xf numFmtId="0" fontId="4" fillId="0" borderId="0" xfId="1" applyFont="1" applyAlignment="1">
      <alignment wrapText="1"/>
    </xf>
    <xf numFmtId="170" fontId="3" fillId="0" borderId="0" xfId="36" applyNumberFormat="1" applyFont="1"/>
    <xf numFmtId="0" fontId="3" fillId="0" borderId="0" xfId="1" applyAlignment="1">
      <alignment wrapText="1"/>
    </xf>
    <xf numFmtId="0" fontId="8" fillId="0" borderId="0" xfId="1" applyFont="1"/>
    <xf numFmtId="0" fontId="9" fillId="0" borderId="0" xfId="37" applyFont="1" applyAlignment="1">
      <alignment horizontal="centerContinuous"/>
    </xf>
    <xf numFmtId="0" fontId="3" fillId="0" borderId="0" xfId="37" applyAlignment="1">
      <alignment horizontal="centerContinuous"/>
    </xf>
    <xf numFmtId="0" fontId="3" fillId="0" borderId="0" xfId="37"/>
    <xf numFmtId="0" fontId="10" fillId="0" borderId="0" xfId="37" applyFont="1" applyAlignment="1">
      <alignment horizontal="centerContinuous"/>
    </xf>
    <xf numFmtId="10" fontId="9" fillId="0" borderId="0" xfId="37" applyNumberFormat="1" applyFont="1" applyAlignment="1">
      <alignment horizontal="centerContinuous"/>
    </xf>
    <xf numFmtId="0" fontId="10" fillId="0" borderId="1" xfId="37" applyFont="1" applyBorder="1" applyAlignment="1">
      <alignment horizontal="left"/>
    </xf>
    <xf numFmtId="0" fontId="10" fillId="0" borderId="1" xfId="37" applyFont="1" applyBorder="1" applyAlignment="1">
      <alignment horizontal="center" wrapText="1"/>
    </xf>
    <xf numFmtId="0" fontId="12" fillId="0" borderId="1" xfId="37" applyFont="1" applyBorder="1"/>
    <xf numFmtId="0" fontId="12" fillId="0" borderId="1" xfId="37" applyFont="1" applyBorder="1" applyAlignment="1">
      <alignment wrapText="1"/>
    </xf>
    <xf numFmtId="0" fontId="12" fillId="0" borderId="1" xfId="37" applyFont="1" applyBorder="1" applyAlignment="1">
      <alignment horizontal="right" wrapText="1"/>
    </xf>
    <xf numFmtId="1" fontId="12" fillId="0" borderId="1" xfId="37" applyNumberFormat="1" applyFont="1" applyBorder="1"/>
    <xf numFmtId="3" fontId="12" fillId="0" borderId="1" xfId="37" applyNumberFormat="1" applyFont="1" applyBorder="1"/>
    <xf numFmtId="3" fontId="13" fillId="0" borderId="1" xfId="37" applyNumberFormat="1" applyFont="1" applyBorder="1"/>
    <xf numFmtId="0" fontId="12" fillId="5" borderId="1" xfId="37" applyFont="1" applyFill="1" applyBorder="1" applyProtection="1">
      <protection locked="0"/>
    </xf>
    <xf numFmtId="0" fontId="12" fillId="0" borderId="2" xfId="37" applyFont="1" applyBorder="1"/>
    <xf numFmtId="0" fontId="12" fillId="5" borderId="2" xfId="37" applyFont="1" applyFill="1" applyBorder="1" applyProtection="1">
      <protection locked="0"/>
    </xf>
    <xf numFmtId="3" fontId="12" fillId="0" borderId="2" xfId="37" applyNumberFormat="1" applyFont="1" applyBorder="1"/>
    <xf numFmtId="0" fontId="10" fillId="0" borderId="5" xfId="37" applyFont="1" applyBorder="1"/>
    <xf numFmtId="3" fontId="10" fillId="0" borderId="6" xfId="37" applyNumberFormat="1" applyFont="1" applyBorder="1"/>
    <xf numFmtId="3" fontId="3" fillId="0" borderId="1" xfId="37" applyNumberFormat="1" applyBorder="1" applyAlignment="1">
      <alignment wrapText="1"/>
    </xf>
    <xf numFmtId="3" fontId="3" fillId="4" borderId="1" xfId="37" applyNumberFormat="1" applyFill="1" applyBorder="1" applyAlignment="1" applyProtection="1">
      <alignment vertical="center"/>
      <protection locked="0"/>
    </xf>
    <xf numFmtId="3" fontId="3" fillId="0" borderId="1" xfId="37" applyNumberFormat="1" applyBorder="1" applyAlignment="1">
      <alignment vertical="center"/>
    </xf>
    <xf numFmtId="3" fontId="3" fillId="0" borderId="1" xfId="37" applyNumberFormat="1" applyBorder="1" applyAlignment="1" applyProtection="1">
      <alignment vertical="center"/>
      <protection locked="0"/>
    </xf>
    <xf numFmtId="0" fontId="3" fillId="0" borderId="0" xfId="37" applyAlignment="1">
      <alignment horizontal="center"/>
    </xf>
    <xf numFmtId="0" fontId="15" fillId="0" borderId="0" xfId="37" applyFont="1"/>
    <xf numFmtId="0" fontId="3" fillId="0" borderId="1" xfId="37" applyBorder="1" applyAlignment="1">
      <alignment wrapText="1"/>
    </xf>
    <xf numFmtId="0" fontId="3" fillId="0" borderId="0" xfId="37" applyAlignment="1">
      <alignment horizontal="center" vertical="center"/>
    </xf>
    <xf numFmtId="1" fontId="3" fillId="0" borderId="1" xfId="37" applyNumberFormat="1" applyBorder="1" applyAlignment="1">
      <alignment vertical="center"/>
    </xf>
    <xf numFmtId="0" fontId="3" fillId="0" borderId="1" xfId="37" applyBorder="1" applyAlignment="1">
      <alignment vertical="center"/>
    </xf>
    <xf numFmtId="3" fontId="7" fillId="6" borderId="1" xfId="37" applyNumberFormat="1" applyFont="1" applyFill="1" applyBorder="1" applyAlignment="1" applyProtection="1">
      <alignment vertical="center"/>
      <protection locked="0"/>
    </xf>
    <xf numFmtId="170" fontId="0" fillId="0" borderId="0" xfId="0" applyNumberFormat="1"/>
    <xf numFmtId="0" fontId="7" fillId="2" borderId="0" xfId="1" applyFont="1" applyFill="1" applyAlignment="1">
      <alignment wrapText="1"/>
    </xf>
    <xf numFmtId="0" fontId="3" fillId="2" borderId="0" xfId="1" applyFill="1" applyAlignment="1">
      <alignment wrapText="1"/>
    </xf>
    <xf numFmtId="170" fontId="3" fillId="2" borderId="0" xfId="36" applyNumberFormat="1" applyFont="1" applyFill="1"/>
    <xf numFmtId="170" fontId="7" fillId="2" borderId="0" xfId="36" applyNumberFormat="1" applyFont="1" applyFill="1"/>
    <xf numFmtId="0" fontId="0" fillId="0" borderId="0" xfId="0" applyAlignment="1">
      <alignment wrapText="1"/>
    </xf>
    <xf numFmtId="1" fontId="3" fillId="0" borderId="0" xfId="1" applyNumberFormat="1"/>
    <xf numFmtId="0" fontId="3" fillId="25" borderId="0" xfId="1" applyFill="1"/>
    <xf numFmtId="0" fontId="3" fillId="26" borderId="0" xfId="1" applyFill="1" applyAlignment="1">
      <alignment wrapText="1"/>
    </xf>
    <xf numFmtId="1" fontId="3" fillId="26" borderId="0" xfId="1" applyNumberFormat="1" applyFill="1"/>
    <xf numFmtId="170" fontId="3" fillId="26" borderId="0" xfId="36" applyNumberFormat="1" applyFont="1" applyFill="1"/>
    <xf numFmtId="0" fontId="3" fillId="27" borderId="0" xfId="1" applyFill="1" applyAlignment="1">
      <alignment wrapText="1"/>
    </xf>
    <xf numFmtId="9" fontId="3" fillId="27" borderId="0" xfId="1" applyNumberFormat="1" applyFill="1"/>
    <xf numFmtId="0" fontId="3" fillId="27" borderId="0" xfId="1" applyFill="1"/>
    <xf numFmtId="170" fontId="3" fillId="27" borderId="0" xfId="36" applyNumberFormat="1" applyFont="1" applyFill="1"/>
    <xf numFmtId="1" fontId="3" fillId="25" borderId="0" xfId="1" applyNumberFormat="1" applyFill="1"/>
    <xf numFmtId="170" fontId="3" fillId="25" borderId="0" xfId="36" applyNumberFormat="1" applyFont="1" applyFill="1"/>
    <xf numFmtId="3" fontId="5" fillId="4" borderId="4" xfId="10" applyNumberFormat="1" applyFill="1" applyBorder="1" applyAlignment="1" applyProtection="1">
      <alignment wrapText="1"/>
      <protection locked="0"/>
    </xf>
    <xf numFmtId="0" fontId="0" fillId="0" borderId="1" xfId="0" applyBorder="1"/>
    <xf numFmtId="0" fontId="3" fillId="0" borderId="0" xfId="1" applyAlignment="1">
      <alignment horizontal="center"/>
    </xf>
    <xf numFmtId="0" fontId="0" fillId="0" borderId="20" xfId="0" applyBorder="1"/>
    <xf numFmtId="0" fontId="3" fillId="0" borderId="21" xfId="1" applyBorder="1"/>
    <xf numFmtId="0" fontId="7" fillId="0" borderId="21" xfId="1" applyFont="1" applyBorder="1" applyAlignment="1">
      <alignment vertical="center"/>
    </xf>
    <xf numFmtId="0" fontId="34" fillId="0" borderId="21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0" fontId="0" fillId="0" borderId="5" xfId="0" applyBorder="1"/>
    <xf numFmtId="0" fontId="3" fillId="0" borderId="6" xfId="1" applyBorder="1"/>
    <xf numFmtId="0" fontId="4" fillId="0" borderId="6" xfId="1" applyFont="1" applyBorder="1" applyAlignment="1">
      <alignment wrapText="1"/>
    </xf>
    <xf numFmtId="0" fontId="3" fillId="0" borderId="6" xfId="1" applyBorder="1" applyAlignment="1">
      <alignment wrapText="1"/>
    </xf>
    <xf numFmtId="0" fontId="3" fillId="27" borderId="6" xfId="1" applyFill="1" applyBorder="1" applyAlignment="1">
      <alignment wrapText="1"/>
    </xf>
    <xf numFmtId="0" fontId="3" fillId="26" borderId="6" xfId="1" applyFill="1" applyBorder="1" applyAlignment="1">
      <alignment wrapText="1"/>
    </xf>
    <xf numFmtId="0" fontId="3" fillId="25" borderId="6" xfId="1" applyFill="1" applyBorder="1"/>
    <xf numFmtId="0" fontId="3" fillId="2" borderId="6" xfId="1" applyFill="1" applyBorder="1" applyAlignment="1">
      <alignment wrapText="1"/>
    </xf>
    <xf numFmtId="0" fontId="3" fillId="0" borderId="23" xfId="1" applyBorder="1" applyAlignment="1">
      <alignment wrapText="1"/>
    </xf>
    <xf numFmtId="0" fontId="7" fillId="0" borderId="21" xfId="1" applyFont="1" applyBorder="1" applyAlignment="1">
      <alignment horizontal="center" vertical="center"/>
    </xf>
    <xf numFmtId="0" fontId="7" fillId="2" borderId="6" xfId="1" applyFont="1" applyFill="1" applyBorder="1" applyAlignment="1">
      <alignment horizontal="center" wrapText="1"/>
    </xf>
    <xf numFmtId="0" fontId="7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6" xfId="1" applyBorder="1" applyAlignment="1">
      <alignment horizontal="center"/>
    </xf>
    <xf numFmtId="0" fontId="7" fillId="2" borderId="6" xfId="1" applyFont="1" applyFill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6" xfId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0" fontId="3" fillId="0" borderId="0" xfId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1" applyFont="1" applyBorder="1" applyAlignment="1">
      <alignment horizontal="center" wrapText="1"/>
    </xf>
    <xf numFmtId="0" fontId="4" fillId="0" borderId="0" xfId="1" applyFont="1" applyAlignment="1">
      <alignment horizontal="center"/>
    </xf>
    <xf numFmtId="1" fontId="3" fillId="0" borderId="0" xfId="1" applyNumberFormat="1" applyAlignment="1">
      <alignment horizontal="center"/>
    </xf>
    <xf numFmtId="0" fontId="7" fillId="2" borderId="6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170" fontId="7" fillId="28" borderId="0" xfId="36" applyNumberFormat="1" applyFont="1" applyFill="1"/>
    <xf numFmtId="170" fontId="34" fillId="0" borderId="0" xfId="0" applyNumberFormat="1" applyFont="1"/>
    <xf numFmtId="0" fontId="34" fillId="0" borderId="0" xfId="0" applyFont="1"/>
    <xf numFmtId="0" fontId="3" fillId="0" borderId="1" xfId="1" applyBorder="1"/>
    <xf numFmtId="9" fontId="3" fillId="27" borderId="1" xfId="1" applyNumberFormat="1" applyFill="1" applyBorder="1"/>
    <xf numFmtId="1" fontId="3" fillId="26" borderId="1" xfId="1" applyNumberFormat="1" applyFill="1" applyBorder="1"/>
    <xf numFmtId="1" fontId="3" fillId="25" borderId="1" xfId="1" applyNumberFormat="1" applyFill="1" applyBorder="1"/>
    <xf numFmtId="0" fontId="4" fillId="0" borderId="1" xfId="1" applyFont="1" applyBorder="1"/>
    <xf numFmtId="0" fontId="3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/>
    <xf numFmtId="0" fontId="3" fillId="27" borderId="1" xfId="1" applyFill="1" applyBorder="1"/>
    <xf numFmtId="0" fontId="0" fillId="29" borderId="1" xfId="0" applyFill="1" applyBorder="1"/>
    <xf numFmtId="0" fontId="6" fillId="29" borderId="1" xfId="0" applyFont="1" applyFill="1" applyBorder="1"/>
    <xf numFmtId="0" fontId="0" fillId="29" borderId="1" xfId="0" applyFill="1" applyBorder="1" applyAlignment="1">
      <alignment wrapText="1"/>
    </xf>
    <xf numFmtId="0" fontId="16" fillId="29" borderId="1" xfId="0" applyFont="1" applyFill="1" applyBorder="1"/>
    <xf numFmtId="0" fontId="0" fillId="29" borderId="0" xfId="0" applyFill="1"/>
    <xf numFmtId="2" fontId="16" fillId="29" borderId="1" xfId="0" applyNumberFormat="1" applyFont="1" applyFill="1" applyBorder="1"/>
    <xf numFmtId="1" fontId="3" fillId="29" borderId="1" xfId="1" applyNumberFormat="1" applyFill="1" applyBorder="1"/>
    <xf numFmtId="1" fontId="3" fillId="0" borderId="1" xfId="1" applyNumberFormat="1" applyBorder="1" applyAlignment="1">
      <alignment horizontal="center"/>
    </xf>
    <xf numFmtId="0" fontId="7" fillId="2" borderId="1" xfId="1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7" fillId="2" borderId="1" xfId="1" applyFont="1" applyFill="1" applyBorder="1" applyAlignment="1">
      <alignment horizontal="center"/>
    </xf>
    <xf numFmtId="0" fontId="4" fillId="0" borderId="1" xfId="1" applyFont="1" applyBorder="1" applyAlignment="1">
      <alignment wrapText="1"/>
    </xf>
    <xf numFmtId="170" fontId="7" fillId="28" borderId="1" xfId="36" applyNumberFormat="1" applyFont="1" applyFill="1" applyBorder="1"/>
    <xf numFmtId="170" fontId="0" fillId="0" borderId="1" xfId="0" applyNumberFormat="1" applyBorder="1"/>
    <xf numFmtId="0" fontId="3" fillId="0" borderId="1" xfId="1" applyBorder="1" applyAlignment="1">
      <alignment wrapText="1"/>
    </xf>
    <xf numFmtId="0" fontId="16" fillId="0" borderId="1" xfId="0" applyFont="1" applyBorder="1"/>
    <xf numFmtId="170" fontId="8" fillId="3" borderId="1" xfId="36" applyNumberFormat="1" applyFont="1" applyFill="1" applyBorder="1"/>
    <xf numFmtId="170" fontId="7" fillId="3" borderId="1" xfId="36" applyNumberFormat="1" applyFont="1" applyFill="1" applyBorder="1"/>
    <xf numFmtId="170" fontId="3" fillId="3" borderId="1" xfId="36" applyNumberFormat="1" applyFont="1" applyFill="1" applyBorder="1"/>
    <xf numFmtId="170" fontId="3" fillId="27" borderId="1" xfId="36" applyNumberFormat="1" applyFont="1" applyFill="1" applyBorder="1"/>
    <xf numFmtId="170" fontId="3" fillId="26" borderId="1" xfId="36" applyNumberFormat="1" applyFont="1" applyFill="1" applyBorder="1"/>
    <xf numFmtId="170" fontId="3" fillId="25" borderId="1" xfId="36" applyNumberFormat="1" applyFont="1" applyFill="1" applyBorder="1"/>
    <xf numFmtId="170" fontId="3" fillId="3" borderId="1" xfId="36" applyNumberFormat="1" applyFont="1" applyFill="1" applyBorder="1" applyAlignment="1">
      <alignment horizontal="center"/>
    </xf>
    <xf numFmtId="170" fontId="7" fillId="3" borderId="1" xfId="36" applyNumberFormat="1" applyFont="1" applyFill="1" applyBorder="1" applyAlignment="1">
      <alignment horizontal="center" vertical="center"/>
    </xf>
    <xf numFmtId="170" fontId="7" fillId="3" borderId="1" xfId="36" applyNumberFormat="1" applyFont="1" applyFill="1" applyBorder="1" applyAlignment="1">
      <alignment horizontal="center"/>
    </xf>
    <xf numFmtId="170" fontId="7" fillId="2" borderId="1" xfId="36" applyNumberFormat="1" applyFont="1" applyFill="1" applyBorder="1"/>
    <xf numFmtId="0" fontId="7" fillId="0" borderId="20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3" fillId="0" borderId="0" xfId="1" applyAlignment="1">
      <alignment horizontal="center" wrapText="1"/>
    </xf>
    <xf numFmtId="0" fontId="10" fillId="0" borderId="1" xfId="37" applyFont="1" applyBorder="1" applyAlignment="1">
      <alignment horizontal="center"/>
    </xf>
    <xf numFmtId="0" fontId="10" fillId="0" borderId="1" xfId="37" applyFont="1" applyBorder="1" applyAlignment="1">
      <alignment horizontal="center" wrapText="1"/>
    </xf>
    <xf numFmtId="0" fontId="11" fillId="0" borderId="2" xfId="37" applyFont="1" applyBorder="1" applyAlignment="1">
      <alignment horizontal="center" wrapText="1"/>
    </xf>
    <xf numFmtId="0" fontId="11" fillId="0" borderId="3" xfId="37" applyFont="1" applyBorder="1" applyAlignment="1">
      <alignment horizontal="center" wrapText="1"/>
    </xf>
    <xf numFmtId="3" fontId="3" fillId="0" borderId="7" xfId="37" applyNumberFormat="1" applyBorder="1" applyAlignment="1">
      <alignment horizontal="center" wrapText="1"/>
    </xf>
    <xf numFmtId="3" fontId="3" fillId="0" borderId="4" xfId="37" applyNumberFormat="1" applyBorder="1" applyAlignment="1">
      <alignment horizontal="center" wrapText="1"/>
    </xf>
    <xf numFmtId="3" fontId="3" fillId="0" borderId="8" xfId="37" applyNumberFormat="1" applyBorder="1" applyAlignment="1">
      <alignment horizontal="center" wrapText="1"/>
    </xf>
    <xf numFmtId="3" fontId="3" fillId="0" borderId="2" xfId="37" applyNumberFormat="1" applyBorder="1" applyAlignment="1">
      <alignment horizontal="center" wrapText="1"/>
    </xf>
    <xf numFmtId="3" fontId="3" fillId="0" borderId="3" xfId="37" applyNumberFormat="1" applyBorder="1" applyAlignment="1">
      <alignment horizontal="center" wrapText="1"/>
    </xf>
  </cellXfs>
  <cellStyles count="112">
    <cellStyle name="20 % - Accent1 2" xfId="49" xr:uid="{00000000-0005-0000-0000-000000000000}"/>
    <cellStyle name="20 % - Accent2 2" xfId="50" xr:uid="{00000000-0005-0000-0000-000001000000}"/>
    <cellStyle name="20 % - Accent3 2" xfId="51" xr:uid="{00000000-0005-0000-0000-000002000000}"/>
    <cellStyle name="20 % - Accent4 2" xfId="52" xr:uid="{00000000-0005-0000-0000-000003000000}"/>
    <cellStyle name="20 % - Accent5 2" xfId="53" xr:uid="{00000000-0005-0000-0000-000004000000}"/>
    <cellStyle name="20 % - Accent6 2" xfId="54" xr:uid="{00000000-0005-0000-0000-000005000000}"/>
    <cellStyle name="40 % - Accent1 2" xfId="55" xr:uid="{00000000-0005-0000-0000-000006000000}"/>
    <cellStyle name="40 % - Accent2 2" xfId="56" xr:uid="{00000000-0005-0000-0000-000007000000}"/>
    <cellStyle name="40 % - Accent3 2" xfId="57" xr:uid="{00000000-0005-0000-0000-000008000000}"/>
    <cellStyle name="40 % - Accent4 2" xfId="58" xr:uid="{00000000-0005-0000-0000-000009000000}"/>
    <cellStyle name="40 % - Accent5 2" xfId="59" xr:uid="{00000000-0005-0000-0000-00000A000000}"/>
    <cellStyle name="40 % - Accent6 2" xfId="60" xr:uid="{00000000-0005-0000-0000-00000B000000}"/>
    <cellStyle name="60 % - Accent1 2" xfId="61" xr:uid="{00000000-0005-0000-0000-00000C000000}"/>
    <cellStyle name="60 % - Accent2 2" xfId="62" xr:uid="{00000000-0005-0000-0000-00000D000000}"/>
    <cellStyle name="60 % - Accent3 2" xfId="63" xr:uid="{00000000-0005-0000-0000-00000E000000}"/>
    <cellStyle name="60 % - Accent4 2" xfId="64" xr:uid="{00000000-0005-0000-0000-00000F000000}"/>
    <cellStyle name="60 % - Accent5 2" xfId="65" xr:uid="{00000000-0005-0000-0000-000010000000}"/>
    <cellStyle name="60 % - Accent6 2" xfId="66" xr:uid="{00000000-0005-0000-0000-000011000000}"/>
    <cellStyle name="Avertissement 2" xfId="67" xr:uid="{00000000-0005-0000-0000-000012000000}"/>
    <cellStyle name="Calcul 2" xfId="68" xr:uid="{00000000-0005-0000-0000-000013000000}"/>
    <cellStyle name="Cellule liée 2" xfId="69" xr:uid="{00000000-0005-0000-0000-000014000000}"/>
    <cellStyle name="Comma" xfId="36" builtinId="3"/>
    <cellStyle name="Comma 2" xfId="87" xr:uid="{00000000-0005-0000-0000-000015000000}"/>
    <cellStyle name="Commentaire" xfId="70" xr:uid="{00000000-0005-0000-0000-000017000000}"/>
    <cellStyle name="Currency 2" xfId="48" xr:uid="{00000000-0005-0000-0000-000018000000}"/>
    <cellStyle name="Entrée 2" xfId="71" xr:uid="{00000000-0005-0000-0000-000019000000}"/>
    <cellStyle name="Euro" xfId="2" xr:uid="{00000000-0005-0000-0000-00001A000000}"/>
    <cellStyle name="Euro 2" xfId="72" xr:uid="{00000000-0005-0000-0000-00001B000000}"/>
    <cellStyle name="Insatisfaisant 2" xfId="73" xr:uid="{00000000-0005-0000-0000-00001C000000}"/>
    <cellStyle name="Milliers [0] 2" xfId="109" xr:uid="{00000000-0005-0000-0000-00001E000000}"/>
    <cellStyle name="Milliers 2" xfId="38" xr:uid="{00000000-0005-0000-0000-00001F000000}"/>
    <cellStyle name="Milliers 2 2" xfId="3" xr:uid="{00000000-0005-0000-0000-000020000000}"/>
    <cellStyle name="Milliers 2 2 2" xfId="110" xr:uid="{00000000-0005-0000-0000-000021000000}"/>
    <cellStyle name="Milliers 2 3" xfId="12" xr:uid="{00000000-0005-0000-0000-000022000000}"/>
    <cellStyle name="Milliers 2 4" xfId="22" xr:uid="{00000000-0005-0000-0000-000023000000}"/>
    <cellStyle name="Milliers 2 5" xfId="25" xr:uid="{00000000-0005-0000-0000-000024000000}"/>
    <cellStyle name="Milliers 2 6" xfId="33" xr:uid="{00000000-0005-0000-0000-000025000000}"/>
    <cellStyle name="Milliers 2 7" xfId="108" xr:uid="{00000000-0005-0000-0000-000026000000}"/>
    <cellStyle name="Milliers 3" xfId="4" xr:uid="{00000000-0005-0000-0000-000027000000}"/>
    <cellStyle name="Milliers 3 2" xfId="111" xr:uid="{00000000-0005-0000-0000-000028000000}"/>
    <cellStyle name="Milliers 4" xfId="5" xr:uid="{00000000-0005-0000-0000-000029000000}"/>
    <cellStyle name="Milliers 5" xfId="6" xr:uid="{00000000-0005-0000-0000-00002A000000}"/>
    <cellStyle name="Milliers 6" xfId="44" xr:uid="{00000000-0005-0000-0000-00002B000000}"/>
    <cellStyle name="Milliers 7" xfId="103" xr:uid="{00000000-0005-0000-0000-00002C000000}"/>
    <cellStyle name="Monétaire 2" xfId="39" xr:uid="{00000000-0005-0000-0000-00002D000000}"/>
    <cellStyle name="Monétaire 2 2" xfId="7" xr:uid="{00000000-0005-0000-0000-00002E000000}"/>
    <cellStyle name="Monétaire 2 3" xfId="13" xr:uid="{00000000-0005-0000-0000-00002F000000}"/>
    <cellStyle name="Monétaire 2 4" xfId="23" xr:uid="{00000000-0005-0000-0000-000030000000}"/>
    <cellStyle name="Monétaire 2 5" xfId="21" xr:uid="{00000000-0005-0000-0000-000031000000}"/>
    <cellStyle name="Neutre 2" xfId="74" xr:uid="{00000000-0005-0000-0000-000032000000}"/>
    <cellStyle name="Normal" xfId="0" builtinId="0"/>
    <cellStyle name="Normal 2" xfId="1" xr:uid="{00000000-0005-0000-0000-000034000000}"/>
    <cellStyle name="Normal 2 10" xfId="30" xr:uid="{00000000-0005-0000-0000-000035000000}"/>
    <cellStyle name="Normal 2 10 2" xfId="92" xr:uid="{00000000-0005-0000-0000-000036000000}"/>
    <cellStyle name="Normal 2 11" xfId="34" xr:uid="{00000000-0005-0000-0000-000037000000}"/>
    <cellStyle name="Normal 2 11 2" xfId="89" xr:uid="{00000000-0005-0000-0000-000038000000}"/>
    <cellStyle name="Normal 2 12" xfId="35" xr:uid="{00000000-0005-0000-0000-000039000000}"/>
    <cellStyle name="Normal 2 12 2" xfId="91" xr:uid="{00000000-0005-0000-0000-00003A000000}"/>
    <cellStyle name="Normal 2 13" xfId="75" xr:uid="{00000000-0005-0000-0000-00003B000000}"/>
    <cellStyle name="Normal 2 2" xfId="8" xr:uid="{00000000-0005-0000-0000-00003C000000}"/>
    <cellStyle name="Normal 2 2 2" xfId="29" xr:uid="{00000000-0005-0000-0000-00003D000000}"/>
    <cellStyle name="Normal 2 2 2 2" xfId="90" xr:uid="{00000000-0005-0000-0000-00003E000000}"/>
    <cellStyle name="Normal 2 2 3" xfId="46" xr:uid="{00000000-0005-0000-0000-00003F000000}"/>
    <cellStyle name="Normal 2 3" xfId="14" xr:uid="{00000000-0005-0000-0000-000040000000}"/>
    <cellStyle name="Normal 2 3 2" xfId="93" xr:uid="{00000000-0005-0000-0000-000041000000}"/>
    <cellStyle name="Normal 2 4" xfId="16" xr:uid="{00000000-0005-0000-0000-000042000000}"/>
    <cellStyle name="Normal 2 4 2" xfId="94" xr:uid="{00000000-0005-0000-0000-000043000000}"/>
    <cellStyle name="Normal 2 4 2 2" xfId="107" xr:uid="{00000000-0005-0000-0000-000044000000}"/>
    <cellStyle name="Normal 2 4 3" xfId="106" xr:uid="{00000000-0005-0000-0000-000045000000}"/>
    <cellStyle name="Normal 2 5" xfId="18" xr:uid="{00000000-0005-0000-0000-000046000000}"/>
    <cellStyle name="Normal 2 5 2" xfId="95" xr:uid="{00000000-0005-0000-0000-000047000000}"/>
    <cellStyle name="Normal 2 6" xfId="19" xr:uid="{00000000-0005-0000-0000-000048000000}"/>
    <cellStyle name="Normal 2 6 2" xfId="96" xr:uid="{00000000-0005-0000-0000-000049000000}"/>
    <cellStyle name="Normal 2 7" xfId="20" xr:uid="{00000000-0005-0000-0000-00004A000000}"/>
    <cellStyle name="Normal 2 7 2" xfId="97" xr:uid="{00000000-0005-0000-0000-00004B000000}"/>
    <cellStyle name="Normal 2 8" xfId="24" xr:uid="{00000000-0005-0000-0000-00004C000000}"/>
    <cellStyle name="Normal 2 8 2" xfId="98" xr:uid="{00000000-0005-0000-0000-00004D000000}"/>
    <cellStyle name="Normal 2 9" xfId="28" xr:uid="{00000000-0005-0000-0000-00004E000000}"/>
    <cellStyle name="Normal 2 9 2" xfId="99" xr:uid="{00000000-0005-0000-0000-00004F000000}"/>
    <cellStyle name="Normal 2_Dioïla" xfId="40" xr:uid="{00000000-0005-0000-0000-000050000000}"/>
    <cellStyle name="Normal 3" xfId="41" xr:uid="{00000000-0005-0000-0000-000051000000}"/>
    <cellStyle name="Normal 3 2" xfId="9" xr:uid="{00000000-0005-0000-0000-000052000000}"/>
    <cellStyle name="Normal 3 2 2" xfId="100" xr:uid="{00000000-0005-0000-0000-000053000000}"/>
    <cellStyle name="Normal 3 3" xfId="15" xr:uid="{00000000-0005-0000-0000-000054000000}"/>
    <cellStyle name="Normal 3 4" xfId="26" xr:uid="{00000000-0005-0000-0000-000055000000}"/>
    <cellStyle name="Normal 3 5" xfId="31" xr:uid="{00000000-0005-0000-0000-000056000000}"/>
    <cellStyle name="Normal 3 6" xfId="86" xr:uid="{00000000-0005-0000-0000-000057000000}"/>
    <cellStyle name="Normal 4" xfId="10" xr:uid="{00000000-0005-0000-0000-000058000000}"/>
    <cellStyle name="Normal 4 2" xfId="88" xr:uid="{00000000-0005-0000-0000-000059000000}"/>
    <cellStyle name="Normal 4 3" xfId="105" xr:uid="{00000000-0005-0000-0000-00005A000000}"/>
    <cellStyle name="Normal 5" xfId="101" xr:uid="{00000000-0005-0000-0000-00005B000000}"/>
    <cellStyle name="Normal 5 2" xfId="104" xr:uid="{00000000-0005-0000-0000-00005C000000}"/>
    <cellStyle name="Normal 6" xfId="43" xr:uid="{00000000-0005-0000-0000-00005D000000}"/>
    <cellStyle name="Normal 7" xfId="102" xr:uid="{00000000-0005-0000-0000-00005E000000}"/>
    <cellStyle name="Normal_Microplan JNV Polio Oct 2010 Ségou 13_10_10" xfId="37" xr:uid="{00000000-0005-0000-0000-00005F000000}"/>
    <cellStyle name="Percent 2" xfId="47" xr:uid="{00000000-0005-0000-0000-000060000000}"/>
    <cellStyle name="Pourcentage 2" xfId="42" xr:uid="{00000000-0005-0000-0000-000061000000}"/>
    <cellStyle name="Pourcentage 2 2" xfId="11" xr:uid="{00000000-0005-0000-0000-000062000000}"/>
    <cellStyle name="Pourcentage 2 3" xfId="17" xr:uid="{00000000-0005-0000-0000-000063000000}"/>
    <cellStyle name="Pourcentage 2 4" xfId="27" xr:uid="{00000000-0005-0000-0000-000064000000}"/>
    <cellStyle name="Pourcentage 2 5" xfId="32" xr:uid="{00000000-0005-0000-0000-000065000000}"/>
    <cellStyle name="Pourcentage 2 6" xfId="76" xr:uid="{00000000-0005-0000-0000-000066000000}"/>
    <cellStyle name="Pourcentage 3" xfId="45" xr:uid="{00000000-0005-0000-0000-000067000000}"/>
    <cellStyle name="Satisfaisant 2" xfId="77" xr:uid="{00000000-0005-0000-0000-000068000000}"/>
    <cellStyle name="Sortie 2" xfId="78" xr:uid="{00000000-0005-0000-0000-000069000000}"/>
    <cellStyle name="Texte explicatif 2" xfId="79" xr:uid="{00000000-0005-0000-0000-00006A000000}"/>
    <cellStyle name="Titre 2" xfId="80" xr:uid="{00000000-0005-0000-0000-00006B000000}"/>
    <cellStyle name="Titre 1 2" xfId="81" xr:uid="{00000000-0005-0000-0000-00006C000000}"/>
    <cellStyle name="Titre 2 2" xfId="82" xr:uid="{00000000-0005-0000-0000-00006D000000}"/>
    <cellStyle name="Titre 3 2" xfId="83" xr:uid="{00000000-0005-0000-0000-00006E000000}"/>
    <cellStyle name="Titre 4 2" xfId="84" xr:uid="{00000000-0005-0000-0000-00006F000000}"/>
    <cellStyle name="Vérification 2" xfId="85" xr:uid="{00000000-0005-0000-0000-000070000000}"/>
  </cellStyles>
  <dxfs count="0"/>
  <tableStyles count="0" defaultTableStyle="TableStyleMedium9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zoomScale="110" zoomScaleNormal="110" workbookViewId="0"/>
  </sheetViews>
  <sheetFormatPr defaultColWidth="11.42578125" defaultRowHeight="15" x14ac:dyDescent="0.25"/>
  <cols>
    <col min="1" max="1" width="69.140625" customWidth="1"/>
    <col min="2" max="2" width="28.7109375" customWidth="1"/>
  </cols>
  <sheetData>
    <row r="1" spans="1:2" x14ac:dyDescent="0.25">
      <c r="A1" s="59" t="s">
        <v>163</v>
      </c>
      <c r="B1" s="59"/>
    </row>
    <row r="2" spans="1:2" x14ac:dyDescent="0.25">
      <c r="A2" s="104" t="s">
        <v>7</v>
      </c>
      <c r="B2" s="104" t="s">
        <v>8</v>
      </c>
    </row>
    <row r="3" spans="1:2" x14ac:dyDescent="0.25">
      <c r="A3" s="104" t="s">
        <v>153</v>
      </c>
      <c r="B3" s="107">
        <v>0.1</v>
      </c>
    </row>
    <row r="4" spans="1:2" s="4" customFormat="1" x14ac:dyDescent="0.25">
      <c r="A4" s="107" t="s">
        <v>155</v>
      </c>
      <c r="B4" s="107">
        <v>30</v>
      </c>
    </row>
    <row r="5" spans="1:2" x14ac:dyDescent="0.25">
      <c r="A5" s="107" t="s">
        <v>158</v>
      </c>
      <c r="B5" s="107">
        <v>30</v>
      </c>
    </row>
    <row r="6" spans="1:2" x14ac:dyDescent="0.25">
      <c r="A6" s="107" t="s">
        <v>156</v>
      </c>
      <c r="B6" s="107">
        <v>30</v>
      </c>
    </row>
    <row r="7" spans="1:2" s="4" customFormat="1" x14ac:dyDescent="0.25">
      <c r="A7" s="107" t="s">
        <v>9</v>
      </c>
      <c r="B7" s="107">
        <v>2</v>
      </c>
    </row>
    <row r="8" spans="1:2" x14ac:dyDescent="0.25">
      <c r="A8" s="107" t="s">
        <v>10</v>
      </c>
      <c r="B8" s="107">
        <v>2</v>
      </c>
    </row>
    <row r="9" spans="1:2" x14ac:dyDescent="0.25">
      <c r="A9" s="104" t="s">
        <v>11</v>
      </c>
      <c r="B9" s="107">
        <v>2</v>
      </c>
    </row>
    <row r="10" spans="1:2" x14ac:dyDescent="0.25">
      <c r="A10" s="104" t="s">
        <v>47</v>
      </c>
      <c r="B10" s="107">
        <v>1</v>
      </c>
    </row>
    <row r="11" spans="1:2" x14ac:dyDescent="0.25">
      <c r="A11" s="104" t="s">
        <v>12</v>
      </c>
      <c r="B11" s="107">
        <v>4</v>
      </c>
    </row>
    <row r="12" spans="1:2" x14ac:dyDescent="0.25">
      <c r="A12" s="104" t="s">
        <v>13</v>
      </c>
      <c r="B12" s="107">
        <v>2</v>
      </c>
    </row>
    <row r="13" spans="1:2" x14ac:dyDescent="0.25">
      <c r="A13" s="104" t="s">
        <v>14</v>
      </c>
      <c r="B13" s="107">
        <v>0</v>
      </c>
    </row>
    <row r="14" spans="1:2" x14ac:dyDescent="0.25">
      <c r="A14" s="104" t="s">
        <v>15</v>
      </c>
      <c r="B14" s="107">
        <v>5</v>
      </c>
    </row>
    <row r="15" spans="1:2" x14ac:dyDescent="0.25">
      <c r="A15" s="104" t="s">
        <v>16</v>
      </c>
      <c r="B15" s="107">
        <v>1</v>
      </c>
    </row>
    <row r="16" spans="1:2" x14ac:dyDescent="0.25">
      <c r="A16" s="104" t="s">
        <v>17</v>
      </c>
      <c r="B16" s="107">
        <v>1</v>
      </c>
    </row>
    <row r="17" spans="1:2" x14ac:dyDescent="0.25">
      <c r="A17" s="104" t="s">
        <v>18</v>
      </c>
      <c r="B17" s="107">
        <v>4</v>
      </c>
    </row>
    <row r="18" spans="1:2" x14ac:dyDescent="0.25">
      <c r="A18" s="104" t="s">
        <v>19</v>
      </c>
      <c r="B18" s="107">
        <v>24</v>
      </c>
    </row>
    <row r="19" spans="1:2" x14ac:dyDescent="0.25">
      <c r="A19" s="104" t="s">
        <v>20</v>
      </c>
      <c r="B19" s="109">
        <f>100/(100-5)</f>
        <v>1.0526315789473684</v>
      </c>
    </row>
    <row r="20" spans="1:2" x14ac:dyDescent="0.25">
      <c r="A20" s="104" t="s">
        <v>21</v>
      </c>
      <c r="B20" s="107">
        <v>2</v>
      </c>
    </row>
    <row r="21" spans="1:2" x14ac:dyDescent="0.25">
      <c r="A21" s="104" t="s">
        <v>22</v>
      </c>
      <c r="B21" s="107">
        <v>0.6</v>
      </c>
    </row>
    <row r="22" spans="1:2" x14ac:dyDescent="0.25">
      <c r="A22" s="104" t="s">
        <v>23</v>
      </c>
      <c r="B22" s="107">
        <v>0.2</v>
      </c>
    </row>
    <row r="23" spans="1:2" x14ac:dyDescent="0.25">
      <c r="A23" s="104" t="s">
        <v>24</v>
      </c>
      <c r="B23" s="107">
        <v>7.0000000000000007E-2</v>
      </c>
    </row>
    <row r="24" spans="1:2" x14ac:dyDescent="0.25">
      <c r="A24" s="104" t="s">
        <v>25</v>
      </c>
      <c r="B24" s="107"/>
    </row>
    <row r="25" spans="1:2" x14ac:dyDescent="0.25">
      <c r="A25" s="104" t="s">
        <v>164</v>
      </c>
      <c r="B25" s="107"/>
    </row>
    <row r="26" spans="1:2" x14ac:dyDescent="0.25">
      <c r="A26" s="104" t="s">
        <v>165</v>
      </c>
      <c r="B26" s="107"/>
    </row>
    <row r="27" spans="1:2" x14ac:dyDescent="0.25">
      <c r="A27" s="104" t="s">
        <v>26</v>
      </c>
      <c r="B27" s="107"/>
    </row>
    <row r="28" spans="1:2" x14ac:dyDescent="0.25">
      <c r="A28" s="104" t="s">
        <v>27</v>
      </c>
      <c r="B28" s="107"/>
    </row>
    <row r="29" spans="1:2" x14ac:dyDescent="0.25">
      <c r="A29" s="104" t="s">
        <v>28</v>
      </c>
      <c r="B29" s="107"/>
    </row>
    <row r="30" spans="1:2" ht="30" x14ac:dyDescent="0.25">
      <c r="A30" s="106" t="s">
        <v>29</v>
      </c>
      <c r="B30" s="107"/>
    </row>
    <row r="31" spans="1:2" x14ac:dyDescent="0.25">
      <c r="A31" s="104" t="s">
        <v>30</v>
      </c>
      <c r="B31" s="107"/>
    </row>
    <row r="32" spans="1:2" x14ac:dyDescent="0.25">
      <c r="A32" s="104" t="s">
        <v>31</v>
      </c>
      <c r="B32" s="107"/>
    </row>
    <row r="33" spans="1:2" x14ac:dyDescent="0.25">
      <c r="A33" s="104" t="s">
        <v>32</v>
      </c>
      <c r="B33" s="107"/>
    </row>
    <row r="34" spans="1:2" x14ac:dyDescent="0.25">
      <c r="A34" s="104" t="s">
        <v>33</v>
      </c>
      <c r="B34" s="107"/>
    </row>
    <row r="35" spans="1:2" x14ac:dyDescent="0.25">
      <c r="A35" s="104" t="s">
        <v>34</v>
      </c>
      <c r="B35" s="107"/>
    </row>
    <row r="36" spans="1:2" x14ac:dyDescent="0.25">
      <c r="A36" s="104" t="s">
        <v>100</v>
      </c>
      <c r="B36" s="107"/>
    </row>
    <row r="37" spans="1:2" x14ac:dyDescent="0.25">
      <c r="A37" s="104" t="s">
        <v>166</v>
      </c>
      <c r="B37" s="107"/>
    </row>
    <row r="38" spans="1:2" x14ac:dyDescent="0.25">
      <c r="A38" s="104" t="s">
        <v>167</v>
      </c>
      <c r="B38" s="107"/>
    </row>
    <row r="39" spans="1:2" x14ac:dyDescent="0.25">
      <c r="A39" s="104" t="s">
        <v>168</v>
      </c>
      <c r="B39" s="107"/>
    </row>
    <row r="40" spans="1:2" x14ac:dyDescent="0.25">
      <c r="A40" s="104" t="s">
        <v>170</v>
      </c>
      <c r="B40" s="107"/>
    </row>
    <row r="41" spans="1:2" x14ac:dyDescent="0.25">
      <c r="A41" s="104" t="s">
        <v>169</v>
      </c>
      <c r="B41" s="107"/>
    </row>
    <row r="42" spans="1:2" x14ac:dyDescent="0.25">
      <c r="A42" s="104" t="s">
        <v>171</v>
      </c>
      <c r="B42" s="107"/>
    </row>
    <row r="43" spans="1:2" x14ac:dyDescent="0.25">
      <c r="A43" s="104" t="s">
        <v>172</v>
      </c>
      <c r="B43" s="107"/>
    </row>
    <row r="44" spans="1:2" x14ac:dyDescent="0.25">
      <c r="A44" s="104" t="s">
        <v>35</v>
      </c>
      <c r="B44" s="107"/>
    </row>
    <row r="45" spans="1:2" x14ac:dyDescent="0.25">
      <c r="A45" s="104" t="s">
        <v>36</v>
      </c>
      <c r="B45" s="107"/>
    </row>
    <row r="46" spans="1:2" x14ac:dyDescent="0.25">
      <c r="A46" s="104" t="s">
        <v>37</v>
      </c>
      <c r="B46" s="107">
        <v>0</v>
      </c>
    </row>
    <row r="47" spans="1:2" x14ac:dyDescent="0.25">
      <c r="A47" s="104" t="s">
        <v>39</v>
      </c>
      <c r="B47" s="107">
        <v>500000</v>
      </c>
    </row>
    <row r="48" spans="1:2" x14ac:dyDescent="0.25">
      <c r="A48" s="104" t="s">
        <v>40</v>
      </c>
      <c r="B48" s="107">
        <v>0</v>
      </c>
    </row>
    <row r="49" spans="1:2" x14ac:dyDescent="0.25">
      <c r="A49" s="104" t="s">
        <v>41</v>
      </c>
      <c r="B49" s="107">
        <v>0</v>
      </c>
    </row>
    <row r="50" spans="1:2" x14ac:dyDescent="0.25">
      <c r="A50" s="104" t="s">
        <v>42</v>
      </c>
      <c r="B50" s="107">
        <v>0</v>
      </c>
    </row>
    <row r="51" spans="1:2" x14ac:dyDescent="0.25">
      <c r="A51" s="104" t="s">
        <v>43</v>
      </c>
      <c r="B51" s="107">
        <v>0</v>
      </c>
    </row>
    <row r="52" spans="1:2" x14ac:dyDescent="0.25">
      <c r="A52" s="104" t="s">
        <v>44</v>
      </c>
      <c r="B52" s="107">
        <v>0</v>
      </c>
    </row>
    <row r="53" spans="1:2" x14ac:dyDescent="0.25">
      <c r="A53" s="105" t="s">
        <v>45</v>
      </c>
      <c r="B53" s="107">
        <v>10</v>
      </c>
    </row>
    <row r="54" spans="1:2" x14ac:dyDescent="0.25">
      <c r="A54" s="104" t="s">
        <v>99</v>
      </c>
      <c r="B54" s="107">
        <v>1</v>
      </c>
    </row>
    <row r="55" spans="1:2" x14ac:dyDescent="0.25">
      <c r="A55" s="104" t="s">
        <v>159</v>
      </c>
      <c r="B55" s="107">
        <v>5000</v>
      </c>
    </row>
    <row r="56" spans="1:2" x14ac:dyDescent="0.25">
      <c r="A56" s="104" t="s">
        <v>101</v>
      </c>
      <c r="B56" s="107">
        <v>15000</v>
      </c>
    </row>
    <row r="57" spans="1:2" x14ac:dyDescent="0.25">
      <c r="A57" s="104" t="s">
        <v>102</v>
      </c>
      <c r="B57" s="107">
        <v>5000</v>
      </c>
    </row>
    <row r="58" spans="1:2" x14ac:dyDescent="0.25">
      <c r="A58" s="104" t="s">
        <v>103</v>
      </c>
      <c r="B58" s="107">
        <v>5000</v>
      </c>
    </row>
    <row r="59" spans="1:2" x14ac:dyDescent="0.25">
      <c r="A59" s="104" t="s">
        <v>38</v>
      </c>
      <c r="B59" s="107">
        <v>1500</v>
      </c>
    </row>
    <row r="60" spans="1:2" x14ac:dyDescent="0.25">
      <c r="A60" s="104" t="s">
        <v>109</v>
      </c>
      <c r="B60" s="107">
        <v>0</v>
      </c>
    </row>
    <row r="61" spans="1:2" x14ac:dyDescent="0.25">
      <c r="A61" s="104" t="s">
        <v>110</v>
      </c>
      <c r="B61" s="107">
        <v>1500</v>
      </c>
    </row>
    <row r="62" spans="1:2" x14ac:dyDescent="0.25">
      <c r="A62" s="104" t="s">
        <v>118</v>
      </c>
      <c r="B62" s="107">
        <v>5000</v>
      </c>
    </row>
    <row r="63" spans="1:2" x14ac:dyDescent="0.25">
      <c r="A63" s="104" t="s">
        <v>111</v>
      </c>
      <c r="B63" s="107">
        <v>0</v>
      </c>
    </row>
    <row r="64" spans="1:2" x14ac:dyDescent="0.25">
      <c r="A64" s="104" t="s">
        <v>112</v>
      </c>
      <c r="B64" s="107">
        <v>0</v>
      </c>
    </row>
    <row r="65" spans="1:2" x14ac:dyDescent="0.25">
      <c r="A65" s="104" t="s">
        <v>113</v>
      </c>
      <c r="B65" s="107">
        <v>0</v>
      </c>
    </row>
    <row r="66" spans="1:2" x14ac:dyDescent="0.25">
      <c r="A66" s="104" t="s">
        <v>114</v>
      </c>
      <c r="B66" s="107">
        <v>0</v>
      </c>
    </row>
    <row r="67" spans="1:2" x14ac:dyDescent="0.25">
      <c r="A67" s="104" t="s">
        <v>115</v>
      </c>
      <c r="B67" s="107">
        <v>0</v>
      </c>
    </row>
    <row r="68" spans="1:2" x14ac:dyDescent="0.25">
      <c r="A68" s="104" t="s">
        <v>116</v>
      </c>
      <c r="B68" s="107">
        <v>0</v>
      </c>
    </row>
    <row r="69" spans="1:2" x14ac:dyDescent="0.25">
      <c r="A69" s="104" t="s">
        <v>126</v>
      </c>
      <c r="B69" s="107">
        <v>5000</v>
      </c>
    </row>
    <row r="70" spans="1:2" x14ac:dyDescent="0.25">
      <c r="A70" s="104" t="s">
        <v>127</v>
      </c>
      <c r="B70" s="107">
        <v>4500</v>
      </c>
    </row>
    <row r="71" spans="1:2" x14ac:dyDescent="0.25">
      <c r="A71" s="104" t="s">
        <v>128</v>
      </c>
      <c r="B71" s="107">
        <v>2</v>
      </c>
    </row>
    <row r="72" spans="1:2" x14ac:dyDescent="0.25">
      <c r="A72" s="104" t="s">
        <v>129</v>
      </c>
      <c r="B72" s="107">
        <v>5</v>
      </c>
    </row>
    <row r="73" spans="1:2" x14ac:dyDescent="0.25">
      <c r="A73" s="104" t="s">
        <v>130</v>
      </c>
      <c r="B73" s="107">
        <v>7</v>
      </c>
    </row>
    <row r="74" spans="1:2" x14ac:dyDescent="0.25">
      <c r="A74" s="104" t="s">
        <v>131</v>
      </c>
      <c r="B74" s="107">
        <v>100</v>
      </c>
    </row>
    <row r="75" spans="1:2" x14ac:dyDescent="0.25">
      <c r="A75" s="104" t="s">
        <v>133</v>
      </c>
      <c r="B75" s="107">
        <v>1</v>
      </c>
    </row>
    <row r="76" spans="1:2" x14ac:dyDescent="0.25">
      <c r="A76" s="104" t="s">
        <v>138</v>
      </c>
      <c r="B76" s="107">
        <v>6</v>
      </c>
    </row>
    <row r="77" spans="1:2" x14ac:dyDescent="0.25">
      <c r="A77" s="104" t="s">
        <v>140</v>
      </c>
      <c r="B77" s="107">
        <v>100000</v>
      </c>
    </row>
    <row r="78" spans="1:2" x14ac:dyDescent="0.25">
      <c r="A78" s="104" t="s">
        <v>141</v>
      </c>
      <c r="B78" s="107">
        <v>50000</v>
      </c>
    </row>
    <row r="79" spans="1:2" x14ac:dyDescent="0.25">
      <c r="A79" s="104" t="s">
        <v>142</v>
      </c>
      <c r="B79" s="107">
        <v>0</v>
      </c>
    </row>
    <row r="80" spans="1:2" x14ac:dyDescent="0.25">
      <c r="A80" s="108"/>
      <c r="B80" s="108"/>
    </row>
    <row r="81" spans="1:2" x14ac:dyDescent="0.25">
      <c r="A81" s="108"/>
      <c r="B81" s="10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4.9989318521683403E-2"/>
  </sheetPr>
  <dimension ref="A1:AT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1.42578125" defaultRowHeight="15" x14ac:dyDescent="0.25"/>
  <cols>
    <col min="1" max="1" width="5.7109375" customWidth="1"/>
    <col min="2" max="2" width="19" customWidth="1"/>
    <col min="3" max="3" width="10.7109375" customWidth="1"/>
    <col min="4" max="13" width="11.140625" customWidth="1"/>
    <col min="14" max="14" width="11.7109375" customWidth="1"/>
    <col min="15" max="15" width="14.85546875" customWidth="1"/>
    <col min="16" max="16" width="17.42578125" style="78" customWidth="1"/>
    <col min="17" max="17" width="11.140625" style="78" customWidth="1"/>
    <col min="18" max="18" width="13.7109375" style="78" customWidth="1"/>
    <col min="19" max="20" width="11.140625" style="78" customWidth="1"/>
    <col min="21" max="24" width="11.140625" style="86" customWidth="1"/>
    <col min="25" max="25" width="11.140625" style="78" customWidth="1"/>
    <col min="26" max="28" width="11.140625" customWidth="1"/>
    <col min="29" max="32" width="11.140625" style="78" customWidth="1"/>
    <col min="33" max="33" width="11.5703125" style="78" bestFit="1" customWidth="1"/>
    <col min="34" max="36" width="11.5703125" bestFit="1" customWidth="1"/>
    <col min="37" max="37" width="11.5703125" customWidth="1"/>
    <col min="38" max="42" width="11.5703125" style="78" customWidth="1"/>
    <col min="43" max="43" width="14.42578125" style="78" customWidth="1"/>
    <col min="44" max="44" width="11.5703125" customWidth="1"/>
    <col min="45" max="45" width="12.85546875" customWidth="1"/>
    <col min="46" max="46" width="12.7109375" bestFit="1" customWidth="1"/>
  </cols>
  <sheetData>
    <row r="1" spans="1:46" ht="39" customHeight="1" thickBot="1" x14ac:dyDescent="0.3">
      <c r="A1" s="61"/>
      <c r="B1" s="62"/>
      <c r="C1" s="62"/>
      <c r="D1" s="62"/>
      <c r="E1" s="62"/>
      <c r="F1" s="62"/>
      <c r="G1" s="130" t="s">
        <v>148</v>
      </c>
      <c r="H1" s="131"/>
      <c r="I1" s="132"/>
      <c r="J1" s="63"/>
      <c r="K1" s="63" t="s">
        <v>146</v>
      </c>
      <c r="L1" s="63"/>
      <c r="M1" s="63"/>
      <c r="N1" s="63"/>
      <c r="O1" s="63" t="s">
        <v>48</v>
      </c>
      <c r="P1" s="75"/>
      <c r="Q1" s="75"/>
      <c r="R1" s="133" t="s">
        <v>0</v>
      </c>
      <c r="S1" s="134"/>
      <c r="T1" s="134"/>
      <c r="U1" s="135"/>
      <c r="V1" s="133" t="s">
        <v>63</v>
      </c>
      <c r="W1" s="134"/>
      <c r="X1" s="75"/>
      <c r="Y1" s="75"/>
      <c r="Z1" s="63" t="s">
        <v>64</v>
      </c>
      <c r="AA1" s="63"/>
      <c r="AB1" s="63"/>
      <c r="AC1" s="75"/>
      <c r="AD1" s="75" t="s">
        <v>59</v>
      </c>
      <c r="AE1" s="75"/>
      <c r="AF1" s="75"/>
      <c r="AG1" s="75"/>
      <c r="AH1" s="63"/>
      <c r="AI1" s="63"/>
      <c r="AJ1" s="63"/>
      <c r="AK1" s="63"/>
      <c r="AL1" s="75"/>
      <c r="AM1" s="75"/>
      <c r="AN1" s="75"/>
      <c r="AO1" s="75"/>
      <c r="AP1" s="75"/>
      <c r="AQ1" s="75" t="s">
        <v>62</v>
      </c>
      <c r="AR1" s="63"/>
      <c r="AS1" s="64"/>
      <c r="AT1" s="65"/>
    </row>
    <row r="2" spans="1:46" ht="66" customHeight="1" thickBot="1" x14ac:dyDescent="0.3">
      <c r="A2" s="66" t="s">
        <v>98</v>
      </c>
      <c r="B2" s="67" t="s">
        <v>1</v>
      </c>
      <c r="C2" s="68" t="s">
        <v>46</v>
      </c>
      <c r="D2" s="69" t="s">
        <v>104</v>
      </c>
      <c r="E2" s="69" t="s">
        <v>105</v>
      </c>
      <c r="F2" s="69" t="s">
        <v>157</v>
      </c>
      <c r="G2" s="70" t="s">
        <v>2</v>
      </c>
      <c r="H2" s="70" t="s">
        <v>3</v>
      </c>
      <c r="I2" s="70" t="s">
        <v>144</v>
      </c>
      <c r="J2" s="71" t="s">
        <v>147</v>
      </c>
      <c r="K2" s="72" t="s">
        <v>2</v>
      </c>
      <c r="L2" s="72" t="s">
        <v>3</v>
      </c>
      <c r="M2" s="72" t="s">
        <v>4</v>
      </c>
      <c r="N2" s="69" t="s">
        <v>152</v>
      </c>
      <c r="O2" s="68" t="s">
        <v>49</v>
      </c>
      <c r="P2" s="87" t="s">
        <v>50</v>
      </c>
      <c r="Q2" s="87" t="s">
        <v>51</v>
      </c>
      <c r="R2" s="79" t="s">
        <v>2</v>
      </c>
      <c r="S2" s="79" t="s">
        <v>3</v>
      </c>
      <c r="T2" s="79" t="s">
        <v>4</v>
      </c>
      <c r="U2" s="80" t="s">
        <v>6</v>
      </c>
      <c r="V2" s="81" t="s">
        <v>2</v>
      </c>
      <c r="W2" s="81" t="s">
        <v>3</v>
      </c>
      <c r="X2" s="82" t="s">
        <v>106</v>
      </c>
      <c r="Y2" s="76" t="s">
        <v>121</v>
      </c>
      <c r="Z2" s="81" t="s">
        <v>2</v>
      </c>
      <c r="AA2" s="81" t="s">
        <v>3</v>
      </c>
      <c r="AB2" s="81" t="s">
        <v>4</v>
      </c>
      <c r="AC2" s="90" t="s">
        <v>122</v>
      </c>
      <c r="AD2" s="87" t="s">
        <v>52</v>
      </c>
      <c r="AE2" s="91" t="s">
        <v>53</v>
      </c>
      <c r="AF2" s="87" t="s">
        <v>54</v>
      </c>
      <c r="AG2" s="87" t="s">
        <v>55</v>
      </c>
      <c r="AH2" s="68" t="s">
        <v>56</v>
      </c>
      <c r="AI2" s="68" t="s">
        <v>57</v>
      </c>
      <c r="AJ2" s="91" t="s">
        <v>58</v>
      </c>
      <c r="AK2" s="91" t="s">
        <v>60</v>
      </c>
      <c r="AL2" s="91" t="s">
        <v>61</v>
      </c>
      <c r="AM2" s="82" t="s">
        <v>149</v>
      </c>
      <c r="AN2" s="82" t="s">
        <v>160</v>
      </c>
      <c r="AO2" s="82" t="s">
        <v>161</v>
      </c>
      <c r="AP2" s="82" t="s">
        <v>136</v>
      </c>
      <c r="AQ2" s="82" t="s">
        <v>107</v>
      </c>
      <c r="AR2" s="91" t="s">
        <v>65</v>
      </c>
      <c r="AS2" s="73" t="s">
        <v>125</v>
      </c>
      <c r="AT2" s="74" t="s">
        <v>69</v>
      </c>
    </row>
    <row r="3" spans="1:46" x14ac:dyDescent="0.25">
      <c r="A3">
        <v>1</v>
      </c>
      <c r="B3" s="1"/>
      <c r="C3" s="1"/>
      <c r="D3" s="1"/>
      <c r="E3" s="1"/>
      <c r="F3" s="47"/>
      <c r="G3" s="53"/>
      <c r="H3" s="53"/>
      <c r="I3" s="53"/>
      <c r="J3" s="50">
        <f>F3*Paramètres!$B$3</f>
        <v>0</v>
      </c>
      <c r="K3" s="56">
        <f>J3*G3</f>
        <v>0</v>
      </c>
      <c r="L3" s="56">
        <f>J3*H3</f>
        <v>0</v>
      </c>
      <c r="M3" s="56">
        <f>J3*I3</f>
        <v>0</v>
      </c>
      <c r="N3" s="3">
        <f>ROUNDUP(J3*Paramètres!$B$19,-1)</f>
        <v>0</v>
      </c>
      <c r="O3" s="1">
        <f>N3</f>
        <v>0</v>
      </c>
      <c r="P3" s="60">
        <f>O3/10</f>
        <v>0</v>
      </c>
      <c r="Q3" s="88">
        <f>ROUNDUP((O3+P3)/100,-1)</f>
        <v>0</v>
      </c>
      <c r="R3" s="89">
        <f>ROUNDUP(+K3/Paramètres!$B$4/Paramètres!$B$53,0)</f>
        <v>0</v>
      </c>
      <c r="S3" s="89">
        <f>ROUNDUP(+L3/Paramètres!$B$6/Paramètres!$B$53,0)</f>
        <v>0</v>
      </c>
      <c r="T3" s="89"/>
      <c r="U3" s="83">
        <f>R3+S3+T3</f>
        <v>0</v>
      </c>
      <c r="V3" s="84">
        <f>R3*Paramètres!$B$7</f>
        <v>0</v>
      </c>
      <c r="W3" s="84">
        <f>S3*Paramètres!$B$9</f>
        <v>0</v>
      </c>
      <c r="X3" s="84"/>
      <c r="Y3" s="77">
        <f>V3+W3+X3</f>
        <v>0</v>
      </c>
      <c r="Z3" s="7">
        <f>R3*Paramètres!$B$10</f>
        <v>0</v>
      </c>
      <c r="AA3" s="7">
        <f>S3*Paramètres!$B$10</f>
        <v>0</v>
      </c>
      <c r="AB3" s="7"/>
      <c r="AC3" s="77">
        <f>Z3+AA3+AB3</f>
        <v>0</v>
      </c>
      <c r="AD3" s="60">
        <f>U3</f>
        <v>0</v>
      </c>
      <c r="AE3" s="60">
        <f>ROUNDUP((U3/200)*2,0)*10</f>
        <v>0</v>
      </c>
      <c r="AF3" s="89">
        <f>IF(B3="",0,Paramètres!$B$53*1.5)</f>
        <v>0</v>
      </c>
      <c r="AG3" s="89">
        <f>IF(C3="",0,Paramètres!$B$53*1.5)</f>
        <v>0</v>
      </c>
      <c r="AH3" s="1"/>
      <c r="AI3" s="1"/>
      <c r="AJ3" s="1"/>
      <c r="AK3" s="1"/>
      <c r="AL3" s="60">
        <f>(U3*Paramètres!$B$53)*3</f>
        <v>0</v>
      </c>
      <c r="AM3" s="60">
        <f>N3</f>
        <v>0</v>
      </c>
      <c r="AN3" s="60"/>
      <c r="AO3" s="60">
        <f>U3*Paramètres!$B$72*Paramètres!$B$73</f>
        <v>0</v>
      </c>
      <c r="AP3" s="60"/>
      <c r="AQ3" s="60">
        <f>(Y3+AC3)*Paramètres!$B$42*Paramètres!$B$53</f>
        <v>0</v>
      </c>
      <c r="AR3" s="7">
        <f>ROUNDUP(D3*Paramètres!$B$23*Paramètres!$B$26,-1)</f>
        <v>0</v>
      </c>
      <c r="AS3" s="92">
        <f>Paramètres!$B$53*Paramètres!$B$69</f>
        <v>50000</v>
      </c>
      <c r="AT3" s="41"/>
    </row>
    <row r="4" spans="1:46" x14ac:dyDescent="0.25">
      <c r="A4" s="59">
        <v>2</v>
      </c>
      <c r="B4" s="95"/>
      <c r="C4" s="95"/>
      <c r="D4" s="95"/>
      <c r="E4" s="95"/>
      <c r="F4" s="110"/>
      <c r="G4" s="96"/>
      <c r="H4" s="96"/>
      <c r="I4" s="96"/>
      <c r="J4" s="97">
        <f>F4*Paramètres!$B$3</f>
        <v>0</v>
      </c>
      <c r="K4" s="98">
        <f t="shared" ref="K4:K67" si="0">J4*G4</f>
        <v>0</v>
      </c>
      <c r="L4" s="98">
        <f t="shared" ref="L4:L67" si="1">J4*H4</f>
        <v>0</v>
      </c>
      <c r="M4" s="98">
        <f t="shared" ref="M4:M67" si="2">J4*I4</f>
        <v>0</v>
      </c>
      <c r="N4" s="99">
        <f>ROUNDUP(J4*Paramètres!$B$19,-1)</f>
        <v>0</v>
      </c>
      <c r="O4" s="95">
        <f t="shared" ref="O4:O67" si="3">N4</f>
        <v>0</v>
      </c>
      <c r="P4" s="100">
        <f t="shared" ref="P4:P67" si="4">O4/10</f>
        <v>0</v>
      </c>
      <c r="Q4" s="101">
        <f t="shared" ref="Q4:Q67" si="5">ROUNDUP((O4+P4)/100,-1)</f>
        <v>0</v>
      </c>
      <c r="R4" s="111">
        <f>ROUNDUP(+K4/Paramètres!$B$4/Paramètres!$B$53,0)</f>
        <v>0</v>
      </c>
      <c r="S4" s="111">
        <f>ROUNDUP(+L4/Paramètres!$B$6/Paramètres!$B$53,0)</f>
        <v>0</v>
      </c>
      <c r="T4" s="111"/>
      <c r="U4" s="112">
        <f t="shared" ref="U4:U67" si="6">R4+S4+T4</f>
        <v>0</v>
      </c>
      <c r="V4" s="113">
        <f>R4*Paramètres!$B$7</f>
        <v>0</v>
      </c>
      <c r="W4" s="113">
        <f>S4*Paramètres!$B$9</f>
        <v>0</v>
      </c>
      <c r="X4" s="113"/>
      <c r="Y4" s="114">
        <f t="shared" ref="Y4:Y67" si="7">V4+W4+X4</f>
        <v>0</v>
      </c>
      <c r="Z4" s="115">
        <f>R4*Paramètres!$B$10</f>
        <v>0</v>
      </c>
      <c r="AA4" s="115">
        <f>S4*Paramètres!$B$10</f>
        <v>0</v>
      </c>
      <c r="AB4" s="115"/>
      <c r="AC4" s="114">
        <f t="shared" ref="AC4:AC67" si="8">Z4+AA4+AB4</f>
        <v>0</v>
      </c>
      <c r="AD4" s="100">
        <f>U4</f>
        <v>0</v>
      </c>
      <c r="AE4" s="100">
        <f t="shared" ref="AE4:AE67" si="9">ROUNDUP((U4/200)*2,0)*10</f>
        <v>0</v>
      </c>
      <c r="AF4" s="111">
        <f>IF(B4="",0,Paramètres!$B$53*1.5)</f>
        <v>0</v>
      </c>
      <c r="AG4" s="111">
        <f>IF(C4="",0,Paramètres!$B$53*1.5)</f>
        <v>0</v>
      </c>
      <c r="AH4" s="95"/>
      <c r="AI4" s="95"/>
      <c r="AJ4" s="95"/>
      <c r="AK4" s="95"/>
      <c r="AL4" s="100">
        <f>(U4*Paramètres!$B$53)*3</f>
        <v>0</v>
      </c>
      <c r="AM4" s="100">
        <f t="shared" ref="AM4:AM67" si="10">N4</f>
        <v>0</v>
      </c>
      <c r="AN4" s="100"/>
      <c r="AO4" s="100">
        <f>U4*Paramètres!$B$72*Paramètres!$B$73</f>
        <v>0</v>
      </c>
      <c r="AP4" s="100"/>
      <c r="AQ4" s="100">
        <f>(Y4+AC4)*Paramètres!$B$42*Paramètres!$B$53</f>
        <v>0</v>
      </c>
      <c r="AR4" s="115">
        <f>ROUNDUP(D4*Paramètres!$B$23*Paramètres!$B$26,-1)</f>
        <v>0</v>
      </c>
      <c r="AS4" s="116">
        <f>Paramètres!$B$53*Paramètres!$B$69</f>
        <v>50000</v>
      </c>
      <c r="AT4" s="117">
        <f t="shared" ref="AT4:AT67" si="11">+AQ4+AR4+AS4</f>
        <v>50000</v>
      </c>
    </row>
    <row r="5" spans="1:46" x14ac:dyDescent="0.25">
      <c r="A5" s="59">
        <v>3</v>
      </c>
      <c r="B5" s="95"/>
      <c r="C5" s="95"/>
      <c r="D5" s="95"/>
      <c r="E5" s="95"/>
      <c r="F5" s="102"/>
      <c r="G5" s="96"/>
      <c r="H5" s="96"/>
      <c r="I5" s="96"/>
      <c r="J5" s="97">
        <f>F5*Paramètres!$B$3</f>
        <v>0</v>
      </c>
      <c r="K5" s="98">
        <f t="shared" si="0"/>
        <v>0</v>
      </c>
      <c r="L5" s="98">
        <f t="shared" si="1"/>
        <v>0</v>
      </c>
      <c r="M5" s="98">
        <f t="shared" si="2"/>
        <v>0</v>
      </c>
      <c r="N5" s="99">
        <f>ROUNDUP(J5*Paramètres!$B$19,-1)</f>
        <v>0</v>
      </c>
      <c r="O5" s="95">
        <f t="shared" si="3"/>
        <v>0</v>
      </c>
      <c r="P5" s="100">
        <f t="shared" si="4"/>
        <v>0</v>
      </c>
      <c r="Q5" s="101">
        <f t="shared" si="5"/>
        <v>0</v>
      </c>
      <c r="R5" s="111">
        <f>ROUNDUP(+K5/Paramètres!$B$4/Paramètres!$B$53,0)</f>
        <v>0</v>
      </c>
      <c r="S5" s="111">
        <f>ROUNDUP(+L5/Paramètres!$B$6/Paramètres!$B$53,0)</f>
        <v>0</v>
      </c>
      <c r="T5" s="111"/>
      <c r="U5" s="112">
        <f t="shared" si="6"/>
        <v>0</v>
      </c>
      <c r="V5" s="113">
        <f>R5*Paramètres!$B$7</f>
        <v>0</v>
      </c>
      <c r="W5" s="113">
        <f>S5*Paramètres!$B$9</f>
        <v>0</v>
      </c>
      <c r="X5" s="113"/>
      <c r="Y5" s="114">
        <f t="shared" si="7"/>
        <v>0</v>
      </c>
      <c r="Z5" s="115">
        <f>R5*Paramètres!$B$10</f>
        <v>0</v>
      </c>
      <c r="AA5" s="115">
        <f>S5*Paramètres!$B$10</f>
        <v>0</v>
      </c>
      <c r="AB5" s="115"/>
      <c r="AC5" s="114">
        <f t="shared" si="8"/>
        <v>0</v>
      </c>
      <c r="AD5" s="100">
        <f t="shared" ref="AD5:AD68" si="12">U5</f>
        <v>0</v>
      </c>
      <c r="AE5" s="100">
        <f t="shared" si="9"/>
        <v>0</v>
      </c>
      <c r="AF5" s="111">
        <f>IF(B5="",0,Paramètres!$B$53*1.5)</f>
        <v>0</v>
      </c>
      <c r="AG5" s="111">
        <f>IF(C5="",0,Paramètres!$B$53*1.5)</f>
        <v>0</v>
      </c>
      <c r="AH5" s="95"/>
      <c r="AI5" s="95"/>
      <c r="AJ5" s="95"/>
      <c r="AK5" s="95"/>
      <c r="AL5" s="100">
        <f>(U5*Paramètres!$B$53)*3</f>
        <v>0</v>
      </c>
      <c r="AM5" s="100">
        <f t="shared" si="10"/>
        <v>0</v>
      </c>
      <c r="AN5" s="100"/>
      <c r="AO5" s="100">
        <f>U5*Paramètres!$B$72*Paramètres!$B$73</f>
        <v>0</v>
      </c>
      <c r="AP5" s="100"/>
      <c r="AQ5" s="100">
        <f>(Y5+AC5)*Paramètres!$B$42*Paramètres!$B$53</f>
        <v>0</v>
      </c>
      <c r="AR5" s="115">
        <f>ROUNDUP(D5*Paramètres!$B$23*Paramètres!$B$26,-1)</f>
        <v>0</v>
      </c>
      <c r="AS5" s="116">
        <f>Paramètres!$B$53*Paramètres!$B$69</f>
        <v>50000</v>
      </c>
      <c r="AT5" s="117">
        <f t="shared" si="11"/>
        <v>50000</v>
      </c>
    </row>
    <row r="6" spans="1:46" x14ac:dyDescent="0.25">
      <c r="A6" s="59">
        <v>4</v>
      </c>
      <c r="B6" s="95"/>
      <c r="C6" s="95"/>
      <c r="D6" s="95"/>
      <c r="E6" s="95"/>
      <c r="F6" s="110"/>
      <c r="G6" s="96"/>
      <c r="H6" s="96"/>
      <c r="I6" s="96"/>
      <c r="J6" s="97">
        <f>F6*Paramètres!$B$3</f>
        <v>0</v>
      </c>
      <c r="K6" s="98">
        <f t="shared" si="0"/>
        <v>0</v>
      </c>
      <c r="L6" s="98">
        <f t="shared" si="1"/>
        <v>0</v>
      </c>
      <c r="M6" s="98">
        <f t="shared" si="2"/>
        <v>0</v>
      </c>
      <c r="N6" s="99">
        <f>ROUNDUP(J6*Paramètres!$B$19,-1)</f>
        <v>0</v>
      </c>
      <c r="O6" s="95">
        <f t="shared" si="3"/>
        <v>0</v>
      </c>
      <c r="P6" s="100">
        <f t="shared" si="4"/>
        <v>0</v>
      </c>
      <c r="Q6" s="101">
        <f t="shared" si="5"/>
        <v>0</v>
      </c>
      <c r="R6" s="111">
        <f>ROUNDUP(+K6/Paramètres!$B$4/Paramètres!$B$53,0)</f>
        <v>0</v>
      </c>
      <c r="S6" s="111">
        <f>ROUNDUP(+L6/Paramètres!$B$6/Paramètres!$B$53,0)</f>
        <v>0</v>
      </c>
      <c r="T6" s="111"/>
      <c r="U6" s="112">
        <f t="shared" si="6"/>
        <v>0</v>
      </c>
      <c r="V6" s="113">
        <f>R6*Paramètres!$B$7</f>
        <v>0</v>
      </c>
      <c r="W6" s="113">
        <f>S6*Paramètres!$B$9</f>
        <v>0</v>
      </c>
      <c r="X6" s="113"/>
      <c r="Y6" s="114">
        <f t="shared" si="7"/>
        <v>0</v>
      </c>
      <c r="Z6" s="115">
        <f>R6*Paramètres!$B$10</f>
        <v>0</v>
      </c>
      <c r="AA6" s="115">
        <f>S6*Paramètres!$B$10</f>
        <v>0</v>
      </c>
      <c r="AB6" s="115"/>
      <c r="AC6" s="114">
        <f t="shared" si="8"/>
        <v>0</v>
      </c>
      <c r="AD6" s="100">
        <f t="shared" si="12"/>
        <v>0</v>
      </c>
      <c r="AE6" s="100">
        <f t="shared" si="9"/>
        <v>0</v>
      </c>
      <c r="AF6" s="111">
        <f>IF(B6="",0,Paramètres!$B$53*1.5)</f>
        <v>0</v>
      </c>
      <c r="AG6" s="111">
        <f>IF(C6="",0,Paramètres!$B$53*1.5)</f>
        <v>0</v>
      </c>
      <c r="AH6" s="95"/>
      <c r="AI6" s="95"/>
      <c r="AJ6" s="95"/>
      <c r="AK6" s="95"/>
      <c r="AL6" s="100">
        <f>(U6*Paramètres!$B$53)*3</f>
        <v>0</v>
      </c>
      <c r="AM6" s="100">
        <f t="shared" si="10"/>
        <v>0</v>
      </c>
      <c r="AN6" s="100"/>
      <c r="AO6" s="100">
        <f>U6*Paramètres!$B$72*Paramètres!$B$73</f>
        <v>0</v>
      </c>
      <c r="AP6" s="100"/>
      <c r="AQ6" s="100">
        <f>(Y6+AC6)*Paramètres!$B$42*Paramètres!$B$53</f>
        <v>0</v>
      </c>
      <c r="AR6" s="115">
        <f>ROUNDUP(D6*Paramètres!$B$23*Paramètres!$B$26,-1)</f>
        <v>0</v>
      </c>
      <c r="AS6" s="116">
        <f>Paramètres!$B$53*Paramètres!$B$69</f>
        <v>50000</v>
      </c>
      <c r="AT6" s="117">
        <f t="shared" si="11"/>
        <v>50000</v>
      </c>
    </row>
    <row r="7" spans="1:46" x14ac:dyDescent="0.25">
      <c r="A7" s="59">
        <v>5</v>
      </c>
      <c r="B7" s="95"/>
      <c r="C7" s="95"/>
      <c r="D7" s="95"/>
      <c r="E7" s="95"/>
      <c r="F7" s="102"/>
      <c r="G7" s="96"/>
      <c r="H7" s="96"/>
      <c r="I7" s="96"/>
      <c r="J7" s="97">
        <f>F7*Paramètres!$B$3</f>
        <v>0</v>
      </c>
      <c r="K7" s="98">
        <f t="shared" si="0"/>
        <v>0</v>
      </c>
      <c r="L7" s="98">
        <f t="shared" si="1"/>
        <v>0</v>
      </c>
      <c r="M7" s="98">
        <f t="shared" si="2"/>
        <v>0</v>
      </c>
      <c r="N7" s="99">
        <f>ROUNDUP(J7*Paramètres!$B$19,-1)</f>
        <v>0</v>
      </c>
      <c r="O7" s="95">
        <f t="shared" si="3"/>
        <v>0</v>
      </c>
      <c r="P7" s="100">
        <f t="shared" si="4"/>
        <v>0</v>
      </c>
      <c r="Q7" s="101">
        <f t="shared" si="5"/>
        <v>0</v>
      </c>
      <c r="R7" s="111">
        <f>ROUNDUP(+K7/Paramètres!$B$4/Paramètres!$B$53,0)</f>
        <v>0</v>
      </c>
      <c r="S7" s="111">
        <f>ROUNDUP(+L7/Paramètres!$B$6/Paramètres!$B$53,0)</f>
        <v>0</v>
      </c>
      <c r="T7" s="111"/>
      <c r="U7" s="112">
        <f t="shared" si="6"/>
        <v>0</v>
      </c>
      <c r="V7" s="113">
        <f>R7*Paramètres!$B$7</f>
        <v>0</v>
      </c>
      <c r="W7" s="113">
        <f>S7*Paramètres!$B$9</f>
        <v>0</v>
      </c>
      <c r="X7" s="113"/>
      <c r="Y7" s="114">
        <f t="shared" si="7"/>
        <v>0</v>
      </c>
      <c r="Z7" s="115">
        <f>R7*Paramètres!$B$10</f>
        <v>0</v>
      </c>
      <c r="AA7" s="115">
        <f>S7*Paramètres!$B$10</f>
        <v>0</v>
      </c>
      <c r="AB7" s="115"/>
      <c r="AC7" s="114">
        <f t="shared" si="8"/>
        <v>0</v>
      </c>
      <c r="AD7" s="100">
        <f t="shared" si="12"/>
        <v>0</v>
      </c>
      <c r="AE7" s="100">
        <f t="shared" si="9"/>
        <v>0</v>
      </c>
      <c r="AF7" s="111">
        <f>IF(B7="",0,Paramètres!$B$53*1.5)</f>
        <v>0</v>
      </c>
      <c r="AG7" s="111">
        <f>IF(C7="",0,Paramètres!$B$53*1.5)</f>
        <v>0</v>
      </c>
      <c r="AH7" s="95"/>
      <c r="AI7" s="95"/>
      <c r="AJ7" s="95"/>
      <c r="AK7" s="95"/>
      <c r="AL7" s="100">
        <f>(U7*Paramètres!$B$53)*3</f>
        <v>0</v>
      </c>
      <c r="AM7" s="100">
        <f t="shared" si="10"/>
        <v>0</v>
      </c>
      <c r="AN7" s="100"/>
      <c r="AO7" s="100">
        <f>U7*Paramètres!$B$72*Paramètres!$B$73</f>
        <v>0</v>
      </c>
      <c r="AP7" s="100"/>
      <c r="AQ7" s="100">
        <f>(Y7+AC7)*Paramètres!$B$42*Paramètres!$B$53</f>
        <v>0</v>
      </c>
      <c r="AR7" s="115">
        <f>ROUNDUP(D7*Paramètres!$B$23*Paramètres!$B$26,-1)</f>
        <v>0</v>
      </c>
      <c r="AS7" s="116">
        <f>Paramètres!$B$53*Paramètres!$B$69</f>
        <v>50000</v>
      </c>
      <c r="AT7" s="117">
        <f t="shared" si="11"/>
        <v>50000</v>
      </c>
    </row>
    <row r="8" spans="1:46" x14ac:dyDescent="0.25">
      <c r="A8" s="59">
        <v>6</v>
      </c>
      <c r="B8" s="95"/>
      <c r="C8" s="95"/>
      <c r="D8" s="95"/>
      <c r="E8" s="95"/>
      <c r="F8" s="102"/>
      <c r="G8" s="96"/>
      <c r="H8" s="96"/>
      <c r="I8" s="96"/>
      <c r="J8" s="97">
        <f>F8*Paramètres!$B$3</f>
        <v>0</v>
      </c>
      <c r="K8" s="98">
        <f t="shared" si="0"/>
        <v>0</v>
      </c>
      <c r="L8" s="98">
        <f t="shared" si="1"/>
        <v>0</v>
      </c>
      <c r="M8" s="98">
        <f t="shared" si="2"/>
        <v>0</v>
      </c>
      <c r="N8" s="99">
        <f>ROUNDUP(J8*Paramètres!$B$19,-1)</f>
        <v>0</v>
      </c>
      <c r="O8" s="95">
        <f t="shared" si="3"/>
        <v>0</v>
      </c>
      <c r="P8" s="100">
        <f t="shared" si="4"/>
        <v>0</v>
      </c>
      <c r="Q8" s="101">
        <f t="shared" si="5"/>
        <v>0</v>
      </c>
      <c r="R8" s="111">
        <f>ROUNDUP(+K8/Paramètres!$B$4/Paramètres!$B$53,0)</f>
        <v>0</v>
      </c>
      <c r="S8" s="111">
        <f>ROUNDUP(+L8/Paramètres!$B$6/Paramètres!$B$53,0)</f>
        <v>0</v>
      </c>
      <c r="T8" s="111"/>
      <c r="U8" s="112">
        <f t="shared" si="6"/>
        <v>0</v>
      </c>
      <c r="V8" s="113">
        <f>R8*Paramètres!$B$7</f>
        <v>0</v>
      </c>
      <c r="W8" s="113">
        <f>S8*Paramètres!$B$9</f>
        <v>0</v>
      </c>
      <c r="X8" s="113"/>
      <c r="Y8" s="114">
        <f t="shared" si="7"/>
        <v>0</v>
      </c>
      <c r="Z8" s="115">
        <f>R8*Paramètres!$B$10</f>
        <v>0</v>
      </c>
      <c r="AA8" s="115">
        <f>S8*Paramètres!$B$10</f>
        <v>0</v>
      </c>
      <c r="AB8" s="115"/>
      <c r="AC8" s="114">
        <f t="shared" si="8"/>
        <v>0</v>
      </c>
      <c r="AD8" s="100">
        <f t="shared" si="12"/>
        <v>0</v>
      </c>
      <c r="AE8" s="100">
        <f t="shared" si="9"/>
        <v>0</v>
      </c>
      <c r="AF8" s="111">
        <f>IF(B8="",0,Paramètres!$B$53*1.5)</f>
        <v>0</v>
      </c>
      <c r="AG8" s="111">
        <f>IF(C8="",0,Paramètres!$B$53*1.5)</f>
        <v>0</v>
      </c>
      <c r="AH8" s="95"/>
      <c r="AI8" s="95"/>
      <c r="AJ8" s="95"/>
      <c r="AK8" s="95"/>
      <c r="AL8" s="100">
        <f>(U8*Paramètres!$B$53)*3</f>
        <v>0</v>
      </c>
      <c r="AM8" s="100">
        <f t="shared" si="10"/>
        <v>0</v>
      </c>
      <c r="AN8" s="100"/>
      <c r="AO8" s="100">
        <f>U8*Paramètres!$B$72*Paramètres!$B$73</f>
        <v>0</v>
      </c>
      <c r="AP8" s="100"/>
      <c r="AQ8" s="100">
        <f>(Y8+AC8)*Paramètres!$B$42*Paramètres!$B$53</f>
        <v>0</v>
      </c>
      <c r="AR8" s="115">
        <f>ROUNDUP(D8*Paramètres!$B$23*Paramètres!$B$26,-1)</f>
        <v>0</v>
      </c>
      <c r="AS8" s="116">
        <f>Paramètres!$B$53*Paramètres!$B$69</f>
        <v>50000</v>
      </c>
      <c r="AT8" s="117">
        <f t="shared" si="11"/>
        <v>50000</v>
      </c>
    </row>
    <row r="9" spans="1:46" x14ac:dyDescent="0.25">
      <c r="A9" s="59">
        <v>7</v>
      </c>
      <c r="B9" s="95"/>
      <c r="C9" s="95"/>
      <c r="D9" s="95"/>
      <c r="E9" s="95"/>
      <c r="F9" s="110"/>
      <c r="G9" s="96"/>
      <c r="H9" s="96"/>
      <c r="I9" s="96"/>
      <c r="J9" s="97">
        <f>F9*Paramètres!$B$3</f>
        <v>0</v>
      </c>
      <c r="K9" s="98">
        <f t="shared" si="0"/>
        <v>0</v>
      </c>
      <c r="L9" s="98">
        <f t="shared" si="1"/>
        <v>0</v>
      </c>
      <c r="M9" s="98">
        <f t="shared" si="2"/>
        <v>0</v>
      </c>
      <c r="N9" s="99">
        <f>ROUNDUP(J9*Paramètres!$B$19,-1)</f>
        <v>0</v>
      </c>
      <c r="O9" s="95">
        <f t="shared" si="3"/>
        <v>0</v>
      </c>
      <c r="P9" s="100">
        <f t="shared" si="4"/>
        <v>0</v>
      </c>
      <c r="Q9" s="101">
        <f t="shared" si="5"/>
        <v>0</v>
      </c>
      <c r="R9" s="111">
        <f>ROUNDUP(+K9/Paramètres!$B$4/Paramètres!$B$53,0)</f>
        <v>0</v>
      </c>
      <c r="S9" s="111">
        <f>ROUNDUP(+L9/Paramètres!$B$6/Paramètres!$B$53,0)</f>
        <v>0</v>
      </c>
      <c r="T9" s="111"/>
      <c r="U9" s="112">
        <f t="shared" si="6"/>
        <v>0</v>
      </c>
      <c r="V9" s="113">
        <f>R9*Paramètres!$B$7</f>
        <v>0</v>
      </c>
      <c r="W9" s="113">
        <f>S9*Paramètres!$B$9</f>
        <v>0</v>
      </c>
      <c r="X9" s="113"/>
      <c r="Y9" s="114">
        <f t="shared" si="7"/>
        <v>0</v>
      </c>
      <c r="Z9" s="115">
        <f>R9*Paramètres!$B$10</f>
        <v>0</v>
      </c>
      <c r="AA9" s="115">
        <f>S9*Paramètres!$B$10</f>
        <v>0</v>
      </c>
      <c r="AB9" s="115"/>
      <c r="AC9" s="114">
        <f t="shared" si="8"/>
        <v>0</v>
      </c>
      <c r="AD9" s="100">
        <f t="shared" si="12"/>
        <v>0</v>
      </c>
      <c r="AE9" s="100">
        <f t="shared" si="9"/>
        <v>0</v>
      </c>
      <c r="AF9" s="111">
        <f>IF(B9="",0,Paramètres!$B$53*1.5)</f>
        <v>0</v>
      </c>
      <c r="AG9" s="111">
        <f>IF(C9="",0,Paramètres!$B$53*1.5)</f>
        <v>0</v>
      </c>
      <c r="AH9" s="95"/>
      <c r="AI9" s="95"/>
      <c r="AJ9" s="95"/>
      <c r="AK9" s="95"/>
      <c r="AL9" s="100">
        <f>(U9*Paramètres!$B$53)*3</f>
        <v>0</v>
      </c>
      <c r="AM9" s="100">
        <f t="shared" si="10"/>
        <v>0</v>
      </c>
      <c r="AN9" s="100"/>
      <c r="AO9" s="100">
        <f>U9*Paramètres!$B$72*Paramètres!$B$73</f>
        <v>0</v>
      </c>
      <c r="AP9" s="100"/>
      <c r="AQ9" s="100">
        <f>(Y9+AC9)*Paramètres!$B$42*Paramètres!$B$53</f>
        <v>0</v>
      </c>
      <c r="AR9" s="115">
        <f>ROUNDUP(D9*Paramètres!$B$23*Paramètres!$B$26,-1)</f>
        <v>0</v>
      </c>
      <c r="AS9" s="116">
        <f>Paramètres!$B$53*Paramètres!$B$69</f>
        <v>50000</v>
      </c>
      <c r="AT9" s="117">
        <f t="shared" si="11"/>
        <v>50000</v>
      </c>
    </row>
    <row r="10" spans="1:46" x14ac:dyDescent="0.25">
      <c r="A10" s="59">
        <v>8</v>
      </c>
      <c r="B10" s="95"/>
      <c r="C10" s="95"/>
      <c r="D10" s="95"/>
      <c r="E10" s="95"/>
      <c r="F10" s="102"/>
      <c r="G10" s="96"/>
      <c r="H10" s="96"/>
      <c r="I10" s="96"/>
      <c r="J10" s="97">
        <f>F10*Paramètres!$B$3</f>
        <v>0</v>
      </c>
      <c r="K10" s="98">
        <f t="shared" si="0"/>
        <v>0</v>
      </c>
      <c r="L10" s="98">
        <f t="shared" si="1"/>
        <v>0</v>
      </c>
      <c r="M10" s="98">
        <f t="shared" si="2"/>
        <v>0</v>
      </c>
      <c r="N10" s="99">
        <f>ROUNDUP(J10*Paramètres!$B$19,-1)</f>
        <v>0</v>
      </c>
      <c r="O10" s="95">
        <f t="shared" si="3"/>
        <v>0</v>
      </c>
      <c r="P10" s="100">
        <f t="shared" si="4"/>
        <v>0</v>
      </c>
      <c r="Q10" s="101">
        <f t="shared" si="5"/>
        <v>0</v>
      </c>
      <c r="R10" s="111">
        <f>ROUNDUP(+K10/Paramètres!$B$4/Paramètres!$B$53,0)</f>
        <v>0</v>
      </c>
      <c r="S10" s="111">
        <f>ROUNDUP(+L10/Paramètres!$B$6/Paramètres!$B$53,0)</f>
        <v>0</v>
      </c>
      <c r="T10" s="111"/>
      <c r="U10" s="112">
        <f t="shared" si="6"/>
        <v>0</v>
      </c>
      <c r="V10" s="113">
        <f>R10*Paramètres!$B$7</f>
        <v>0</v>
      </c>
      <c r="W10" s="113">
        <f>S10*Paramètres!$B$9</f>
        <v>0</v>
      </c>
      <c r="X10" s="113"/>
      <c r="Y10" s="114">
        <f t="shared" si="7"/>
        <v>0</v>
      </c>
      <c r="Z10" s="115">
        <f>R10*Paramètres!$B$10</f>
        <v>0</v>
      </c>
      <c r="AA10" s="115">
        <f>S10*Paramètres!$B$10</f>
        <v>0</v>
      </c>
      <c r="AB10" s="115"/>
      <c r="AC10" s="114">
        <f t="shared" si="8"/>
        <v>0</v>
      </c>
      <c r="AD10" s="100">
        <f t="shared" si="12"/>
        <v>0</v>
      </c>
      <c r="AE10" s="100">
        <f t="shared" si="9"/>
        <v>0</v>
      </c>
      <c r="AF10" s="111">
        <f>IF(B10="",0,Paramètres!$B$53*1.5)</f>
        <v>0</v>
      </c>
      <c r="AG10" s="111">
        <f>IF(C10="",0,Paramètres!$B$53*1.5)</f>
        <v>0</v>
      </c>
      <c r="AH10" s="95"/>
      <c r="AI10" s="95"/>
      <c r="AJ10" s="95"/>
      <c r="AK10" s="95"/>
      <c r="AL10" s="100">
        <f>(U10*Paramètres!$B$53)*3</f>
        <v>0</v>
      </c>
      <c r="AM10" s="100">
        <f t="shared" si="10"/>
        <v>0</v>
      </c>
      <c r="AN10" s="100"/>
      <c r="AO10" s="100">
        <f>U10*Paramètres!$B$72*Paramètres!$B$73</f>
        <v>0</v>
      </c>
      <c r="AP10" s="100"/>
      <c r="AQ10" s="100">
        <f>(Y10+AC10)*Paramètres!$B$42*Paramètres!$B$53</f>
        <v>0</v>
      </c>
      <c r="AR10" s="115">
        <f>ROUNDUP(D10*Paramètres!$B$23*Paramètres!$B$26,-1)</f>
        <v>0</v>
      </c>
      <c r="AS10" s="116">
        <f>Paramètres!$B$53*Paramètres!$B$69</f>
        <v>50000</v>
      </c>
      <c r="AT10" s="117">
        <f t="shared" si="11"/>
        <v>50000</v>
      </c>
    </row>
    <row r="11" spans="1:46" x14ac:dyDescent="0.25">
      <c r="A11" s="59">
        <v>9</v>
      </c>
      <c r="B11" s="95"/>
      <c r="C11" s="95"/>
      <c r="D11" s="95"/>
      <c r="E11" s="95"/>
      <c r="F11" s="110"/>
      <c r="G11" s="96"/>
      <c r="H11" s="96"/>
      <c r="I11" s="96"/>
      <c r="J11" s="97">
        <f>F11*Paramètres!$B$3</f>
        <v>0</v>
      </c>
      <c r="K11" s="98">
        <f t="shared" si="0"/>
        <v>0</v>
      </c>
      <c r="L11" s="98">
        <f t="shared" si="1"/>
        <v>0</v>
      </c>
      <c r="M11" s="98">
        <f t="shared" si="2"/>
        <v>0</v>
      </c>
      <c r="N11" s="99">
        <f>ROUNDUP(J11*Paramètres!$B$19,-1)</f>
        <v>0</v>
      </c>
      <c r="O11" s="95">
        <f t="shared" si="3"/>
        <v>0</v>
      </c>
      <c r="P11" s="100">
        <f t="shared" si="4"/>
        <v>0</v>
      </c>
      <c r="Q11" s="101">
        <f t="shared" si="5"/>
        <v>0</v>
      </c>
      <c r="R11" s="111">
        <f>ROUNDUP(+K11/Paramètres!$B$4/Paramètres!$B$53,0)</f>
        <v>0</v>
      </c>
      <c r="S11" s="111">
        <f>ROUNDUP(+L11/Paramètres!$B$6/Paramètres!$B$53,0)</f>
        <v>0</v>
      </c>
      <c r="T11" s="111"/>
      <c r="U11" s="112">
        <f t="shared" si="6"/>
        <v>0</v>
      </c>
      <c r="V11" s="113">
        <f>R11*Paramètres!$B$7</f>
        <v>0</v>
      </c>
      <c r="W11" s="113">
        <f>S11*Paramètres!$B$9</f>
        <v>0</v>
      </c>
      <c r="X11" s="113"/>
      <c r="Y11" s="114">
        <f t="shared" si="7"/>
        <v>0</v>
      </c>
      <c r="Z11" s="115">
        <f>R11*Paramètres!$B$10</f>
        <v>0</v>
      </c>
      <c r="AA11" s="115">
        <f>S11*Paramètres!$B$10</f>
        <v>0</v>
      </c>
      <c r="AB11" s="115"/>
      <c r="AC11" s="114">
        <f t="shared" si="8"/>
        <v>0</v>
      </c>
      <c r="AD11" s="100">
        <f t="shared" si="12"/>
        <v>0</v>
      </c>
      <c r="AE11" s="100">
        <f t="shared" si="9"/>
        <v>0</v>
      </c>
      <c r="AF11" s="111">
        <f>IF(B11="",0,Paramètres!$B$53*1.5)</f>
        <v>0</v>
      </c>
      <c r="AG11" s="111">
        <f>IF(C11="",0,Paramètres!$B$53*1.5)</f>
        <v>0</v>
      </c>
      <c r="AH11" s="95"/>
      <c r="AI11" s="95"/>
      <c r="AJ11" s="95"/>
      <c r="AK11" s="95"/>
      <c r="AL11" s="100">
        <f>(U11*Paramètres!$B$53)*3</f>
        <v>0</v>
      </c>
      <c r="AM11" s="100">
        <f t="shared" si="10"/>
        <v>0</v>
      </c>
      <c r="AN11" s="100"/>
      <c r="AO11" s="100">
        <f>U11*Paramètres!$B$72*Paramètres!$B$73</f>
        <v>0</v>
      </c>
      <c r="AP11" s="100"/>
      <c r="AQ11" s="100">
        <f>(Y11+AC11)*Paramètres!$B$42*Paramètres!$B$53</f>
        <v>0</v>
      </c>
      <c r="AR11" s="115">
        <f>ROUNDUP(D11*Paramètres!$B$23*Paramètres!$B$26,-1)</f>
        <v>0</v>
      </c>
      <c r="AS11" s="116">
        <f>Paramètres!$B$53*Paramètres!$B$69</f>
        <v>50000</v>
      </c>
      <c r="AT11" s="117">
        <f t="shared" si="11"/>
        <v>50000</v>
      </c>
    </row>
    <row r="12" spans="1:46" x14ac:dyDescent="0.25">
      <c r="A12" s="59">
        <v>10</v>
      </c>
      <c r="B12" s="95"/>
      <c r="C12" s="95"/>
      <c r="D12" s="95"/>
      <c r="E12" s="95"/>
      <c r="F12" s="102"/>
      <c r="G12" s="96"/>
      <c r="H12" s="96"/>
      <c r="I12" s="96"/>
      <c r="J12" s="97">
        <f>F12*Paramètres!$B$3</f>
        <v>0</v>
      </c>
      <c r="K12" s="98">
        <f t="shared" si="0"/>
        <v>0</v>
      </c>
      <c r="L12" s="98">
        <f t="shared" si="1"/>
        <v>0</v>
      </c>
      <c r="M12" s="98">
        <f t="shared" si="2"/>
        <v>0</v>
      </c>
      <c r="N12" s="99">
        <f>ROUNDUP(J12*Paramètres!$B$19,-1)</f>
        <v>0</v>
      </c>
      <c r="O12" s="95">
        <f t="shared" si="3"/>
        <v>0</v>
      </c>
      <c r="P12" s="100">
        <f t="shared" si="4"/>
        <v>0</v>
      </c>
      <c r="Q12" s="101">
        <f t="shared" si="5"/>
        <v>0</v>
      </c>
      <c r="R12" s="111">
        <f>ROUNDUP(+K12/Paramètres!$B$4/Paramètres!$B$53,0)</f>
        <v>0</v>
      </c>
      <c r="S12" s="111">
        <f>ROUNDUP(+L12/Paramètres!$B$6/Paramètres!$B$53,0)</f>
        <v>0</v>
      </c>
      <c r="T12" s="111"/>
      <c r="U12" s="112">
        <f t="shared" si="6"/>
        <v>0</v>
      </c>
      <c r="V12" s="113">
        <f>R12*Paramètres!$B$7</f>
        <v>0</v>
      </c>
      <c r="W12" s="113">
        <f>S12*Paramètres!$B$9</f>
        <v>0</v>
      </c>
      <c r="X12" s="113"/>
      <c r="Y12" s="114">
        <f t="shared" si="7"/>
        <v>0</v>
      </c>
      <c r="Z12" s="115">
        <f>R12*Paramètres!$B$10</f>
        <v>0</v>
      </c>
      <c r="AA12" s="115">
        <f>S12*Paramètres!$B$10</f>
        <v>0</v>
      </c>
      <c r="AB12" s="115"/>
      <c r="AC12" s="114">
        <f t="shared" si="8"/>
        <v>0</v>
      </c>
      <c r="AD12" s="100">
        <f t="shared" si="12"/>
        <v>0</v>
      </c>
      <c r="AE12" s="100">
        <f t="shared" si="9"/>
        <v>0</v>
      </c>
      <c r="AF12" s="111">
        <f>IF(B12="",0,Paramètres!$B$53*1.5)</f>
        <v>0</v>
      </c>
      <c r="AG12" s="111">
        <f>IF(C12="",0,Paramètres!$B$53*1.5)</f>
        <v>0</v>
      </c>
      <c r="AH12" s="95"/>
      <c r="AI12" s="95"/>
      <c r="AJ12" s="95"/>
      <c r="AK12" s="95"/>
      <c r="AL12" s="100">
        <f>(U12*Paramètres!$B$53)*3</f>
        <v>0</v>
      </c>
      <c r="AM12" s="100">
        <f t="shared" si="10"/>
        <v>0</v>
      </c>
      <c r="AN12" s="100"/>
      <c r="AO12" s="100">
        <f>U12*Paramètres!$B$72*Paramètres!$B$73</f>
        <v>0</v>
      </c>
      <c r="AP12" s="100"/>
      <c r="AQ12" s="100">
        <f>(Y12+AC12)*Paramètres!$B$42*Paramètres!$B$53</f>
        <v>0</v>
      </c>
      <c r="AR12" s="115">
        <f>ROUNDUP(D12*Paramètres!$B$23*Paramètres!$B$26,-1)</f>
        <v>0</v>
      </c>
      <c r="AS12" s="116">
        <f>Paramètres!$B$53*Paramètres!$B$69</f>
        <v>50000</v>
      </c>
      <c r="AT12" s="117">
        <f t="shared" si="11"/>
        <v>50000</v>
      </c>
    </row>
    <row r="13" spans="1:46" ht="15.75" customHeight="1" x14ac:dyDescent="0.25">
      <c r="A13" s="59">
        <v>11</v>
      </c>
      <c r="B13" s="118"/>
      <c r="C13" s="95"/>
      <c r="D13" s="95"/>
      <c r="E13" s="95"/>
      <c r="F13" s="102"/>
      <c r="G13" s="96"/>
      <c r="H13" s="96"/>
      <c r="I13" s="96"/>
      <c r="J13" s="97">
        <f>F13*Paramètres!$B$3</f>
        <v>0</v>
      </c>
      <c r="K13" s="98">
        <f t="shared" si="0"/>
        <v>0</v>
      </c>
      <c r="L13" s="98">
        <f t="shared" si="1"/>
        <v>0</v>
      </c>
      <c r="M13" s="98">
        <f t="shared" si="2"/>
        <v>0</v>
      </c>
      <c r="N13" s="99">
        <f>ROUNDUP(J13*Paramètres!$B$19,-1)</f>
        <v>0</v>
      </c>
      <c r="O13" s="95">
        <f t="shared" si="3"/>
        <v>0</v>
      </c>
      <c r="P13" s="100">
        <f t="shared" si="4"/>
        <v>0</v>
      </c>
      <c r="Q13" s="101">
        <f t="shared" si="5"/>
        <v>0</v>
      </c>
      <c r="R13" s="111">
        <f>ROUNDUP(+K13/Paramètres!$B$4/Paramètres!$B$53,0)</f>
        <v>0</v>
      </c>
      <c r="S13" s="111">
        <f>ROUNDUP(+L13/Paramètres!$B$6/Paramètres!$B$53,0)</f>
        <v>0</v>
      </c>
      <c r="T13" s="111"/>
      <c r="U13" s="112">
        <f t="shared" si="6"/>
        <v>0</v>
      </c>
      <c r="V13" s="113">
        <f>R13*Paramètres!$B$7</f>
        <v>0</v>
      </c>
      <c r="W13" s="113">
        <f>S13*Paramètres!$B$9</f>
        <v>0</v>
      </c>
      <c r="X13" s="113"/>
      <c r="Y13" s="114">
        <f t="shared" si="7"/>
        <v>0</v>
      </c>
      <c r="Z13" s="115">
        <f>R13*Paramètres!$B$10</f>
        <v>0</v>
      </c>
      <c r="AA13" s="115">
        <f>S13*Paramètres!$B$10</f>
        <v>0</v>
      </c>
      <c r="AB13" s="115"/>
      <c r="AC13" s="114">
        <f t="shared" si="8"/>
        <v>0</v>
      </c>
      <c r="AD13" s="100">
        <f t="shared" si="12"/>
        <v>0</v>
      </c>
      <c r="AE13" s="100">
        <f t="shared" si="9"/>
        <v>0</v>
      </c>
      <c r="AF13" s="111">
        <f>IF(B13="",0,Paramètres!$B$53*1.5)</f>
        <v>0</v>
      </c>
      <c r="AG13" s="111">
        <f>IF(C13="",0,Paramètres!$B$53*1.5)</f>
        <v>0</v>
      </c>
      <c r="AH13" s="95"/>
      <c r="AI13" s="95"/>
      <c r="AJ13" s="95"/>
      <c r="AK13" s="95"/>
      <c r="AL13" s="100">
        <f>(U13*Paramètres!$B$53)*3</f>
        <v>0</v>
      </c>
      <c r="AM13" s="100">
        <f t="shared" si="10"/>
        <v>0</v>
      </c>
      <c r="AN13" s="100"/>
      <c r="AO13" s="100">
        <f>U13*Paramètres!$B$72*Paramètres!$B$73</f>
        <v>0</v>
      </c>
      <c r="AP13" s="100"/>
      <c r="AQ13" s="100">
        <f>(Y13+AC13)*Paramètres!$B$42*Paramètres!$B$53</f>
        <v>0</v>
      </c>
      <c r="AR13" s="115">
        <f>ROUNDUP(D13*Paramètres!$B$23*Paramètres!$B$26,-1)</f>
        <v>0</v>
      </c>
      <c r="AS13" s="116">
        <f>Paramètres!$B$53*Paramètres!$B$69</f>
        <v>50000</v>
      </c>
      <c r="AT13" s="117">
        <f t="shared" si="11"/>
        <v>50000</v>
      </c>
    </row>
    <row r="14" spans="1:46" x14ac:dyDescent="0.25">
      <c r="A14" s="59">
        <v>12</v>
      </c>
      <c r="B14" s="95"/>
      <c r="C14" s="95"/>
      <c r="D14" s="95"/>
      <c r="E14" s="95"/>
      <c r="F14" s="102"/>
      <c r="G14" s="96"/>
      <c r="H14" s="96"/>
      <c r="I14" s="96"/>
      <c r="J14" s="97">
        <f>F14*Paramètres!$B$3</f>
        <v>0</v>
      </c>
      <c r="K14" s="98">
        <f t="shared" si="0"/>
        <v>0</v>
      </c>
      <c r="L14" s="98">
        <f t="shared" si="1"/>
        <v>0</v>
      </c>
      <c r="M14" s="98">
        <f t="shared" si="2"/>
        <v>0</v>
      </c>
      <c r="N14" s="99">
        <f>ROUNDUP(J14*Paramètres!$B$19,-1)</f>
        <v>0</v>
      </c>
      <c r="O14" s="95">
        <f t="shared" si="3"/>
        <v>0</v>
      </c>
      <c r="P14" s="100">
        <f t="shared" si="4"/>
        <v>0</v>
      </c>
      <c r="Q14" s="101">
        <f t="shared" si="5"/>
        <v>0</v>
      </c>
      <c r="R14" s="111">
        <f>ROUNDUP(+K14/Paramètres!$B$4/Paramètres!$B$53,0)</f>
        <v>0</v>
      </c>
      <c r="S14" s="111">
        <f>ROUNDUP(+L14/Paramètres!$B$6/Paramètres!$B$53,0)</f>
        <v>0</v>
      </c>
      <c r="T14" s="111"/>
      <c r="U14" s="112">
        <f t="shared" si="6"/>
        <v>0</v>
      </c>
      <c r="V14" s="113">
        <f>R14*Paramètres!$B$7</f>
        <v>0</v>
      </c>
      <c r="W14" s="113">
        <f>S14*Paramètres!$B$9</f>
        <v>0</v>
      </c>
      <c r="X14" s="113"/>
      <c r="Y14" s="114">
        <f t="shared" si="7"/>
        <v>0</v>
      </c>
      <c r="Z14" s="115">
        <f>R14*Paramètres!$B$10</f>
        <v>0</v>
      </c>
      <c r="AA14" s="115">
        <f>S14*Paramètres!$B$10</f>
        <v>0</v>
      </c>
      <c r="AB14" s="115"/>
      <c r="AC14" s="114">
        <f t="shared" si="8"/>
        <v>0</v>
      </c>
      <c r="AD14" s="100">
        <f t="shared" si="12"/>
        <v>0</v>
      </c>
      <c r="AE14" s="100">
        <f t="shared" si="9"/>
        <v>0</v>
      </c>
      <c r="AF14" s="111">
        <f>IF(B14="",0,Paramètres!$B$53*1.5)</f>
        <v>0</v>
      </c>
      <c r="AG14" s="111">
        <f>IF(C14="",0,Paramètres!$B$53*1.5)</f>
        <v>0</v>
      </c>
      <c r="AH14" s="95"/>
      <c r="AI14" s="95"/>
      <c r="AJ14" s="95"/>
      <c r="AK14" s="95"/>
      <c r="AL14" s="100">
        <f>(U14*Paramètres!$B$53)*3</f>
        <v>0</v>
      </c>
      <c r="AM14" s="100">
        <f t="shared" si="10"/>
        <v>0</v>
      </c>
      <c r="AN14" s="100"/>
      <c r="AO14" s="100">
        <f>U14*Paramètres!$B$72*Paramètres!$B$73</f>
        <v>0</v>
      </c>
      <c r="AP14" s="100"/>
      <c r="AQ14" s="100">
        <f>(Y14+AC14)*Paramètres!$B$42*Paramètres!$B$53</f>
        <v>0</v>
      </c>
      <c r="AR14" s="115">
        <f>ROUNDUP(D14*Paramètres!$B$23*Paramètres!$B$26,-1)</f>
        <v>0</v>
      </c>
      <c r="AS14" s="116">
        <f>Paramètres!$B$53*Paramètres!$B$69</f>
        <v>50000</v>
      </c>
      <c r="AT14" s="117">
        <f t="shared" si="11"/>
        <v>50000</v>
      </c>
    </row>
    <row r="15" spans="1:46" x14ac:dyDescent="0.25">
      <c r="A15" s="59">
        <v>13</v>
      </c>
      <c r="B15" s="95"/>
      <c r="C15" s="95"/>
      <c r="D15" s="95"/>
      <c r="E15" s="95"/>
      <c r="F15" s="102"/>
      <c r="G15" s="96"/>
      <c r="H15" s="96"/>
      <c r="I15" s="96"/>
      <c r="J15" s="97">
        <f>F15*Paramètres!$B$3</f>
        <v>0</v>
      </c>
      <c r="K15" s="98">
        <f t="shared" si="0"/>
        <v>0</v>
      </c>
      <c r="L15" s="98">
        <f t="shared" si="1"/>
        <v>0</v>
      </c>
      <c r="M15" s="98">
        <f t="shared" si="2"/>
        <v>0</v>
      </c>
      <c r="N15" s="99">
        <f>ROUNDUP(J15*Paramètres!$B$19,-1)</f>
        <v>0</v>
      </c>
      <c r="O15" s="95">
        <f t="shared" si="3"/>
        <v>0</v>
      </c>
      <c r="P15" s="100">
        <f t="shared" si="4"/>
        <v>0</v>
      </c>
      <c r="Q15" s="101">
        <f t="shared" si="5"/>
        <v>0</v>
      </c>
      <c r="R15" s="111">
        <f>ROUNDUP(+K15/Paramètres!$B$4/Paramètres!$B$53,0)</f>
        <v>0</v>
      </c>
      <c r="S15" s="111">
        <f>ROUNDUP(+L15/Paramètres!$B$6/Paramètres!$B$53,0)</f>
        <v>0</v>
      </c>
      <c r="T15" s="111"/>
      <c r="U15" s="112">
        <f t="shared" si="6"/>
        <v>0</v>
      </c>
      <c r="V15" s="113">
        <f>R15*Paramètres!$B$7</f>
        <v>0</v>
      </c>
      <c r="W15" s="113">
        <f>S15*Paramètres!$B$9</f>
        <v>0</v>
      </c>
      <c r="X15" s="113"/>
      <c r="Y15" s="114">
        <f t="shared" si="7"/>
        <v>0</v>
      </c>
      <c r="Z15" s="115">
        <f>R15*Paramètres!$B$10</f>
        <v>0</v>
      </c>
      <c r="AA15" s="115">
        <f>S15*Paramètres!$B$10</f>
        <v>0</v>
      </c>
      <c r="AB15" s="115"/>
      <c r="AC15" s="114">
        <f t="shared" si="8"/>
        <v>0</v>
      </c>
      <c r="AD15" s="100">
        <f t="shared" si="12"/>
        <v>0</v>
      </c>
      <c r="AE15" s="100">
        <f t="shared" si="9"/>
        <v>0</v>
      </c>
      <c r="AF15" s="111">
        <f>IF(B15="",0,Paramètres!$B$53*1.5)</f>
        <v>0</v>
      </c>
      <c r="AG15" s="111">
        <f>IF(C15="",0,Paramètres!$B$53*1.5)</f>
        <v>0</v>
      </c>
      <c r="AH15" s="95"/>
      <c r="AI15" s="95"/>
      <c r="AJ15" s="95"/>
      <c r="AK15" s="95"/>
      <c r="AL15" s="100">
        <f>(U15*Paramètres!$B$53)*3</f>
        <v>0</v>
      </c>
      <c r="AM15" s="100">
        <f t="shared" si="10"/>
        <v>0</v>
      </c>
      <c r="AN15" s="100"/>
      <c r="AO15" s="100">
        <f>U15*Paramètres!$B$72*Paramètres!$B$73</f>
        <v>0</v>
      </c>
      <c r="AP15" s="100"/>
      <c r="AQ15" s="100">
        <f>(Y15+AC15)*Paramètres!$B$42*Paramètres!$B$53</f>
        <v>0</v>
      </c>
      <c r="AR15" s="115">
        <f>ROUNDUP(D15*Paramètres!$B$23*Paramètres!$B$26,-1)</f>
        <v>0</v>
      </c>
      <c r="AS15" s="116">
        <f>Paramètres!$B$53*Paramètres!$B$69</f>
        <v>50000</v>
      </c>
      <c r="AT15" s="117">
        <f t="shared" si="11"/>
        <v>50000</v>
      </c>
    </row>
    <row r="16" spans="1:46" x14ac:dyDescent="0.25">
      <c r="A16" s="59">
        <v>14</v>
      </c>
      <c r="B16" s="95"/>
      <c r="C16" s="95"/>
      <c r="D16" s="95"/>
      <c r="E16" s="95"/>
      <c r="F16" s="102"/>
      <c r="G16" s="96"/>
      <c r="H16" s="96"/>
      <c r="I16" s="96"/>
      <c r="J16" s="97">
        <f>F16*Paramètres!$B$3</f>
        <v>0</v>
      </c>
      <c r="K16" s="98">
        <f t="shared" si="0"/>
        <v>0</v>
      </c>
      <c r="L16" s="98">
        <f t="shared" si="1"/>
        <v>0</v>
      </c>
      <c r="M16" s="98">
        <f t="shared" si="2"/>
        <v>0</v>
      </c>
      <c r="N16" s="99">
        <f>ROUNDUP(J16*Paramètres!$B$19,-1)</f>
        <v>0</v>
      </c>
      <c r="O16" s="95">
        <f t="shared" si="3"/>
        <v>0</v>
      </c>
      <c r="P16" s="100">
        <f t="shared" si="4"/>
        <v>0</v>
      </c>
      <c r="Q16" s="101">
        <f t="shared" si="5"/>
        <v>0</v>
      </c>
      <c r="R16" s="111">
        <f>ROUNDUP(+K16/Paramètres!$B$4/Paramètres!$B$53,0)</f>
        <v>0</v>
      </c>
      <c r="S16" s="111">
        <f>ROUNDUP(+L16/Paramètres!$B$6/Paramètres!$B$53,0)</f>
        <v>0</v>
      </c>
      <c r="T16" s="111"/>
      <c r="U16" s="112">
        <f t="shared" si="6"/>
        <v>0</v>
      </c>
      <c r="V16" s="113">
        <f>R16*Paramètres!$B$7</f>
        <v>0</v>
      </c>
      <c r="W16" s="113">
        <f>S16*Paramètres!$B$9</f>
        <v>0</v>
      </c>
      <c r="X16" s="113"/>
      <c r="Y16" s="114">
        <f t="shared" si="7"/>
        <v>0</v>
      </c>
      <c r="Z16" s="115">
        <f>R16*Paramètres!$B$10</f>
        <v>0</v>
      </c>
      <c r="AA16" s="115">
        <f>S16*Paramètres!$B$10</f>
        <v>0</v>
      </c>
      <c r="AB16" s="115"/>
      <c r="AC16" s="114">
        <f t="shared" si="8"/>
        <v>0</v>
      </c>
      <c r="AD16" s="100">
        <f t="shared" si="12"/>
        <v>0</v>
      </c>
      <c r="AE16" s="100">
        <f t="shared" si="9"/>
        <v>0</v>
      </c>
      <c r="AF16" s="111">
        <f>IF(B16="",0,Paramètres!$B$53*1.5)</f>
        <v>0</v>
      </c>
      <c r="AG16" s="111">
        <f>IF(C16="",0,Paramètres!$B$53*1.5)</f>
        <v>0</v>
      </c>
      <c r="AH16" s="95"/>
      <c r="AI16" s="95"/>
      <c r="AJ16" s="95"/>
      <c r="AK16" s="95"/>
      <c r="AL16" s="100">
        <f>(U16*Paramètres!$B$53)*3</f>
        <v>0</v>
      </c>
      <c r="AM16" s="100">
        <f t="shared" si="10"/>
        <v>0</v>
      </c>
      <c r="AN16" s="100"/>
      <c r="AO16" s="100">
        <f>U16*Paramètres!$B$72*Paramètres!$B$73</f>
        <v>0</v>
      </c>
      <c r="AP16" s="100"/>
      <c r="AQ16" s="100">
        <f>(Y16+AC16)*Paramètres!$B$42*Paramètres!$B$53</f>
        <v>0</v>
      </c>
      <c r="AR16" s="115">
        <f>ROUNDUP(D16*Paramètres!$B$23*Paramètres!$B$26,-1)</f>
        <v>0</v>
      </c>
      <c r="AS16" s="116">
        <f>Paramètres!$B$53*Paramètres!$B$69</f>
        <v>50000</v>
      </c>
      <c r="AT16" s="117">
        <f t="shared" si="11"/>
        <v>50000</v>
      </c>
    </row>
    <row r="17" spans="1:46" x14ac:dyDescent="0.25">
      <c r="A17" s="59">
        <v>15</v>
      </c>
      <c r="B17" s="95"/>
      <c r="C17" s="95"/>
      <c r="D17" s="95"/>
      <c r="E17" s="95"/>
      <c r="F17" s="102"/>
      <c r="G17" s="96"/>
      <c r="H17" s="96"/>
      <c r="I17" s="96"/>
      <c r="J17" s="97">
        <f>F17*Paramètres!$B$3</f>
        <v>0</v>
      </c>
      <c r="K17" s="98">
        <f t="shared" si="0"/>
        <v>0</v>
      </c>
      <c r="L17" s="98">
        <f t="shared" si="1"/>
        <v>0</v>
      </c>
      <c r="M17" s="98">
        <f t="shared" si="2"/>
        <v>0</v>
      </c>
      <c r="N17" s="99">
        <f>ROUNDUP(J17*Paramètres!$B$19,-1)</f>
        <v>0</v>
      </c>
      <c r="O17" s="95">
        <f t="shared" si="3"/>
        <v>0</v>
      </c>
      <c r="P17" s="100">
        <f t="shared" si="4"/>
        <v>0</v>
      </c>
      <c r="Q17" s="101">
        <f t="shared" si="5"/>
        <v>0</v>
      </c>
      <c r="R17" s="111">
        <f>ROUNDUP(+K17/Paramètres!$B$4/Paramètres!$B$53,0)</f>
        <v>0</v>
      </c>
      <c r="S17" s="111">
        <f>ROUNDUP(+L17/Paramètres!$B$6/Paramètres!$B$53,0)</f>
        <v>0</v>
      </c>
      <c r="T17" s="111"/>
      <c r="U17" s="112">
        <f t="shared" si="6"/>
        <v>0</v>
      </c>
      <c r="V17" s="113">
        <f>R17*Paramètres!$B$7</f>
        <v>0</v>
      </c>
      <c r="W17" s="113">
        <f>S17*Paramètres!$B$9</f>
        <v>0</v>
      </c>
      <c r="X17" s="113"/>
      <c r="Y17" s="114">
        <f t="shared" si="7"/>
        <v>0</v>
      </c>
      <c r="Z17" s="115">
        <f>R17*Paramètres!$B$10</f>
        <v>0</v>
      </c>
      <c r="AA17" s="115">
        <f>S17*Paramètres!$B$10</f>
        <v>0</v>
      </c>
      <c r="AB17" s="115"/>
      <c r="AC17" s="114">
        <f t="shared" si="8"/>
        <v>0</v>
      </c>
      <c r="AD17" s="100">
        <f t="shared" si="12"/>
        <v>0</v>
      </c>
      <c r="AE17" s="100">
        <f t="shared" si="9"/>
        <v>0</v>
      </c>
      <c r="AF17" s="111">
        <f>IF(B17="",0,Paramètres!$B$53*1.5)</f>
        <v>0</v>
      </c>
      <c r="AG17" s="111">
        <f>IF(C17="",0,Paramètres!$B$53*1.5)</f>
        <v>0</v>
      </c>
      <c r="AH17" s="95"/>
      <c r="AI17" s="95"/>
      <c r="AJ17" s="95"/>
      <c r="AK17" s="95"/>
      <c r="AL17" s="100">
        <f>(U17*Paramètres!$B$53)*3</f>
        <v>0</v>
      </c>
      <c r="AM17" s="100">
        <f t="shared" si="10"/>
        <v>0</v>
      </c>
      <c r="AN17" s="100"/>
      <c r="AO17" s="100">
        <f>U17*Paramètres!$B$72*Paramètres!$B$73</f>
        <v>0</v>
      </c>
      <c r="AP17" s="100"/>
      <c r="AQ17" s="100">
        <f>(Y17+AC17)*Paramètres!$B$42*Paramètres!$B$53</f>
        <v>0</v>
      </c>
      <c r="AR17" s="115">
        <f>ROUNDUP(D17*Paramètres!$B$23*Paramètres!$B$26,-1)</f>
        <v>0</v>
      </c>
      <c r="AS17" s="116">
        <f>Paramètres!$B$53*Paramètres!$B$69</f>
        <v>50000</v>
      </c>
      <c r="AT17" s="117">
        <f t="shared" si="11"/>
        <v>50000</v>
      </c>
    </row>
    <row r="18" spans="1:46" x14ac:dyDescent="0.25">
      <c r="A18" s="59">
        <v>16</v>
      </c>
      <c r="B18" s="95"/>
      <c r="C18" s="95"/>
      <c r="D18" s="95"/>
      <c r="E18" s="95"/>
      <c r="F18" s="102"/>
      <c r="G18" s="96"/>
      <c r="H18" s="96"/>
      <c r="I18" s="96"/>
      <c r="J18" s="97">
        <f>F18*Paramètres!$B$3</f>
        <v>0</v>
      </c>
      <c r="K18" s="98">
        <f t="shared" si="0"/>
        <v>0</v>
      </c>
      <c r="L18" s="98">
        <f t="shared" si="1"/>
        <v>0</v>
      </c>
      <c r="M18" s="98">
        <f t="shared" si="2"/>
        <v>0</v>
      </c>
      <c r="N18" s="99">
        <f>ROUNDUP(J18*Paramètres!$B$19,-1)</f>
        <v>0</v>
      </c>
      <c r="O18" s="95">
        <f t="shared" si="3"/>
        <v>0</v>
      </c>
      <c r="P18" s="100">
        <f t="shared" si="4"/>
        <v>0</v>
      </c>
      <c r="Q18" s="101">
        <f t="shared" si="5"/>
        <v>0</v>
      </c>
      <c r="R18" s="111">
        <f>ROUNDUP(+K18/Paramètres!$B$4/Paramètres!$B$53,0)</f>
        <v>0</v>
      </c>
      <c r="S18" s="111">
        <f>ROUNDUP(+L18/Paramètres!$B$6/Paramètres!$B$53,0)</f>
        <v>0</v>
      </c>
      <c r="T18" s="111"/>
      <c r="U18" s="112">
        <f t="shared" si="6"/>
        <v>0</v>
      </c>
      <c r="V18" s="113">
        <f>R18*Paramètres!$B$7</f>
        <v>0</v>
      </c>
      <c r="W18" s="113">
        <f>S18*Paramètres!$B$9</f>
        <v>0</v>
      </c>
      <c r="X18" s="113"/>
      <c r="Y18" s="114">
        <f t="shared" si="7"/>
        <v>0</v>
      </c>
      <c r="Z18" s="115">
        <f>R18*Paramètres!$B$10</f>
        <v>0</v>
      </c>
      <c r="AA18" s="115">
        <f>S18*Paramètres!$B$10</f>
        <v>0</v>
      </c>
      <c r="AB18" s="115"/>
      <c r="AC18" s="114">
        <f t="shared" si="8"/>
        <v>0</v>
      </c>
      <c r="AD18" s="100">
        <f t="shared" si="12"/>
        <v>0</v>
      </c>
      <c r="AE18" s="100">
        <f t="shared" si="9"/>
        <v>0</v>
      </c>
      <c r="AF18" s="111">
        <f>IF(B18="",0,Paramètres!$B$53*1.5)</f>
        <v>0</v>
      </c>
      <c r="AG18" s="111">
        <f>IF(C18="",0,Paramètres!$B$53*1.5)</f>
        <v>0</v>
      </c>
      <c r="AH18" s="95"/>
      <c r="AI18" s="95"/>
      <c r="AJ18" s="95"/>
      <c r="AK18" s="95"/>
      <c r="AL18" s="100">
        <f>(U18*Paramètres!$B$53)*3</f>
        <v>0</v>
      </c>
      <c r="AM18" s="100">
        <f t="shared" si="10"/>
        <v>0</v>
      </c>
      <c r="AN18" s="100"/>
      <c r="AO18" s="100">
        <f>U18*Paramètres!$B$72*Paramètres!$B$73</f>
        <v>0</v>
      </c>
      <c r="AP18" s="100"/>
      <c r="AQ18" s="100">
        <f>(Y18+AC18)*Paramètres!$B$42*Paramètres!$B$53</f>
        <v>0</v>
      </c>
      <c r="AR18" s="115">
        <f>ROUNDUP(D18*Paramètres!$B$23*Paramètres!$B$26,-1)</f>
        <v>0</v>
      </c>
      <c r="AS18" s="116">
        <f>Paramètres!$B$53*Paramètres!$B$69</f>
        <v>50000</v>
      </c>
      <c r="AT18" s="117">
        <f t="shared" si="11"/>
        <v>50000</v>
      </c>
    </row>
    <row r="19" spans="1:46" x14ac:dyDescent="0.25">
      <c r="A19" s="59">
        <v>17</v>
      </c>
      <c r="B19" s="95"/>
      <c r="C19" s="95"/>
      <c r="D19" s="95"/>
      <c r="E19" s="95"/>
      <c r="F19" s="102"/>
      <c r="G19" s="96"/>
      <c r="H19" s="96"/>
      <c r="I19" s="96"/>
      <c r="J19" s="97">
        <f>F19*Paramètres!$B$3</f>
        <v>0</v>
      </c>
      <c r="K19" s="98">
        <f t="shared" si="0"/>
        <v>0</v>
      </c>
      <c r="L19" s="98">
        <f t="shared" si="1"/>
        <v>0</v>
      </c>
      <c r="M19" s="98">
        <f t="shared" si="2"/>
        <v>0</v>
      </c>
      <c r="N19" s="99">
        <f>ROUNDUP(J19*Paramètres!$B$19,-1)</f>
        <v>0</v>
      </c>
      <c r="O19" s="95">
        <f t="shared" si="3"/>
        <v>0</v>
      </c>
      <c r="P19" s="100">
        <f t="shared" si="4"/>
        <v>0</v>
      </c>
      <c r="Q19" s="101">
        <f t="shared" si="5"/>
        <v>0</v>
      </c>
      <c r="R19" s="111">
        <f>ROUNDUP(+K19/Paramètres!$B$4/Paramètres!$B$53,0)</f>
        <v>0</v>
      </c>
      <c r="S19" s="111">
        <f>ROUNDUP(+L19/Paramètres!$B$6/Paramètres!$B$53,0)</f>
        <v>0</v>
      </c>
      <c r="T19" s="111"/>
      <c r="U19" s="112">
        <f t="shared" si="6"/>
        <v>0</v>
      </c>
      <c r="V19" s="113">
        <f>R19*Paramètres!$B$7</f>
        <v>0</v>
      </c>
      <c r="W19" s="113">
        <f>S19*Paramètres!$B$9</f>
        <v>0</v>
      </c>
      <c r="X19" s="113"/>
      <c r="Y19" s="114">
        <f t="shared" si="7"/>
        <v>0</v>
      </c>
      <c r="Z19" s="115">
        <f>R19*Paramètres!$B$10</f>
        <v>0</v>
      </c>
      <c r="AA19" s="115">
        <f>S19*Paramètres!$B$10</f>
        <v>0</v>
      </c>
      <c r="AB19" s="115"/>
      <c r="AC19" s="114">
        <f t="shared" si="8"/>
        <v>0</v>
      </c>
      <c r="AD19" s="100">
        <f t="shared" si="12"/>
        <v>0</v>
      </c>
      <c r="AE19" s="100">
        <f t="shared" si="9"/>
        <v>0</v>
      </c>
      <c r="AF19" s="111">
        <f>IF(B19="",0,Paramètres!$B$53*1.5)</f>
        <v>0</v>
      </c>
      <c r="AG19" s="111">
        <f>IF(C19="",0,Paramètres!$B$53*1.5)</f>
        <v>0</v>
      </c>
      <c r="AH19" s="95"/>
      <c r="AI19" s="95"/>
      <c r="AJ19" s="95"/>
      <c r="AK19" s="95"/>
      <c r="AL19" s="100">
        <f>(U19*Paramètres!$B$53)*3</f>
        <v>0</v>
      </c>
      <c r="AM19" s="100">
        <f t="shared" si="10"/>
        <v>0</v>
      </c>
      <c r="AN19" s="100"/>
      <c r="AO19" s="100">
        <f>U19*Paramètres!$B$72*Paramètres!$B$73</f>
        <v>0</v>
      </c>
      <c r="AP19" s="100"/>
      <c r="AQ19" s="100">
        <f>(Y19+AC19)*Paramètres!$B$42*Paramètres!$B$53</f>
        <v>0</v>
      </c>
      <c r="AR19" s="115">
        <f>ROUNDUP(D19*Paramètres!$B$23*Paramètres!$B$26,-1)</f>
        <v>0</v>
      </c>
      <c r="AS19" s="116">
        <f>Paramètres!$B$53*Paramètres!$B$69</f>
        <v>50000</v>
      </c>
      <c r="AT19" s="117">
        <f t="shared" si="11"/>
        <v>50000</v>
      </c>
    </row>
    <row r="20" spans="1:46" x14ac:dyDescent="0.25">
      <c r="A20" s="59">
        <v>18</v>
      </c>
      <c r="B20" s="95"/>
      <c r="C20" s="95"/>
      <c r="D20" s="95"/>
      <c r="E20" s="95"/>
      <c r="F20" s="102"/>
      <c r="G20" s="96"/>
      <c r="H20" s="96"/>
      <c r="I20" s="96"/>
      <c r="J20" s="97">
        <f>F20*Paramètres!$B$3</f>
        <v>0</v>
      </c>
      <c r="K20" s="98">
        <f t="shared" si="0"/>
        <v>0</v>
      </c>
      <c r="L20" s="98">
        <f t="shared" si="1"/>
        <v>0</v>
      </c>
      <c r="M20" s="98">
        <f t="shared" si="2"/>
        <v>0</v>
      </c>
      <c r="N20" s="99">
        <f>ROUNDUP(J20*Paramètres!$B$19,-1)</f>
        <v>0</v>
      </c>
      <c r="O20" s="95">
        <f t="shared" si="3"/>
        <v>0</v>
      </c>
      <c r="P20" s="100">
        <f t="shared" si="4"/>
        <v>0</v>
      </c>
      <c r="Q20" s="101">
        <f t="shared" si="5"/>
        <v>0</v>
      </c>
      <c r="R20" s="111">
        <f>ROUNDUP(+K20/Paramètres!$B$4/Paramètres!$B$53,0)</f>
        <v>0</v>
      </c>
      <c r="S20" s="111">
        <f>ROUNDUP(+L20/Paramètres!$B$6/Paramètres!$B$53,0)</f>
        <v>0</v>
      </c>
      <c r="T20" s="111"/>
      <c r="U20" s="112">
        <f t="shared" si="6"/>
        <v>0</v>
      </c>
      <c r="V20" s="113">
        <f>R20*Paramètres!$B$7</f>
        <v>0</v>
      </c>
      <c r="W20" s="113">
        <f>S20*Paramètres!$B$9</f>
        <v>0</v>
      </c>
      <c r="X20" s="113"/>
      <c r="Y20" s="114">
        <f t="shared" si="7"/>
        <v>0</v>
      </c>
      <c r="Z20" s="115">
        <f>R20*Paramètres!$B$10</f>
        <v>0</v>
      </c>
      <c r="AA20" s="115">
        <f>S20*Paramètres!$B$10</f>
        <v>0</v>
      </c>
      <c r="AB20" s="115"/>
      <c r="AC20" s="114">
        <f t="shared" si="8"/>
        <v>0</v>
      </c>
      <c r="AD20" s="100">
        <f t="shared" si="12"/>
        <v>0</v>
      </c>
      <c r="AE20" s="100">
        <f t="shared" si="9"/>
        <v>0</v>
      </c>
      <c r="AF20" s="111">
        <f>IF(B20="",0,Paramètres!$B$53*1.5)</f>
        <v>0</v>
      </c>
      <c r="AG20" s="111">
        <f>IF(C20="",0,Paramètres!$B$53*1.5)</f>
        <v>0</v>
      </c>
      <c r="AH20" s="95"/>
      <c r="AI20" s="95"/>
      <c r="AJ20" s="95"/>
      <c r="AK20" s="95"/>
      <c r="AL20" s="100">
        <f>(U20*Paramètres!$B$53)*3</f>
        <v>0</v>
      </c>
      <c r="AM20" s="100">
        <f t="shared" si="10"/>
        <v>0</v>
      </c>
      <c r="AN20" s="100"/>
      <c r="AO20" s="100">
        <f>U20*Paramètres!$B$72*Paramètres!$B$73</f>
        <v>0</v>
      </c>
      <c r="AP20" s="100"/>
      <c r="AQ20" s="100">
        <f>(Y20+AC20)*Paramètres!$B$42*Paramètres!$B$53</f>
        <v>0</v>
      </c>
      <c r="AR20" s="115">
        <f>ROUNDUP(D20*Paramètres!$B$23*Paramètres!$B$26,-1)</f>
        <v>0</v>
      </c>
      <c r="AS20" s="116">
        <f>Paramètres!$B$53*Paramètres!$B$69</f>
        <v>50000</v>
      </c>
      <c r="AT20" s="117">
        <f t="shared" si="11"/>
        <v>50000</v>
      </c>
    </row>
    <row r="21" spans="1:46" x14ac:dyDescent="0.25">
      <c r="A21" s="59">
        <v>19</v>
      </c>
      <c r="B21" s="95"/>
      <c r="C21" s="95"/>
      <c r="D21" s="95"/>
      <c r="E21" s="95"/>
      <c r="F21" s="102"/>
      <c r="G21" s="96"/>
      <c r="H21" s="96"/>
      <c r="I21" s="96"/>
      <c r="J21" s="97">
        <f>F21*Paramètres!$B$3</f>
        <v>0</v>
      </c>
      <c r="K21" s="98">
        <f t="shared" si="0"/>
        <v>0</v>
      </c>
      <c r="L21" s="98">
        <f t="shared" si="1"/>
        <v>0</v>
      </c>
      <c r="M21" s="98">
        <f t="shared" si="2"/>
        <v>0</v>
      </c>
      <c r="N21" s="99">
        <f>ROUNDUP(J21*Paramètres!$B$19,-1)</f>
        <v>0</v>
      </c>
      <c r="O21" s="95">
        <f t="shared" si="3"/>
        <v>0</v>
      </c>
      <c r="P21" s="100">
        <f t="shared" si="4"/>
        <v>0</v>
      </c>
      <c r="Q21" s="101">
        <f t="shared" si="5"/>
        <v>0</v>
      </c>
      <c r="R21" s="111">
        <f>ROUNDUP(+K21/Paramètres!$B$4/Paramètres!$B$53,0)</f>
        <v>0</v>
      </c>
      <c r="S21" s="111">
        <f>ROUNDUP(+L21/Paramètres!$B$6/Paramètres!$B$53,0)</f>
        <v>0</v>
      </c>
      <c r="T21" s="111"/>
      <c r="U21" s="112">
        <f t="shared" si="6"/>
        <v>0</v>
      </c>
      <c r="V21" s="113">
        <f>R21*Paramètres!$B$7</f>
        <v>0</v>
      </c>
      <c r="W21" s="113">
        <f>S21*Paramètres!$B$9</f>
        <v>0</v>
      </c>
      <c r="X21" s="113"/>
      <c r="Y21" s="114">
        <f t="shared" si="7"/>
        <v>0</v>
      </c>
      <c r="Z21" s="115">
        <f>R21*Paramètres!$B$10</f>
        <v>0</v>
      </c>
      <c r="AA21" s="115">
        <f>S21*Paramètres!$B$10</f>
        <v>0</v>
      </c>
      <c r="AB21" s="115"/>
      <c r="AC21" s="114">
        <f t="shared" si="8"/>
        <v>0</v>
      </c>
      <c r="AD21" s="100">
        <f t="shared" si="12"/>
        <v>0</v>
      </c>
      <c r="AE21" s="100">
        <f t="shared" si="9"/>
        <v>0</v>
      </c>
      <c r="AF21" s="111">
        <f>IF(B21="",0,Paramètres!$B$53*1.5)</f>
        <v>0</v>
      </c>
      <c r="AG21" s="111">
        <f>IF(C21="",0,Paramètres!$B$53*1.5)</f>
        <v>0</v>
      </c>
      <c r="AH21" s="95"/>
      <c r="AI21" s="95"/>
      <c r="AJ21" s="95"/>
      <c r="AK21" s="95"/>
      <c r="AL21" s="100">
        <f>(U21*Paramètres!$B$53)*3</f>
        <v>0</v>
      </c>
      <c r="AM21" s="100">
        <f t="shared" si="10"/>
        <v>0</v>
      </c>
      <c r="AN21" s="100"/>
      <c r="AO21" s="100">
        <f>U21*Paramètres!$B$72*Paramètres!$B$73</f>
        <v>0</v>
      </c>
      <c r="AP21" s="100"/>
      <c r="AQ21" s="100">
        <f>(Y21+AC21)*Paramètres!$B$42*Paramètres!$B$53</f>
        <v>0</v>
      </c>
      <c r="AR21" s="115">
        <f>ROUNDUP(D21*Paramètres!$B$23*Paramètres!$B$26,-1)</f>
        <v>0</v>
      </c>
      <c r="AS21" s="116">
        <f>Paramètres!$B$53*Paramètres!$B$69</f>
        <v>50000</v>
      </c>
      <c r="AT21" s="117">
        <f t="shared" si="11"/>
        <v>50000</v>
      </c>
    </row>
    <row r="22" spans="1:46" x14ac:dyDescent="0.25">
      <c r="A22" s="59">
        <v>20</v>
      </c>
      <c r="B22" s="95"/>
      <c r="C22" s="95"/>
      <c r="D22" s="59"/>
      <c r="E22" s="59"/>
      <c r="F22" s="102"/>
      <c r="G22" s="96"/>
      <c r="H22" s="96"/>
      <c r="I22" s="96"/>
      <c r="J22" s="97">
        <f>F22*Paramètres!$B$3</f>
        <v>0</v>
      </c>
      <c r="K22" s="98">
        <f t="shared" si="0"/>
        <v>0</v>
      </c>
      <c r="L22" s="98">
        <f t="shared" si="1"/>
        <v>0</v>
      </c>
      <c r="M22" s="98">
        <f t="shared" si="2"/>
        <v>0</v>
      </c>
      <c r="N22" s="99">
        <f>ROUNDUP(J22*Paramètres!$B$19,-1)</f>
        <v>0</v>
      </c>
      <c r="O22" s="95">
        <f t="shared" si="3"/>
        <v>0</v>
      </c>
      <c r="P22" s="100">
        <f t="shared" si="4"/>
        <v>0</v>
      </c>
      <c r="Q22" s="101">
        <f t="shared" si="5"/>
        <v>0</v>
      </c>
      <c r="R22" s="111">
        <f>ROUNDUP(+K22/Paramètres!$B$4/Paramètres!$B$53,0)</f>
        <v>0</v>
      </c>
      <c r="S22" s="111">
        <f>ROUNDUP(+L22/Paramètres!$B$6/Paramètres!$B$53,0)</f>
        <v>0</v>
      </c>
      <c r="T22" s="111"/>
      <c r="U22" s="112">
        <f t="shared" si="6"/>
        <v>0</v>
      </c>
      <c r="V22" s="113">
        <f>R22*Paramètres!$B$7</f>
        <v>0</v>
      </c>
      <c r="W22" s="113">
        <f>S22*Paramètres!$B$9</f>
        <v>0</v>
      </c>
      <c r="X22" s="113"/>
      <c r="Y22" s="114">
        <f t="shared" si="7"/>
        <v>0</v>
      </c>
      <c r="Z22" s="115">
        <f>R22*Paramètres!$B$10</f>
        <v>0</v>
      </c>
      <c r="AA22" s="115">
        <f>S22*Paramètres!$B$10</f>
        <v>0</v>
      </c>
      <c r="AB22" s="115"/>
      <c r="AC22" s="114">
        <f t="shared" si="8"/>
        <v>0</v>
      </c>
      <c r="AD22" s="100">
        <f t="shared" si="12"/>
        <v>0</v>
      </c>
      <c r="AE22" s="100">
        <f t="shared" si="9"/>
        <v>0</v>
      </c>
      <c r="AF22" s="111">
        <f>IF(B22="",0,Paramètres!$B$53*1.5)</f>
        <v>0</v>
      </c>
      <c r="AG22" s="111">
        <f>IF(C22="",0,Paramètres!$B$53*1.5)</f>
        <v>0</v>
      </c>
      <c r="AH22" s="95"/>
      <c r="AI22" s="95"/>
      <c r="AJ22" s="95"/>
      <c r="AK22" s="95"/>
      <c r="AL22" s="100">
        <f>(U22*Paramètres!$B$53)*3</f>
        <v>0</v>
      </c>
      <c r="AM22" s="100">
        <f t="shared" si="10"/>
        <v>0</v>
      </c>
      <c r="AN22" s="100"/>
      <c r="AO22" s="100">
        <f>U22*Paramètres!$B$72*Paramètres!$B$73</f>
        <v>0</v>
      </c>
      <c r="AP22" s="100"/>
      <c r="AQ22" s="100">
        <f>(Y22+AC22)*Paramètres!$B$42*Paramètres!$B$53</f>
        <v>0</v>
      </c>
      <c r="AR22" s="115">
        <f>ROUNDUP(D22*Paramètres!$B$23*Paramètres!$B$26,-1)</f>
        <v>0</v>
      </c>
      <c r="AS22" s="116">
        <f>Paramètres!$B$53*Paramètres!$B$69</f>
        <v>50000</v>
      </c>
      <c r="AT22" s="117">
        <f t="shared" si="11"/>
        <v>50000</v>
      </c>
    </row>
    <row r="23" spans="1:46" x14ac:dyDescent="0.25">
      <c r="A23" s="59">
        <v>21</v>
      </c>
      <c r="B23" s="95"/>
      <c r="C23" s="95"/>
      <c r="D23" s="59"/>
      <c r="E23" s="59"/>
      <c r="F23" s="102"/>
      <c r="G23" s="96"/>
      <c r="H23" s="96"/>
      <c r="I23" s="96"/>
      <c r="J23" s="97">
        <f>F23*Paramètres!$B$3</f>
        <v>0</v>
      </c>
      <c r="K23" s="98">
        <f t="shared" si="0"/>
        <v>0</v>
      </c>
      <c r="L23" s="98">
        <f t="shared" si="1"/>
        <v>0</v>
      </c>
      <c r="M23" s="98">
        <f t="shared" si="2"/>
        <v>0</v>
      </c>
      <c r="N23" s="99">
        <f>ROUNDUP(J23*Paramètres!$B$19,-1)</f>
        <v>0</v>
      </c>
      <c r="O23" s="95">
        <f t="shared" si="3"/>
        <v>0</v>
      </c>
      <c r="P23" s="100">
        <f t="shared" si="4"/>
        <v>0</v>
      </c>
      <c r="Q23" s="101">
        <f t="shared" si="5"/>
        <v>0</v>
      </c>
      <c r="R23" s="111">
        <f>ROUNDUP(+K23/Paramètres!$B$4/Paramètres!$B$53,0)</f>
        <v>0</v>
      </c>
      <c r="S23" s="111">
        <f>ROUNDUP(+L23/Paramètres!$B$6/Paramètres!$B$53,0)</f>
        <v>0</v>
      </c>
      <c r="T23" s="111"/>
      <c r="U23" s="112">
        <f t="shared" si="6"/>
        <v>0</v>
      </c>
      <c r="V23" s="113">
        <f>R23*Paramètres!$B$7</f>
        <v>0</v>
      </c>
      <c r="W23" s="113">
        <f>S23*Paramètres!$B$9</f>
        <v>0</v>
      </c>
      <c r="X23" s="113"/>
      <c r="Y23" s="114">
        <f t="shared" si="7"/>
        <v>0</v>
      </c>
      <c r="Z23" s="115">
        <f>R23*Paramètres!$B$10</f>
        <v>0</v>
      </c>
      <c r="AA23" s="115">
        <f>S23*Paramètres!$B$10</f>
        <v>0</v>
      </c>
      <c r="AB23" s="115"/>
      <c r="AC23" s="114">
        <f t="shared" si="8"/>
        <v>0</v>
      </c>
      <c r="AD23" s="100">
        <f t="shared" si="12"/>
        <v>0</v>
      </c>
      <c r="AE23" s="100">
        <f t="shared" si="9"/>
        <v>0</v>
      </c>
      <c r="AF23" s="111">
        <f>IF(B23="",0,Paramètres!$B$53*1.5)</f>
        <v>0</v>
      </c>
      <c r="AG23" s="111">
        <f>IF(C23="",0,Paramètres!$B$53*1.5)</f>
        <v>0</v>
      </c>
      <c r="AH23" s="95"/>
      <c r="AI23" s="95"/>
      <c r="AJ23" s="95"/>
      <c r="AK23" s="95"/>
      <c r="AL23" s="100">
        <f>(U23*Paramètres!$B$53)*3</f>
        <v>0</v>
      </c>
      <c r="AM23" s="100">
        <f t="shared" si="10"/>
        <v>0</v>
      </c>
      <c r="AN23" s="100"/>
      <c r="AO23" s="100">
        <f>U23*Paramètres!$B$72*Paramètres!$B$73</f>
        <v>0</v>
      </c>
      <c r="AP23" s="100"/>
      <c r="AQ23" s="100">
        <f>(Y23+AC23)*Paramètres!$B$42*Paramètres!$B$53</f>
        <v>0</v>
      </c>
      <c r="AR23" s="115">
        <f>ROUNDUP(D23*Paramètres!$B$23*Paramètres!$B$26,-1)</f>
        <v>0</v>
      </c>
      <c r="AS23" s="116">
        <f>Paramètres!$B$53*Paramètres!$B$69</f>
        <v>50000</v>
      </c>
      <c r="AT23" s="117">
        <f t="shared" si="11"/>
        <v>50000</v>
      </c>
    </row>
    <row r="24" spans="1:46" x14ac:dyDescent="0.25">
      <c r="A24" s="59">
        <v>22</v>
      </c>
      <c r="B24" s="95"/>
      <c r="C24" s="95"/>
      <c r="D24" s="59"/>
      <c r="E24" s="59"/>
      <c r="F24" s="102"/>
      <c r="G24" s="96"/>
      <c r="H24" s="96"/>
      <c r="I24" s="96"/>
      <c r="J24" s="97">
        <f>F24*Paramètres!$B$3</f>
        <v>0</v>
      </c>
      <c r="K24" s="98">
        <f t="shared" si="0"/>
        <v>0</v>
      </c>
      <c r="L24" s="98">
        <f t="shared" si="1"/>
        <v>0</v>
      </c>
      <c r="M24" s="98">
        <f t="shared" si="2"/>
        <v>0</v>
      </c>
      <c r="N24" s="99">
        <f>ROUNDUP(J24*Paramètres!$B$19,-1)</f>
        <v>0</v>
      </c>
      <c r="O24" s="95">
        <f t="shared" si="3"/>
        <v>0</v>
      </c>
      <c r="P24" s="100">
        <f t="shared" si="4"/>
        <v>0</v>
      </c>
      <c r="Q24" s="101">
        <f t="shared" si="5"/>
        <v>0</v>
      </c>
      <c r="R24" s="111">
        <f>ROUNDUP(+K24/Paramètres!$B$4/Paramètres!$B$53,0)</f>
        <v>0</v>
      </c>
      <c r="S24" s="111">
        <f>ROUNDUP(+L24/Paramètres!$B$6/Paramètres!$B$53,0)</f>
        <v>0</v>
      </c>
      <c r="T24" s="111"/>
      <c r="U24" s="112">
        <f t="shared" si="6"/>
        <v>0</v>
      </c>
      <c r="V24" s="113">
        <f>R24*Paramètres!$B$7</f>
        <v>0</v>
      </c>
      <c r="W24" s="113">
        <f>S24*Paramètres!$B$9</f>
        <v>0</v>
      </c>
      <c r="X24" s="113"/>
      <c r="Y24" s="114">
        <f t="shared" si="7"/>
        <v>0</v>
      </c>
      <c r="Z24" s="115">
        <f>R24*Paramètres!$B$10</f>
        <v>0</v>
      </c>
      <c r="AA24" s="115">
        <f>S24*Paramètres!$B$10</f>
        <v>0</v>
      </c>
      <c r="AB24" s="115"/>
      <c r="AC24" s="114">
        <f t="shared" si="8"/>
        <v>0</v>
      </c>
      <c r="AD24" s="100">
        <f t="shared" si="12"/>
        <v>0</v>
      </c>
      <c r="AE24" s="100">
        <f t="shared" si="9"/>
        <v>0</v>
      </c>
      <c r="AF24" s="111">
        <f>IF(B24="",0,Paramètres!$B$53*1.5)</f>
        <v>0</v>
      </c>
      <c r="AG24" s="111">
        <f>IF(C24="",0,Paramètres!$B$53*1.5)</f>
        <v>0</v>
      </c>
      <c r="AH24" s="95"/>
      <c r="AI24" s="95"/>
      <c r="AJ24" s="95"/>
      <c r="AK24" s="95"/>
      <c r="AL24" s="100">
        <f>(U24*Paramètres!$B$53)*3</f>
        <v>0</v>
      </c>
      <c r="AM24" s="100">
        <f t="shared" si="10"/>
        <v>0</v>
      </c>
      <c r="AN24" s="100"/>
      <c r="AO24" s="100">
        <f>U24*Paramètres!$B$72*Paramètres!$B$73</f>
        <v>0</v>
      </c>
      <c r="AP24" s="100"/>
      <c r="AQ24" s="100">
        <f>(Y24+AC24)*Paramètres!$B$42*Paramètres!$B$53</f>
        <v>0</v>
      </c>
      <c r="AR24" s="115">
        <f>ROUNDUP(D24*Paramètres!$B$23*Paramètres!$B$26,-1)</f>
        <v>0</v>
      </c>
      <c r="AS24" s="116">
        <f>Paramètres!$B$53*Paramètres!$B$69</f>
        <v>50000</v>
      </c>
      <c r="AT24" s="117">
        <f t="shared" si="11"/>
        <v>50000</v>
      </c>
    </row>
    <row r="25" spans="1:46" x14ac:dyDescent="0.25">
      <c r="A25" s="59">
        <v>23</v>
      </c>
      <c r="B25" s="95"/>
      <c r="C25" s="95"/>
      <c r="D25" s="59"/>
      <c r="E25" s="59"/>
      <c r="F25" s="102"/>
      <c r="G25" s="96"/>
      <c r="H25" s="96"/>
      <c r="I25" s="96"/>
      <c r="J25" s="97">
        <f>F25*Paramètres!$B$3</f>
        <v>0</v>
      </c>
      <c r="K25" s="98">
        <f t="shared" si="0"/>
        <v>0</v>
      </c>
      <c r="L25" s="98">
        <f t="shared" si="1"/>
        <v>0</v>
      </c>
      <c r="M25" s="98">
        <f t="shared" si="2"/>
        <v>0</v>
      </c>
      <c r="N25" s="99">
        <f>ROUNDUP(J25*Paramètres!$B$19,-1)</f>
        <v>0</v>
      </c>
      <c r="O25" s="95">
        <f t="shared" si="3"/>
        <v>0</v>
      </c>
      <c r="P25" s="100">
        <f t="shared" si="4"/>
        <v>0</v>
      </c>
      <c r="Q25" s="101">
        <f t="shared" si="5"/>
        <v>0</v>
      </c>
      <c r="R25" s="111">
        <f>ROUNDUP(+K25/Paramètres!$B$4/Paramètres!$B$53,0)</f>
        <v>0</v>
      </c>
      <c r="S25" s="111">
        <f>ROUNDUP(+L25/Paramètres!$B$6/Paramètres!$B$53,0)</f>
        <v>0</v>
      </c>
      <c r="T25" s="111"/>
      <c r="U25" s="112">
        <f t="shared" si="6"/>
        <v>0</v>
      </c>
      <c r="V25" s="113">
        <f>R25*Paramètres!$B$7</f>
        <v>0</v>
      </c>
      <c r="W25" s="113">
        <f>S25*Paramètres!$B$9</f>
        <v>0</v>
      </c>
      <c r="X25" s="113"/>
      <c r="Y25" s="114">
        <f t="shared" si="7"/>
        <v>0</v>
      </c>
      <c r="Z25" s="115">
        <f>R25*Paramètres!$B$10</f>
        <v>0</v>
      </c>
      <c r="AA25" s="115">
        <f>S25*Paramètres!$B$10</f>
        <v>0</v>
      </c>
      <c r="AB25" s="115"/>
      <c r="AC25" s="114">
        <f t="shared" si="8"/>
        <v>0</v>
      </c>
      <c r="AD25" s="100">
        <f t="shared" si="12"/>
        <v>0</v>
      </c>
      <c r="AE25" s="100">
        <f t="shared" si="9"/>
        <v>0</v>
      </c>
      <c r="AF25" s="111">
        <f>IF(B25="",0,Paramètres!$B$53*1.5)</f>
        <v>0</v>
      </c>
      <c r="AG25" s="111">
        <f>IF(C25="",0,Paramètres!$B$53*1.5)</f>
        <v>0</v>
      </c>
      <c r="AH25" s="95"/>
      <c r="AI25" s="95"/>
      <c r="AJ25" s="95"/>
      <c r="AK25" s="95"/>
      <c r="AL25" s="100">
        <f>(U25*Paramètres!$B$53)*3</f>
        <v>0</v>
      </c>
      <c r="AM25" s="100">
        <f t="shared" si="10"/>
        <v>0</v>
      </c>
      <c r="AN25" s="100"/>
      <c r="AO25" s="100">
        <f>U25*Paramètres!$B$72*Paramètres!$B$73</f>
        <v>0</v>
      </c>
      <c r="AP25" s="100"/>
      <c r="AQ25" s="100">
        <f>(Y25+AC25)*Paramètres!$B$42*Paramètres!$B$53</f>
        <v>0</v>
      </c>
      <c r="AR25" s="115">
        <f>ROUNDUP(D25*Paramètres!$B$23*Paramètres!$B$26,-1)</f>
        <v>0</v>
      </c>
      <c r="AS25" s="116">
        <f>Paramètres!$B$53*Paramètres!$B$69</f>
        <v>50000</v>
      </c>
      <c r="AT25" s="117">
        <f t="shared" si="11"/>
        <v>50000</v>
      </c>
    </row>
    <row r="26" spans="1:46" x14ac:dyDescent="0.25">
      <c r="A26" s="59">
        <v>24</v>
      </c>
      <c r="B26" s="95"/>
      <c r="C26" s="95"/>
      <c r="D26" s="59"/>
      <c r="E26" s="59"/>
      <c r="F26" s="102"/>
      <c r="G26" s="96"/>
      <c r="H26" s="96"/>
      <c r="I26" s="96"/>
      <c r="J26" s="97">
        <f>F26*Paramètres!$B$3</f>
        <v>0</v>
      </c>
      <c r="K26" s="98">
        <f t="shared" si="0"/>
        <v>0</v>
      </c>
      <c r="L26" s="98">
        <f t="shared" si="1"/>
        <v>0</v>
      </c>
      <c r="M26" s="98">
        <f t="shared" si="2"/>
        <v>0</v>
      </c>
      <c r="N26" s="99">
        <f>ROUNDUP(J26*Paramètres!$B$19,-1)</f>
        <v>0</v>
      </c>
      <c r="O26" s="95">
        <f t="shared" si="3"/>
        <v>0</v>
      </c>
      <c r="P26" s="100">
        <f t="shared" si="4"/>
        <v>0</v>
      </c>
      <c r="Q26" s="101">
        <f t="shared" si="5"/>
        <v>0</v>
      </c>
      <c r="R26" s="111">
        <f>ROUNDUP(+K26/Paramètres!$B$4/Paramètres!$B$53,0)</f>
        <v>0</v>
      </c>
      <c r="S26" s="111">
        <f>ROUNDUP(+L26/Paramètres!$B$6/Paramètres!$B$53,0)</f>
        <v>0</v>
      </c>
      <c r="T26" s="111"/>
      <c r="U26" s="112">
        <f t="shared" si="6"/>
        <v>0</v>
      </c>
      <c r="V26" s="113">
        <f>R26*Paramètres!$B$7</f>
        <v>0</v>
      </c>
      <c r="W26" s="113">
        <f>S26*Paramètres!$B$9</f>
        <v>0</v>
      </c>
      <c r="X26" s="113"/>
      <c r="Y26" s="114">
        <f t="shared" si="7"/>
        <v>0</v>
      </c>
      <c r="Z26" s="115">
        <f>R26*Paramètres!$B$10</f>
        <v>0</v>
      </c>
      <c r="AA26" s="115">
        <f>S26*Paramètres!$B$10</f>
        <v>0</v>
      </c>
      <c r="AB26" s="115"/>
      <c r="AC26" s="114">
        <f t="shared" si="8"/>
        <v>0</v>
      </c>
      <c r="AD26" s="100">
        <f t="shared" si="12"/>
        <v>0</v>
      </c>
      <c r="AE26" s="100">
        <f t="shared" si="9"/>
        <v>0</v>
      </c>
      <c r="AF26" s="111">
        <f>IF(B26="",0,Paramètres!$B$53*1.5)</f>
        <v>0</v>
      </c>
      <c r="AG26" s="111">
        <f>IF(C26="",0,Paramètres!$B$53*1.5)</f>
        <v>0</v>
      </c>
      <c r="AH26" s="95"/>
      <c r="AI26" s="95"/>
      <c r="AJ26" s="95"/>
      <c r="AK26" s="95"/>
      <c r="AL26" s="100">
        <f>(U26*Paramètres!$B$53)*3</f>
        <v>0</v>
      </c>
      <c r="AM26" s="100">
        <f t="shared" si="10"/>
        <v>0</v>
      </c>
      <c r="AN26" s="100"/>
      <c r="AO26" s="100">
        <f>U26*Paramètres!$B$72*Paramètres!$B$73</f>
        <v>0</v>
      </c>
      <c r="AP26" s="100"/>
      <c r="AQ26" s="100">
        <f>(Y26+AC26)*Paramètres!$B$42*Paramètres!$B$53</f>
        <v>0</v>
      </c>
      <c r="AR26" s="115">
        <f>ROUNDUP(D26*Paramètres!$B$23*Paramètres!$B$26,-1)</f>
        <v>0</v>
      </c>
      <c r="AS26" s="116">
        <f>Paramètres!$B$53*Paramètres!$B$69</f>
        <v>50000</v>
      </c>
      <c r="AT26" s="117">
        <f t="shared" si="11"/>
        <v>50000</v>
      </c>
    </row>
    <row r="27" spans="1:46" x14ac:dyDescent="0.25">
      <c r="A27" s="59">
        <v>25</v>
      </c>
      <c r="B27" s="95"/>
      <c r="C27" s="95"/>
      <c r="D27" s="59"/>
      <c r="E27" s="59"/>
      <c r="F27" s="102"/>
      <c r="G27" s="96"/>
      <c r="H27" s="96"/>
      <c r="I27" s="96"/>
      <c r="J27" s="97">
        <f>F27*Paramètres!$B$3</f>
        <v>0</v>
      </c>
      <c r="K27" s="98">
        <f t="shared" si="0"/>
        <v>0</v>
      </c>
      <c r="L27" s="98">
        <f t="shared" si="1"/>
        <v>0</v>
      </c>
      <c r="M27" s="98">
        <f t="shared" si="2"/>
        <v>0</v>
      </c>
      <c r="N27" s="99">
        <f>ROUNDUP(J27*Paramètres!$B$19,-1)</f>
        <v>0</v>
      </c>
      <c r="O27" s="95">
        <f t="shared" si="3"/>
        <v>0</v>
      </c>
      <c r="P27" s="100">
        <f t="shared" si="4"/>
        <v>0</v>
      </c>
      <c r="Q27" s="101">
        <f t="shared" si="5"/>
        <v>0</v>
      </c>
      <c r="R27" s="111">
        <f>ROUNDUP(+K27/Paramètres!$B$4/Paramètres!$B$53,0)</f>
        <v>0</v>
      </c>
      <c r="S27" s="111">
        <f>ROUNDUP(+L27/Paramètres!$B$6/Paramètres!$B$53,0)</f>
        <v>0</v>
      </c>
      <c r="T27" s="111"/>
      <c r="U27" s="112">
        <f t="shared" si="6"/>
        <v>0</v>
      </c>
      <c r="V27" s="113">
        <f>R27*Paramètres!$B$7</f>
        <v>0</v>
      </c>
      <c r="W27" s="113">
        <f>S27*Paramètres!$B$9</f>
        <v>0</v>
      </c>
      <c r="X27" s="113"/>
      <c r="Y27" s="114">
        <f t="shared" si="7"/>
        <v>0</v>
      </c>
      <c r="Z27" s="115">
        <f>R27*Paramètres!$B$10</f>
        <v>0</v>
      </c>
      <c r="AA27" s="115">
        <f>S27*Paramètres!$B$10</f>
        <v>0</v>
      </c>
      <c r="AB27" s="115"/>
      <c r="AC27" s="114">
        <f t="shared" si="8"/>
        <v>0</v>
      </c>
      <c r="AD27" s="100">
        <f t="shared" si="12"/>
        <v>0</v>
      </c>
      <c r="AE27" s="100">
        <f t="shared" si="9"/>
        <v>0</v>
      </c>
      <c r="AF27" s="111">
        <f>IF(B27="",0,Paramètres!$B$53*1.5)</f>
        <v>0</v>
      </c>
      <c r="AG27" s="111">
        <f>IF(C27="",0,Paramètres!$B$53*1.5)</f>
        <v>0</v>
      </c>
      <c r="AH27" s="95"/>
      <c r="AI27" s="95"/>
      <c r="AJ27" s="95"/>
      <c r="AK27" s="95"/>
      <c r="AL27" s="100">
        <f>(U27*Paramètres!$B$53)*3</f>
        <v>0</v>
      </c>
      <c r="AM27" s="100">
        <f t="shared" si="10"/>
        <v>0</v>
      </c>
      <c r="AN27" s="100"/>
      <c r="AO27" s="100">
        <f>U27*Paramètres!$B$72*Paramètres!$B$73</f>
        <v>0</v>
      </c>
      <c r="AP27" s="100"/>
      <c r="AQ27" s="100">
        <f>(Y27+AC27)*Paramètres!$B$42*Paramètres!$B$53</f>
        <v>0</v>
      </c>
      <c r="AR27" s="115">
        <f>ROUNDUP(D27*Paramètres!$B$23*Paramètres!$B$26,-1)</f>
        <v>0</v>
      </c>
      <c r="AS27" s="116">
        <f>Paramètres!$B$53*Paramètres!$B$69</f>
        <v>50000</v>
      </c>
      <c r="AT27" s="117">
        <f t="shared" si="11"/>
        <v>50000</v>
      </c>
    </row>
    <row r="28" spans="1:46" x14ac:dyDescent="0.25">
      <c r="A28" s="59">
        <v>26</v>
      </c>
      <c r="B28" s="95"/>
      <c r="C28" s="95"/>
      <c r="D28" s="59"/>
      <c r="E28" s="59"/>
      <c r="F28" s="102"/>
      <c r="G28" s="96"/>
      <c r="H28" s="96"/>
      <c r="I28" s="96"/>
      <c r="J28" s="97">
        <f>F28*Paramètres!$B$3</f>
        <v>0</v>
      </c>
      <c r="K28" s="98">
        <f t="shared" si="0"/>
        <v>0</v>
      </c>
      <c r="L28" s="98">
        <f t="shared" si="1"/>
        <v>0</v>
      </c>
      <c r="M28" s="98">
        <f t="shared" si="2"/>
        <v>0</v>
      </c>
      <c r="N28" s="99">
        <f>ROUNDUP(J28*Paramètres!$B$19,-1)</f>
        <v>0</v>
      </c>
      <c r="O28" s="95">
        <f t="shared" si="3"/>
        <v>0</v>
      </c>
      <c r="P28" s="100">
        <f t="shared" si="4"/>
        <v>0</v>
      </c>
      <c r="Q28" s="101">
        <f t="shared" si="5"/>
        <v>0</v>
      </c>
      <c r="R28" s="111">
        <f>ROUNDUP(+K28/Paramètres!$B$4/Paramètres!$B$53,0)</f>
        <v>0</v>
      </c>
      <c r="S28" s="111">
        <f>ROUNDUP(+L28/Paramètres!$B$6/Paramètres!$B$53,0)</f>
        <v>0</v>
      </c>
      <c r="T28" s="111"/>
      <c r="U28" s="112">
        <f t="shared" si="6"/>
        <v>0</v>
      </c>
      <c r="V28" s="113">
        <f>R28*Paramètres!$B$7</f>
        <v>0</v>
      </c>
      <c r="W28" s="113">
        <f>S28*Paramètres!$B$9</f>
        <v>0</v>
      </c>
      <c r="X28" s="113"/>
      <c r="Y28" s="114">
        <f t="shared" si="7"/>
        <v>0</v>
      </c>
      <c r="Z28" s="115">
        <f>R28*Paramètres!$B$10</f>
        <v>0</v>
      </c>
      <c r="AA28" s="115">
        <f>S28*Paramètres!$B$10</f>
        <v>0</v>
      </c>
      <c r="AB28" s="115"/>
      <c r="AC28" s="114">
        <f t="shared" si="8"/>
        <v>0</v>
      </c>
      <c r="AD28" s="100">
        <f t="shared" si="12"/>
        <v>0</v>
      </c>
      <c r="AE28" s="100">
        <f t="shared" si="9"/>
        <v>0</v>
      </c>
      <c r="AF28" s="111">
        <f>IF(B28="",0,Paramètres!$B$53*1.5)</f>
        <v>0</v>
      </c>
      <c r="AG28" s="111">
        <f>IF(C28="",0,Paramètres!$B$53*1.5)</f>
        <v>0</v>
      </c>
      <c r="AH28" s="95"/>
      <c r="AI28" s="95"/>
      <c r="AJ28" s="95"/>
      <c r="AK28" s="95"/>
      <c r="AL28" s="100">
        <f>(U28*Paramètres!$B$53)*3</f>
        <v>0</v>
      </c>
      <c r="AM28" s="100">
        <f t="shared" si="10"/>
        <v>0</v>
      </c>
      <c r="AN28" s="100"/>
      <c r="AO28" s="100">
        <f>U28*Paramètres!$B$72*Paramètres!$B$73</f>
        <v>0</v>
      </c>
      <c r="AP28" s="100"/>
      <c r="AQ28" s="100">
        <f>(Y28+AC28)*Paramètres!$B$42*Paramètres!$B$53</f>
        <v>0</v>
      </c>
      <c r="AR28" s="115">
        <f>ROUNDUP(D28*Paramètres!$B$23*Paramètres!$B$26,-1)</f>
        <v>0</v>
      </c>
      <c r="AS28" s="116">
        <f>Paramètres!$B$53*Paramètres!$B$69</f>
        <v>50000</v>
      </c>
      <c r="AT28" s="117">
        <f t="shared" si="11"/>
        <v>50000</v>
      </c>
    </row>
    <row r="29" spans="1:46" x14ac:dyDescent="0.25">
      <c r="A29" s="59">
        <v>27</v>
      </c>
      <c r="B29" s="95"/>
      <c r="C29" s="95"/>
      <c r="D29" s="59"/>
      <c r="E29" s="59"/>
      <c r="F29" s="102"/>
      <c r="G29" s="96"/>
      <c r="H29" s="96"/>
      <c r="I29" s="96"/>
      <c r="J29" s="97">
        <f>F29*Paramètres!$B$3</f>
        <v>0</v>
      </c>
      <c r="K29" s="98">
        <f t="shared" si="0"/>
        <v>0</v>
      </c>
      <c r="L29" s="98">
        <f t="shared" si="1"/>
        <v>0</v>
      </c>
      <c r="M29" s="98">
        <f t="shared" si="2"/>
        <v>0</v>
      </c>
      <c r="N29" s="99">
        <f>ROUNDUP(J29*Paramètres!$B$19,-1)</f>
        <v>0</v>
      </c>
      <c r="O29" s="95">
        <f t="shared" si="3"/>
        <v>0</v>
      </c>
      <c r="P29" s="100">
        <f t="shared" si="4"/>
        <v>0</v>
      </c>
      <c r="Q29" s="101">
        <f t="shared" si="5"/>
        <v>0</v>
      </c>
      <c r="R29" s="111">
        <f>ROUNDUP(+K29/Paramètres!$B$4/Paramètres!$B$53,0)</f>
        <v>0</v>
      </c>
      <c r="S29" s="111">
        <f>ROUNDUP(+L29/Paramètres!$B$6/Paramètres!$B$53,0)</f>
        <v>0</v>
      </c>
      <c r="T29" s="111"/>
      <c r="U29" s="112">
        <f t="shared" si="6"/>
        <v>0</v>
      </c>
      <c r="V29" s="113">
        <f>R29*Paramètres!$B$7</f>
        <v>0</v>
      </c>
      <c r="W29" s="113">
        <f>S29*Paramètres!$B$9</f>
        <v>0</v>
      </c>
      <c r="X29" s="113"/>
      <c r="Y29" s="114">
        <f t="shared" si="7"/>
        <v>0</v>
      </c>
      <c r="Z29" s="115">
        <f>R29*Paramètres!$B$10</f>
        <v>0</v>
      </c>
      <c r="AA29" s="115">
        <f>S29*Paramètres!$B$10</f>
        <v>0</v>
      </c>
      <c r="AB29" s="115"/>
      <c r="AC29" s="114">
        <f t="shared" si="8"/>
        <v>0</v>
      </c>
      <c r="AD29" s="100">
        <f t="shared" si="12"/>
        <v>0</v>
      </c>
      <c r="AE29" s="100">
        <f t="shared" si="9"/>
        <v>0</v>
      </c>
      <c r="AF29" s="111">
        <f>IF(B29="",0,Paramètres!$B$53*1.5)</f>
        <v>0</v>
      </c>
      <c r="AG29" s="111">
        <f>IF(C29="",0,Paramètres!$B$53*1.5)</f>
        <v>0</v>
      </c>
      <c r="AH29" s="95"/>
      <c r="AI29" s="95"/>
      <c r="AJ29" s="95"/>
      <c r="AK29" s="95"/>
      <c r="AL29" s="100">
        <f>(U29*Paramètres!$B$53)*3</f>
        <v>0</v>
      </c>
      <c r="AM29" s="100">
        <f t="shared" si="10"/>
        <v>0</v>
      </c>
      <c r="AN29" s="100"/>
      <c r="AO29" s="100">
        <f>U29*Paramètres!$B$72*Paramètres!$B$73</f>
        <v>0</v>
      </c>
      <c r="AP29" s="100"/>
      <c r="AQ29" s="100">
        <f>(Y29+AC29)*Paramètres!$B$42*Paramètres!$B$53</f>
        <v>0</v>
      </c>
      <c r="AR29" s="115">
        <f>ROUNDUP(D29*Paramètres!$B$23*Paramètres!$B$26,-1)</f>
        <v>0</v>
      </c>
      <c r="AS29" s="116">
        <f>Paramètres!$B$53*Paramètres!$B$69</f>
        <v>50000</v>
      </c>
      <c r="AT29" s="117">
        <f t="shared" si="11"/>
        <v>50000</v>
      </c>
    </row>
    <row r="30" spans="1:46" x14ac:dyDescent="0.25">
      <c r="A30" s="59">
        <v>28</v>
      </c>
      <c r="B30" s="95"/>
      <c r="C30" s="95"/>
      <c r="D30" s="59"/>
      <c r="E30" s="59"/>
      <c r="F30" s="102"/>
      <c r="G30" s="96"/>
      <c r="H30" s="96"/>
      <c r="I30" s="96"/>
      <c r="J30" s="97">
        <f>F30*Paramètres!$B$3</f>
        <v>0</v>
      </c>
      <c r="K30" s="98">
        <f t="shared" si="0"/>
        <v>0</v>
      </c>
      <c r="L30" s="98">
        <f t="shared" si="1"/>
        <v>0</v>
      </c>
      <c r="M30" s="98">
        <f t="shared" si="2"/>
        <v>0</v>
      </c>
      <c r="N30" s="99">
        <f>ROUNDUP(J30*Paramètres!$B$19,-1)</f>
        <v>0</v>
      </c>
      <c r="O30" s="95">
        <f t="shared" si="3"/>
        <v>0</v>
      </c>
      <c r="P30" s="100">
        <f t="shared" si="4"/>
        <v>0</v>
      </c>
      <c r="Q30" s="101">
        <f t="shared" si="5"/>
        <v>0</v>
      </c>
      <c r="R30" s="111">
        <f>ROUNDUP(+K30/Paramètres!$B$4/Paramètres!$B$53,0)</f>
        <v>0</v>
      </c>
      <c r="S30" s="111">
        <f>ROUNDUP(+L30/Paramètres!$B$6/Paramètres!$B$53,0)</f>
        <v>0</v>
      </c>
      <c r="T30" s="111"/>
      <c r="U30" s="112">
        <f t="shared" si="6"/>
        <v>0</v>
      </c>
      <c r="V30" s="113">
        <f>R30*Paramètres!$B$7</f>
        <v>0</v>
      </c>
      <c r="W30" s="113">
        <f>S30*Paramètres!$B$9</f>
        <v>0</v>
      </c>
      <c r="X30" s="113"/>
      <c r="Y30" s="114">
        <f t="shared" si="7"/>
        <v>0</v>
      </c>
      <c r="Z30" s="115">
        <f>R30*Paramètres!$B$10</f>
        <v>0</v>
      </c>
      <c r="AA30" s="115">
        <f>S30*Paramètres!$B$10</f>
        <v>0</v>
      </c>
      <c r="AB30" s="115"/>
      <c r="AC30" s="114">
        <f t="shared" si="8"/>
        <v>0</v>
      </c>
      <c r="AD30" s="100">
        <f t="shared" si="12"/>
        <v>0</v>
      </c>
      <c r="AE30" s="100">
        <f t="shared" si="9"/>
        <v>0</v>
      </c>
      <c r="AF30" s="111">
        <f>IF(B30="",0,Paramètres!$B$53*1.5)</f>
        <v>0</v>
      </c>
      <c r="AG30" s="111">
        <f>IF(C30="",0,Paramètres!$B$53*1.5)</f>
        <v>0</v>
      </c>
      <c r="AH30" s="95"/>
      <c r="AI30" s="95"/>
      <c r="AJ30" s="95"/>
      <c r="AK30" s="95"/>
      <c r="AL30" s="100">
        <f>(U30*Paramètres!$B$53)*3</f>
        <v>0</v>
      </c>
      <c r="AM30" s="100">
        <f t="shared" si="10"/>
        <v>0</v>
      </c>
      <c r="AN30" s="100"/>
      <c r="AO30" s="100">
        <f>U30*Paramètres!$B$72*Paramètres!$B$73</f>
        <v>0</v>
      </c>
      <c r="AP30" s="100"/>
      <c r="AQ30" s="100">
        <f>(Y30+AC30)*Paramètres!$B$42*Paramètres!$B$53</f>
        <v>0</v>
      </c>
      <c r="AR30" s="115">
        <f>ROUNDUP(D30*Paramètres!$B$23*Paramètres!$B$26,-1)</f>
        <v>0</v>
      </c>
      <c r="AS30" s="116">
        <f>Paramètres!$B$53*Paramètres!$B$69</f>
        <v>50000</v>
      </c>
      <c r="AT30" s="117">
        <f t="shared" si="11"/>
        <v>50000</v>
      </c>
    </row>
    <row r="31" spans="1:46" x14ac:dyDescent="0.25">
      <c r="A31" s="59">
        <v>29</v>
      </c>
      <c r="B31" s="95"/>
      <c r="C31" s="95"/>
      <c r="D31" s="59"/>
      <c r="E31" s="59"/>
      <c r="F31" s="102"/>
      <c r="G31" s="96"/>
      <c r="H31" s="96"/>
      <c r="I31" s="96"/>
      <c r="J31" s="97">
        <f>F31*Paramètres!$B$3</f>
        <v>0</v>
      </c>
      <c r="K31" s="98">
        <f t="shared" si="0"/>
        <v>0</v>
      </c>
      <c r="L31" s="98">
        <f t="shared" si="1"/>
        <v>0</v>
      </c>
      <c r="M31" s="98">
        <f t="shared" si="2"/>
        <v>0</v>
      </c>
      <c r="N31" s="99">
        <f>ROUNDUP(J31*Paramètres!$B$19,-1)</f>
        <v>0</v>
      </c>
      <c r="O31" s="95">
        <f t="shared" si="3"/>
        <v>0</v>
      </c>
      <c r="P31" s="100">
        <f t="shared" si="4"/>
        <v>0</v>
      </c>
      <c r="Q31" s="101">
        <f t="shared" si="5"/>
        <v>0</v>
      </c>
      <c r="R31" s="111">
        <f>ROUNDUP(+K31/Paramètres!$B$4/Paramètres!$B$53,0)</f>
        <v>0</v>
      </c>
      <c r="S31" s="111">
        <f>ROUNDUP(+L31/Paramètres!$B$6/Paramètres!$B$53,0)</f>
        <v>0</v>
      </c>
      <c r="T31" s="111"/>
      <c r="U31" s="112">
        <f t="shared" si="6"/>
        <v>0</v>
      </c>
      <c r="V31" s="113">
        <f>R31*Paramètres!$B$7</f>
        <v>0</v>
      </c>
      <c r="W31" s="113">
        <f>S31*Paramètres!$B$9</f>
        <v>0</v>
      </c>
      <c r="X31" s="113"/>
      <c r="Y31" s="114">
        <f t="shared" si="7"/>
        <v>0</v>
      </c>
      <c r="Z31" s="115">
        <f>R31*Paramètres!$B$10</f>
        <v>0</v>
      </c>
      <c r="AA31" s="115">
        <f>S31*Paramètres!$B$10</f>
        <v>0</v>
      </c>
      <c r="AB31" s="115"/>
      <c r="AC31" s="114">
        <f t="shared" si="8"/>
        <v>0</v>
      </c>
      <c r="AD31" s="100">
        <f t="shared" si="12"/>
        <v>0</v>
      </c>
      <c r="AE31" s="100">
        <f t="shared" si="9"/>
        <v>0</v>
      </c>
      <c r="AF31" s="111">
        <f>IF(B31="",0,Paramètres!$B$53*1.5)</f>
        <v>0</v>
      </c>
      <c r="AG31" s="111">
        <f>IF(C31="",0,Paramètres!$B$53*1.5)</f>
        <v>0</v>
      </c>
      <c r="AH31" s="95"/>
      <c r="AI31" s="95"/>
      <c r="AJ31" s="95"/>
      <c r="AK31" s="95"/>
      <c r="AL31" s="100">
        <f>(U31*Paramètres!$B$53)*3</f>
        <v>0</v>
      </c>
      <c r="AM31" s="100">
        <f t="shared" si="10"/>
        <v>0</v>
      </c>
      <c r="AN31" s="100"/>
      <c r="AO31" s="100">
        <f>U31*Paramètres!$B$72*Paramètres!$B$73</f>
        <v>0</v>
      </c>
      <c r="AP31" s="100"/>
      <c r="AQ31" s="100">
        <f>(Y31+AC31)*Paramètres!$B$42*Paramètres!$B$53</f>
        <v>0</v>
      </c>
      <c r="AR31" s="115">
        <f>ROUNDUP(D31*Paramètres!$B$23*Paramètres!$B$26,-1)</f>
        <v>0</v>
      </c>
      <c r="AS31" s="116">
        <f>Paramètres!$B$53*Paramètres!$B$69</f>
        <v>50000</v>
      </c>
      <c r="AT31" s="117">
        <f t="shared" si="11"/>
        <v>50000</v>
      </c>
    </row>
    <row r="32" spans="1:46" x14ac:dyDescent="0.25">
      <c r="A32" s="59">
        <v>30</v>
      </c>
      <c r="B32" s="95"/>
      <c r="C32" s="95"/>
      <c r="D32" s="59"/>
      <c r="E32" s="59"/>
      <c r="F32" s="102"/>
      <c r="G32" s="96"/>
      <c r="H32" s="96"/>
      <c r="I32" s="96"/>
      <c r="J32" s="97">
        <f>F32*Paramètres!$B$3</f>
        <v>0</v>
      </c>
      <c r="K32" s="98">
        <f t="shared" si="0"/>
        <v>0</v>
      </c>
      <c r="L32" s="98">
        <f t="shared" si="1"/>
        <v>0</v>
      </c>
      <c r="M32" s="98">
        <f t="shared" si="2"/>
        <v>0</v>
      </c>
      <c r="N32" s="99">
        <f>ROUNDUP(J32*Paramètres!$B$19,-1)</f>
        <v>0</v>
      </c>
      <c r="O32" s="95">
        <f t="shared" si="3"/>
        <v>0</v>
      </c>
      <c r="P32" s="100">
        <f t="shared" si="4"/>
        <v>0</v>
      </c>
      <c r="Q32" s="101">
        <f t="shared" si="5"/>
        <v>0</v>
      </c>
      <c r="R32" s="111">
        <f>ROUNDUP(+K32/Paramètres!$B$4/Paramètres!$B$53,0)</f>
        <v>0</v>
      </c>
      <c r="S32" s="111">
        <f>ROUNDUP(+L32/Paramètres!$B$6/Paramètres!$B$53,0)</f>
        <v>0</v>
      </c>
      <c r="T32" s="111"/>
      <c r="U32" s="112">
        <f t="shared" si="6"/>
        <v>0</v>
      </c>
      <c r="V32" s="113">
        <f>R32*Paramètres!$B$7</f>
        <v>0</v>
      </c>
      <c r="W32" s="113">
        <f>S32*Paramètres!$B$9</f>
        <v>0</v>
      </c>
      <c r="X32" s="113"/>
      <c r="Y32" s="114">
        <f t="shared" si="7"/>
        <v>0</v>
      </c>
      <c r="Z32" s="115">
        <f>R32*Paramètres!$B$10</f>
        <v>0</v>
      </c>
      <c r="AA32" s="115">
        <f>S32*Paramètres!$B$10</f>
        <v>0</v>
      </c>
      <c r="AB32" s="115"/>
      <c r="AC32" s="114">
        <f t="shared" si="8"/>
        <v>0</v>
      </c>
      <c r="AD32" s="100">
        <f t="shared" si="12"/>
        <v>0</v>
      </c>
      <c r="AE32" s="100">
        <f t="shared" si="9"/>
        <v>0</v>
      </c>
      <c r="AF32" s="111">
        <f>IF(B32="",0,Paramètres!$B$53*1.5)</f>
        <v>0</v>
      </c>
      <c r="AG32" s="111">
        <f>IF(C32="",0,Paramètres!$B$53*1.5)</f>
        <v>0</v>
      </c>
      <c r="AH32" s="95"/>
      <c r="AI32" s="95"/>
      <c r="AJ32" s="95"/>
      <c r="AK32" s="95"/>
      <c r="AL32" s="100">
        <f>(U32*Paramètres!$B$53)*3</f>
        <v>0</v>
      </c>
      <c r="AM32" s="100">
        <f t="shared" si="10"/>
        <v>0</v>
      </c>
      <c r="AN32" s="100"/>
      <c r="AO32" s="100">
        <f>U32*Paramètres!$B$72*Paramètres!$B$73</f>
        <v>0</v>
      </c>
      <c r="AP32" s="100"/>
      <c r="AQ32" s="100">
        <f>(Y32+AC32)*Paramètres!$B$42*Paramètres!$B$53</f>
        <v>0</v>
      </c>
      <c r="AR32" s="115">
        <f>ROUNDUP(D32*Paramètres!$B$23*Paramètres!$B$26,-1)</f>
        <v>0</v>
      </c>
      <c r="AS32" s="116">
        <f>Paramètres!$B$53*Paramètres!$B$69</f>
        <v>50000</v>
      </c>
      <c r="AT32" s="117">
        <f t="shared" si="11"/>
        <v>50000</v>
      </c>
    </row>
    <row r="33" spans="1:46" x14ac:dyDescent="0.25">
      <c r="A33" s="59">
        <v>31</v>
      </c>
      <c r="B33" s="95"/>
      <c r="C33" s="95"/>
      <c r="D33" s="59"/>
      <c r="E33" s="59"/>
      <c r="F33" s="102"/>
      <c r="G33" s="96"/>
      <c r="H33" s="96"/>
      <c r="I33" s="96"/>
      <c r="J33" s="97">
        <f>F33*Paramètres!$B$3</f>
        <v>0</v>
      </c>
      <c r="K33" s="98">
        <f t="shared" si="0"/>
        <v>0</v>
      </c>
      <c r="L33" s="98">
        <f t="shared" si="1"/>
        <v>0</v>
      </c>
      <c r="M33" s="98">
        <f t="shared" si="2"/>
        <v>0</v>
      </c>
      <c r="N33" s="99">
        <f>ROUNDUP(J33*Paramètres!$B$19,-1)</f>
        <v>0</v>
      </c>
      <c r="O33" s="95">
        <f t="shared" si="3"/>
        <v>0</v>
      </c>
      <c r="P33" s="100">
        <f t="shared" si="4"/>
        <v>0</v>
      </c>
      <c r="Q33" s="101">
        <f t="shared" si="5"/>
        <v>0</v>
      </c>
      <c r="R33" s="111">
        <f>ROUNDUP(+K33/Paramètres!$B$4/Paramètres!$B$53,0)</f>
        <v>0</v>
      </c>
      <c r="S33" s="111">
        <f>ROUNDUP(+L33/Paramètres!$B$6/Paramètres!$B$53,0)</f>
        <v>0</v>
      </c>
      <c r="T33" s="111"/>
      <c r="U33" s="112">
        <f t="shared" si="6"/>
        <v>0</v>
      </c>
      <c r="V33" s="113">
        <f>R33*Paramètres!$B$7</f>
        <v>0</v>
      </c>
      <c r="W33" s="113">
        <f>S33*Paramètres!$B$9</f>
        <v>0</v>
      </c>
      <c r="X33" s="113"/>
      <c r="Y33" s="114">
        <f t="shared" si="7"/>
        <v>0</v>
      </c>
      <c r="Z33" s="115">
        <f>R33*Paramètres!$B$10</f>
        <v>0</v>
      </c>
      <c r="AA33" s="115">
        <f>S33*Paramètres!$B$10</f>
        <v>0</v>
      </c>
      <c r="AB33" s="115"/>
      <c r="AC33" s="114">
        <f t="shared" si="8"/>
        <v>0</v>
      </c>
      <c r="AD33" s="100">
        <f t="shared" si="12"/>
        <v>0</v>
      </c>
      <c r="AE33" s="100">
        <f t="shared" si="9"/>
        <v>0</v>
      </c>
      <c r="AF33" s="111">
        <f>IF(B33="",0,Paramètres!$B$53*1.5)</f>
        <v>0</v>
      </c>
      <c r="AG33" s="111">
        <f>IF(C33="",0,Paramètres!$B$53*1.5)</f>
        <v>0</v>
      </c>
      <c r="AH33" s="95"/>
      <c r="AI33" s="95"/>
      <c r="AJ33" s="95"/>
      <c r="AK33" s="95"/>
      <c r="AL33" s="100">
        <f>(U33*Paramètres!$B$53)*3</f>
        <v>0</v>
      </c>
      <c r="AM33" s="100">
        <f t="shared" si="10"/>
        <v>0</v>
      </c>
      <c r="AN33" s="100"/>
      <c r="AO33" s="100">
        <f>U33*Paramètres!$B$72*Paramètres!$B$73</f>
        <v>0</v>
      </c>
      <c r="AP33" s="100"/>
      <c r="AQ33" s="100">
        <f>(Y33+AC33)*Paramètres!$B$42*Paramètres!$B$53</f>
        <v>0</v>
      </c>
      <c r="AR33" s="115">
        <f>ROUNDUP(D33*Paramètres!$B$23*Paramètres!$B$26,-1)</f>
        <v>0</v>
      </c>
      <c r="AS33" s="116">
        <f>Paramètres!$B$53*Paramètres!$B$69</f>
        <v>50000</v>
      </c>
      <c r="AT33" s="117">
        <f t="shared" si="11"/>
        <v>50000</v>
      </c>
    </row>
    <row r="34" spans="1:46" x14ac:dyDescent="0.25">
      <c r="A34" s="59">
        <v>32</v>
      </c>
      <c r="B34" s="95"/>
      <c r="C34" s="95"/>
      <c r="D34" s="95"/>
      <c r="E34" s="119"/>
      <c r="F34" s="102"/>
      <c r="G34" s="96"/>
      <c r="H34" s="96"/>
      <c r="I34" s="96"/>
      <c r="J34" s="97">
        <f>F34*Paramètres!$B$3</f>
        <v>0</v>
      </c>
      <c r="K34" s="98">
        <f t="shared" si="0"/>
        <v>0</v>
      </c>
      <c r="L34" s="98">
        <f t="shared" si="1"/>
        <v>0</v>
      </c>
      <c r="M34" s="98">
        <f t="shared" si="2"/>
        <v>0</v>
      </c>
      <c r="N34" s="99">
        <f>ROUNDUP(J34*Paramètres!$B$19,-1)</f>
        <v>0</v>
      </c>
      <c r="O34" s="95">
        <f t="shared" si="3"/>
        <v>0</v>
      </c>
      <c r="P34" s="100">
        <f t="shared" si="4"/>
        <v>0</v>
      </c>
      <c r="Q34" s="101">
        <f t="shared" si="5"/>
        <v>0</v>
      </c>
      <c r="R34" s="111">
        <f>ROUNDUP(+K34/Paramètres!$B$4/Paramètres!$B$53,0)</f>
        <v>0</v>
      </c>
      <c r="S34" s="111">
        <f>ROUNDUP(+L34/Paramètres!$B$6/Paramètres!$B$53,0)</f>
        <v>0</v>
      </c>
      <c r="T34" s="111"/>
      <c r="U34" s="112">
        <f t="shared" si="6"/>
        <v>0</v>
      </c>
      <c r="V34" s="113">
        <f>R34*Paramètres!$B$7</f>
        <v>0</v>
      </c>
      <c r="W34" s="113">
        <f>S34*Paramètres!$B$9</f>
        <v>0</v>
      </c>
      <c r="X34" s="113"/>
      <c r="Y34" s="114">
        <f t="shared" si="7"/>
        <v>0</v>
      </c>
      <c r="Z34" s="115">
        <f>R34*Paramètres!$B$10</f>
        <v>0</v>
      </c>
      <c r="AA34" s="115">
        <f>S34*Paramètres!$B$10</f>
        <v>0</v>
      </c>
      <c r="AB34" s="115"/>
      <c r="AC34" s="114">
        <f t="shared" si="8"/>
        <v>0</v>
      </c>
      <c r="AD34" s="100">
        <f t="shared" si="12"/>
        <v>0</v>
      </c>
      <c r="AE34" s="100">
        <f t="shared" si="9"/>
        <v>0</v>
      </c>
      <c r="AF34" s="111">
        <f>IF(B34="",0,Paramètres!$B$53*1.5)</f>
        <v>0</v>
      </c>
      <c r="AG34" s="111">
        <f>IF(C34="",0,Paramètres!$B$53*1.5)</f>
        <v>0</v>
      </c>
      <c r="AH34" s="95"/>
      <c r="AI34" s="95"/>
      <c r="AJ34" s="95"/>
      <c r="AK34" s="95"/>
      <c r="AL34" s="100">
        <f>(U34*Paramètres!$B$53)*3</f>
        <v>0</v>
      </c>
      <c r="AM34" s="100">
        <f t="shared" si="10"/>
        <v>0</v>
      </c>
      <c r="AN34" s="100"/>
      <c r="AO34" s="100">
        <f>U34*Paramètres!$B$72*Paramètres!$B$73</f>
        <v>0</v>
      </c>
      <c r="AP34" s="100"/>
      <c r="AQ34" s="100">
        <f>(Y34+AC34)*Paramètres!$B$42*Paramètres!$B$53</f>
        <v>0</v>
      </c>
      <c r="AR34" s="115">
        <f>ROUNDUP(D34*Paramètres!$B$23*Paramètres!$B$26,-1)</f>
        <v>0</v>
      </c>
      <c r="AS34" s="116">
        <f>Paramètres!$B$53*Paramètres!$B$69</f>
        <v>50000</v>
      </c>
      <c r="AT34" s="117">
        <f t="shared" si="11"/>
        <v>50000</v>
      </c>
    </row>
    <row r="35" spans="1:46" x14ac:dyDescent="0.25">
      <c r="A35" s="59">
        <v>33</v>
      </c>
      <c r="B35" s="95"/>
      <c r="C35" s="95"/>
      <c r="D35" s="95"/>
      <c r="E35" s="95"/>
      <c r="F35" s="102"/>
      <c r="G35" s="96"/>
      <c r="H35" s="96"/>
      <c r="I35" s="96"/>
      <c r="J35" s="97">
        <f>F35*Paramètres!$B$3</f>
        <v>0</v>
      </c>
      <c r="K35" s="98">
        <f t="shared" si="0"/>
        <v>0</v>
      </c>
      <c r="L35" s="98">
        <f t="shared" si="1"/>
        <v>0</v>
      </c>
      <c r="M35" s="98">
        <f t="shared" si="2"/>
        <v>0</v>
      </c>
      <c r="N35" s="99">
        <f>ROUNDUP(J35*Paramètres!$B$19,-1)</f>
        <v>0</v>
      </c>
      <c r="O35" s="95">
        <f t="shared" si="3"/>
        <v>0</v>
      </c>
      <c r="P35" s="100">
        <f t="shared" si="4"/>
        <v>0</v>
      </c>
      <c r="Q35" s="101">
        <f t="shared" si="5"/>
        <v>0</v>
      </c>
      <c r="R35" s="111">
        <f>ROUNDUP(+K35/Paramètres!$B$4/Paramètres!$B$53,0)</f>
        <v>0</v>
      </c>
      <c r="S35" s="111">
        <f>ROUNDUP(+L35/Paramètres!$B$6/Paramètres!$B$53,0)</f>
        <v>0</v>
      </c>
      <c r="T35" s="111"/>
      <c r="U35" s="112">
        <f t="shared" si="6"/>
        <v>0</v>
      </c>
      <c r="V35" s="113">
        <f>R35*Paramètres!$B$7</f>
        <v>0</v>
      </c>
      <c r="W35" s="113">
        <f>S35*Paramètres!$B$9</f>
        <v>0</v>
      </c>
      <c r="X35" s="113"/>
      <c r="Y35" s="114">
        <f t="shared" si="7"/>
        <v>0</v>
      </c>
      <c r="Z35" s="115">
        <f>R35*Paramètres!$B$10</f>
        <v>0</v>
      </c>
      <c r="AA35" s="115">
        <f>S35*Paramètres!$B$10</f>
        <v>0</v>
      </c>
      <c r="AB35" s="115"/>
      <c r="AC35" s="114">
        <f t="shared" si="8"/>
        <v>0</v>
      </c>
      <c r="AD35" s="100">
        <f t="shared" si="12"/>
        <v>0</v>
      </c>
      <c r="AE35" s="100">
        <f t="shared" si="9"/>
        <v>0</v>
      </c>
      <c r="AF35" s="111">
        <f>IF(B35="",0,Paramètres!$B$53*1.5)</f>
        <v>0</v>
      </c>
      <c r="AG35" s="111">
        <f>IF(C35="",0,Paramètres!$B$53*1.5)</f>
        <v>0</v>
      </c>
      <c r="AH35" s="95"/>
      <c r="AI35" s="95"/>
      <c r="AJ35" s="95"/>
      <c r="AK35" s="95"/>
      <c r="AL35" s="100">
        <f>(U35*Paramètres!$B$53)*3</f>
        <v>0</v>
      </c>
      <c r="AM35" s="100">
        <f t="shared" si="10"/>
        <v>0</v>
      </c>
      <c r="AN35" s="100"/>
      <c r="AO35" s="100">
        <f>U35*Paramètres!$B$72*Paramètres!$B$73</f>
        <v>0</v>
      </c>
      <c r="AP35" s="100"/>
      <c r="AQ35" s="100">
        <f>(Y35+AC35)*Paramètres!$B$42*Paramètres!$B$53</f>
        <v>0</v>
      </c>
      <c r="AR35" s="115">
        <f>ROUNDUP(D35*Paramètres!$B$23*Paramètres!$B$26,-1)</f>
        <v>0</v>
      </c>
      <c r="AS35" s="116">
        <f>Paramètres!$B$53*Paramètres!$B$69</f>
        <v>50000</v>
      </c>
      <c r="AT35" s="117">
        <f t="shared" si="11"/>
        <v>50000</v>
      </c>
    </row>
    <row r="36" spans="1:46" x14ac:dyDescent="0.25">
      <c r="A36" s="59">
        <v>34</v>
      </c>
      <c r="B36" s="95"/>
      <c r="C36" s="95"/>
      <c r="D36" s="95"/>
      <c r="E36" s="95"/>
      <c r="F36" s="102"/>
      <c r="G36" s="96"/>
      <c r="H36" s="96"/>
      <c r="I36" s="96"/>
      <c r="J36" s="97">
        <f>F36*Paramètres!$B$3</f>
        <v>0</v>
      </c>
      <c r="K36" s="98">
        <f t="shared" si="0"/>
        <v>0</v>
      </c>
      <c r="L36" s="98">
        <f t="shared" si="1"/>
        <v>0</v>
      </c>
      <c r="M36" s="98">
        <f t="shared" si="2"/>
        <v>0</v>
      </c>
      <c r="N36" s="99">
        <f>ROUNDUP(J36*Paramètres!$B$19,-1)</f>
        <v>0</v>
      </c>
      <c r="O36" s="95">
        <f t="shared" si="3"/>
        <v>0</v>
      </c>
      <c r="P36" s="100">
        <f t="shared" si="4"/>
        <v>0</v>
      </c>
      <c r="Q36" s="101">
        <f t="shared" si="5"/>
        <v>0</v>
      </c>
      <c r="R36" s="111">
        <f>ROUNDUP(+K36/Paramètres!$B$4/Paramètres!$B$53,0)</f>
        <v>0</v>
      </c>
      <c r="S36" s="111">
        <f>ROUNDUP(+L36/Paramètres!$B$6/Paramètres!$B$53,0)</f>
        <v>0</v>
      </c>
      <c r="T36" s="111"/>
      <c r="U36" s="112">
        <f t="shared" si="6"/>
        <v>0</v>
      </c>
      <c r="V36" s="113">
        <f>R36*Paramètres!$B$7</f>
        <v>0</v>
      </c>
      <c r="W36" s="113">
        <f>S36*Paramètres!$B$9</f>
        <v>0</v>
      </c>
      <c r="X36" s="113"/>
      <c r="Y36" s="114">
        <f t="shared" si="7"/>
        <v>0</v>
      </c>
      <c r="Z36" s="115">
        <f>R36*Paramètres!$B$10</f>
        <v>0</v>
      </c>
      <c r="AA36" s="115">
        <f>S36*Paramètres!$B$10</f>
        <v>0</v>
      </c>
      <c r="AB36" s="115"/>
      <c r="AC36" s="114">
        <f t="shared" si="8"/>
        <v>0</v>
      </c>
      <c r="AD36" s="100">
        <f t="shared" si="12"/>
        <v>0</v>
      </c>
      <c r="AE36" s="100">
        <f t="shared" si="9"/>
        <v>0</v>
      </c>
      <c r="AF36" s="111">
        <f>IF(B36="",0,Paramètres!$B$53*1.5)</f>
        <v>0</v>
      </c>
      <c r="AG36" s="111">
        <f>IF(C36="",0,Paramètres!$B$53*1.5)</f>
        <v>0</v>
      </c>
      <c r="AH36" s="95"/>
      <c r="AI36" s="95"/>
      <c r="AJ36" s="95"/>
      <c r="AK36" s="95"/>
      <c r="AL36" s="100">
        <f>(U36*Paramètres!$B$53)*3</f>
        <v>0</v>
      </c>
      <c r="AM36" s="100">
        <f t="shared" si="10"/>
        <v>0</v>
      </c>
      <c r="AN36" s="100"/>
      <c r="AO36" s="100">
        <f>U36*Paramètres!$B$72*Paramètres!$B$73</f>
        <v>0</v>
      </c>
      <c r="AP36" s="100"/>
      <c r="AQ36" s="100">
        <f>(Y36+AC36)*Paramètres!$B$42*Paramètres!$B$53</f>
        <v>0</v>
      </c>
      <c r="AR36" s="115">
        <f>ROUNDUP(D36*Paramètres!$B$23*Paramètres!$B$26,-1)</f>
        <v>0</v>
      </c>
      <c r="AS36" s="116">
        <f>Paramètres!$B$53*Paramètres!$B$69</f>
        <v>50000</v>
      </c>
      <c r="AT36" s="117">
        <f t="shared" si="11"/>
        <v>50000</v>
      </c>
    </row>
    <row r="37" spans="1:46" x14ac:dyDescent="0.25">
      <c r="A37" s="59">
        <v>35</v>
      </c>
      <c r="B37" s="95"/>
      <c r="C37" s="95"/>
      <c r="D37" s="95"/>
      <c r="E37" s="95"/>
      <c r="F37" s="102"/>
      <c r="G37" s="96"/>
      <c r="H37" s="96"/>
      <c r="I37" s="96"/>
      <c r="J37" s="97">
        <f>F37*Paramètres!$B$3</f>
        <v>0</v>
      </c>
      <c r="K37" s="98">
        <f t="shared" si="0"/>
        <v>0</v>
      </c>
      <c r="L37" s="98">
        <f t="shared" si="1"/>
        <v>0</v>
      </c>
      <c r="M37" s="98">
        <f t="shared" si="2"/>
        <v>0</v>
      </c>
      <c r="N37" s="99">
        <f>ROUNDUP(J37*Paramètres!$B$19,-1)</f>
        <v>0</v>
      </c>
      <c r="O37" s="95">
        <f t="shared" si="3"/>
        <v>0</v>
      </c>
      <c r="P37" s="100">
        <f t="shared" si="4"/>
        <v>0</v>
      </c>
      <c r="Q37" s="101">
        <f t="shared" si="5"/>
        <v>0</v>
      </c>
      <c r="R37" s="111">
        <f>ROUNDUP(+K37/Paramètres!$B$4/Paramètres!$B$53,0)</f>
        <v>0</v>
      </c>
      <c r="S37" s="111">
        <f>ROUNDUP(+L37/Paramètres!$B$6/Paramètres!$B$53,0)</f>
        <v>0</v>
      </c>
      <c r="T37" s="111"/>
      <c r="U37" s="112">
        <f t="shared" si="6"/>
        <v>0</v>
      </c>
      <c r="V37" s="113">
        <f>R37*Paramètres!$B$7</f>
        <v>0</v>
      </c>
      <c r="W37" s="113">
        <f>S37*Paramètres!$B$9</f>
        <v>0</v>
      </c>
      <c r="X37" s="113"/>
      <c r="Y37" s="114">
        <f t="shared" si="7"/>
        <v>0</v>
      </c>
      <c r="Z37" s="115">
        <f>R37*Paramètres!$B$10</f>
        <v>0</v>
      </c>
      <c r="AA37" s="115">
        <f>S37*Paramètres!$B$10</f>
        <v>0</v>
      </c>
      <c r="AB37" s="115"/>
      <c r="AC37" s="114">
        <f t="shared" si="8"/>
        <v>0</v>
      </c>
      <c r="AD37" s="100">
        <f t="shared" si="12"/>
        <v>0</v>
      </c>
      <c r="AE37" s="100">
        <f t="shared" si="9"/>
        <v>0</v>
      </c>
      <c r="AF37" s="111">
        <f>IF(B37="",0,Paramètres!$B$53*1.5)</f>
        <v>0</v>
      </c>
      <c r="AG37" s="111">
        <f>IF(C37="",0,Paramètres!$B$53*1.5)</f>
        <v>0</v>
      </c>
      <c r="AH37" s="95"/>
      <c r="AI37" s="95"/>
      <c r="AJ37" s="95"/>
      <c r="AK37" s="95"/>
      <c r="AL37" s="100">
        <f>(U37*Paramètres!$B$53)*3</f>
        <v>0</v>
      </c>
      <c r="AM37" s="100">
        <f t="shared" si="10"/>
        <v>0</v>
      </c>
      <c r="AN37" s="100"/>
      <c r="AO37" s="100">
        <f>U37*Paramètres!$B$72*Paramètres!$B$73</f>
        <v>0</v>
      </c>
      <c r="AP37" s="100"/>
      <c r="AQ37" s="100">
        <f>(Y37+AC37)*Paramètres!$B$42*Paramètres!$B$53</f>
        <v>0</v>
      </c>
      <c r="AR37" s="115">
        <f>ROUNDUP(D37*Paramètres!$B$23*Paramètres!$B$26,-1)</f>
        <v>0</v>
      </c>
      <c r="AS37" s="116">
        <f>Paramètres!$B$53*Paramètres!$B$69</f>
        <v>50000</v>
      </c>
      <c r="AT37" s="117">
        <f t="shared" si="11"/>
        <v>50000</v>
      </c>
    </row>
    <row r="38" spans="1:46" x14ac:dyDescent="0.25">
      <c r="A38" s="59">
        <v>36</v>
      </c>
      <c r="B38" s="95"/>
      <c r="C38" s="95"/>
      <c r="D38" s="95"/>
      <c r="E38" s="95"/>
      <c r="F38" s="102"/>
      <c r="G38" s="96"/>
      <c r="H38" s="96"/>
      <c r="I38" s="96"/>
      <c r="J38" s="97">
        <f>F38*Paramètres!$B$3</f>
        <v>0</v>
      </c>
      <c r="K38" s="98">
        <f t="shared" si="0"/>
        <v>0</v>
      </c>
      <c r="L38" s="98">
        <f t="shared" si="1"/>
        <v>0</v>
      </c>
      <c r="M38" s="98">
        <f t="shared" si="2"/>
        <v>0</v>
      </c>
      <c r="N38" s="99">
        <f>ROUNDUP(J38*Paramètres!$B$19,-1)</f>
        <v>0</v>
      </c>
      <c r="O38" s="95">
        <f t="shared" si="3"/>
        <v>0</v>
      </c>
      <c r="P38" s="100">
        <f t="shared" si="4"/>
        <v>0</v>
      </c>
      <c r="Q38" s="101">
        <f t="shared" si="5"/>
        <v>0</v>
      </c>
      <c r="R38" s="111">
        <f>ROUNDUP(+K38/Paramètres!$B$4/Paramètres!$B$53,0)</f>
        <v>0</v>
      </c>
      <c r="S38" s="111">
        <f>ROUNDUP(+L38/Paramètres!$B$6/Paramètres!$B$53,0)</f>
        <v>0</v>
      </c>
      <c r="T38" s="111"/>
      <c r="U38" s="112">
        <f t="shared" si="6"/>
        <v>0</v>
      </c>
      <c r="V38" s="113">
        <f>R38*Paramètres!$B$7</f>
        <v>0</v>
      </c>
      <c r="W38" s="113">
        <f>S38*Paramètres!$B$9</f>
        <v>0</v>
      </c>
      <c r="X38" s="113"/>
      <c r="Y38" s="114">
        <f t="shared" si="7"/>
        <v>0</v>
      </c>
      <c r="Z38" s="115">
        <f>R38*Paramètres!$B$10</f>
        <v>0</v>
      </c>
      <c r="AA38" s="115">
        <f>S38*Paramètres!$B$10</f>
        <v>0</v>
      </c>
      <c r="AB38" s="115"/>
      <c r="AC38" s="114">
        <f t="shared" si="8"/>
        <v>0</v>
      </c>
      <c r="AD38" s="100">
        <f t="shared" si="12"/>
        <v>0</v>
      </c>
      <c r="AE38" s="100">
        <f t="shared" si="9"/>
        <v>0</v>
      </c>
      <c r="AF38" s="111">
        <f>IF(B38="",0,Paramètres!$B$53*1.5)</f>
        <v>0</v>
      </c>
      <c r="AG38" s="111">
        <f>IF(C38="",0,Paramètres!$B$53*1.5)</f>
        <v>0</v>
      </c>
      <c r="AH38" s="95"/>
      <c r="AI38" s="95"/>
      <c r="AJ38" s="95"/>
      <c r="AK38" s="95"/>
      <c r="AL38" s="100">
        <f>(U38*Paramètres!$B$53)*3</f>
        <v>0</v>
      </c>
      <c r="AM38" s="100">
        <f t="shared" si="10"/>
        <v>0</v>
      </c>
      <c r="AN38" s="100"/>
      <c r="AO38" s="100">
        <f>U38*Paramètres!$B$72*Paramètres!$B$73</f>
        <v>0</v>
      </c>
      <c r="AP38" s="100"/>
      <c r="AQ38" s="100">
        <f>(Y38+AC38)*Paramètres!$B$42*Paramètres!$B$53</f>
        <v>0</v>
      </c>
      <c r="AR38" s="115">
        <f>ROUNDUP(D38*Paramètres!$B$23*Paramètres!$B$26,-1)</f>
        <v>0</v>
      </c>
      <c r="AS38" s="116">
        <f>Paramètres!$B$53*Paramètres!$B$69</f>
        <v>50000</v>
      </c>
      <c r="AT38" s="117">
        <f t="shared" si="11"/>
        <v>50000</v>
      </c>
    </row>
    <row r="39" spans="1:46" x14ac:dyDescent="0.25">
      <c r="A39" s="59">
        <v>37</v>
      </c>
      <c r="B39" s="95"/>
      <c r="C39" s="95"/>
      <c r="D39" s="95"/>
      <c r="E39" s="95"/>
      <c r="F39" s="102"/>
      <c r="G39" s="96"/>
      <c r="H39" s="96"/>
      <c r="I39" s="96"/>
      <c r="J39" s="97">
        <f>F39*Paramètres!$B$3</f>
        <v>0</v>
      </c>
      <c r="K39" s="98">
        <f t="shared" si="0"/>
        <v>0</v>
      </c>
      <c r="L39" s="98">
        <f t="shared" si="1"/>
        <v>0</v>
      </c>
      <c r="M39" s="98">
        <f t="shared" si="2"/>
        <v>0</v>
      </c>
      <c r="N39" s="99">
        <f>ROUNDUP(J39*Paramètres!$B$19,-1)</f>
        <v>0</v>
      </c>
      <c r="O39" s="95">
        <f t="shared" si="3"/>
        <v>0</v>
      </c>
      <c r="P39" s="100">
        <f t="shared" si="4"/>
        <v>0</v>
      </c>
      <c r="Q39" s="101">
        <f t="shared" si="5"/>
        <v>0</v>
      </c>
      <c r="R39" s="111">
        <f>ROUNDUP(+K39/Paramètres!$B$4/Paramètres!$B$53,0)</f>
        <v>0</v>
      </c>
      <c r="S39" s="111">
        <f>ROUNDUP(+L39/Paramètres!$B$6/Paramètres!$B$53,0)</f>
        <v>0</v>
      </c>
      <c r="T39" s="111"/>
      <c r="U39" s="112">
        <f t="shared" si="6"/>
        <v>0</v>
      </c>
      <c r="V39" s="113">
        <f>R39*Paramètres!$B$7</f>
        <v>0</v>
      </c>
      <c r="W39" s="113">
        <f>S39*Paramètres!$B$9</f>
        <v>0</v>
      </c>
      <c r="X39" s="113"/>
      <c r="Y39" s="114">
        <f t="shared" si="7"/>
        <v>0</v>
      </c>
      <c r="Z39" s="115">
        <f>R39*Paramètres!$B$10</f>
        <v>0</v>
      </c>
      <c r="AA39" s="115">
        <f>S39*Paramètres!$B$10</f>
        <v>0</v>
      </c>
      <c r="AB39" s="115"/>
      <c r="AC39" s="114">
        <f t="shared" si="8"/>
        <v>0</v>
      </c>
      <c r="AD39" s="100">
        <f t="shared" si="12"/>
        <v>0</v>
      </c>
      <c r="AE39" s="100">
        <f t="shared" si="9"/>
        <v>0</v>
      </c>
      <c r="AF39" s="111">
        <f>IF(B39="",0,Paramètres!$B$53*1.5)</f>
        <v>0</v>
      </c>
      <c r="AG39" s="111">
        <f>IF(C39="",0,Paramètres!$B$53*1.5)</f>
        <v>0</v>
      </c>
      <c r="AH39" s="95"/>
      <c r="AI39" s="95"/>
      <c r="AJ39" s="95"/>
      <c r="AK39" s="95"/>
      <c r="AL39" s="100">
        <f>(U39*Paramètres!$B$53)*3</f>
        <v>0</v>
      </c>
      <c r="AM39" s="100">
        <f t="shared" si="10"/>
        <v>0</v>
      </c>
      <c r="AN39" s="100"/>
      <c r="AO39" s="100">
        <f>U39*Paramètres!$B$72*Paramètres!$B$73</f>
        <v>0</v>
      </c>
      <c r="AP39" s="100"/>
      <c r="AQ39" s="100">
        <f>(Y39+AC39)*Paramètres!$B$42*Paramètres!$B$53</f>
        <v>0</v>
      </c>
      <c r="AR39" s="115">
        <f>ROUNDUP(D39*Paramètres!$B$23*Paramètres!$B$26,-1)</f>
        <v>0</v>
      </c>
      <c r="AS39" s="116">
        <f>Paramètres!$B$53*Paramètres!$B$69</f>
        <v>50000</v>
      </c>
      <c r="AT39" s="117">
        <f t="shared" si="11"/>
        <v>50000</v>
      </c>
    </row>
    <row r="40" spans="1:46" x14ac:dyDescent="0.25">
      <c r="A40" s="59">
        <v>38</v>
      </c>
      <c r="B40" s="95"/>
      <c r="C40" s="95"/>
      <c r="D40" s="95"/>
      <c r="E40" s="95"/>
      <c r="F40" s="102"/>
      <c r="G40" s="96"/>
      <c r="H40" s="96"/>
      <c r="I40" s="96"/>
      <c r="J40" s="97">
        <f>F40*Paramètres!$B$3</f>
        <v>0</v>
      </c>
      <c r="K40" s="98">
        <f t="shared" si="0"/>
        <v>0</v>
      </c>
      <c r="L40" s="98">
        <f t="shared" si="1"/>
        <v>0</v>
      </c>
      <c r="M40" s="98">
        <f t="shared" si="2"/>
        <v>0</v>
      </c>
      <c r="N40" s="99">
        <f>ROUNDUP(J40*Paramètres!$B$19,-1)</f>
        <v>0</v>
      </c>
      <c r="O40" s="95">
        <f t="shared" si="3"/>
        <v>0</v>
      </c>
      <c r="P40" s="100">
        <f t="shared" si="4"/>
        <v>0</v>
      </c>
      <c r="Q40" s="101">
        <f t="shared" si="5"/>
        <v>0</v>
      </c>
      <c r="R40" s="111">
        <f>ROUNDUP(+K40/Paramètres!$B$4/Paramètres!$B$53,0)</f>
        <v>0</v>
      </c>
      <c r="S40" s="111">
        <f>ROUNDUP(+L40/Paramètres!$B$6/Paramètres!$B$53,0)</f>
        <v>0</v>
      </c>
      <c r="T40" s="111"/>
      <c r="U40" s="112">
        <f t="shared" si="6"/>
        <v>0</v>
      </c>
      <c r="V40" s="113">
        <f>R40*Paramètres!$B$7</f>
        <v>0</v>
      </c>
      <c r="W40" s="113">
        <f>S40*Paramètres!$B$9</f>
        <v>0</v>
      </c>
      <c r="X40" s="113"/>
      <c r="Y40" s="114">
        <f t="shared" si="7"/>
        <v>0</v>
      </c>
      <c r="Z40" s="115">
        <f>R40*Paramètres!$B$10</f>
        <v>0</v>
      </c>
      <c r="AA40" s="115">
        <f>S40*Paramètres!$B$10</f>
        <v>0</v>
      </c>
      <c r="AB40" s="115"/>
      <c r="AC40" s="114">
        <f t="shared" si="8"/>
        <v>0</v>
      </c>
      <c r="AD40" s="100">
        <f t="shared" si="12"/>
        <v>0</v>
      </c>
      <c r="AE40" s="100">
        <f t="shared" si="9"/>
        <v>0</v>
      </c>
      <c r="AF40" s="111">
        <f>IF(B40="",0,Paramètres!$B$53*1.5)</f>
        <v>0</v>
      </c>
      <c r="AG40" s="111">
        <f>IF(C40="",0,Paramètres!$B$53*1.5)</f>
        <v>0</v>
      </c>
      <c r="AH40" s="95"/>
      <c r="AI40" s="95"/>
      <c r="AJ40" s="95"/>
      <c r="AK40" s="95"/>
      <c r="AL40" s="100">
        <f>(U40*Paramètres!$B$53)*3</f>
        <v>0</v>
      </c>
      <c r="AM40" s="100">
        <f t="shared" si="10"/>
        <v>0</v>
      </c>
      <c r="AN40" s="100"/>
      <c r="AO40" s="100">
        <f>U40*Paramètres!$B$72*Paramètres!$B$73</f>
        <v>0</v>
      </c>
      <c r="AP40" s="100"/>
      <c r="AQ40" s="100">
        <f>(Y40+AC40)*Paramètres!$B$42*Paramètres!$B$53</f>
        <v>0</v>
      </c>
      <c r="AR40" s="115">
        <f>ROUNDUP(D40*Paramètres!$B$23*Paramètres!$B$26,-1)</f>
        <v>0</v>
      </c>
      <c r="AS40" s="116">
        <f>Paramètres!$B$53*Paramètres!$B$69</f>
        <v>50000</v>
      </c>
      <c r="AT40" s="117">
        <f t="shared" si="11"/>
        <v>50000</v>
      </c>
    </row>
    <row r="41" spans="1:46" x14ac:dyDescent="0.25">
      <c r="A41" s="59">
        <v>39</v>
      </c>
      <c r="B41" s="95"/>
      <c r="C41" s="95"/>
      <c r="D41" s="95"/>
      <c r="E41" s="95"/>
      <c r="F41" s="102"/>
      <c r="G41" s="96"/>
      <c r="H41" s="96"/>
      <c r="I41" s="96"/>
      <c r="J41" s="97">
        <f>F41*Paramètres!$B$3</f>
        <v>0</v>
      </c>
      <c r="K41" s="98">
        <f t="shared" si="0"/>
        <v>0</v>
      </c>
      <c r="L41" s="98">
        <f t="shared" si="1"/>
        <v>0</v>
      </c>
      <c r="M41" s="98">
        <f t="shared" si="2"/>
        <v>0</v>
      </c>
      <c r="N41" s="99">
        <f>ROUNDUP(J41*Paramètres!$B$19,-1)</f>
        <v>0</v>
      </c>
      <c r="O41" s="95">
        <f t="shared" si="3"/>
        <v>0</v>
      </c>
      <c r="P41" s="100">
        <f t="shared" si="4"/>
        <v>0</v>
      </c>
      <c r="Q41" s="101">
        <f t="shared" si="5"/>
        <v>0</v>
      </c>
      <c r="R41" s="111">
        <f>ROUNDUP(+K41/Paramètres!$B$4/Paramètres!$B$53,0)</f>
        <v>0</v>
      </c>
      <c r="S41" s="111">
        <f>ROUNDUP(+L41/Paramètres!$B$6/Paramètres!$B$53,0)</f>
        <v>0</v>
      </c>
      <c r="T41" s="111"/>
      <c r="U41" s="112">
        <f t="shared" si="6"/>
        <v>0</v>
      </c>
      <c r="V41" s="113">
        <f>R41*Paramètres!$B$7</f>
        <v>0</v>
      </c>
      <c r="W41" s="113">
        <f>S41*Paramètres!$B$9</f>
        <v>0</v>
      </c>
      <c r="X41" s="113"/>
      <c r="Y41" s="114">
        <f t="shared" si="7"/>
        <v>0</v>
      </c>
      <c r="Z41" s="115">
        <f>R41*Paramètres!$B$10</f>
        <v>0</v>
      </c>
      <c r="AA41" s="115">
        <f>S41*Paramètres!$B$10</f>
        <v>0</v>
      </c>
      <c r="AB41" s="115"/>
      <c r="AC41" s="114">
        <f t="shared" si="8"/>
        <v>0</v>
      </c>
      <c r="AD41" s="100">
        <f t="shared" si="12"/>
        <v>0</v>
      </c>
      <c r="AE41" s="100">
        <f t="shared" si="9"/>
        <v>0</v>
      </c>
      <c r="AF41" s="111">
        <f>IF(B41="",0,Paramètres!$B$53*1.5)</f>
        <v>0</v>
      </c>
      <c r="AG41" s="111">
        <f>IF(C41="",0,Paramètres!$B$53*1.5)</f>
        <v>0</v>
      </c>
      <c r="AH41" s="95"/>
      <c r="AI41" s="95"/>
      <c r="AJ41" s="95"/>
      <c r="AK41" s="95"/>
      <c r="AL41" s="100">
        <f>(U41*Paramètres!$B$53)*3</f>
        <v>0</v>
      </c>
      <c r="AM41" s="100">
        <f t="shared" si="10"/>
        <v>0</v>
      </c>
      <c r="AN41" s="100"/>
      <c r="AO41" s="100">
        <f>U41*Paramètres!$B$72*Paramètres!$B$73</f>
        <v>0</v>
      </c>
      <c r="AP41" s="100"/>
      <c r="AQ41" s="100">
        <f>(Y41+AC41)*Paramètres!$B$42*Paramètres!$B$53</f>
        <v>0</v>
      </c>
      <c r="AR41" s="115">
        <f>ROUNDUP(D41*Paramètres!$B$23*Paramètres!$B$26,-1)</f>
        <v>0</v>
      </c>
      <c r="AS41" s="116">
        <f>Paramètres!$B$53*Paramètres!$B$69</f>
        <v>50000</v>
      </c>
      <c r="AT41" s="117">
        <f t="shared" si="11"/>
        <v>50000</v>
      </c>
    </row>
    <row r="42" spans="1:46" x14ac:dyDescent="0.25">
      <c r="A42" s="59">
        <v>40</v>
      </c>
      <c r="B42" s="95"/>
      <c r="C42" s="95"/>
      <c r="D42" s="95"/>
      <c r="E42" s="95"/>
      <c r="F42" s="102"/>
      <c r="G42" s="96"/>
      <c r="H42" s="96"/>
      <c r="I42" s="96"/>
      <c r="J42" s="97">
        <f>F42*Paramètres!$B$3</f>
        <v>0</v>
      </c>
      <c r="K42" s="98">
        <f t="shared" si="0"/>
        <v>0</v>
      </c>
      <c r="L42" s="98">
        <f t="shared" si="1"/>
        <v>0</v>
      </c>
      <c r="M42" s="98">
        <f t="shared" si="2"/>
        <v>0</v>
      </c>
      <c r="N42" s="99">
        <f>ROUNDUP(J42*Paramètres!$B$19,-1)</f>
        <v>0</v>
      </c>
      <c r="O42" s="95">
        <f t="shared" si="3"/>
        <v>0</v>
      </c>
      <c r="P42" s="100">
        <f t="shared" si="4"/>
        <v>0</v>
      </c>
      <c r="Q42" s="101">
        <f t="shared" si="5"/>
        <v>0</v>
      </c>
      <c r="R42" s="111">
        <f>ROUNDUP(+K42/Paramètres!$B$4/Paramètres!$B$53,0)</f>
        <v>0</v>
      </c>
      <c r="S42" s="111">
        <f>ROUNDUP(+L42/Paramètres!$B$6/Paramètres!$B$53,0)</f>
        <v>0</v>
      </c>
      <c r="T42" s="111"/>
      <c r="U42" s="112">
        <f t="shared" si="6"/>
        <v>0</v>
      </c>
      <c r="V42" s="113">
        <f>R42*Paramètres!$B$7</f>
        <v>0</v>
      </c>
      <c r="W42" s="113">
        <f>S42*Paramètres!$B$9</f>
        <v>0</v>
      </c>
      <c r="X42" s="113"/>
      <c r="Y42" s="114">
        <f t="shared" si="7"/>
        <v>0</v>
      </c>
      <c r="Z42" s="115">
        <f>R42*Paramètres!$B$10</f>
        <v>0</v>
      </c>
      <c r="AA42" s="115">
        <f>S42*Paramètres!$B$10</f>
        <v>0</v>
      </c>
      <c r="AB42" s="115"/>
      <c r="AC42" s="114">
        <f t="shared" si="8"/>
        <v>0</v>
      </c>
      <c r="AD42" s="100">
        <f t="shared" si="12"/>
        <v>0</v>
      </c>
      <c r="AE42" s="100">
        <f t="shared" si="9"/>
        <v>0</v>
      </c>
      <c r="AF42" s="111">
        <f>IF(B42="",0,Paramètres!$B$53*1.5)</f>
        <v>0</v>
      </c>
      <c r="AG42" s="111">
        <f>IF(C42="",0,Paramètres!$B$53*1.5)</f>
        <v>0</v>
      </c>
      <c r="AH42" s="95"/>
      <c r="AI42" s="95"/>
      <c r="AJ42" s="95"/>
      <c r="AK42" s="95"/>
      <c r="AL42" s="100">
        <f>(U42*Paramètres!$B$53)*3</f>
        <v>0</v>
      </c>
      <c r="AM42" s="100">
        <f t="shared" si="10"/>
        <v>0</v>
      </c>
      <c r="AN42" s="100"/>
      <c r="AO42" s="100">
        <f>U42*Paramètres!$B$72*Paramètres!$B$73</f>
        <v>0</v>
      </c>
      <c r="AP42" s="100"/>
      <c r="AQ42" s="100">
        <f>(Y42+AC42)*Paramètres!$B$42*Paramètres!$B$53</f>
        <v>0</v>
      </c>
      <c r="AR42" s="115">
        <f>ROUNDUP(D42*Paramètres!$B$23*Paramètres!$B$26,-1)</f>
        <v>0</v>
      </c>
      <c r="AS42" s="116">
        <f>Paramètres!$B$53*Paramètres!$B$69</f>
        <v>50000</v>
      </c>
      <c r="AT42" s="117">
        <f t="shared" si="11"/>
        <v>50000</v>
      </c>
    </row>
    <row r="43" spans="1:46" x14ac:dyDescent="0.25">
      <c r="A43" s="59">
        <v>41</v>
      </c>
      <c r="B43" s="95"/>
      <c r="C43" s="95"/>
      <c r="D43" s="95"/>
      <c r="E43" s="95"/>
      <c r="F43" s="102"/>
      <c r="G43" s="96"/>
      <c r="H43" s="96"/>
      <c r="I43" s="96"/>
      <c r="J43" s="97">
        <f>F43*Paramètres!$B$3</f>
        <v>0</v>
      </c>
      <c r="K43" s="98">
        <f t="shared" si="0"/>
        <v>0</v>
      </c>
      <c r="L43" s="98">
        <f t="shared" si="1"/>
        <v>0</v>
      </c>
      <c r="M43" s="98">
        <f t="shared" si="2"/>
        <v>0</v>
      </c>
      <c r="N43" s="99">
        <f>ROUNDUP(J43*Paramètres!$B$19,-1)</f>
        <v>0</v>
      </c>
      <c r="O43" s="95">
        <f t="shared" si="3"/>
        <v>0</v>
      </c>
      <c r="P43" s="100">
        <f t="shared" si="4"/>
        <v>0</v>
      </c>
      <c r="Q43" s="101">
        <f t="shared" si="5"/>
        <v>0</v>
      </c>
      <c r="R43" s="111">
        <f>ROUNDUP(+K43/Paramètres!$B$4/Paramètres!$B$53,0)</f>
        <v>0</v>
      </c>
      <c r="S43" s="111">
        <f>ROUNDUP(+L43/Paramètres!$B$6/Paramètres!$B$53,0)</f>
        <v>0</v>
      </c>
      <c r="T43" s="111"/>
      <c r="U43" s="112">
        <f t="shared" si="6"/>
        <v>0</v>
      </c>
      <c r="V43" s="113">
        <f>R43*Paramètres!$B$7</f>
        <v>0</v>
      </c>
      <c r="W43" s="113">
        <f>S43*Paramètres!$B$9</f>
        <v>0</v>
      </c>
      <c r="X43" s="113"/>
      <c r="Y43" s="114">
        <f t="shared" si="7"/>
        <v>0</v>
      </c>
      <c r="Z43" s="115">
        <f>R43*Paramètres!$B$10</f>
        <v>0</v>
      </c>
      <c r="AA43" s="115">
        <f>S43*Paramètres!$B$10</f>
        <v>0</v>
      </c>
      <c r="AB43" s="115"/>
      <c r="AC43" s="114">
        <f t="shared" si="8"/>
        <v>0</v>
      </c>
      <c r="AD43" s="100">
        <f t="shared" si="12"/>
        <v>0</v>
      </c>
      <c r="AE43" s="100">
        <f t="shared" si="9"/>
        <v>0</v>
      </c>
      <c r="AF43" s="111">
        <f>IF(B43="",0,Paramètres!$B$53*1.5)</f>
        <v>0</v>
      </c>
      <c r="AG43" s="111">
        <f>IF(C43="",0,Paramètres!$B$53*1.5)</f>
        <v>0</v>
      </c>
      <c r="AH43" s="95"/>
      <c r="AI43" s="95"/>
      <c r="AJ43" s="95"/>
      <c r="AK43" s="95"/>
      <c r="AL43" s="100">
        <f>(U43*Paramètres!$B$53)*3</f>
        <v>0</v>
      </c>
      <c r="AM43" s="100">
        <f t="shared" si="10"/>
        <v>0</v>
      </c>
      <c r="AN43" s="100"/>
      <c r="AO43" s="100">
        <f>U43*Paramètres!$B$72*Paramètres!$B$73</f>
        <v>0</v>
      </c>
      <c r="AP43" s="100"/>
      <c r="AQ43" s="100">
        <f>(Y43+AC43)*Paramètres!$B$42*Paramètres!$B$53</f>
        <v>0</v>
      </c>
      <c r="AR43" s="115">
        <f>ROUNDUP(D43*Paramètres!$B$23*Paramètres!$B$26,-1)</f>
        <v>0</v>
      </c>
      <c r="AS43" s="116">
        <f>Paramètres!$B$53*Paramètres!$B$69</f>
        <v>50000</v>
      </c>
      <c r="AT43" s="117">
        <f t="shared" si="11"/>
        <v>50000</v>
      </c>
    </row>
    <row r="44" spans="1:46" x14ac:dyDescent="0.25">
      <c r="A44" s="59">
        <v>42</v>
      </c>
      <c r="B44" s="95"/>
      <c r="C44" s="95"/>
      <c r="D44" s="95"/>
      <c r="E44" s="95"/>
      <c r="F44" s="102"/>
      <c r="G44" s="96"/>
      <c r="H44" s="96"/>
      <c r="I44" s="103"/>
      <c r="J44" s="97">
        <f>F44*Paramètres!$B$3</f>
        <v>0</v>
      </c>
      <c r="K44" s="98">
        <f t="shared" si="0"/>
        <v>0</v>
      </c>
      <c r="L44" s="98">
        <f t="shared" si="1"/>
        <v>0</v>
      </c>
      <c r="M44" s="98">
        <f t="shared" si="2"/>
        <v>0</v>
      </c>
      <c r="N44" s="99">
        <f>ROUNDUP(J44*Paramètres!$B$19,-1)</f>
        <v>0</v>
      </c>
      <c r="O44" s="95">
        <f t="shared" si="3"/>
        <v>0</v>
      </c>
      <c r="P44" s="100">
        <f t="shared" si="4"/>
        <v>0</v>
      </c>
      <c r="Q44" s="101">
        <f t="shared" si="5"/>
        <v>0</v>
      </c>
      <c r="R44" s="111">
        <f>ROUNDUP(+K44/Paramètres!$B$4/Paramètres!$B$53,0)</f>
        <v>0</v>
      </c>
      <c r="S44" s="111">
        <f>ROUNDUP(+L44/Paramètres!$B$6/Paramètres!$B$53,0)</f>
        <v>0</v>
      </c>
      <c r="T44" s="111"/>
      <c r="U44" s="112">
        <f t="shared" si="6"/>
        <v>0</v>
      </c>
      <c r="V44" s="113">
        <f>R44*Paramètres!$B$7</f>
        <v>0</v>
      </c>
      <c r="W44" s="113">
        <f>S44*Paramètres!$B$9</f>
        <v>0</v>
      </c>
      <c r="X44" s="113"/>
      <c r="Y44" s="114">
        <f t="shared" si="7"/>
        <v>0</v>
      </c>
      <c r="Z44" s="115">
        <f>R44*Paramètres!$B$10</f>
        <v>0</v>
      </c>
      <c r="AA44" s="115">
        <f>S44*Paramètres!$B$10</f>
        <v>0</v>
      </c>
      <c r="AB44" s="115"/>
      <c r="AC44" s="114">
        <f t="shared" si="8"/>
        <v>0</v>
      </c>
      <c r="AD44" s="100">
        <f t="shared" si="12"/>
        <v>0</v>
      </c>
      <c r="AE44" s="100">
        <f t="shared" si="9"/>
        <v>0</v>
      </c>
      <c r="AF44" s="111">
        <f>IF(B44="",0,Paramètres!$B$53*1.5)</f>
        <v>0</v>
      </c>
      <c r="AG44" s="111">
        <f>IF(C44="",0,Paramètres!$B$53*1.5)</f>
        <v>0</v>
      </c>
      <c r="AH44" s="95"/>
      <c r="AI44" s="95"/>
      <c r="AJ44" s="95"/>
      <c r="AK44" s="95"/>
      <c r="AL44" s="100">
        <f>(U44*Paramètres!$B$53)*3</f>
        <v>0</v>
      </c>
      <c r="AM44" s="100">
        <f t="shared" si="10"/>
        <v>0</v>
      </c>
      <c r="AN44" s="100"/>
      <c r="AO44" s="100">
        <f>U44*Paramètres!$B$72*Paramètres!$B$73</f>
        <v>0</v>
      </c>
      <c r="AP44" s="100"/>
      <c r="AQ44" s="100">
        <f>(Y44+AC44)*Paramètres!$B$42*Paramètres!$B$53</f>
        <v>0</v>
      </c>
      <c r="AR44" s="115">
        <f>ROUNDUP(D44*Paramètres!$B$23*Paramètres!$B$26,-1)</f>
        <v>0</v>
      </c>
      <c r="AS44" s="116">
        <f>Paramètres!$B$53*Paramètres!$B$69</f>
        <v>50000</v>
      </c>
      <c r="AT44" s="117">
        <f t="shared" si="11"/>
        <v>50000</v>
      </c>
    </row>
    <row r="45" spans="1:46" x14ac:dyDescent="0.25">
      <c r="A45" s="59">
        <v>43</v>
      </c>
      <c r="B45" s="95"/>
      <c r="C45" s="95"/>
      <c r="D45" s="95"/>
      <c r="E45" s="95"/>
      <c r="F45" s="102"/>
      <c r="G45" s="96"/>
      <c r="H45" s="96"/>
      <c r="I45" s="103"/>
      <c r="J45" s="97">
        <f>F45*Paramètres!$B$3</f>
        <v>0</v>
      </c>
      <c r="K45" s="98">
        <f t="shared" si="0"/>
        <v>0</v>
      </c>
      <c r="L45" s="98">
        <f t="shared" si="1"/>
        <v>0</v>
      </c>
      <c r="M45" s="98">
        <f t="shared" si="2"/>
        <v>0</v>
      </c>
      <c r="N45" s="99">
        <f>ROUNDUP(J45*Paramètres!$B$19,-1)</f>
        <v>0</v>
      </c>
      <c r="O45" s="95">
        <f t="shared" si="3"/>
        <v>0</v>
      </c>
      <c r="P45" s="100">
        <f t="shared" si="4"/>
        <v>0</v>
      </c>
      <c r="Q45" s="101">
        <f t="shared" si="5"/>
        <v>0</v>
      </c>
      <c r="R45" s="111">
        <f>ROUNDUP(+K45/Paramètres!$B$4/Paramètres!$B$53,0)</f>
        <v>0</v>
      </c>
      <c r="S45" s="111">
        <f>ROUNDUP(+L45/Paramètres!$B$6/Paramètres!$B$53,0)</f>
        <v>0</v>
      </c>
      <c r="T45" s="111"/>
      <c r="U45" s="112">
        <f t="shared" si="6"/>
        <v>0</v>
      </c>
      <c r="V45" s="113">
        <f>R45*Paramètres!$B$7</f>
        <v>0</v>
      </c>
      <c r="W45" s="113">
        <f>S45*Paramètres!$B$9</f>
        <v>0</v>
      </c>
      <c r="X45" s="113"/>
      <c r="Y45" s="114">
        <f t="shared" si="7"/>
        <v>0</v>
      </c>
      <c r="Z45" s="115">
        <f>R45*Paramètres!$B$10</f>
        <v>0</v>
      </c>
      <c r="AA45" s="115">
        <f>S45*Paramètres!$B$10</f>
        <v>0</v>
      </c>
      <c r="AB45" s="115"/>
      <c r="AC45" s="114">
        <f t="shared" si="8"/>
        <v>0</v>
      </c>
      <c r="AD45" s="100">
        <f t="shared" si="12"/>
        <v>0</v>
      </c>
      <c r="AE45" s="100">
        <f t="shared" si="9"/>
        <v>0</v>
      </c>
      <c r="AF45" s="111">
        <f>IF(B45="",0,Paramètres!$B$53*1.5)</f>
        <v>0</v>
      </c>
      <c r="AG45" s="111">
        <f>IF(C45="",0,Paramètres!$B$53*1.5)</f>
        <v>0</v>
      </c>
      <c r="AH45" s="95"/>
      <c r="AI45" s="95"/>
      <c r="AJ45" s="95"/>
      <c r="AK45" s="95"/>
      <c r="AL45" s="100">
        <f>(U45*Paramètres!$B$53)*3</f>
        <v>0</v>
      </c>
      <c r="AM45" s="100">
        <f t="shared" si="10"/>
        <v>0</v>
      </c>
      <c r="AN45" s="100"/>
      <c r="AO45" s="100">
        <f>U45*Paramètres!$B$72*Paramètres!$B$73</f>
        <v>0</v>
      </c>
      <c r="AP45" s="100"/>
      <c r="AQ45" s="100">
        <f>(Y45+AC45)*Paramètres!$B$42*Paramètres!$B$53</f>
        <v>0</v>
      </c>
      <c r="AR45" s="115">
        <f>ROUNDUP(D45*Paramètres!$B$23*Paramètres!$B$26,-1)</f>
        <v>0</v>
      </c>
      <c r="AS45" s="116">
        <f>Paramètres!$B$53*Paramètres!$B$69</f>
        <v>50000</v>
      </c>
      <c r="AT45" s="117">
        <f t="shared" si="11"/>
        <v>50000</v>
      </c>
    </row>
    <row r="46" spans="1:46" x14ac:dyDescent="0.25">
      <c r="A46" s="59">
        <v>44</v>
      </c>
      <c r="B46" s="95"/>
      <c r="C46" s="95"/>
      <c r="D46" s="95"/>
      <c r="E46" s="95"/>
      <c r="F46" s="102"/>
      <c r="G46" s="96"/>
      <c r="H46" s="96"/>
      <c r="I46" s="103"/>
      <c r="J46" s="97">
        <f>F46*Paramètres!$B$3</f>
        <v>0</v>
      </c>
      <c r="K46" s="98">
        <f t="shared" si="0"/>
        <v>0</v>
      </c>
      <c r="L46" s="98">
        <f t="shared" si="1"/>
        <v>0</v>
      </c>
      <c r="M46" s="98">
        <f t="shared" si="2"/>
        <v>0</v>
      </c>
      <c r="N46" s="99">
        <f>ROUNDUP(J46*Paramètres!$B$19,-1)</f>
        <v>0</v>
      </c>
      <c r="O46" s="95">
        <f t="shared" si="3"/>
        <v>0</v>
      </c>
      <c r="P46" s="100">
        <f t="shared" si="4"/>
        <v>0</v>
      </c>
      <c r="Q46" s="101">
        <f t="shared" si="5"/>
        <v>0</v>
      </c>
      <c r="R46" s="111">
        <f>ROUNDUP(+K46/Paramètres!$B$4/Paramètres!$B$53,0)</f>
        <v>0</v>
      </c>
      <c r="S46" s="111">
        <f>ROUNDUP(+L46/Paramètres!$B$6/Paramètres!$B$53,0)</f>
        <v>0</v>
      </c>
      <c r="T46" s="111"/>
      <c r="U46" s="112">
        <f t="shared" si="6"/>
        <v>0</v>
      </c>
      <c r="V46" s="113">
        <f>R46*Paramètres!$B$7</f>
        <v>0</v>
      </c>
      <c r="W46" s="113">
        <f>S46*Paramètres!$B$9</f>
        <v>0</v>
      </c>
      <c r="X46" s="113"/>
      <c r="Y46" s="114">
        <f t="shared" si="7"/>
        <v>0</v>
      </c>
      <c r="Z46" s="115">
        <f>R46*Paramètres!$B$10</f>
        <v>0</v>
      </c>
      <c r="AA46" s="115">
        <f>S46*Paramètres!$B$10</f>
        <v>0</v>
      </c>
      <c r="AB46" s="115"/>
      <c r="AC46" s="114">
        <f t="shared" si="8"/>
        <v>0</v>
      </c>
      <c r="AD46" s="100">
        <f t="shared" si="12"/>
        <v>0</v>
      </c>
      <c r="AE46" s="100">
        <f t="shared" si="9"/>
        <v>0</v>
      </c>
      <c r="AF46" s="111">
        <f>IF(B46="",0,Paramètres!$B$53*1.5)</f>
        <v>0</v>
      </c>
      <c r="AG46" s="111">
        <f>IF(C46="",0,Paramètres!$B$53*1.5)</f>
        <v>0</v>
      </c>
      <c r="AH46" s="95"/>
      <c r="AI46" s="95"/>
      <c r="AJ46" s="95"/>
      <c r="AK46" s="95"/>
      <c r="AL46" s="100">
        <f>(U46*Paramètres!$B$53)*3</f>
        <v>0</v>
      </c>
      <c r="AM46" s="100">
        <f t="shared" si="10"/>
        <v>0</v>
      </c>
      <c r="AN46" s="100"/>
      <c r="AO46" s="100">
        <f>U46*Paramètres!$B$72*Paramètres!$B$73</f>
        <v>0</v>
      </c>
      <c r="AP46" s="100"/>
      <c r="AQ46" s="100">
        <f>(Y46+AC46)*Paramètres!$B$42*Paramètres!$B$53</f>
        <v>0</v>
      </c>
      <c r="AR46" s="115">
        <f>ROUNDUP(D46*Paramètres!$B$23*Paramètres!$B$26,-1)</f>
        <v>0</v>
      </c>
      <c r="AS46" s="116">
        <f>Paramètres!$B$53*Paramètres!$B$69</f>
        <v>50000</v>
      </c>
      <c r="AT46" s="117">
        <f t="shared" si="11"/>
        <v>50000</v>
      </c>
    </row>
    <row r="47" spans="1:46" x14ac:dyDescent="0.25">
      <c r="A47" s="59">
        <v>45</v>
      </c>
      <c r="B47" s="95"/>
      <c r="C47" s="95"/>
      <c r="D47" s="95"/>
      <c r="E47" s="95"/>
      <c r="F47" s="102"/>
      <c r="G47" s="96"/>
      <c r="H47" s="96"/>
      <c r="I47" s="103"/>
      <c r="J47" s="97">
        <f>F47*Paramètres!$B$3</f>
        <v>0</v>
      </c>
      <c r="K47" s="98">
        <f t="shared" si="0"/>
        <v>0</v>
      </c>
      <c r="L47" s="98">
        <f t="shared" si="1"/>
        <v>0</v>
      </c>
      <c r="M47" s="98">
        <f t="shared" si="2"/>
        <v>0</v>
      </c>
      <c r="N47" s="99">
        <f>ROUNDUP(J47*Paramètres!$B$19,-1)</f>
        <v>0</v>
      </c>
      <c r="O47" s="95">
        <f t="shared" si="3"/>
        <v>0</v>
      </c>
      <c r="P47" s="100">
        <f t="shared" si="4"/>
        <v>0</v>
      </c>
      <c r="Q47" s="101">
        <f t="shared" si="5"/>
        <v>0</v>
      </c>
      <c r="R47" s="111">
        <f>ROUNDUP(+K47/Paramètres!$B$4/Paramètres!$B$53,0)</f>
        <v>0</v>
      </c>
      <c r="S47" s="111">
        <f>ROUNDUP(+L47/Paramètres!$B$6/Paramètres!$B$53,0)</f>
        <v>0</v>
      </c>
      <c r="T47" s="111"/>
      <c r="U47" s="112">
        <f t="shared" si="6"/>
        <v>0</v>
      </c>
      <c r="V47" s="113">
        <f>R47*Paramètres!$B$7</f>
        <v>0</v>
      </c>
      <c r="W47" s="113">
        <f>S47*Paramètres!$B$9</f>
        <v>0</v>
      </c>
      <c r="X47" s="113"/>
      <c r="Y47" s="114">
        <f t="shared" si="7"/>
        <v>0</v>
      </c>
      <c r="Z47" s="115">
        <f>R47*Paramètres!$B$10</f>
        <v>0</v>
      </c>
      <c r="AA47" s="115">
        <f>S47*Paramètres!$B$10</f>
        <v>0</v>
      </c>
      <c r="AB47" s="115"/>
      <c r="AC47" s="114">
        <f t="shared" si="8"/>
        <v>0</v>
      </c>
      <c r="AD47" s="100">
        <f t="shared" si="12"/>
        <v>0</v>
      </c>
      <c r="AE47" s="100">
        <f t="shared" si="9"/>
        <v>0</v>
      </c>
      <c r="AF47" s="111">
        <f>IF(B47="",0,Paramètres!$B$53*1.5)</f>
        <v>0</v>
      </c>
      <c r="AG47" s="111">
        <f>IF(C47="",0,Paramètres!$B$53*1.5)</f>
        <v>0</v>
      </c>
      <c r="AH47" s="95"/>
      <c r="AI47" s="95"/>
      <c r="AJ47" s="95"/>
      <c r="AK47" s="95"/>
      <c r="AL47" s="100">
        <f>(U47*Paramètres!$B$53)*3</f>
        <v>0</v>
      </c>
      <c r="AM47" s="100">
        <f t="shared" si="10"/>
        <v>0</v>
      </c>
      <c r="AN47" s="100"/>
      <c r="AO47" s="100">
        <f>U47*Paramètres!$B$72*Paramètres!$B$73</f>
        <v>0</v>
      </c>
      <c r="AP47" s="100"/>
      <c r="AQ47" s="100">
        <f>(Y47+AC47)*Paramètres!$B$42*Paramètres!$B$53</f>
        <v>0</v>
      </c>
      <c r="AR47" s="115">
        <f>ROUNDUP(D47*Paramètres!$B$23*Paramètres!$B$26,-1)</f>
        <v>0</v>
      </c>
      <c r="AS47" s="116">
        <f>Paramètres!$B$53*Paramètres!$B$69</f>
        <v>50000</v>
      </c>
      <c r="AT47" s="117">
        <f t="shared" si="11"/>
        <v>50000</v>
      </c>
    </row>
    <row r="48" spans="1:46" x14ac:dyDescent="0.25">
      <c r="A48" s="59">
        <v>46</v>
      </c>
      <c r="B48" s="95"/>
      <c r="C48" s="95"/>
      <c r="D48" s="95"/>
      <c r="E48" s="95"/>
      <c r="F48" s="102"/>
      <c r="G48" s="96"/>
      <c r="H48" s="96"/>
      <c r="I48" s="103"/>
      <c r="J48" s="97">
        <f>F48*Paramètres!$B$3</f>
        <v>0</v>
      </c>
      <c r="K48" s="98">
        <f t="shared" si="0"/>
        <v>0</v>
      </c>
      <c r="L48" s="98">
        <f t="shared" si="1"/>
        <v>0</v>
      </c>
      <c r="M48" s="98">
        <f t="shared" si="2"/>
        <v>0</v>
      </c>
      <c r="N48" s="99">
        <f>ROUNDUP(J48*Paramètres!$B$19,-1)</f>
        <v>0</v>
      </c>
      <c r="O48" s="95">
        <f t="shared" si="3"/>
        <v>0</v>
      </c>
      <c r="P48" s="100">
        <f t="shared" si="4"/>
        <v>0</v>
      </c>
      <c r="Q48" s="101">
        <f t="shared" si="5"/>
        <v>0</v>
      </c>
      <c r="R48" s="111">
        <f>ROUNDUP(+K48/Paramètres!$B$4/Paramètres!$B$53,0)</f>
        <v>0</v>
      </c>
      <c r="S48" s="111">
        <f>ROUNDUP(+L48/Paramètres!$B$6/Paramètres!$B$53,0)</f>
        <v>0</v>
      </c>
      <c r="T48" s="111"/>
      <c r="U48" s="112">
        <f t="shared" si="6"/>
        <v>0</v>
      </c>
      <c r="V48" s="113">
        <f>R48*Paramètres!$B$7</f>
        <v>0</v>
      </c>
      <c r="W48" s="113">
        <f>S48*Paramètres!$B$9</f>
        <v>0</v>
      </c>
      <c r="X48" s="113"/>
      <c r="Y48" s="114">
        <f t="shared" si="7"/>
        <v>0</v>
      </c>
      <c r="Z48" s="115">
        <f>R48*Paramètres!$B$10</f>
        <v>0</v>
      </c>
      <c r="AA48" s="115">
        <f>S48*Paramètres!$B$10</f>
        <v>0</v>
      </c>
      <c r="AB48" s="115"/>
      <c r="AC48" s="114">
        <f t="shared" si="8"/>
        <v>0</v>
      </c>
      <c r="AD48" s="100">
        <f t="shared" si="12"/>
        <v>0</v>
      </c>
      <c r="AE48" s="100">
        <f t="shared" si="9"/>
        <v>0</v>
      </c>
      <c r="AF48" s="111">
        <f>IF(B48="",0,Paramètres!$B$53*1.5)</f>
        <v>0</v>
      </c>
      <c r="AG48" s="111">
        <f>IF(C48="",0,Paramètres!$B$53*1.5)</f>
        <v>0</v>
      </c>
      <c r="AH48" s="95"/>
      <c r="AI48" s="95"/>
      <c r="AJ48" s="95"/>
      <c r="AK48" s="95"/>
      <c r="AL48" s="100">
        <f>(U48*Paramètres!$B$53)*3</f>
        <v>0</v>
      </c>
      <c r="AM48" s="100">
        <f t="shared" si="10"/>
        <v>0</v>
      </c>
      <c r="AN48" s="100"/>
      <c r="AO48" s="100">
        <f>U48*Paramètres!$B$72*Paramètres!$B$73</f>
        <v>0</v>
      </c>
      <c r="AP48" s="100"/>
      <c r="AQ48" s="100">
        <f>(Y48+AC48)*Paramètres!$B$42*Paramètres!$B$53</f>
        <v>0</v>
      </c>
      <c r="AR48" s="115">
        <f>ROUNDUP(D48*Paramètres!$B$23*Paramètres!$B$26,-1)</f>
        <v>0</v>
      </c>
      <c r="AS48" s="116">
        <f>Paramètres!$B$53*Paramètres!$B$69</f>
        <v>50000</v>
      </c>
      <c r="AT48" s="117">
        <f t="shared" si="11"/>
        <v>50000</v>
      </c>
    </row>
    <row r="49" spans="1:46" x14ac:dyDescent="0.25">
      <c r="A49" s="59">
        <v>47</v>
      </c>
      <c r="B49" s="95"/>
      <c r="C49" s="95"/>
      <c r="D49" s="95"/>
      <c r="E49" s="95"/>
      <c r="F49" s="102"/>
      <c r="G49" s="96"/>
      <c r="H49" s="96"/>
      <c r="I49" s="103"/>
      <c r="J49" s="97">
        <f>F49*Paramètres!$B$3</f>
        <v>0</v>
      </c>
      <c r="K49" s="98">
        <f t="shared" si="0"/>
        <v>0</v>
      </c>
      <c r="L49" s="98">
        <f t="shared" si="1"/>
        <v>0</v>
      </c>
      <c r="M49" s="98">
        <f t="shared" si="2"/>
        <v>0</v>
      </c>
      <c r="N49" s="99">
        <f>ROUNDUP(J49*Paramètres!$B$19,-1)</f>
        <v>0</v>
      </c>
      <c r="O49" s="95">
        <f t="shared" si="3"/>
        <v>0</v>
      </c>
      <c r="P49" s="100">
        <f t="shared" si="4"/>
        <v>0</v>
      </c>
      <c r="Q49" s="101">
        <f t="shared" si="5"/>
        <v>0</v>
      </c>
      <c r="R49" s="111">
        <f>ROUNDUP(+K49/Paramètres!$B$4/Paramètres!$B$53,0)</f>
        <v>0</v>
      </c>
      <c r="S49" s="111">
        <f>ROUNDUP(+L49/Paramètres!$B$6/Paramètres!$B$53,0)</f>
        <v>0</v>
      </c>
      <c r="T49" s="111"/>
      <c r="U49" s="112">
        <f t="shared" si="6"/>
        <v>0</v>
      </c>
      <c r="V49" s="113">
        <f>R49*Paramètres!$B$7</f>
        <v>0</v>
      </c>
      <c r="W49" s="113">
        <f>S49*Paramètres!$B$9</f>
        <v>0</v>
      </c>
      <c r="X49" s="113"/>
      <c r="Y49" s="114">
        <f t="shared" si="7"/>
        <v>0</v>
      </c>
      <c r="Z49" s="115">
        <f>R49*Paramètres!$B$10</f>
        <v>0</v>
      </c>
      <c r="AA49" s="115">
        <f>S49*Paramètres!$B$10</f>
        <v>0</v>
      </c>
      <c r="AB49" s="115"/>
      <c r="AC49" s="114">
        <f t="shared" si="8"/>
        <v>0</v>
      </c>
      <c r="AD49" s="100">
        <f t="shared" si="12"/>
        <v>0</v>
      </c>
      <c r="AE49" s="100">
        <f t="shared" si="9"/>
        <v>0</v>
      </c>
      <c r="AF49" s="111">
        <f>IF(B49="",0,Paramètres!$B$53*1.5)</f>
        <v>0</v>
      </c>
      <c r="AG49" s="111">
        <f>IF(C49="",0,Paramètres!$B$53*1.5)</f>
        <v>0</v>
      </c>
      <c r="AH49" s="95"/>
      <c r="AI49" s="95"/>
      <c r="AJ49" s="95"/>
      <c r="AK49" s="95"/>
      <c r="AL49" s="100">
        <f>(U49*Paramètres!$B$53)*3</f>
        <v>0</v>
      </c>
      <c r="AM49" s="100">
        <f t="shared" si="10"/>
        <v>0</v>
      </c>
      <c r="AN49" s="100"/>
      <c r="AO49" s="100">
        <f>U49*Paramètres!$B$72*Paramètres!$B$73</f>
        <v>0</v>
      </c>
      <c r="AP49" s="100"/>
      <c r="AQ49" s="100">
        <f>(Y49+AC49)*Paramètres!$B$42*Paramètres!$B$53</f>
        <v>0</v>
      </c>
      <c r="AR49" s="115">
        <f>ROUNDUP(D49*Paramètres!$B$23*Paramètres!$B$26,-1)</f>
        <v>0</v>
      </c>
      <c r="AS49" s="116">
        <f>Paramètres!$B$53*Paramètres!$B$69</f>
        <v>50000</v>
      </c>
      <c r="AT49" s="117">
        <f t="shared" si="11"/>
        <v>50000</v>
      </c>
    </row>
    <row r="50" spans="1:46" x14ac:dyDescent="0.25">
      <c r="A50" s="59">
        <v>48</v>
      </c>
      <c r="B50" s="95"/>
      <c r="C50" s="95"/>
      <c r="D50" s="95"/>
      <c r="E50" s="95"/>
      <c r="F50" s="102"/>
      <c r="G50" s="96"/>
      <c r="H50" s="96"/>
      <c r="I50" s="103"/>
      <c r="J50" s="97">
        <f>F50*Paramètres!$B$3</f>
        <v>0</v>
      </c>
      <c r="K50" s="98">
        <f t="shared" si="0"/>
        <v>0</v>
      </c>
      <c r="L50" s="98">
        <f t="shared" si="1"/>
        <v>0</v>
      </c>
      <c r="M50" s="98">
        <f t="shared" si="2"/>
        <v>0</v>
      </c>
      <c r="N50" s="99">
        <f>ROUNDUP(J50*Paramètres!$B$19,-1)</f>
        <v>0</v>
      </c>
      <c r="O50" s="95">
        <f t="shared" si="3"/>
        <v>0</v>
      </c>
      <c r="P50" s="100">
        <f t="shared" si="4"/>
        <v>0</v>
      </c>
      <c r="Q50" s="101">
        <f t="shared" si="5"/>
        <v>0</v>
      </c>
      <c r="R50" s="111">
        <f>ROUNDUP(+K50/Paramètres!$B$4/Paramètres!$B$53,0)</f>
        <v>0</v>
      </c>
      <c r="S50" s="111">
        <f>ROUNDUP(+L50/Paramètres!$B$6/Paramètres!$B$53,0)</f>
        <v>0</v>
      </c>
      <c r="T50" s="111"/>
      <c r="U50" s="112">
        <f t="shared" si="6"/>
        <v>0</v>
      </c>
      <c r="V50" s="113">
        <f>R50*Paramètres!$B$7</f>
        <v>0</v>
      </c>
      <c r="W50" s="113">
        <f>S50*Paramètres!$B$9</f>
        <v>0</v>
      </c>
      <c r="X50" s="113"/>
      <c r="Y50" s="114">
        <f t="shared" si="7"/>
        <v>0</v>
      </c>
      <c r="Z50" s="115">
        <f>R50*Paramètres!$B$10</f>
        <v>0</v>
      </c>
      <c r="AA50" s="115">
        <f>S50*Paramètres!$B$10</f>
        <v>0</v>
      </c>
      <c r="AB50" s="115"/>
      <c r="AC50" s="114">
        <f t="shared" si="8"/>
        <v>0</v>
      </c>
      <c r="AD50" s="100">
        <f t="shared" si="12"/>
        <v>0</v>
      </c>
      <c r="AE50" s="100">
        <f t="shared" si="9"/>
        <v>0</v>
      </c>
      <c r="AF50" s="111">
        <f>IF(B50="",0,Paramètres!$B$53*1.5)</f>
        <v>0</v>
      </c>
      <c r="AG50" s="111">
        <f>IF(C50="",0,Paramètres!$B$53*1.5)</f>
        <v>0</v>
      </c>
      <c r="AH50" s="95"/>
      <c r="AI50" s="95"/>
      <c r="AJ50" s="95"/>
      <c r="AK50" s="95"/>
      <c r="AL50" s="100">
        <f>(U50*Paramètres!$B$53)*3</f>
        <v>0</v>
      </c>
      <c r="AM50" s="100">
        <f t="shared" si="10"/>
        <v>0</v>
      </c>
      <c r="AN50" s="100"/>
      <c r="AO50" s="100">
        <f>U50*Paramètres!$B$72*Paramètres!$B$73</f>
        <v>0</v>
      </c>
      <c r="AP50" s="100"/>
      <c r="AQ50" s="100">
        <f>(Y50+AC50)*Paramètres!$B$42*Paramètres!$B$53</f>
        <v>0</v>
      </c>
      <c r="AR50" s="115">
        <f>ROUNDUP(D50*Paramètres!$B$23*Paramètres!$B$26,-1)</f>
        <v>0</v>
      </c>
      <c r="AS50" s="116">
        <f>Paramètres!$B$53*Paramètres!$B$69</f>
        <v>50000</v>
      </c>
      <c r="AT50" s="117">
        <f t="shared" si="11"/>
        <v>50000</v>
      </c>
    </row>
    <row r="51" spans="1:46" x14ac:dyDescent="0.25">
      <c r="A51" s="59">
        <v>49</v>
      </c>
      <c r="B51" s="95"/>
      <c r="C51" s="95"/>
      <c r="D51" s="95"/>
      <c r="E51" s="95"/>
      <c r="F51" s="102"/>
      <c r="G51" s="96"/>
      <c r="H51" s="96"/>
      <c r="I51" s="103"/>
      <c r="J51" s="97">
        <f>F51*Paramètres!$B$3</f>
        <v>0</v>
      </c>
      <c r="K51" s="98">
        <f t="shared" si="0"/>
        <v>0</v>
      </c>
      <c r="L51" s="98">
        <f t="shared" si="1"/>
        <v>0</v>
      </c>
      <c r="M51" s="98">
        <f t="shared" si="2"/>
        <v>0</v>
      </c>
      <c r="N51" s="99">
        <f>ROUNDUP(J51*Paramètres!$B$19,-1)</f>
        <v>0</v>
      </c>
      <c r="O51" s="95">
        <f t="shared" si="3"/>
        <v>0</v>
      </c>
      <c r="P51" s="100">
        <f t="shared" si="4"/>
        <v>0</v>
      </c>
      <c r="Q51" s="101">
        <f t="shared" si="5"/>
        <v>0</v>
      </c>
      <c r="R51" s="111">
        <f>ROUNDUP(+K51/Paramètres!$B$4/Paramètres!$B$53,0)</f>
        <v>0</v>
      </c>
      <c r="S51" s="111">
        <f>ROUNDUP(+L51/Paramètres!$B$6/Paramètres!$B$53,0)</f>
        <v>0</v>
      </c>
      <c r="T51" s="111"/>
      <c r="U51" s="112">
        <f t="shared" si="6"/>
        <v>0</v>
      </c>
      <c r="V51" s="113">
        <f>R51*Paramètres!$B$7</f>
        <v>0</v>
      </c>
      <c r="W51" s="113">
        <f>S51*Paramètres!$B$9</f>
        <v>0</v>
      </c>
      <c r="X51" s="113"/>
      <c r="Y51" s="114">
        <f t="shared" si="7"/>
        <v>0</v>
      </c>
      <c r="Z51" s="115">
        <f>R51*Paramètres!$B$10</f>
        <v>0</v>
      </c>
      <c r="AA51" s="115">
        <f>S51*Paramètres!$B$10</f>
        <v>0</v>
      </c>
      <c r="AB51" s="115"/>
      <c r="AC51" s="114">
        <f t="shared" si="8"/>
        <v>0</v>
      </c>
      <c r="AD51" s="100">
        <f t="shared" si="12"/>
        <v>0</v>
      </c>
      <c r="AE51" s="100">
        <f t="shared" si="9"/>
        <v>0</v>
      </c>
      <c r="AF51" s="111">
        <f>IF(B51="",0,Paramètres!$B$53*1.5)</f>
        <v>0</v>
      </c>
      <c r="AG51" s="111">
        <f>IF(C51="",0,Paramètres!$B$53*1.5)</f>
        <v>0</v>
      </c>
      <c r="AH51" s="95"/>
      <c r="AI51" s="95"/>
      <c r="AJ51" s="95"/>
      <c r="AK51" s="95"/>
      <c r="AL51" s="100">
        <f>(U51*Paramètres!$B$53)*3</f>
        <v>0</v>
      </c>
      <c r="AM51" s="100">
        <f t="shared" si="10"/>
        <v>0</v>
      </c>
      <c r="AN51" s="100"/>
      <c r="AO51" s="100">
        <f>U51*Paramètres!$B$72*Paramètres!$B$73</f>
        <v>0</v>
      </c>
      <c r="AP51" s="100"/>
      <c r="AQ51" s="100">
        <f>(Y51+AC51)*Paramètres!$B$42*Paramètres!$B$53</f>
        <v>0</v>
      </c>
      <c r="AR51" s="115">
        <f>ROUNDUP(D51*Paramètres!$B$23*Paramètres!$B$26,-1)</f>
        <v>0</v>
      </c>
      <c r="AS51" s="116">
        <f>Paramètres!$B$53*Paramètres!$B$69</f>
        <v>50000</v>
      </c>
      <c r="AT51" s="117">
        <f t="shared" si="11"/>
        <v>50000</v>
      </c>
    </row>
    <row r="52" spans="1:46" x14ac:dyDescent="0.25">
      <c r="A52" s="59">
        <v>50</v>
      </c>
      <c r="B52" s="95"/>
      <c r="C52" s="95"/>
      <c r="D52" s="95"/>
      <c r="E52" s="95"/>
      <c r="F52" s="95"/>
      <c r="G52" s="96"/>
      <c r="H52" s="96"/>
      <c r="I52" s="103"/>
      <c r="J52" s="97">
        <f>F52*Paramètres!$B$3</f>
        <v>0</v>
      </c>
      <c r="K52" s="98">
        <f t="shared" si="0"/>
        <v>0</v>
      </c>
      <c r="L52" s="98">
        <f t="shared" si="1"/>
        <v>0</v>
      </c>
      <c r="M52" s="98">
        <f t="shared" si="2"/>
        <v>0</v>
      </c>
      <c r="N52" s="99">
        <f>ROUNDUP(J52*Paramètres!$B$19,-1)</f>
        <v>0</v>
      </c>
      <c r="O52" s="95">
        <f t="shared" si="3"/>
        <v>0</v>
      </c>
      <c r="P52" s="100">
        <f t="shared" si="4"/>
        <v>0</v>
      </c>
      <c r="Q52" s="101">
        <f t="shared" si="5"/>
        <v>0</v>
      </c>
      <c r="R52" s="111">
        <f>ROUNDUP(+K52/Paramètres!$B$4/Paramètres!$B$53,0)</f>
        <v>0</v>
      </c>
      <c r="S52" s="111">
        <f>ROUNDUP(+L52/Paramètres!$B$6/Paramètres!$B$53,0)</f>
        <v>0</v>
      </c>
      <c r="T52" s="111"/>
      <c r="U52" s="112">
        <f t="shared" si="6"/>
        <v>0</v>
      </c>
      <c r="V52" s="113">
        <f>R52*Paramètres!$B$7</f>
        <v>0</v>
      </c>
      <c r="W52" s="113">
        <f>S52*Paramètres!$B$9</f>
        <v>0</v>
      </c>
      <c r="X52" s="113"/>
      <c r="Y52" s="114">
        <f t="shared" si="7"/>
        <v>0</v>
      </c>
      <c r="Z52" s="115">
        <f>R52*Paramètres!$B$10</f>
        <v>0</v>
      </c>
      <c r="AA52" s="115">
        <f>S52*Paramètres!$B$10</f>
        <v>0</v>
      </c>
      <c r="AB52" s="115"/>
      <c r="AC52" s="114">
        <f t="shared" si="8"/>
        <v>0</v>
      </c>
      <c r="AD52" s="100">
        <f t="shared" si="12"/>
        <v>0</v>
      </c>
      <c r="AE52" s="100">
        <f t="shared" si="9"/>
        <v>0</v>
      </c>
      <c r="AF52" s="111">
        <f>IF(B52="",0,Paramètres!$B$53*1.5)</f>
        <v>0</v>
      </c>
      <c r="AG52" s="111">
        <f>IF(C52="",0,Paramètres!$B$53*1.5)</f>
        <v>0</v>
      </c>
      <c r="AH52" s="95"/>
      <c r="AI52" s="95"/>
      <c r="AJ52" s="95"/>
      <c r="AK52" s="95"/>
      <c r="AL52" s="100">
        <f>(U52*Paramètres!$B$53)*3</f>
        <v>0</v>
      </c>
      <c r="AM52" s="100">
        <f t="shared" si="10"/>
        <v>0</v>
      </c>
      <c r="AN52" s="100"/>
      <c r="AO52" s="100">
        <f>U52*Paramètres!$B$72*Paramètres!$B$73</f>
        <v>0</v>
      </c>
      <c r="AP52" s="100"/>
      <c r="AQ52" s="100">
        <f>(Y52+AC52)*Paramètres!$B$42*Paramètres!$B$53</f>
        <v>0</v>
      </c>
      <c r="AR52" s="115">
        <f>ROUNDUP(D52*Paramètres!$B$23*Paramètres!$B$26,-1)</f>
        <v>0</v>
      </c>
      <c r="AS52" s="116">
        <f>Paramètres!$B$53*Paramètres!$B$69</f>
        <v>50000</v>
      </c>
      <c r="AT52" s="117">
        <f t="shared" si="11"/>
        <v>50000</v>
      </c>
    </row>
    <row r="53" spans="1:46" x14ac:dyDescent="0.25">
      <c r="A53" s="59">
        <v>51</v>
      </c>
      <c r="B53" s="95"/>
      <c r="C53" s="95"/>
      <c r="D53" s="95"/>
      <c r="E53" s="95"/>
      <c r="F53" s="95"/>
      <c r="G53" s="96"/>
      <c r="H53" s="96"/>
      <c r="I53" s="103"/>
      <c r="J53" s="97">
        <f>F53*Paramètres!$B$3</f>
        <v>0</v>
      </c>
      <c r="K53" s="98">
        <f t="shared" si="0"/>
        <v>0</v>
      </c>
      <c r="L53" s="98">
        <f t="shared" si="1"/>
        <v>0</v>
      </c>
      <c r="M53" s="98">
        <f t="shared" si="2"/>
        <v>0</v>
      </c>
      <c r="N53" s="99">
        <f>ROUNDUP(J53*Paramètres!$B$19,-1)</f>
        <v>0</v>
      </c>
      <c r="O53" s="95">
        <f t="shared" si="3"/>
        <v>0</v>
      </c>
      <c r="P53" s="100">
        <f t="shared" si="4"/>
        <v>0</v>
      </c>
      <c r="Q53" s="101">
        <f t="shared" si="5"/>
        <v>0</v>
      </c>
      <c r="R53" s="111">
        <f>ROUNDUP(+K53/Paramètres!$B$4/Paramètres!$B$53,0)</f>
        <v>0</v>
      </c>
      <c r="S53" s="111">
        <f>ROUNDUP(+L53/Paramètres!$B$6/Paramètres!$B$53,0)</f>
        <v>0</v>
      </c>
      <c r="T53" s="111"/>
      <c r="U53" s="112">
        <f t="shared" si="6"/>
        <v>0</v>
      </c>
      <c r="V53" s="113">
        <f>R53*Paramètres!$B$7</f>
        <v>0</v>
      </c>
      <c r="W53" s="113">
        <f>S53*Paramètres!$B$9</f>
        <v>0</v>
      </c>
      <c r="X53" s="113"/>
      <c r="Y53" s="114">
        <f t="shared" si="7"/>
        <v>0</v>
      </c>
      <c r="Z53" s="115">
        <f>R53*Paramètres!$B$10</f>
        <v>0</v>
      </c>
      <c r="AA53" s="115">
        <f>S53*Paramètres!$B$10</f>
        <v>0</v>
      </c>
      <c r="AB53" s="115"/>
      <c r="AC53" s="114">
        <f t="shared" si="8"/>
        <v>0</v>
      </c>
      <c r="AD53" s="100">
        <f t="shared" si="12"/>
        <v>0</v>
      </c>
      <c r="AE53" s="100">
        <f t="shared" si="9"/>
        <v>0</v>
      </c>
      <c r="AF53" s="111">
        <f>IF(B53="",0,Paramètres!$B$53*1.5)</f>
        <v>0</v>
      </c>
      <c r="AG53" s="111">
        <f>IF(C53="",0,Paramètres!$B$53*1.5)</f>
        <v>0</v>
      </c>
      <c r="AH53" s="95"/>
      <c r="AI53" s="95"/>
      <c r="AJ53" s="95"/>
      <c r="AK53" s="95"/>
      <c r="AL53" s="100">
        <f>(U53*Paramètres!$B$53)*3</f>
        <v>0</v>
      </c>
      <c r="AM53" s="100">
        <f t="shared" si="10"/>
        <v>0</v>
      </c>
      <c r="AN53" s="100"/>
      <c r="AO53" s="100">
        <f>U53*Paramètres!$B$72*Paramètres!$B$73</f>
        <v>0</v>
      </c>
      <c r="AP53" s="100"/>
      <c r="AQ53" s="100">
        <f>(Y53+AC53)*Paramètres!$B$42*Paramètres!$B$53</f>
        <v>0</v>
      </c>
      <c r="AR53" s="115">
        <f>ROUNDUP(D53*Paramètres!$B$23*Paramètres!$B$26,-1)</f>
        <v>0</v>
      </c>
      <c r="AS53" s="116">
        <f>Paramètres!$B$53*Paramètres!$B$69</f>
        <v>50000</v>
      </c>
      <c r="AT53" s="117">
        <f t="shared" si="11"/>
        <v>50000</v>
      </c>
    </row>
    <row r="54" spans="1:46" x14ac:dyDescent="0.25">
      <c r="A54" s="59">
        <v>52</v>
      </c>
      <c r="B54" s="95"/>
      <c r="C54" s="95"/>
      <c r="D54" s="95"/>
      <c r="E54" s="95"/>
      <c r="F54" s="95"/>
      <c r="G54" s="103"/>
      <c r="H54" s="103"/>
      <c r="I54" s="103"/>
      <c r="J54" s="97">
        <f>F54*Paramètres!$B$3</f>
        <v>0</v>
      </c>
      <c r="K54" s="98">
        <f t="shared" si="0"/>
        <v>0</v>
      </c>
      <c r="L54" s="98">
        <f t="shared" si="1"/>
        <v>0</v>
      </c>
      <c r="M54" s="98">
        <f t="shared" si="2"/>
        <v>0</v>
      </c>
      <c r="N54" s="99">
        <f>ROUNDUP(J54*Paramètres!$B$19,-1)</f>
        <v>0</v>
      </c>
      <c r="O54" s="95">
        <f t="shared" si="3"/>
        <v>0</v>
      </c>
      <c r="P54" s="100">
        <f t="shared" si="4"/>
        <v>0</v>
      </c>
      <c r="Q54" s="101">
        <f t="shared" si="5"/>
        <v>0</v>
      </c>
      <c r="R54" s="111">
        <f>ROUNDUP(+K54/Paramètres!$B$4/Paramètres!$B$53,0)</f>
        <v>0</v>
      </c>
      <c r="S54" s="111">
        <f>ROUNDUP(+L54/Paramètres!$B$6/Paramètres!$B$53,0)</f>
        <v>0</v>
      </c>
      <c r="T54" s="111"/>
      <c r="U54" s="112">
        <f t="shared" si="6"/>
        <v>0</v>
      </c>
      <c r="V54" s="113">
        <f>R54*Paramètres!$B$7</f>
        <v>0</v>
      </c>
      <c r="W54" s="113">
        <f>S54*Paramètres!$B$9</f>
        <v>0</v>
      </c>
      <c r="X54" s="113"/>
      <c r="Y54" s="114">
        <f t="shared" si="7"/>
        <v>0</v>
      </c>
      <c r="Z54" s="115">
        <f>R54*Paramètres!$B$10</f>
        <v>0</v>
      </c>
      <c r="AA54" s="115">
        <f>S54*Paramètres!$B$10</f>
        <v>0</v>
      </c>
      <c r="AB54" s="115"/>
      <c r="AC54" s="114">
        <f t="shared" si="8"/>
        <v>0</v>
      </c>
      <c r="AD54" s="100">
        <f t="shared" si="12"/>
        <v>0</v>
      </c>
      <c r="AE54" s="100">
        <f t="shared" si="9"/>
        <v>0</v>
      </c>
      <c r="AF54" s="111">
        <f>IF(B54="",0,Paramètres!$B$53*1.5)</f>
        <v>0</v>
      </c>
      <c r="AG54" s="111">
        <f>IF(C54="",0,Paramètres!$B$53*1.5)</f>
        <v>0</v>
      </c>
      <c r="AH54" s="95"/>
      <c r="AI54" s="95"/>
      <c r="AJ54" s="95"/>
      <c r="AK54" s="95"/>
      <c r="AL54" s="100">
        <f>(U54*Paramètres!$B$53)*3</f>
        <v>0</v>
      </c>
      <c r="AM54" s="100">
        <f t="shared" si="10"/>
        <v>0</v>
      </c>
      <c r="AN54" s="100"/>
      <c r="AO54" s="100">
        <f>U54*Paramètres!$B$72*Paramètres!$B$73</f>
        <v>0</v>
      </c>
      <c r="AP54" s="100"/>
      <c r="AQ54" s="100">
        <f>(Y54+AC54)*Paramètres!$B$42*Paramètres!$B$53</f>
        <v>0</v>
      </c>
      <c r="AR54" s="115">
        <f>ROUNDUP(D54*Paramètres!$B$23*Paramètres!$B$26,-1)</f>
        <v>0</v>
      </c>
      <c r="AS54" s="116">
        <f>Paramètres!$B$53*Paramètres!$B$69</f>
        <v>50000</v>
      </c>
      <c r="AT54" s="117">
        <f t="shared" si="11"/>
        <v>50000</v>
      </c>
    </row>
    <row r="55" spans="1:46" x14ac:dyDescent="0.25">
      <c r="A55" s="59">
        <v>53</v>
      </c>
      <c r="B55" s="95"/>
      <c r="C55" s="95"/>
      <c r="D55" s="95"/>
      <c r="E55" s="95"/>
      <c r="F55" s="95"/>
      <c r="G55" s="103"/>
      <c r="H55" s="103"/>
      <c r="I55" s="103"/>
      <c r="J55" s="97">
        <f>F55*Paramètres!$B$3</f>
        <v>0</v>
      </c>
      <c r="K55" s="98">
        <f t="shared" si="0"/>
        <v>0</v>
      </c>
      <c r="L55" s="98">
        <f t="shared" si="1"/>
        <v>0</v>
      </c>
      <c r="M55" s="98">
        <f t="shared" si="2"/>
        <v>0</v>
      </c>
      <c r="N55" s="99">
        <f>ROUNDUP(J55*Paramètres!$B$19,-1)</f>
        <v>0</v>
      </c>
      <c r="O55" s="95">
        <f t="shared" si="3"/>
        <v>0</v>
      </c>
      <c r="P55" s="100">
        <f t="shared" si="4"/>
        <v>0</v>
      </c>
      <c r="Q55" s="101">
        <f t="shared" si="5"/>
        <v>0</v>
      </c>
      <c r="R55" s="111">
        <f>ROUNDUP(+K55/Paramètres!$B$4/Paramètres!$B$53,0)</f>
        <v>0</v>
      </c>
      <c r="S55" s="111">
        <f>ROUNDUP(+L55/Paramètres!$B$6/Paramètres!$B$53,0)</f>
        <v>0</v>
      </c>
      <c r="T55" s="111"/>
      <c r="U55" s="112">
        <f t="shared" si="6"/>
        <v>0</v>
      </c>
      <c r="V55" s="113">
        <f>R55*Paramètres!$B$7</f>
        <v>0</v>
      </c>
      <c r="W55" s="113">
        <f>S55*Paramètres!$B$9</f>
        <v>0</v>
      </c>
      <c r="X55" s="113"/>
      <c r="Y55" s="114">
        <f t="shared" si="7"/>
        <v>0</v>
      </c>
      <c r="Z55" s="115">
        <f>R55*Paramètres!$B$10</f>
        <v>0</v>
      </c>
      <c r="AA55" s="115">
        <f>S55*Paramètres!$B$10</f>
        <v>0</v>
      </c>
      <c r="AB55" s="115"/>
      <c r="AC55" s="114">
        <f t="shared" si="8"/>
        <v>0</v>
      </c>
      <c r="AD55" s="100">
        <f t="shared" si="12"/>
        <v>0</v>
      </c>
      <c r="AE55" s="100">
        <f t="shared" si="9"/>
        <v>0</v>
      </c>
      <c r="AF55" s="111">
        <f>IF(B55="",0,Paramètres!$B$53*1.5)</f>
        <v>0</v>
      </c>
      <c r="AG55" s="111">
        <f>IF(C55="",0,Paramètres!$B$53*1.5)</f>
        <v>0</v>
      </c>
      <c r="AH55" s="95"/>
      <c r="AI55" s="95"/>
      <c r="AJ55" s="95"/>
      <c r="AK55" s="95"/>
      <c r="AL55" s="100">
        <f>(U55*Paramètres!$B$53)*3</f>
        <v>0</v>
      </c>
      <c r="AM55" s="100">
        <f t="shared" si="10"/>
        <v>0</v>
      </c>
      <c r="AN55" s="100"/>
      <c r="AO55" s="100">
        <f>U55*Paramètres!$B$72*Paramètres!$B$73</f>
        <v>0</v>
      </c>
      <c r="AP55" s="100"/>
      <c r="AQ55" s="100">
        <f>(Y55+AC55)*Paramètres!$B$42*Paramètres!$B$53</f>
        <v>0</v>
      </c>
      <c r="AR55" s="115">
        <f>ROUNDUP(D55*Paramètres!$B$23*Paramètres!$B$26,-1)</f>
        <v>0</v>
      </c>
      <c r="AS55" s="116">
        <f>Paramètres!$B$53*Paramètres!$B$69</f>
        <v>50000</v>
      </c>
      <c r="AT55" s="117">
        <f t="shared" si="11"/>
        <v>50000</v>
      </c>
    </row>
    <row r="56" spans="1:46" x14ac:dyDescent="0.25">
      <c r="A56" s="59">
        <v>54</v>
      </c>
      <c r="B56" s="95"/>
      <c r="C56" s="95"/>
      <c r="D56" s="95"/>
      <c r="E56" s="95"/>
      <c r="F56" s="95"/>
      <c r="G56" s="103"/>
      <c r="H56" s="103"/>
      <c r="I56" s="103"/>
      <c r="J56" s="97">
        <f>F56*Paramètres!$B$3</f>
        <v>0</v>
      </c>
      <c r="K56" s="98">
        <f t="shared" si="0"/>
        <v>0</v>
      </c>
      <c r="L56" s="98">
        <f t="shared" si="1"/>
        <v>0</v>
      </c>
      <c r="M56" s="98">
        <f t="shared" si="2"/>
        <v>0</v>
      </c>
      <c r="N56" s="99">
        <f>ROUNDUP(J56*Paramètres!$B$19,-1)</f>
        <v>0</v>
      </c>
      <c r="O56" s="95">
        <f t="shared" si="3"/>
        <v>0</v>
      </c>
      <c r="P56" s="100">
        <f t="shared" si="4"/>
        <v>0</v>
      </c>
      <c r="Q56" s="101">
        <f t="shared" si="5"/>
        <v>0</v>
      </c>
      <c r="R56" s="111">
        <f>ROUNDUP(+K56/Paramètres!$B$4/Paramètres!$B$53,0)</f>
        <v>0</v>
      </c>
      <c r="S56" s="111">
        <f>ROUNDUP(+L56/Paramètres!$B$6/Paramètres!$B$53,0)</f>
        <v>0</v>
      </c>
      <c r="T56" s="111"/>
      <c r="U56" s="112">
        <f t="shared" si="6"/>
        <v>0</v>
      </c>
      <c r="V56" s="113">
        <f>R56*Paramètres!$B$7</f>
        <v>0</v>
      </c>
      <c r="W56" s="113">
        <f>S56*Paramètres!$B$9</f>
        <v>0</v>
      </c>
      <c r="X56" s="113"/>
      <c r="Y56" s="114">
        <f t="shared" si="7"/>
        <v>0</v>
      </c>
      <c r="Z56" s="115">
        <f>R56*Paramètres!$B$10</f>
        <v>0</v>
      </c>
      <c r="AA56" s="115">
        <f>S56*Paramètres!$B$10</f>
        <v>0</v>
      </c>
      <c r="AB56" s="115"/>
      <c r="AC56" s="114">
        <f t="shared" si="8"/>
        <v>0</v>
      </c>
      <c r="AD56" s="100">
        <f t="shared" si="12"/>
        <v>0</v>
      </c>
      <c r="AE56" s="100">
        <f t="shared" si="9"/>
        <v>0</v>
      </c>
      <c r="AF56" s="111">
        <f>IF(B56="",0,Paramètres!$B$53*1.5)</f>
        <v>0</v>
      </c>
      <c r="AG56" s="111">
        <f>IF(C56="",0,Paramètres!$B$53*1.5)</f>
        <v>0</v>
      </c>
      <c r="AH56" s="95"/>
      <c r="AI56" s="95"/>
      <c r="AJ56" s="95"/>
      <c r="AK56" s="95"/>
      <c r="AL56" s="100">
        <f>(U56*Paramètres!$B$53)*3</f>
        <v>0</v>
      </c>
      <c r="AM56" s="100">
        <f t="shared" si="10"/>
        <v>0</v>
      </c>
      <c r="AN56" s="100"/>
      <c r="AO56" s="100">
        <f>U56*Paramètres!$B$72*Paramètres!$B$73</f>
        <v>0</v>
      </c>
      <c r="AP56" s="100"/>
      <c r="AQ56" s="100">
        <f>(Y56+AC56)*Paramètres!$B$42*Paramètres!$B$53</f>
        <v>0</v>
      </c>
      <c r="AR56" s="115">
        <f>ROUNDUP(D56*Paramètres!$B$23*Paramètres!$B$26,-1)</f>
        <v>0</v>
      </c>
      <c r="AS56" s="116">
        <f>Paramètres!$B$53*Paramètres!$B$69</f>
        <v>50000</v>
      </c>
      <c r="AT56" s="117">
        <f t="shared" si="11"/>
        <v>50000</v>
      </c>
    </row>
    <row r="57" spans="1:46" x14ac:dyDescent="0.25">
      <c r="A57" s="59">
        <v>55</v>
      </c>
      <c r="B57" s="95"/>
      <c r="C57" s="95"/>
      <c r="D57" s="95"/>
      <c r="E57" s="95"/>
      <c r="F57" s="95"/>
      <c r="G57" s="103"/>
      <c r="H57" s="103"/>
      <c r="I57" s="103"/>
      <c r="J57" s="97">
        <f>F57*Paramètres!$B$3</f>
        <v>0</v>
      </c>
      <c r="K57" s="98">
        <f t="shared" si="0"/>
        <v>0</v>
      </c>
      <c r="L57" s="98">
        <f t="shared" si="1"/>
        <v>0</v>
      </c>
      <c r="M57" s="98">
        <f t="shared" si="2"/>
        <v>0</v>
      </c>
      <c r="N57" s="99">
        <f>ROUNDUP(J57*Paramètres!$B$19,-1)</f>
        <v>0</v>
      </c>
      <c r="O57" s="95">
        <f t="shared" si="3"/>
        <v>0</v>
      </c>
      <c r="P57" s="100">
        <f t="shared" si="4"/>
        <v>0</v>
      </c>
      <c r="Q57" s="101">
        <f t="shared" si="5"/>
        <v>0</v>
      </c>
      <c r="R57" s="111">
        <f>ROUNDUP(+K57/Paramètres!$B$4/Paramètres!$B$53,0)</f>
        <v>0</v>
      </c>
      <c r="S57" s="111">
        <f>ROUNDUP(+L57/Paramètres!$B$6/Paramètres!$B$53,0)</f>
        <v>0</v>
      </c>
      <c r="T57" s="111"/>
      <c r="U57" s="112">
        <f t="shared" si="6"/>
        <v>0</v>
      </c>
      <c r="V57" s="113">
        <f>R57*Paramètres!$B$7</f>
        <v>0</v>
      </c>
      <c r="W57" s="113">
        <f>S57*Paramètres!$B$9</f>
        <v>0</v>
      </c>
      <c r="X57" s="113"/>
      <c r="Y57" s="114">
        <f t="shared" si="7"/>
        <v>0</v>
      </c>
      <c r="Z57" s="115">
        <f>R57*Paramètres!$B$10</f>
        <v>0</v>
      </c>
      <c r="AA57" s="115">
        <f>S57*Paramètres!$B$10</f>
        <v>0</v>
      </c>
      <c r="AB57" s="115"/>
      <c r="AC57" s="114">
        <f t="shared" si="8"/>
        <v>0</v>
      </c>
      <c r="AD57" s="100">
        <f t="shared" si="12"/>
        <v>0</v>
      </c>
      <c r="AE57" s="100">
        <f t="shared" si="9"/>
        <v>0</v>
      </c>
      <c r="AF57" s="111">
        <f>IF(B57="",0,Paramètres!$B$53*1.5)</f>
        <v>0</v>
      </c>
      <c r="AG57" s="111">
        <f>IF(C57="",0,Paramètres!$B$53*1.5)</f>
        <v>0</v>
      </c>
      <c r="AH57" s="95"/>
      <c r="AI57" s="95"/>
      <c r="AJ57" s="95"/>
      <c r="AK57" s="95"/>
      <c r="AL57" s="100">
        <f>(U57*Paramètres!$B$53)*3</f>
        <v>0</v>
      </c>
      <c r="AM57" s="100">
        <f t="shared" si="10"/>
        <v>0</v>
      </c>
      <c r="AN57" s="100"/>
      <c r="AO57" s="100">
        <f>U57*Paramètres!$B$72*Paramètres!$B$73</f>
        <v>0</v>
      </c>
      <c r="AP57" s="100"/>
      <c r="AQ57" s="100">
        <f>(Y57+AC57)*Paramètres!$B$42*Paramètres!$B$53</f>
        <v>0</v>
      </c>
      <c r="AR57" s="115">
        <f>ROUNDUP(D57*Paramètres!$B$23*Paramètres!$B$26,-1)</f>
        <v>0</v>
      </c>
      <c r="AS57" s="116">
        <f>Paramètres!$B$53*Paramètres!$B$69</f>
        <v>50000</v>
      </c>
      <c r="AT57" s="117">
        <f t="shared" si="11"/>
        <v>50000</v>
      </c>
    </row>
    <row r="58" spans="1:46" x14ac:dyDescent="0.25">
      <c r="A58" s="59">
        <v>56</v>
      </c>
      <c r="B58" s="95"/>
      <c r="C58" s="95"/>
      <c r="D58" s="95"/>
      <c r="E58" s="95"/>
      <c r="F58" s="95"/>
      <c r="G58" s="103"/>
      <c r="H58" s="103"/>
      <c r="I58" s="103"/>
      <c r="J58" s="97">
        <f>F58*Paramètres!$B$3</f>
        <v>0</v>
      </c>
      <c r="K58" s="98">
        <f t="shared" si="0"/>
        <v>0</v>
      </c>
      <c r="L58" s="98">
        <f t="shared" si="1"/>
        <v>0</v>
      </c>
      <c r="M58" s="98">
        <f t="shared" si="2"/>
        <v>0</v>
      </c>
      <c r="N58" s="99">
        <f>ROUNDUP(J58*Paramètres!$B$19,-1)</f>
        <v>0</v>
      </c>
      <c r="O58" s="95">
        <f t="shared" si="3"/>
        <v>0</v>
      </c>
      <c r="P58" s="100">
        <f t="shared" si="4"/>
        <v>0</v>
      </c>
      <c r="Q58" s="101">
        <f t="shared" si="5"/>
        <v>0</v>
      </c>
      <c r="R58" s="111">
        <f>ROUNDUP(+K58/Paramètres!$B$4/Paramètres!$B$53,0)</f>
        <v>0</v>
      </c>
      <c r="S58" s="111">
        <f>ROUNDUP(+L58/Paramètres!$B$6/Paramètres!$B$53,0)</f>
        <v>0</v>
      </c>
      <c r="T58" s="111"/>
      <c r="U58" s="112">
        <f t="shared" si="6"/>
        <v>0</v>
      </c>
      <c r="V58" s="113">
        <f>R58*Paramètres!$B$7</f>
        <v>0</v>
      </c>
      <c r="W58" s="113">
        <f>S58*Paramètres!$B$9</f>
        <v>0</v>
      </c>
      <c r="X58" s="113"/>
      <c r="Y58" s="114">
        <f t="shared" si="7"/>
        <v>0</v>
      </c>
      <c r="Z58" s="115">
        <f>R58*Paramètres!$B$10</f>
        <v>0</v>
      </c>
      <c r="AA58" s="115">
        <f>S58*Paramètres!$B$10</f>
        <v>0</v>
      </c>
      <c r="AB58" s="115"/>
      <c r="AC58" s="114">
        <f t="shared" si="8"/>
        <v>0</v>
      </c>
      <c r="AD58" s="100">
        <f t="shared" si="12"/>
        <v>0</v>
      </c>
      <c r="AE58" s="100">
        <f t="shared" si="9"/>
        <v>0</v>
      </c>
      <c r="AF58" s="111">
        <f>IF(B58="",0,Paramètres!$B$53*1.5)</f>
        <v>0</v>
      </c>
      <c r="AG58" s="111">
        <f>IF(C58="",0,Paramètres!$B$53*1.5)</f>
        <v>0</v>
      </c>
      <c r="AH58" s="95"/>
      <c r="AI58" s="95"/>
      <c r="AJ58" s="95"/>
      <c r="AK58" s="95"/>
      <c r="AL58" s="100">
        <f>(U58*Paramètres!$B$53)*3</f>
        <v>0</v>
      </c>
      <c r="AM58" s="100">
        <f t="shared" si="10"/>
        <v>0</v>
      </c>
      <c r="AN58" s="100"/>
      <c r="AO58" s="100">
        <f>U58*Paramètres!$B$72*Paramètres!$B$73</f>
        <v>0</v>
      </c>
      <c r="AP58" s="100"/>
      <c r="AQ58" s="100">
        <f>(Y58+AC58)*Paramètres!$B$42*Paramètres!$B$53</f>
        <v>0</v>
      </c>
      <c r="AR58" s="115">
        <f>ROUNDUP(D58*Paramètres!$B$23*Paramètres!$B$26,-1)</f>
        <v>0</v>
      </c>
      <c r="AS58" s="116">
        <f>Paramètres!$B$53*Paramètres!$B$69</f>
        <v>50000</v>
      </c>
      <c r="AT58" s="117">
        <f t="shared" si="11"/>
        <v>50000</v>
      </c>
    </row>
    <row r="59" spans="1:46" x14ac:dyDescent="0.25">
      <c r="A59" s="59">
        <v>57</v>
      </c>
      <c r="B59" s="95"/>
      <c r="C59" s="95"/>
      <c r="D59" s="95"/>
      <c r="E59" s="95"/>
      <c r="F59" s="95"/>
      <c r="G59" s="103"/>
      <c r="H59" s="103"/>
      <c r="I59" s="103"/>
      <c r="J59" s="97">
        <f>F59*Paramètres!$B$3</f>
        <v>0</v>
      </c>
      <c r="K59" s="98">
        <f t="shared" si="0"/>
        <v>0</v>
      </c>
      <c r="L59" s="98">
        <f t="shared" si="1"/>
        <v>0</v>
      </c>
      <c r="M59" s="98">
        <f t="shared" si="2"/>
        <v>0</v>
      </c>
      <c r="N59" s="99">
        <f>ROUNDUP(J59*Paramètres!$B$19,-1)</f>
        <v>0</v>
      </c>
      <c r="O59" s="95">
        <f t="shared" si="3"/>
        <v>0</v>
      </c>
      <c r="P59" s="100">
        <f t="shared" si="4"/>
        <v>0</v>
      </c>
      <c r="Q59" s="101">
        <f t="shared" si="5"/>
        <v>0</v>
      </c>
      <c r="R59" s="111">
        <f>ROUNDUP(+K59/Paramètres!$B$4/Paramètres!$B$53,0)</f>
        <v>0</v>
      </c>
      <c r="S59" s="111">
        <f>ROUNDUP(+L59/Paramètres!$B$6/Paramètres!$B$53,0)</f>
        <v>0</v>
      </c>
      <c r="T59" s="111"/>
      <c r="U59" s="112">
        <f t="shared" si="6"/>
        <v>0</v>
      </c>
      <c r="V59" s="113">
        <f>R59*Paramètres!$B$7</f>
        <v>0</v>
      </c>
      <c r="W59" s="113">
        <f>S59*Paramètres!$B$9</f>
        <v>0</v>
      </c>
      <c r="X59" s="113"/>
      <c r="Y59" s="114">
        <f t="shared" si="7"/>
        <v>0</v>
      </c>
      <c r="Z59" s="115">
        <f>R59*Paramètres!$B$10</f>
        <v>0</v>
      </c>
      <c r="AA59" s="115">
        <f>S59*Paramètres!$B$10</f>
        <v>0</v>
      </c>
      <c r="AB59" s="115"/>
      <c r="AC59" s="114">
        <f t="shared" si="8"/>
        <v>0</v>
      </c>
      <c r="AD59" s="100">
        <f t="shared" si="12"/>
        <v>0</v>
      </c>
      <c r="AE59" s="100">
        <f t="shared" si="9"/>
        <v>0</v>
      </c>
      <c r="AF59" s="111">
        <f>IF(B59="",0,Paramètres!$B$53*1.5)</f>
        <v>0</v>
      </c>
      <c r="AG59" s="111">
        <f>IF(C59="",0,Paramètres!$B$53*1.5)</f>
        <v>0</v>
      </c>
      <c r="AH59" s="95"/>
      <c r="AI59" s="95"/>
      <c r="AJ59" s="95"/>
      <c r="AK59" s="95"/>
      <c r="AL59" s="100">
        <f>(U59*Paramètres!$B$53)*3</f>
        <v>0</v>
      </c>
      <c r="AM59" s="100">
        <f t="shared" si="10"/>
        <v>0</v>
      </c>
      <c r="AN59" s="100"/>
      <c r="AO59" s="100">
        <f>U59*Paramètres!$B$72*Paramètres!$B$73</f>
        <v>0</v>
      </c>
      <c r="AP59" s="100"/>
      <c r="AQ59" s="100">
        <f>(Y59+AC59)*Paramètres!$B$42*Paramètres!$B$53</f>
        <v>0</v>
      </c>
      <c r="AR59" s="115">
        <f>ROUNDUP(D59*Paramètres!$B$23*Paramètres!$B$26,-1)</f>
        <v>0</v>
      </c>
      <c r="AS59" s="116">
        <f>Paramètres!$B$53*Paramètres!$B$69</f>
        <v>50000</v>
      </c>
      <c r="AT59" s="117">
        <f t="shared" si="11"/>
        <v>50000</v>
      </c>
    </row>
    <row r="60" spans="1:46" x14ac:dyDescent="0.25">
      <c r="A60" s="59">
        <v>58</v>
      </c>
      <c r="B60" s="95"/>
      <c r="C60" s="95"/>
      <c r="D60" s="95"/>
      <c r="E60" s="95"/>
      <c r="F60" s="95"/>
      <c r="G60" s="103"/>
      <c r="H60" s="103"/>
      <c r="I60" s="103"/>
      <c r="J60" s="97">
        <f>F60*Paramètres!$B$3</f>
        <v>0</v>
      </c>
      <c r="K60" s="98">
        <f t="shared" si="0"/>
        <v>0</v>
      </c>
      <c r="L60" s="98">
        <f t="shared" si="1"/>
        <v>0</v>
      </c>
      <c r="M60" s="98">
        <f t="shared" si="2"/>
        <v>0</v>
      </c>
      <c r="N60" s="99">
        <f>ROUNDUP(J60*Paramètres!$B$19,-1)</f>
        <v>0</v>
      </c>
      <c r="O60" s="95">
        <f t="shared" si="3"/>
        <v>0</v>
      </c>
      <c r="P60" s="100">
        <f t="shared" si="4"/>
        <v>0</v>
      </c>
      <c r="Q60" s="101">
        <f t="shared" si="5"/>
        <v>0</v>
      </c>
      <c r="R60" s="111">
        <f>ROUNDUP(+K60/Paramètres!$B$4/Paramètres!$B$53,0)</f>
        <v>0</v>
      </c>
      <c r="S60" s="111">
        <f>ROUNDUP(+L60/Paramètres!$B$6/Paramètres!$B$53,0)</f>
        <v>0</v>
      </c>
      <c r="T60" s="111"/>
      <c r="U60" s="112">
        <f t="shared" si="6"/>
        <v>0</v>
      </c>
      <c r="V60" s="113">
        <f>R60*Paramètres!$B$7</f>
        <v>0</v>
      </c>
      <c r="W60" s="113">
        <f>S60*Paramètres!$B$9</f>
        <v>0</v>
      </c>
      <c r="X60" s="113"/>
      <c r="Y60" s="114">
        <f t="shared" si="7"/>
        <v>0</v>
      </c>
      <c r="Z60" s="115">
        <f>R60*Paramètres!$B$10</f>
        <v>0</v>
      </c>
      <c r="AA60" s="115">
        <f>S60*Paramètres!$B$10</f>
        <v>0</v>
      </c>
      <c r="AB60" s="115"/>
      <c r="AC60" s="114">
        <f t="shared" si="8"/>
        <v>0</v>
      </c>
      <c r="AD60" s="100">
        <f t="shared" si="12"/>
        <v>0</v>
      </c>
      <c r="AE60" s="100">
        <f t="shared" si="9"/>
        <v>0</v>
      </c>
      <c r="AF60" s="111">
        <f>IF(B60="",0,Paramètres!$B$53*1.5)</f>
        <v>0</v>
      </c>
      <c r="AG60" s="111">
        <f>IF(C60="",0,Paramètres!$B$53*1.5)</f>
        <v>0</v>
      </c>
      <c r="AH60" s="95"/>
      <c r="AI60" s="95"/>
      <c r="AJ60" s="95"/>
      <c r="AK60" s="95"/>
      <c r="AL60" s="100">
        <f>(U60*Paramètres!$B$53)*3</f>
        <v>0</v>
      </c>
      <c r="AM60" s="100">
        <f t="shared" si="10"/>
        <v>0</v>
      </c>
      <c r="AN60" s="100"/>
      <c r="AO60" s="100">
        <f>U60*Paramètres!$B$72*Paramètres!$B$73</f>
        <v>0</v>
      </c>
      <c r="AP60" s="100"/>
      <c r="AQ60" s="100">
        <f>(Y60+AC60)*Paramètres!$B$42*Paramètres!$B$53</f>
        <v>0</v>
      </c>
      <c r="AR60" s="115">
        <f>ROUNDUP(D60*Paramètres!$B$23*Paramètres!$B$26,-1)</f>
        <v>0</v>
      </c>
      <c r="AS60" s="116">
        <f>Paramètres!$B$53*Paramètres!$B$69</f>
        <v>50000</v>
      </c>
      <c r="AT60" s="117">
        <f t="shared" si="11"/>
        <v>50000</v>
      </c>
    </row>
    <row r="61" spans="1:46" x14ac:dyDescent="0.25">
      <c r="A61" s="59">
        <v>59</v>
      </c>
      <c r="B61" s="95"/>
      <c r="C61" s="95"/>
      <c r="D61" s="95"/>
      <c r="E61" s="95"/>
      <c r="F61" s="95"/>
      <c r="G61" s="103"/>
      <c r="H61" s="103"/>
      <c r="I61" s="103"/>
      <c r="J61" s="97">
        <f>F61*Paramètres!$B$3</f>
        <v>0</v>
      </c>
      <c r="K61" s="98">
        <f t="shared" si="0"/>
        <v>0</v>
      </c>
      <c r="L61" s="98">
        <f t="shared" si="1"/>
        <v>0</v>
      </c>
      <c r="M61" s="98">
        <f t="shared" si="2"/>
        <v>0</v>
      </c>
      <c r="N61" s="99">
        <f>ROUNDUP(J61*Paramètres!$B$19,-1)</f>
        <v>0</v>
      </c>
      <c r="O61" s="95">
        <f t="shared" si="3"/>
        <v>0</v>
      </c>
      <c r="P61" s="100">
        <f t="shared" si="4"/>
        <v>0</v>
      </c>
      <c r="Q61" s="101">
        <f t="shared" si="5"/>
        <v>0</v>
      </c>
      <c r="R61" s="111">
        <f>ROUNDUP(+K61/Paramètres!$B$4/Paramètres!$B$53,0)</f>
        <v>0</v>
      </c>
      <c r="S61" s="111">
        <f>ROUNDUP(+L61/Paramètres!$B$6/Paramètres!$B$53,0)</f>
        <v>0</v>
      </c>
      <c r="T61" s="111"/>
      <c r="U61" s="112">
        <f t="shared" si="6"/>
        <v>0</v>
      </c>
      <c r="V61" s="113">
        <f>R61*Paramètres!$B$7</f>
        <v>0</v>
      </c>
      <c r="W61" s="113">
        <f>S61*Paramètres!$B$9</f>
        <v>0</v>
      </c>
      <c r="X61" s="113"/>
      <c r="Y61" s="114">
        <f t="shared" si="7"/>
        <v>0</v>
      </c>
      <c r="Z61" s="115">
        <f>R61*Paramètres!$B$10</f>
        <v>0</v>
      </c>
      <c r="AA61" s="115">
        <f>S61*Paramètres!$B$10</f>
        <v>0</v>
      </c>
      <c r="AB61" s="115"/>
      <c r="AC61" s="114">
        <f t="shared" si="8"/>
        <v>0</v>
      </c>
      <c r="AD61" s="100">
        <f t="shared" si="12"/>
        <v>0</v>
      </c>
      <c r="AE61" s="100">
        <f t="shared" si="9"/>
        <v>0</v>
      </c>
      <c r="AF61" s="111">
        <f>IF(B61="",0,Paramètres!$B$53*1.5)</f>
        <v>0</v>
      </c>
      <c r="AG61" s="111">
        <f>IF(C61="",0,Paramètres!$B$53*1.5)</f>
        <v>0</v>
      </c>
      <c r="AH61" s="95"/>
      <c r="AI61" s="95"/>
      <c r="AJ61" s="95"/>
      <c r="AK61" s="95"/>
      <c r="AL61" s="100">
        <f>(U61*Paramètres!$B$53)*3</f>
        <v>0</v>
      </c>
      <c r="AM61" s="100">
        <f t="shared" si="10"/>
        <v>0</v>
      </c>
      <c r="AN61" s="100"/>
      <c r="AO61" s="100">
        <f>U61*Paramètres!$B$72*Paramètres!$B$73</f>
        <v>0</v>
      </c>
      <c r="AP61" s="100"/>
      <c r="AQ61" s="100">
        <f>(Y61+AC61)*Paramètres!$B$42*Paramètres!$B$53</f>
        <v>0</v>
      </c>
      <c r="AR61" s="115">
        <f>ROUNDUP(D61*Paramètres!$B$23*Paramètres!$B$26,-1)</f>
        <v>0</v>
      </c>
      <c r="AS61" s="116">
        <f>Paramètres!$B$53*Paramètres!$B$69</f>
        <v>50000</v>
      </c>
      <c r="AT61" s="117">
        <f t="shared" si="11"/>
        <v>50000</v>
      </c>
    </row>
    <row r="62" spans="1:46" x14ac:dyDescent="0.25">
      <c r="A62" s="59">
        <v>60</v>
      </c>
      <c r="B62" s="95"/>
      <c r="C62" s="95"/>
      <c r="D62" s="95"/>
      <c r="E62" s="95"/>
      <c r="F62" s="95"/>
      <c r="G62" s="103"/>
      <c r="H62" s="103"/>
      <c r="I62" s="103"/>
      <c r="J62" s="97">
        <f>F62*Paramètres!$B$3</f>
        <v>0</v>
      </c>
      <c r="K62" s="98">
        <f t="shared" si="0"/>
        <v>0</v>
      </c>
      <c r="L62" s="98">
        <f t="shared" si="1"/>
        <v>0</v>
      </c>
      <c r="M62" s="98">
        <f t="shared" si="2"/>
        <v>0</v>
      </c>
      <c r="N62" s="99">
        <f>ROUNDUP(J62*Paramètres!$B$19,-1)</f>
        <v>0</v>
      </c>
      <c r="O62" s="95">
        <f t="shared" si="3"/>
        <v>0</v>
      </c>
      <c r="P62" s="100">
        <f t="shared" si="4"/>
        <v>0</v>
      </c>
      <c r="Q62" s="101">
        <f t="shared" si="5"/>
        <v>0</v>
      </c>
      <c r="R62" s="111">
        <f>ROUNDUP(+K62/Paramètres!$B$4/Paramètres!$B$53,0)</f>
        <v>0</v>
      </c>
      <c r="S62" s="111">
        <f>ROUNDUP(+L62/Paramètres!$B$6/Paramètres!$B$53,0)</f>
        <v>0</v>
      </c>
      <c r="T62" s="111"/>
      <c r="U62" s="112">
        <f t="shared" si="6"/>
        <v>0</v>
      </c>
      <c r="V62" s="113">
        <f>R62*Paramètres!$B$7</f>
        <v>0</v>
      </c>
      <c r="W62" s="113">
        <f>S62*Paramètres!$B$9</f>
        <v>0</v>
      </c>
      <c r="X62" s="113"/>
      <c r="Y62" s="114">
        <f t="shared" si="7"/>
        <v>0</v>
      </c>
      <c r="Z62" s="115">
        <f>R62*Paramètres!$B$10</f>
        <v>0</v>
      </c>
      <c r="AA62" s="115">
        <f>S62*Paramètres!$B$10</f>
        <v>0</v>
      </c>
      <c r="AB62" s="115"/>
      <c r="AC62" s="114">
        <f t="shared" si="8"/>
        <v>0</v>
      </c>
      <c r="AD62" s="100">
        <f t="shared" si="12"/>
        <v>0</v>
      </c>
      <c r="AE62" s="100">
        <f t="shared" si="9"/>
        <v>0</v>
      </c>
      <c r="AF62" s="111">
        <f>IF(B62="",0,Paramètres!$B$53*1.5)</f>
        <v>0</v>
      </c>
      <c r="AG62" s="111">
        <f>IF(C62="",0,Paramètres!$B$53*1.5)</f>
        <v>0</v>
      </c>
      <c r="AH62" s="95"/>
      <c r="AI62" s="95"/>
      <c r="AJ62" s="95"/>
      <c r="AK62" s="95"/>
      <c r="AL62" s="100">
        <f>(U62*Paramètres!$B$53)*3</f>
        <v>0</v>
      </c>
      <c r="AM62" s="100">
        <f t="shared" si="10"/>
        <v>0</v>
      </c>
      <c r="AN62" s="100"/>
      <c r="AO62" s="100">
        <f>U62*Paramètres!$B$72*Paramètres!$B$73</f>
        <v>0</v>
      </c>
      <c r="AP62" s="100"/>
      <c r="AQ62" s="100">
        <f>(Y62+AC62)*Paramètres!$B$42*Paramètres!$B$53</f>
        <v>0</v>
      </c>
      <c r="AR62" s="115">
        <f>ROUNDUP(D62*Paramètres!$B$23*Paramètres!$B$26,-1)</f>
        <v>0</v>
      </c>
      <c r="AS62" s="116">
        <f>Paramètres!$B$53*Paramètres!$B$69</f>
        <v>50000</v>
      </c>
      <c r="AT62" s="117">
        <f t="shared" si="11"/>
        <v>50000</v>
      </c>
    </row>
    <row r="63" spans="1:46" x14ac:dyDescent="0.25">
      <c r="A63" s="59"/>
      <c r="B63" s="95"/>
      <c r="C63" s="95"/>
      <c r="D63" s="95"/>
      <c r="E63" s="95"/>
      <c r="F63" s="95"/>
      <c r="G63" s="103"/>
      <c r="H63" s="103"/>
      <c r="I63" s="103"/>
      <c r="J63" s="97">
        <f>F63*Paramètres!$B$3</f>
        <v>0</v>
      </c>
      <c r="K63" s="98">
        <f t="shared" si="0"/>
        <v>0</v>
      </c>
      <c r="L63" s="98">
        <f t="shared" si="1"/>
        <v>0</v>
      </c>
      <c r="M63" s="98">
        <f t="shared" si="2"/>
        <v>0</v>
      </c>
      <c r="N63" s="99">
        <f>ROUNDUP(J63*Paramètres!$B$19,-1)</f>
        <v>0</v>
      </c>
      <c r="O63" s="95">
        <f t="shared" si="3"/>
        <v>0</v>
      </c>
      <c r="P63" s="100">
        <f t="shared" si="4"/>
        <v>0</v>
      </c>
      <c r="Q63" s="101">
        <f t="shared" si="5"/>
        <v>0</v>
      </c>
      <c r="R63" s="111">
        <f>ROUNDUP(+K63/Paramètres!$B$4/Paramètres!$B$53,0)</f>
        <v>0</v>
      </c>
      <c r="S63" s="111">
        <f>ROUNDUP(+L63/Paramètres!$B$6/Paramètres!$B$53,0)</f>
        <v>0</v>
      </c>
      <c r="T63" s="111"/>
      <c r="U63" s="112">
        <f t="shared" si="6"/>
        <v>0</v>
      </c>
      <c r="V63" s="113">
        <f>R63*Paramètres!$B$7</f>
        <v>0</v>
      </c>
      <c r="W63" s="113">
        <f>S63*Paramètres!$B$9</f>
        <v>0</v>
      </c>
      <c r="X63" s="113"/>
      <c r="Y63" s="114">
        <f t="shared" si="7"/>
        <v>0</v>
      </c>
      <c r="Z63" s="115">
        <f>R63*Paramètres!$B$10</f>
        <v>0</v>
      </c>
      <c r="AA63" s="115">
        <f>S63*Paramètres!$B$10</f>
        <v>0</v>
      </c>
      <c r="AB63" s="115"/>
      <c r="AC63" s="114">
        <f t="shared" si="8"/>
        <v>0</v>
      </c>
      <c r="AD63" s="100">
        <f t="shared" si="12"/>
        <v>0</v>
      </c>
      <c r="AE63" s="100">
        <f t="shared" si="9"/>
        <v>0</v>
      </c>
      <c r="AF63" s="111">
        <f>IF(B63="",0,Paramètres!$B$53*1.5)</f>
        <v>0</v>
      </c>
      <c r="AG63" s="111">
        <f>IF(C63="",0,Paramètres!$B$53*1.5)</f>
        <v>0</v>
      </c>
      <c r="AH63" s="95"/>
      <c r="AI63" s="95"/>
      <c r="AJ63" s="95"/>
      <c r="AK63" s="95"/>
      <c r="AL63" s="100">
        <f>(U63*Paramètres!$B$53)*3</f>
        <v>0</v>
      </c>
      <c r="AM63" s="100">
        <f t="shared" si="10"/>
        <v>0</v>
      </c>
      <c r="AN63" s="100"/>
      <c r="AO63" s="100">
        <f>U63*Paramètres!$B$72*Paramètres!$B$73</f>
        <v>0</v>
      </c>
      <c r="AP63" s="100"/>
      <c r="AQ63" s="100">
        <f>(Y63+AC63)*Paramètres!$B$42*Paramètres!$B$53</f>
        <v>0</v>
      </c>
      <c r="AR63" s="115">
        <f>ROUNDUP(D63*Paramètres!$B$23*Paramètres!$B$26,-1)</f>
        <v>0</v>
      </c>
      <c r="AS63" s="116">
        <f>Paramètres!$B$53*Paramètres!$B$69</f>
        <v>50000</v>
      </c>
      <c r="AT63" s="117">
        <f t="shared" si="11"/>
        <v>50000</v>
      </c>
    </row>
    <row r="64" spans="1:46" x14ac:dyDescent="0.25">
      <c r="A64" s="59"/>
      <c r="B64" s="95"/>
      <c r="C64" s="95"/>
      <c r="D64" s="95"/>
      <c r="E64" s="95"/>
      <c r="F64" s="95"/>
      <c r="G64" s="103"/>
      <c r="H64" s="103"/>
      <c r="I64" s="103"/>
      <c r="J64" s="97">
        <f>F64*Paramètres!$B$3</f>
        <v>0</v>
      </c>
      <c r="K64" s="98">
        <f t="shared" si="0"/>
        <v>0</v>
      </c>
      <c r="L64" s="98">
        <f t="shared" si="1"/>
        <v>0</v>
      </c>
      <c r="M64" s="98">
        <f t="shared" si="2"/>
        <v>0</v>
      </c>
      <c r="N64" s="99">
        <f>ROUNDUP(J64*Paramètres!$B$19,-1)</f>
        <v>0</v>
      </c>
      <c r="O64" s="95">
        <f t="shared" si="3"/>
        <v>0</v>
      </c>
      <c r="P64" s="100">
        <f t="shared" si="4"/>
        <v>0</v>
      </c>
      <c r="Q64" s="101">
        <f t="shared" si="5"/>
        <v>0</v>
      </c>
      <c r="R64" s="111">
        <f>ROUNDUP(+K64/Paramètres!$B$4/Paramètres!$B$53,0)</f>
        <v>0</v>
      </c>
      <c r="S64" s="111">
        <f>ROUNDUP(+L64/Paramètres!$B$6/Paramètres!$B$53,0)</f>
        <v>0</v>
      </c>
      <c r="T64" s="111"/>
      <c r="U64" s="112">
        <f t="shared" si="6"/>
        <v>0</v>
      </c>
      <c r="V64" s="113">
        <f>R64*Paramètres!$B$7</f>
        <v>0</v>
      </c>
      <c r="W64" s="113">
        <f>S64*Paramètres!$B$9</f>
        <v>0</v>
      </c>
      <c r="X64" s="113"/>
      <c r="Y64" s="114">
        <f t="shared" si="7"/>
        <v>0</v>
      </c>
      <c r="Z64" s="115">
        <f>R64*Paramètres!$B$10</f>
        <v>0</v>
      </c>
      <c r="AA64" s="115">
        <f>S64*Paramètres!$B$10</f>
        <v>0</v>
      </c>
      <c r="AB64" s="115"/>
      <c r="AC64" s="114">
        <f t="shared" si="8"/>
        <v>0</v>
      </c>
      <c r="AD64" s="100">
        <f t="shared" si="12"/>
        <v>0</v>
      </c>
      <c r="AE64" s="100">
        <f t="shared" si="9"/>
        <v>0</v>
      </c>
      <c r="AF64" s="111">
        <f>IF(B64="",0,Paramètres!$B$53*1.5)</f>
        <v>0</v>
      </c>
      <c r="AG64" s="111">
        <f>IF(C64="",0,Paramètres!$B$53*1.5)</f>
        <v>0</v>
      </c>
      <c r="AH64" s="95"/>
      <c r="AI64" s="95"/>
      <c r="AJ64" s="95"/>
      <c r="AK64" s="95"/>
      <c r="AL64" s="100">
        <f>(U64*Paramètres!$B$53)*3</f>
        <v>0</v>
      </c>
      <c r="AM64" s="100">
        <f t="shared" si="10"/>
        <v>0</v>
      </c>
      <c r="AN64" s="100"/>
      <c r="AO64" s="100">
        <f>U64*Paramètres!$B$72*Paramètres!$B$73</f>
        <v>0</v>
      </c>
      <c r="AP64" s="100"/>
      <c r="AQ64" s="100">
        <f>(Y64+AC64)*Paramètres!$B$42*Paramètres!$B$53</f>
        <v>0</v>
      </c>
      <c r="AR64" s="115">
        <f>ROUNDUP(D64*Paramètres!$B$23*Paramètres!$B$26,-1)</f>
        <v>0</v>
      </c>
      <c r="AS64" s="116">
        <f>Paramètres!$B$53*Paramètres!$B$69</f>
        <v>50000</v>
      </c>
      <c r="AT64" s="117">
        <f t="shared" si="11"/>
        <v>50000</v>
      </c>
    </row>
    <row r="65" spans="1:46" x14ac:dyDescent="0.25">
      <c r="A65" s="59"/>
      <c r="B65" s="95"/>
      <c r="C65" s="95"/>
      <c r="D65" s="95"/>
      <c r="E65" s="95"/>
      <c r="F65" s="95"/>
      <c r="G65" s="103"/>
      <c r="H65" s="103"/>
      <c r="I65" s="103"/>
      <c r="J65" s="97">
        <f>F65*Paramètres!$B$3</f>
        <v>0</v>
      </c>
      <c r="K65" s="98">
        <f t="shared" si="0"/>
        <v>0</v>
      </c>
      <c r="L65" s="98">
        <f t="shared" si="1"/>
        <v>0</v>
      </c>
      <c r="M65" s="98">
        <f t="shared" si="2"/>
        <v>0</v>
      </c>
      <c r="N65" s="99">
        <f>ROUNDUP(J65*Paramètres!$B$19,-1)</f>
        <v>0</v>
      </c>
      <c r="O65" s="95">
        <f t="shared" si="3"/>
        <v>0</v>
      </c>
      <c r="P65" s="100">
        <f t="shared" si="4"/>
        <v>0</v>
      </c>
      <c r="Q65" s="101">
        <f t="shared" si="5"/>
        <v>0</v>
      </c>
      <c r="R65" s="111">
        <f>ROUNDUP(+K65/Paramètres!$B$4/Paramètres!$B$53,0)</f>
        <v>0</v>
      </c>
      <c r="S65" s="111">
        <f>ROUNDUP(+L65/Paramètres!$B$6/Paramètres!$B$53,0)</f>
        <v>0</v>
      </c>
      <c r="T65" s="111"/>
      <c r="U65" s="112">
        <f t="shared" si="6"/>
        <v>0</v>
      </c>
      <c r="V65" s="113">
        <f>R65*Paramètres!$B$7</f>
        <v>0</v>
      </c>
      <c r="W65" s="113">
        <f>S65*Paramètres!$B$9</f>
        <v>0</v>
      </c>
      <c r="X65" s="113"/>
      <c r="Y65" s="114">
        <f t="shared" si="7"/>
        <v>0</v>
      </c>
      <c r="Z65" s="115">
        <f>R65*Paramètres!$B$10</f>
        <v>0</v>
      </c>
      <c r="AA65" s="115">
        <f>S65*Paramètres!$B$10</f>
        <v>0</v>
      </c>
      <c r="AB65" s="115"/>
      <c r="AC65" s="114">
        <f t="shared" si="8"/>
        <v>0</v>
      </c>
      <c r="AD65" s="100">
        <f t="shared" si="12"/>
        <v>0</v>
      </c>
      <c r="AE65" s="100">
        <f t="shared" si="9"/>
        <v>0</v>
      </c>
      <c r="AF65" s="111">
        <f>IF(B65="",0,Paramètres!$B$53*1.5)</f>
        <v>0</v>
      </c>
      <c r="AG65" s="111">
        <f>IF(C65="",0,Paramètres!$B$53*1.5)</f>
        <v>0</v>
      </c>
      <c r="AH65" s="95"/>
      <c r="AI65" s="95"/>
      <c r="AJ65" s="95"/>
      <c r="AK65" s="95"/>
      <c r="AL65" s="100">
        <f>(U65*Paramètres!$B$53)*3</f>
        <v>0</v>
      </c>
      <c r="AM65" s="100">
        <f t="shared" si="10"/>
        <v>0</v>
      </c>
      <c r="AN65" s="100"/>
      <c r="AO65" s="100">
        <f>U65*Paramètres!$B$72*Paramètres!$B$73</f>
        <v>0</v>
      </c>
      <c r="AP65" s="100"/>
      <c r="AQ65" s="100">
        <f>(Y65+AC65)*Paramètres!$B$42*Paramètres!$B$53</f>
        <v>0</v>
      </c>
      <c r="AR65" s="115">
        <f>ROUNDUP(D65*Paramètres!$B$23*Paramètres!$B$26,-1)</f>
        <v>0</v>
      </c>
      <c r="AS65" s="116">
        <f>Paramètres!$B$53*Paramètres!$B$69</f>
        <v>50000</v>
      </c>
      <c r="AT65" s="117">
        <f t="shared" si="11"/>
        <v>50000</v>
      </c>
    </row>
    <row r="66" spans="1:46" x14ac:dyDescent="0.25">
      <c r="A66" s="59"/>
      <c r="B66" s="95"/>
      <c r="C66" s="95"/>
      <c r="D66" s="95"/>
      <c r="E66" s="95"/>
      <c r="F66" s="95"/>
      <c r="G66" s="103"/>
      <c r="H66" s="103"/>
      <c r="I66" s="103"/>
      <c r="J66" s="97">
        <f>F66*Paramètres!$B$3</f>
        <v>0</v>
      </c>
      <c r="K66" s="98">
        <f t="shared" si="0"/>
        <v>0</v>
      </c>
      <c r="L66" s="98">
        <f t="shared" si="1"/>
        <v>0</v>
      </c>
      <c r="M66" s="98">
        <f t="shared" si="2"/>
        <v>0</v>
      </c>
      <c r="N66" s="99">
        <f>ROUNDUP(J66*Paramètres!$B$19,-1)</f>
        <v>0</v>
      </c>
      <c r="O66" s="95">
        <f t="shared" si="3"/>
        <v>0</v>
      </c>
      <c r="P66" s="100">
        <f t="shared" si="4"/>
        <v>0</v>
      </c>
      <c r="Q66" s="101">
        <f t="shared" si="5"/>
        <v>0</v>
      </c>
      <c r="R66" s="111">
        <f>ROUNDUP(+K66/Paramètres!$B$4/Paramètres!$B$53,0)</f>
        <v>0</v>
      </c>
      <c r="S66" s="111">
        <f>ROUNDUP(+L66/Paramètres!$B$6/Paramètres!$B$53,0)</f>
        <v>0</v>
      </c>
      <c r="T66" s="111"/>
      <c r="U66" s="112">
        <f t="shared" si="6"/>
        <v>0</v>
      </c>
      <c r="V66" s="113">
        <f>R66*Paramètres!$B$7</f>
        <v>0</v>
      </c>
      <c r="W66" s="113">
        <f>S66*Paramètres!$B$9</f>
        <v>0</v>
      </c>
      <c r="X66" s="113"/>
      <c r="Y66" s="114">
        <f t="shared" si="7"/>
        <v>0</v>
      </c>
      <c r="Z66" s="115">
        <f>R66*Paramètres!$B$10</f>
        <v>0</v>
      </c>
      <c r="AA66" s="115">
        <f>S66*Paramètres!$B$10</f>
        <v>0</v>
      </c>
      <c r="AB66" s="115"/>
      <c r="AC66" s="114">
        <f t="shared" si="8"/>
        <v>0</v>
      </c>
      <c r="AD66" s="100">
        <f t="shared" si="12"/>
        <v>0</v>
      </c>
      <c r="AE66" s="100">
        <f t="shared" si="9"/>
        <v>0</v>
      </c>
      <c r="AF66" s="111">
        <f>IF(B66="",0,Paramètres!$B$53*1.5)</f>
        <v>0</v>
      </c>
      <c r="AG66" s="111">
        <f>IF(C66="",0,Paramètres!$B$53*1.5)</f>
        <v>0</v>
      </c>
      <c r="AH66" s="95"/>
      <c r="AI66" s="95"/>
      <c r="AJ66" s="95"/>
      <c r="AK66" s="95"/>
      <c r="AL66" s="100">
        <f>(U66*Paramètres!$B$53)*3</f>
        <v>0</v>
      </c>
      <c r="AM66" s="100">
        <f t="shared" si="10"/>
        <v>0</v>
      </c>
      <c r="AN66" s="100"/>
      <c r="AO66" s="100">
        <f>U66*Paramètres!$B$72*Paramètres!$B$73</f>
        <v>0</v>
      </c>
      <c r="AP66" s="100"/>
      <c r="AQ66" s="100">
        <f>(Y66+AC66)*Paramètres!$B$42*Paramètres!$B$53</f>
        <v>0</v>
      </c>
      <c r="AR66" s="115">
        <f>ROUNDUP(D66*Paramètres!$B$23*Paramètres!$B$26,-1)</f>
        <v>0</v>
      </c>
      <c r="AS66" s="116">
        <f>Paramètres!$B$53*Paramètres!$B$69</f>
        <v>50000</v>
      </c>
      <c r="AT66" s="117">
        <f t="shared" si="11"/>
        <v>50000</v>
      </c>
    </row>
    <row r="67" spans="1:46" x14ac:dyDescent="0.25">
      <c r="A67" s="59"/>
      <c r="B67" s="95"/>
      <c r="C67" s="95"/>
      <c r="D67" s="95"/>
      <c r="E67" s="95"/>
      <c r="F67" s="95"/>
      <c r="G67" s="103"/>
      <c r="H67" s="103"/>
      <c r="I67" s="103"/>
      <c r="J67" s="97">
        <f>F67*Paramètres!$B$3</f>
        <v>0</v>
      </c>
      <c r="K67" s="98">
        <f t="shared" si="0"/>
        <v>0</v>
      </c>
      <c r="L67" s="98">
        <f t="shared" si="1"/>
        <v>0</v>
      </c>
      <c r="M67" s="98">
        <f t="shared" si="2"/>
        <v>0</v>
      </c>
      <c r="N67" s="99">
        <f>ROUNDUP(J67*Paramètres!$B$19,-1)</f>
        <v>0</v>
      </c>
      <c r="O67" s="95">
        <f t="shared" si="3"/>
        <v>0</v>
      </c>
      <c r="P67" s="100">
        <f t="shared" si="4"/>
        <v>0</v>
      </c>
      <c r="Q67" s="101">
        <f t="shared" si="5"/>
        <v>0</v>
      </c>
      <c r="R67" s="111">
        <f>ROUNDUP(+K67/Paramètres!$B$4/Paramètres!$B$53,0)</f>
        <v>0</v>
      </c>
      <c r="S67" s="111">
        <f>ROUNDUP(+L67/Paramètres!$B$6/Paramètres!$B$53,0)</f>
        <v>0</v>
      </c>
      <c r="T67" s="111"/>
      <c r="U67" s="112">
        <f t="shared" si="6"/>
        <v>0</v>
      </c>
      <c r="V67" s="113">
        <f>R67*Paramètres!$B$7</f>
        <v>0</v>
      </c>
      <c r="W67" s="113">
        <f>S67*Paramètres!$B$9</f>
        <v>0</v>
      </c>
      <c r="X67" s="113"/>
      <c r="Y67" s="114">
        <f t="shared" si="7"/>
        <v>0</v>
      </c>
      <c r="Z67" s="115">
        <f>R67*Paramètres!$B$10</f>
        <v>0</v>
      </c>
      <c r="AA67" s="115">
        <f>S67*Paramètres!$B$10</f>
        <v>0</v>
      </c>
      <c r="AB67" s="115"/>
      <c r="AC67" s="114">
        <f t="shared" si="8"/>
        <v>0</v>
      </c>
      <c r="AD67" s="100">
        <f t="shared" si="12"/>
        <v>0</v>
      </c>
      <c r="AE67" s="100">
        <f t="shared" si="9"/>
        <v>0</v>
      </c>
      <c r="AF67" s="111">
        <f>IF(B67="",0,Paramètres!$B$53*1.5)</f>
        <v>0</v>
      </c>
      <c r="AG67" s="111">
        <f>IF(C67="",0,Paramètres!$B$53*1.5)</f>
        <v>0</v>
      </c>
      <c r="AH67" s="95"/>
      <c r="AI67" s="95"/>
      <c r="AJ67" s="95"/>
      <c r="AK67" s="95"/>
      <c r="AL67" s="100">
        <f>(U67*Paramètres!$B$53)*3</f>
        <v>0</v>
      </c>
      <c r="AM67" s="100">
        <f t="shared" si="10"/>
        <v>0</v>
      </c>
      <c r="AN67" s="100"/>
      <c r="AO67" s="100">
        <f>U67*Paramètres!$B$72*Paramètres!$B$73</f>
        <v>0</v>
      </c>
      <c r="AP67" s="100"/>
      <c r="AQ67" s="100">
        <f>(Y67+AC67)*Paramètres!$B$42*Paramètres!$B$53</f>
        <v>0</v>
      </c>
      <c r="AR67" s="115">
        <f>ROUNDUP(D67*Paramètres!$B$23*Paramètres!$B$26,-1)</f>
        <v>0</v>
      </c>
      <c r="AS67" s="116">
        <f>Paramètres!$B$53*Paramètres!$B$69</f>
        <v>50000</v>
      </c>
      <c r="AT67" s="117">
        <f t="shared" si="11"/>
        <v>50000</v>
      </c>
    </row>
    <row r="68" spans="1:46" x14ac:dyDescent="0.25">
      <c r="A68" s="59"/>
      <c r="B68" s="95"/>
      <c r="C68" s="95"/>
      <c r="D68" s="95"/>
      <c r="E68" s="95"/>
      <c r="F68" s="95"/>
      <c r="G68" s="103"/>
      <c r="H68" s="103"/>
      <c r="I68" s="103"/>
      <c r="J68" s="97">
        <f>F68*Paramètres!$B$3</f>
        <v>0</v>
      </c>
      <c r="K68" s="98">
        <f>J68*G68</f>
        <v>0</v>
      </c>
      <c r="L68" s="98">
        <f>J68*H68</f>
        <v>0</v>
      </c>
      <c r="M68" s="98">
        <f>J68*I68</f>
        <v>0</v>
      </c>
      <c r="N68" s="99">
        <f>ROUNDUP(J68*Paramètres!$B$19,-1)</f>
        <v>0</v>
      </c>
      <c r="O68" s="95">
        <f>N68</f>
        <v>0</v>
      </c>
      <c r="P68" s="100">
        <f>O68/10</f>
        <v>0</v>
      </c>
      <c r="Q68" s="101">
        <f>ROUNDUP((O68+P68)/100,-1)</f>
        <v>0</v>
      </c>
      <c r="R68" s="111">
        <f>ROUNDUP(+K68/Paramètres!$B$4/Paramètres!$B$53,0)</f>
        <v>0</v>
      </c>
      <c r="S68" s="111">
        <f>ROUNDUP(+L68/Paramètres!$B$6/Paramètres!$B$53,0)</f>
        <v>0</v>
      </c>
      <c r="T68" s="111"/>
      <c r="U68" s="112">
        <f>R68+S68+T68</f>
        <v>0</v>
      </c>
      <c r="V68" s="113">
        <f>R68*Paramètres!$B$7</f>
        <v>0</v>
      </c>
      <c r="W68" s="113">
        <f>S68*Paramètres!$B$9</f>
        <v>0</v>
      </c>
      <c r="X68" s="113"/>
      <c r="Y68" s="114">
        <f t="shared" ref="Y68:Y71" si="13">V68+W68+X68</f>
        <v>0</v>
      </c>
      <c r="Z68" s="115">
        <f>R68*Paramètres!$B$10</f>
        <v>0</v>
      </c>
      <c r="AA68" s="115">
        <f>S68*Paramètres!$B$10</f>
        <v>0</v>
      </c>
      <c r="AB68" s="115"/>
      <c r="AC68" s="114">
        <f>Z68+AA68+AB68</f>
        <v>0</v>
      </c>
      <c r="AD68" s="100">
        <f t="shared" si="12"/>
        <v>0</v>
      </c>
      <c r="AE68" s="100">
        <f>ROUNDUP((U68/200)*2,0)*10</f>
        <v>0</v>
      </c>
      <c r="AF68" s="111">
        <f>IF(B68="",0,Paramètres!$B$53*1.5)</f>
        <v>0</v>
      </c>
      <c r="AG68" s="111">
        <f>IF(C68="",0,Paramètres!$B$53*1.5)</f>
        <v>0</v>
      </c>
      <c r="AH68" s="95"/>
      <c r="AI68" s="95"/>
      <c r="AJ68" s="95"/>
      <c r="AK68" s="95"/>
      <c r="AL68" s="100">
        <f>(U68*Paramètres!$B$53)*3</f>
        <v>0</v>
      </c>
      <c r="AM68" s="100">
        <f>N68</f>
        <v>0</v>
      </c>
      <c r="AN68" s="100"/>
      <c r="AO68" s="100">
        <f>U68*Paramètres!$B$72*Paramètres!$B$73</f>
        <v>0</v>
      </c>
      <c r="AP68" s="100"/>
      <c r="AQ68" s="100">
        <f>(Y68+AC68)*Paramètres!$B$42*Paramètres!$B$53</f>
        <v>0</v>
      </c>
      <c r="AR68" s="115">
        <f>ROUNDUP(D68*Paramètres!$B$23*Paramètres!$B$26,-1)</f>
        <v>0</v>
      </c>
      <c r="AS68" s="116">
        <f>Paramètres!$B$53*Paramètres!$B$69</f>
        <v>50000</v>
      </c>
      <c r="AT68" s="117">
        <f t="shared" ref="AT68:AT71" si="14">+AQ68+AR68+AS68</f>
        <v>50000</v>
      </c>
    </row>
    <row r="69" spans="1:46" x14ac:dyDescent="0.25">
      <c r="A69" s="59"/>
      <c r="B69" s="95"/>
      <c r="C69" s="95"/>
      <c r="D69" s="95"/>
      <c r="E69" s="95"/>
      <c r="F69" s="95"/>
      <c r="G69" s="103"/>
      <c r="H69" s="103"/>
      <c r="I69" s="103"/>
      <c r="J69" s="97">
        <f>F69*Paramètres!$B$3</f>
        <v>0</v>
      </c>
      <c r="K69" s="98">
        <f>J69*G69</f>
        <v>0</v>
      </c>
      <c r="L69" s="98">
        <f>J69*H69</f>
        <v>0</v>
      </c>
      <c r="M69" s="98">
        <f>J69*I69</f>
        <v>0</v>
      </c>
      <c r="N69" s="99">
        <f>ROUNDUP(J69*Paramètres!$B$19,-1)</f>
        <v>0</v>
      </c>
      <c r="O69" s="95">
        <f>N69</f>
        <v>0</v>
      </c>
      <c r="P69" s="100">
        <f>O69/10</f>
        <v>0</v>
      </c>
      <c r="Q69" s="101">
        <f>ROUNDUP((O69+P69)/100,-1)</f>
        <v>0</v>
      </c>
      <c r="R69" s="111">
        <f>ROUNDUP(+K69/Paramètres!$B$4/Paramètres!$B$53,0)</f>
        <v>0</v>
      </c>
      <c r="S69" s="111">
        <f>ROUNDUP(+L69/Paramètres!$B$6/Paramètres!$B$53,0)</f>
        <v>0</v>
      </c>
      <c r="T69" s="111"/>
      <c r="U69" s="112">
        <f>R69+S69+T69</f>
        <v>0</v>
      </c>
      <c r="V69" s="113">
        <f>R69*Paramètres!$B$7</f>
        <v>0</v>
      </c>
      <c r="W69" s="113">
        <f>S69*Paramètres!$B$9</f>
        <v>0</v>
      </c>
      <c r="X69" s="113"/>
      <c r="Y69" s="114">
        <f t="shared" si="13"/>
        <v>0</v>
      </c>
      <c r="Z69" s="115">
        <f>R69*Paramètres!$B$10</f>
        <v>0</v>
      </c>
      <c r="AA69" s="115">
        <f>S69*Paramètres!$B$10</f>
        <v>0</v>
      </c>
      <c r="AB69" s="115"/>
      <c r="AC69" s="114">
        <f>Z69+AA69+AB69</f>
        <v>0</v>
      </c>
      <c r="AD69" s="100">
        <f>U69</f>
        <v>0</v>
      </c>
      <c r="AE69" s="100">
        <f>ROUNDUP((U69/200)*2,0)*10</f>
        <v>0</v>
      </c>
      <c r="AF69" s="111">
        <f>IF(B69="",0,Paramètres!$B$53*1.5)</f>
        <v>0</v>
      </c>
      <c r="AG69" s="111">
        <f>IF(C69="",0,Paramètres!$B$53*1.5)</f>
        <v>0</v>
      </c>
      <c r="AH69" s="95"/>
      <c r="AI69" s="95"/>
      <c r="AJ69" s="95"/>
      <c r="AK69" s="95"/>
      <c r="AL69" s="100">
        <f>(U69*Paramètres!$B$53)*3</f>
        <v>0</v>
      </c>
      <c r="AM69" s="100">
        <f>N69</f>
        <v>0</v>
      </c>
      <c r="AN69" s="100"/>
      <c r="AO69" s="100">
        <f>U69*Paramètres!$B$72*Paramètres!$B$73</f>
        <v>0</v>
      </c>
      <c r="AP69" s="100"/>
      <c r="AQ69" s="100">
        <f>(Y69+AC69)*Paramètres!$B$42*Paramètres!$B$53</f>
        <v>0</v>
      </c>
      <c r="AR69" s="115">
        <f>ROUNDUP(D69*Paramètres!$B$23*Paramètres!$B$26,-1)</f>
        <v>0</v>
      </c>
      <c r="AS69" s="116">
        <f>Paramètres!$B$53*Paramètres!$B$69</f>
        <v>50000</v>
      </c>
      <c r="AT69" s="117">
        <f t="shared" si="14"/>
        <v>50000</v>
      </c>
    </row>
    <row r="70" spans="1:46" x14ac:dyDescent="0.25">
      <c r="A70" s="59"/>
      <c r="B70" s="95"/>
      <c r="C70" s="95"/>
      <c r="D70" s="95"/>
      <c r="E70" s="95"/>
      <c r="F70" s="95"/>
      <c r="G70" s="103"/>
      <c r="H70" s="103"/>
      <c r="I70" s="103"/>
      <c r="J70" s="97">
        <f>F70*Paramètres!$B$3</f>
        <v>0</v>
      </c>
      <c r="K70" s="98">
        <f>J70*G70</f>
        <v>0</v>
      </c>
      <c r="L70" s="98">
        <f>J70*H70</f>
        <v>0</v>
      </c>
      <c r="M70" s="98">
        <f>J70*I70</f>
        <v>0</v>
      </c>
      <c r="N70" s="99">
        <f>ROUNDUP(J70*Paramètres!$B$19,-1)</f>
        <v>0</v>
      </c>
      <c r="O70" s="95">
        <f>N70</f>
        <v>0</v>
      </c>
      <c r="P70" s="100">
        <f>O70/10</f>
        <v>0</v>
      </c>
      <c r="Q70" s="101">
        <f>ROUNDUP((O70+P70)/100,-1)</f>
        <v>0</v>
      </c>
      <c r="R70" s="111">
        <f>ROUNDUP(+K70/Paramètres!$B$4/Paramètres!$B$53,0)</f>
        <v>0</v>
      </c>
      <c r="S70" s="111">
        <f>ROUNDUP(+L70/Paramètres!$B$6/Paramètres!$B$53,0)</f>
        <v>0</v>
      </c>
      <c r="T70" s="111"/>
      <c r="U70" s="112">
        <f>R70+S70+T70</f>
        <v>0</v>
      </c>
      <c r="V70" s="113">
        <f>R70*Paramètres!$B$7</f>
        <v>0</v>
      </c>
      <c r="W70" s="113">
        <f>S70*Paramètres!$B$9</f>
        <v>0</v>
      </c>
      <c r="X70" s="113"/>
      <c r="Y70" s="114">
        <f t="shared" si="13"/>
        <v>0</v>
      </c>
      <c r="Z70" s="115">
        <f>R70*Paramètres!$B$10</f>
        <v>0</v>
      </c>
      <c r="AA70" s="115">
        <f>S70*Paramètres!$B$10</f>
        <v>0</v>
      </c>
      <c r="AB70" s="115"/>
      <c r="AC70" s="114">
        <f>Z70+AA70+AB70</f>
        <v>0</v>
      </c>
      <c r="AD70" s="100">
        <f>U70</f>
        <v>0</v>
      </c>
      <c r="AE70" s="100">
        <f>ROUNDUP((U70/200)*2,0)*10</f>
        <v>0</v>
      </c>
      <c r="AF70" s="111">
        <f>IF(B70="",0,Paramètres!$B$53*1.5)</f>
        <v>0</v>
      </c>
      <c r="AG70" s="111">
        <f>IF(C70="",0,Paramètres!$B$53*1.5)</f>
        <v>0</v>
      </c>
      <c r="AH70" s="95"/>
      <c r="AI70" s="95"/>
      <c r="AJ70" s="95"/>
      <c r="AK70" s="95"/>
      <c r="AL70" s="100">
        <f>(U70*Paramètres!$B$53)*3</f>
        <v>0</v>
      </c>
      <c r="AM70" s="100">
        <f>N70</f>
        <v>0</v>
      </c>
      <c r="AN70" s="100"/>
      <c r="AO70" s="100">
        <f>U70*Paramètres!$B$72*Paramètres!$B$73</f>
        <v>0</v>
      </c>
      <c r="AP70" s="100"/>
      <c r="AQ70" s="100">
        <f>(Y70+AC70)*Paramètres!$B$42*Paramètres!$B$53</f>
        <v>0</v>
      </c>
      <c r="AR70" s="115">
        <f>ROUNDUP(D70*Paramètres!$B$23*Paramètres!$B$26,-1)</f>
        <v>0</v>
      </c>
      <c r="AS70" s="116">
        <f>Paramètres!$B$53*Paramètres!$B$69</f>
        <v>50000</v>
      </c>
      <c r="AT70" s="117">
        <f t="shared" si="14"/>
        <v>50000</v>
      </c>
    </row>
    <row r="71" spans="1:46" x14ac:dyDescent="0.25">
      <c r="A71" s="59"/>
      <c r="B71" s="95"/>
      <c r="C71" s="95"/>
      <c r="D71" s="95"/>
      <c r="E71" s="95"/>
      <c r="F71" s="95"/>
      <c r="G71" s="103"/>
      <c r="H71" s="103"/>
      <c r="I71" s="103"/>
      <c r="J71" s="97">
        <f>F71*Paramètres!$B$3</f>
        <v>0</v>
      </c>
      <c r="K71" s="98">
        <f>J71*G71</f>
        <v>0</v>
      </c>
      <c r="L71" s="98">
        <f>J71*H71</f>
        <v>0</v>
      </c>
      <c r="M71" s="98">
        <f>J71*I71</f>
        <v>0</v>
      </c>
      <c r="N71" s="99">
        <f>ROUNDUP(J71*Paramètres!$B$19,-1)</f>
        <v>0</v>
      </c>
      <c r="O71" s="95">
        <f>N71</f>
        <v>0</v>
      </c>
      <c r="P71" s="100">
        <f>O71/10</f>
        <v>0</v>
      </c>
      <c r="Q71" s="101">
        <f>ROUNDUP((O71+P71)/100,-1)</f>
        <v>0</v>
      </c>
      <c r="R71" s="111">
        <f>ROUNDUP(+K71/Paramètres!$B$4/Paramètres!$B$53,0)</f>
        <v>0</v>
      </c>
      <c r="S71" s="111">
        <f>ROUNDUP(+L71/Paramètres!$B$6/Paramètres!$B$53,0)</f>
        <v>0</v>
      </c>
      <c r="T71" s="111"/>
      <c r="U71" s="112">
        <f>R71+S71+T71</f>
        <v>0</v>
      </c>
      <c r="V71" s="113">
        <f>R71*Paramètres!$B$7</f>
        <v>0</v>
      </c>
      <c r="W71" s="113">
        <f>S71*Paramètres!$B$9</f>
        <v>0</v>
      </c>
      <c r="X71" s="113"/>
      <c r="Y71" s="114">
        <f t="shared" si="13"/>
        <v>0</v>
      </c>
      <c r="Z71" s="115">
        <f>R71*Paramètres!$B$10</f>
        <v>0</v>
      </c>
      <c r="AA71" s="115">
        <f>S71*Paramètres!$B$10</f>
        <v>0</v>
      </c>
      <c r="AB71" s="115"/>
      <c r="AC71" s="114">
        <f>Z71+AA71+AB71</f>
        <v>0</v>
      </c>
      <c r="AD71" s="100">
        <f>U71</f>
        <v>0</v>
      </c>
      <c r="AE71" s="100">
        <f>ROUNDUP((U71/200)*2,0)*10</f>
        <v>0</v>
      </c>
      <c r="AF71" s="111">
        <f>IF(B71="",0,Paramètres!$B$53*1.5)</f>
        <v>0</v>
      </c>
      <c r="AG71" s="111">
        <f>IF(C71="",0,Paramètres!$B$53*1.5)</f>
        <v>0</v>
      </c>
      <c r="AH71" s="95"/>
      <c r="AI71" s="95"/>
      <c r="AJ71" s="95"/>
      <c r="AK71" s="95"/>
      <c r="AL71" s="100">
        <f>(U71*Paramètres!$B$53)*3</f>
        <v>0</v>
      </c>
      <c r="AM71" s="100">
        <f>N71</f>
        <v>0</v>
      </c>
      <c r="AN71" s="100"/>
      <c r="AO71" s="100">
        <f>U71*Paramètres!$B$72*Paramètres!$B$73</f>
        <v>0</v>
      </c>
      <c r="AP71" s="100"/>
      <c r="AQ71" s="100">
        <f>(Y71+AC71)*Paramètres!$B$42*Paramètres!$B$53</f>
        <v>0</v>
      </c>
      <c r="AR71" s="115">
        <f>ROUNDUP(D71*Paramètres!$B$23*Paramètres!$B$26,-1)</f>
        <v>0</v>
      </c>
      <c r="AS71" s="116">
        <f>Paramètres!$B$53*Paramètres!$B$69</f>
        <v>50000</v>
      </c>
      <c r="AT71" s="117">
        <f t="shared" si="14"/>
        <v>50000</v>
      </c>
    </row>
    <row r="72" spans="1:46" x14ac:dyDescent="0.25">
      <c r="A72" s="120">
        <f>COUNTA(A3:A71)</f>
        <v>60</v>
      </c>
      <c r="B72" s="121" t="s">
        <v>1</v>
      </c>
      <c r="C72" s="122">
        <f>SUM(C3:C71)</f>
        <v>0</v>
      </c>
      <c r="D72" s="122">
        <f t="shared" ref="D72:S72" si="15">SUM(D3:D71)</f>
        <v>0</v>
      </c>
      <c r="E72" s="122">
        <f t="shared" si="15"/>
        <v>0</v>
      </c>
      <c r="F72" s="122">
        <f t="shared" si="15"/>
        <v>0</v>
      </c>
      <c r="G72" s="123"/>
      <c r="H72" s="123"/>
      <c r="I72" s="123"/>
      <c r="J72" s="124">
        <f>SUM(J3:J71)</f>
        <v>0</v>
      </c>
      <c r="K72" s="125">
        <f t="shared" si="15"/>
        <v>0</v>
      </c>
      <c r="L72" s="125">
        <f t="shared" si="15"/>
        <v>0</v>
      </c>
      <c r="M72" s="125">
        <f t="shared" si="15"/>
        <v>0</v>
      </c>
      <c r="N72" s="122">
        <f t="shared" si="15"/>
        <v>0</v>
      </c>
      <c r="O72" s="122">
        <f t="shared" si="15"/>
        <v>0</v>
      </c>
      <c r="P72" s="126">
        <f t="shared" si="15"/>
        <v>0</v>
      </c>
      <c r="Q72" s="126">
        <f t="shared" si="15"/>
        <v>0</v>
      </c>
      <c r="R72" s="126">
        <f t="shared" si="15"/>
        <v>0</v>
      </c>
      <c r="S72" s="126">
        <f t="shared" si="15"/>
        <v>0</v>
      </c>
      <c r="T72" s="126"/>
      <c r="U72" s="127">
        <f>R72+S72+T72</f>
        <v>0</v>
      </c>
      <c r="V72" s="127">
        <f>SUM(V3:V71)</f>
        <v>0</v>
      </c>
      <c r="W72" s="127">
        <f>SUM(W3:W71)</f>
        <v>0</v>
      </c>
      <c r="X72" s="127"/>
      <c r="Y72" s="128">
        <f>SUM(Y3:Y71)+X72</f>
        <v>0</v>
      </c>
      <c r="Z72" s="121">
        <f>SUM(Z3:Z71)</f>
        <v>0</v>
      </c>
      <c r="AA72" s="121">
        <f>SUM(AA3:AA71)</f>
        <v>0</v>
      </c>
      <c r="AB72" s="121">
        <f>T72*Paramètres!B10</f>
        <v>0</v>
      </c>
      <c r="AC72" s="128">
        <f>SUM(AC3:AC71)+AB72</f>
        <v>0</v>
      </c>
      <c r="AD72" s="128">
        <f>SUM(AD3:AD71)</f>
        <v>0</v>
      </c>
      <c r="AE72" s="128">
        <f>SUM(AE3:AE71)</f>
        <v>0</v>
      </c>
      <c r="AF72" s="128">
        <f>SUM(AF3:AF71)</f>
        <v>0</v>
      </c>
      <c r="AG72" s="128">
        <f>SUM(AG3:AG71)</f>
        <v>0</v>
      </c>
      <c r="AH72" s="121">
        <f>IF(Q72=0,0,Paramètres!$B$53*2)</f>
        <v>0</v>
      </c>
      <c r="AI72" s="122">
        <f>IF(N72=0,0,Paramètres!$B$53*3)</f>
        <v>0</v>
      </c>
      <c r="AJ72" s="121">
        <f>Paramètres!B53*20*1.5</f>
        <v>300</v>
      </c>
      <c r="AK72" s="121">
        <f>Paramètres!B53*3*1.5</f>
        <v>45</v>
      </c>
      <c r="AL72" s="128">
        <f>SUM(AL3:AL71)</f>
        <v>0</v>
      </c>
      <c r="AM72" s="128">
        <f>SUM(AM3:AM71)</f>
        <v>0</v>
      </c>
      <c r="AN72" s="128">
        <f t="shared" ref="AN72:AO72" si="16">SUM(AN3:AN71)</f>
        <v>0</v>
      </c>
      <c r="AO72" s="128">
        <f t="shared" si="16"/>
        <v>0</v>
      </c>
      <c r="AP72" s="128"/>
      <c r="AQ72" s="128">
        <f>SUM(AQ3:AQ71)</f>
        <v>0</v>
      </c>
      <c r="AR72" s="129">
        <f>SUM(AR3:AR71)</f>
        <v>0</v>
      </c>
      <c r="AS72" s="116">
        <f>SUM(AS3:AS71)</f>
        <v>3450000</v>
      </c>
      <c r="AT72" s="121">
        <f>SUM(AQ72:AS72)</f>
        <v>3450000</v>
      </c>
    </row>
    <row r="74" spans="1:46" x14ac:dyDescent="0.25">
      <c r="F74" s="41"/>
      <c r="AS74" s="94" t="s">
        <v>162</v>
      </c>
      <c r="AT74" s="93">
        <f>+AN72+AO72+AQ72+AR72+AS72</f>
        <v>3450000</v>
      </c>
    </row>
    <row r="77" spans="1:46" x14ac:dyDescent="0.25">
      <c r="V77" s="85"/>
    </row>
  </sheetData>
  <mergeCells count="3">
    <mergeCell ref="G1:I1"/>
    <mergeCell ref="R1:U1"/>
    <mergeCell ref="V1:W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79"/>
  <sheetViews>
    <sheetView topLeftCell="AX55" workbookViewId="0">
      <selection activeCell="AV73" sqref="AV73"/>
    </sheetView>
  </sheetViews>
  <sheetFormatPr defaultColWidth="11.42578125" defaultRowHeight="15" x14ac:dyDescent="0.25"/>
  <cols>
    <col min="1" max="1" width="5.7109375" customWidth="1"/>
    <col min="2" max="2" width="16.85546875" customWidth="1"/>
    <col min="3" max="3" width="10.7109375" customWidth="1"/>
    <col min="4" max="13" width="11.140625" customWidth="1"/>
    <col min="14" max="14" width="11.7109375" customWidth="1"/>
    <col min="15" max="15" width="14.85546875" customWidth="1"/>
    <col min="16" max="16" width="17.42578125" customWidth="1"/>
    <col min="17" max="17" width="11.140625" customWidth="1"/>
    <col min="18" max="18" width="13.7109375" customWidth="1"/>
    <col min="19" max="32" width="11.140625" customWidth="1"/>
    <col min="33" max="36" width="11.5703125" bestFit="1" customWidth="1"/>
    <col min="37" max="42" width="11.5703125" customWidth="1"/>
    <col min="43" max="44" width="14.42578125" customWidth="1"/>
    <col min="45" max="47" width="11.5703125" customWidth="1"/>
    <col min="48" max="48" width="12.85546875" bestFit="1" customWidth="1"/>
    <col min="49" max="60" width="12.85546875" customWidth="1"/>
    <col min="61" max="61" width="12.7109375" bestFit="1" customWidth="1"/>
  </cols>
  <sheetData>
    <row r="1" spans="1:61" ht="39" customHeight="1" x14ac:dyDescent="0.25">
      <c r="B1" s="1"/>
      <c r="C1" s="1"/>
      <c r="D1" s="1"/>
      <c r="E1" s="1"/>
      <c r="F1" s="1"/>
      <c r="G1" s="136" t="s">
        <v>148</v>
      </c>
      <c r="H1" s="136"/>
      <c r="I1" s="136"/>
      <c r="J1" s="1"/>
      <c r="K1" s="1" t="s">
        <v>146</v>
      </c>
      <c r="L1" s="1"/>
      <c r="M1" s="1"/>
      <c r="N1" s="1"/>
      <c r="O1" s="3" t="s">
        <v>48</v>
      </c>
      <c r="P1" s="1"/>
      <c r="Q1" s="1"/>
      <c r="R1" s="1" t="s">
        <v>0</v>
      </c>
      <c r="S1" s="1"/>
      <c r="T1" s="1"/>
      <c r="U1" s="1"/>
      <c r="V1" s="3" t="s">
        <v>63</v>
      </c>
      <c r="W1" s="1"/>
      <c r="X1" s="1"/>
      <c r="Y1" s="1"/>
      <c r="Z1" s="3" t="s">
        <v>64</v>
      </c>
      <c r="AA1" s="1"/>
      <c r="AB1" s="1"/>
      <c r="AC1" s="1"/>
      <c r="AD1" s="3" t="s">
        <v>59</v>
      </c>
      <c r="AE1" s="1"/>
      <c r="AF1" s="1"/>
      <c r="AG1" s="1"/>
      <c r="AH1" s="1"/>
      <c r="AI1" s="1"/>
      <c r="AJ1" s="1"/>
      <c r="AK1" s="3"/>
      <c r="AL1" s="1"/>
      <c r="AM1" s="1"/>
      <c r="AN1" s="1"/>
      <c r="AO1" s="1"/>
      <c r="AP1" s="1"/>
      <c r="AQ1" s="3" t="s">
        <v>62</v>
      </c>
      <c r="AR1" s="3"/>
      <c r="AS1" s="1"/>
      <c r="AT1" s="1"/>
      <c r="AU1" s="3" t="s">
        <v>66</v>
      </c>
      <c r="AW1" t="s">
        <v>123</v>
      </c>
      <c r="BD1" s="9"/>
      <c r="BE1" s="9" t="s">
        <v>137</v>
      </c>
    </row>
    <row r="2" spans="1:61" ht="90" x14ac:dyDescent="0.25">
      <c r="A2" t="s">
        <v>98</v>
      </c>
      <c r="B2" s="1" t="s">
        <v>1</v>
      </c>
      <c r="C2" s="7" t="s">
        <v>46</v>
      </c>
      <c r="D2" s="9" t="s">
        <v>104</v>
      </c>
      <c r="E2" s="9" t="s">
        <v>105</v>
      </c>
      <c r="F2" s="9" t="s">
        <v>145</v>
      </c>
      <c r="G2" s="52" t="s">
        <v>2</v>
      </c>
      <c r="H2" s="52" t="s">
        <v>3</v>
      </c>
      <c r="I2" s="52" t="s">
        <v>144</v>
      </c>
      <c r="J2" s="49" t="s">
        <v>147</v>
      </c>
      <c r="K2" s="48" t="s">
        <v>2</v>
      </c>
      <c r="L2" s="48" t="s">
        <v>3</v>
      </c>
      <c r="M2" s="48" t="s">
        <v>4</v>
      </c>
      <c r="N2" s="9" t="s">
        <v>150</v>
      </c>
      <c r="O2" s="7" t="s">
        <v>49</v>
      </c>
      <c r="P2" s="7" t="s">
        <v>50</v>
      </c>
      <c r="Q2" s="7" t="s">
        <v>51</v>
      </c>
      <c r="R2" s="1" t="s">
        <v>2</v>
      </c>
      <c r="S2" s="1" t="s">
        <v>3</v>
      </c>
      <c r="T2" s="1" t="s">
        <v>4</v>
      </c>
      <c r="U2" s="2" t="s">
        <v>6</v>
      </c>
      <c r="V2" s="1" t="s">
        <v>2</v>
      </c>
      <c r="W2" s="1" t="s">
        <v>3</v>
      </c>
      <c r="X2" s="9" t="s">
        <v>106</v>
      </c>
      <c r="Y2" s="42" t="s">
        <v>121</v>
      </c>
      <c r="Z2" s="1" t="s">
        <v>2</v>
      </c>
      <c r="AA2" s="1" t="s">
        <v>3</v>
      </c>
      <c r="AB2" s="1" t="s">
        <v>4</v>
      </c>
      <c r="AC2" s="42" t="s">
        <v>122</v>
      </c>
      <c r="AD2" s="7" t="s">
        <v>52</v>
      </c>
      <c r="AE2" s="7" t="s">
        <v>53</v>
      </c>
      <c r="AF2" s="7" t="s">
        <v>54</v>
      </c>
      <c r="AG2" s="7" t="s">
        <v>55</v>
      </c>
      <c r="AH2" s="7" t="s">
        <v>56</v>
      </c>
      <c r="AI2" s="7" t="s">
        <v>57</v>
      </c>
      <c r="AJ2" s="7" t="s">
        <v>58</v>
      </c>
      <c r="AK2" s="7" t="s">
        <v>60</v>
      </c>
      <c r="AL2" s="7" t="s">
        <v>61</v>
      </c>
      <c r="AM2" s="9" t="s">
        <v>149</v>
      </c>
      <c r="AN2" s="9" t="s">
        <v>134</v>
      </c>
      <c r="AO2" s="9" t="s">
        <v>135</v>
      </c>
      <c r="AP2" s="9" t="s">
        <v>136</v>
      </c>
      <c r="AQ2" s="9" t="s">
        <v>107</v>
      </c>
      <c r="AR2" s="9" t="s">
        <v>108</v>
      </c>
      <c r="AS2" s="7" t="s">
        <v>65</v>
      </c>
      <c r="AT2" s="9" t="s">
        <v>97</v>
      </c>
      <c r="AU2" s="7" t="s">
        <v>67</v>
      </c>
      <c r="AV2" s="7" t="s">
        <v>68</v>
      </c>
      <c r="AW2" s="9" t="s">
        <v>119</v>
      </c>
      <c r="AX2" s="9" t="s">
        <v>118</v>
      </c>
      <c r="AY2" s="9" t="s">
        <v>120</v>
      </c>
      <c r="AZ2" s="9" t="s">
        <v>143</v>
      </c>
      <c r="BA2" s="9" t="s">
        <v>117</v>
      </c>
      <c r="BB2" s="43" t="s">
        <v>124</v>
      </c>
      <c r="BC2" s="43" t="s">
        <v>125</v>
      </c>
      <c r="BD2" s="9" t="s">
        <v>132</v>
      </c>
      <c r="BE2" s="9" t="s">
        <v>85</v>
      </c>
      <c r="BF2" s="9" t="s">
        <v>110</v>
      </c>
      <c r="BG2" s="43" t="s">
        <v>6</v>
      </c>
      <c r="BH2" s="46" t="s">
        <v>139</v>
      </c>
      <c r="BI2" s="9" t="s">
        <v>69</v>
      </c>
    </row>
    <row r="3" spans="1:61" x14ac:dyDescent="0.25">
      <c r="A3">
        <v>1</v>
      </c>
      <c r="B3" s="1"/>
      <c r="C3" s="1"/>
      <c r="D3" s="1"/>
      <c r="E3" s="1"/>
      <c r="F3" s="47"/>
      <c r="G3" s="53"/>
      <c r="H3" s="53"/>
      <c r="I3" s="53"/>
      <c r="J3" s="50">
        <f>F3*Paramètres!$B$3</f>
        <v>0</v>
      </c>
      <c r="K3" s="56">
        <f>J3*G3</f>
        <v>0</v>
      </c>
      <c r="L3" s="56">
        <f>J3*H3</f>
        <v>0</v>
      </c>
      <c r="M3" s="56">
        <f>J3*I3</f>
        <v>0</v>
      </c>
      <c r="N3" s="3">
        <f>ROUNDUP(J3*Paramètres!$B$19,-1)</f>
        <v>0</v>
      </c>
      <c r="O3" s="1">
        <f>N3</f>
        <v>0</v>
      </c>
      <c r="P3" s="1">
        <f>O3/10</f>
        <v>0</v>
      </c>
      <c r="Q3" s="3">
        <f>ROUNDUP((O3+P3)/100,-1)</f>
        <v>0</v>
      </c>
      <c r="R3" s="47">
        <f>ROUNDUP(+K3/Paramètres!$B$4/Paramètres!$B$53,0)</f>
        <v>0</v>
      </c>
      <c r="S3" s="47">
        <f>ROUNDUP(+L3/Paramètres!$B$6/Paramètres!$B$53,0)</f>
        <v>0</v>
      </c>
      <c r="T3" s="47"/>
      <c r="U3" s="2">
        <f>R3+S3+T3</f>
        <v>0</v>
      </c>
      <c r="V3" s="1">
        <f>R3*Paramètres!$B$7</f>
        <v>0</v>
      </c>
      <c r="W3" s="1">
        <f>S3*Paramètres!$B$9</f>
        <v>0</v>
      </c>
      <c r="X3" s="1"/>
      <c r="Y3" s="2">
        <f>V3+W3+X3</f>
        <v>0</v>
      </c>
      <c r="Z3" s="7">
        <f>R3*Paramètres!$B$10</f>
        <v>0</v>
      </c>
      <c r="AA3" s="7">
        <f>S3*Paramètres!$B$10</f>
        <v>0</v>
      </c>
      <c r="AB3" s="7"/>
      <c r="AC3" s="2">
        <f>Z3+AA3+AB3</f>
        <v>0</v>
      </c>
      <c r="AD3" s="1">
        <f>U3</f>
        <v>0</v>
      </c>
      <c r="AE3" s="1">
        <f>ROUNDUP((U3/200)*2,0)*10</f>
        <v>0</v>
      </c>
      <c r="AF3" s="1">
        <f>IF(B3="",0,Paramètres!$B$53*1.5)</f>
        <v>0</v>
      </c>
      <c r="AG3" s="1">
        <f>IF(C3="",0,Paramètres!$B$53*1.5)</f>
        <v>0</v>
      </c>
      <c r="AH3" s="1"/>
      <c r="AI3" s="1"/>
      <c r="AJ3" s="1"/>
      <c r="AK3" s="1"/>
      <c r="AL3" s="1">
        <f>(U3*Paramètres!$B$53)*3</f>
        <v>0</v>
      </c>
      <c r="AM3" s="1">
        <f>N3</f>
        <v>0</v>
      </c>
      <c r="AN3" s="1">
        <f>U3*Paramètres!$B$75</f>
        <v>0</v>
      </c>
      <c r="AO3" s="1">
        <f>U3*Paramètres!$B$72*Paramètres!$B$73</f>
        <v>0</v>
      </c>
      <c r="AP3" s="1"/>
      <c r="AQ3" s="1">
        <f>(Y3+AC3)*Paramètres!$B$42*Paramètres!$B$53</f>
        <v>0</v>
      </c>
      <c r="AR3" s="1"/>
      <c r="AS3" s="7">
        <f>ROUNDUP(D3*Paramètres!$B$23*Paramètres!$B$26,-1)</f>
        <v>0</v>
      </c>
      <c r="AT3" s="7"/>
      <c r="AU3" s="1"/>
      <c r="AV3" s="8"/>
      <c r="AW3" s="8"/>
      <c r="AX3" s="8"/>
      <c r="AY3" s="8"/>
      <c r="AZ3" s="8"/>
      <c r="BA3" s="8"/>
      <c r="BB3" s="44"/>
      <c r="BC3" s="44"/>
      <c r="BD3" s="8"/>
      <c r="BE3" s="8"/>
      <c r="BF3" s="8"/>
      <c r="BG3" s="44"/>
      <c r="BI3">
        <f>AQ3+AS3</f>
        <v>0</v>
      </c>
    </row>
    <row r="4" spans="1:61" x14ac:dyDescent="0.25">
      <c r="A4">
        <v>2</v>
      </c>
      <c r="B4" s="1"/>
      <c r="C4" s="1"/>
      <c r="D4" s="1"/>
      <c r="E4" s="1"/>
      <c r="F4" s="47"/>
      <c r="G4" s="53"/>
      <c r="H4" s="53"/>
      <c r="I4" s="53"/>
      <c r="J4" s="50">
        <f>F4*Paramètres!$B$3</f>
        <v>0</v>
      </c>
      <c r="K4" s="56">
        <f t="shared" ref="K4:K67" si="0">J4*G4</f>
        <v>0</v>
      </c>
      <c r="L4" s="56">
        <f t="shared" ref="L4:L67" si="1">J4*H4</f>
        <v>0</v>
      </c>
      <c r="M4" s="56">
        <f t="shared" ref="M4:M67" si="2">J4*I4</f>
        <v>0</v>
      </c>
      <c r="N4" s="3">
        <f>ROUNDUP(J4*Paramètres!$B$19,-1)</f>
        <v>0</v>
      </c>
      <c r="O4" s="1">
        <f t="shared" ref="O4:O67" si="3">N4</f>
        <v>0</v>
      </c>
      <c r="P4" s="1">
        <f t="shared" ref="P4:P67" si="4">O4/10</f>
        <v>0</v>
      </c>
      <c r="Q4" s="3">
        <f t="shared" ref="Q4:Q67" si="5">ROUNDUP((O4+P4)/100,-1)</f>
        <v>0</v>
      </c>
      <c r="R4" s="47">
        <f>ROUNDUP(+K4/Paramètres!$B$4/Paramètres!$B$53,0)</f>
        <v>0</v>
      </c>
      <c r="S4" s="47">
        <f>ROUNDUP(+L4/Paramètres!$B$6/Paramètres!$B$53,0)</f>
        <v>0</v>
      </c>
      <c r="T4" s="47"/>
      <c r="U4" s="2">
        <f t="shared" ref="U4:U67" si="6">R4+S4+T4</f>
        <v>0</v>
      </c>
      <c r="V4" s="1">
        <f>R4*Paramètres!$B$7</f>
        <v>0</v>
      </c>
      <c r="W4" s="1">
        <f>S4*Paramètres!$B$9</f>
        <v>0</v>
      </c>
      <c r="X4" s="1"/>
      <c r="Y4" s="2">
        <f t="shared" ref="Y4:Y67" si="7">V4+W4+X4</f>
        <v>0</v>
      </c>
      <c r="Z4" s="7">
        <f>R4*Paramètres!$B$10</f>
        <v>0</v>
      </c>
      <c r="AA4" s="7">
        <f>S4*Paramètres!$B$10</f>
        <v>0</v>
      </c>
      <c r="AB4" s="7"/>
      <c r="AC4" s="2">
        <f t="shared" ref="AC4:AC67" si="8">Z4+AA4+AB4</f>
        <v>0</v>
      </c>
      <c r="AD4" s="1">
        <f>U4</f>
        <v>0</v>
      </c>
      <c r="AE4" s="1">
        <f t="shared" ref="AE4:AE67" si="9">ROUNDUP((U4/200)*2,0)*10</f>
        <v>0</v>
      </c>
      <c r="AF4" s="1">
        <f>IF(B4="",0,Paramètres!$B$53*1.5)</f>
        <v>0</v>
      </c>
      <c r="AG4" s="1">
        <f>IF(C4="",0,Paramètres!$B$53*1.5)</f>
        <v>0</v>
      </c>
      <c r="AH4" s="1"/>
      <c r="AI4" s="1"/>
      <c r="AJ4" s="1"/>
      <c r="AK4" s="1"/>
      <c r="AL4" s="1">
        <f>(U4*Paramètres!$B$53)*3</f>
        <v>0</v>
      </c>
      <c r="AM4" s="1">
        <f t="shared" ref="AM4:AM67" si="10">N4</f>
        <v>0</v>
      </c>
      <c r="AN4" s="1">
        <f>U4*Paramètres!$B$75</f>
        <v>0</v>
      </c>
      <c r="AO4" s="1">
        <f>U4*Paramètres!$B$72*Paramètres!$B$73</f>
        <v>0</v>
      </c>
      <c r="AP4" s="1"/>
      <c r="AQ4" s="1">
        <f>(Y4+AC4)*Paramètres!$B$42*Paramètres!$B$53</f>
        <v>0</v>
      </c>
      <c r="AR4" s="1"/>
      <c r="AS4" s="7">
        <f>ROUNDUP(D4*Paramètres!$B$23*Paramètres!$B$26,-1)</f>
        <v>0</v>
      </c>
      <c r="AT4" s="7"/>
      <c r="AU4" s="1"/>
      <c r="AV4" s="8"/>
      <c r="AW4" s="8"/>
      <c r="AX4" s="8"/>
      <c r="AY4" s="8"/>
      <c r="AZ4" s="8"/>
      <c r="BA4" s="8"/>
      <c r="BB4" s="44"/>
      <c r="BC4" s="44"/>
      <c r="BD4" s="8"/>
      <c r="BE4" s="8"/>
      <c r="BF4" s="8"/>
      <c r="BG4" s="44"/>
      <c r="BI4">
        <f t="shared" ref="BI4:BI67" si="11">AQ4+AS4</f>
        <v>0</v>
      </c>
    </row>
    <row r="5" spans="1:61" x14ac:dyDescent="0.25">
      <c r="A5">
        <v>3</v>
      </c>
      <c r="B5" s="1"/>
      <c r="C5" s="1"/>
      <c r="D5" s="1"/>
      <c r="E5" s="1"/>
      <c r="F5" s="47"/>
      <c r="G5" s="53"/>
      <c r="H5" s="53"/>
      <c r="I5" s="53"/>
      <c r="J5" s="50">
        <f>F5*Paramètres!$B$3</f>
        <v>0</v>
      </c>
      <c r="K5" s="56">
        <f t="shared" si="0"/>
        <v>0</v>
      </c>
      <c r="L5" s="56">
        <f t="shared" si="1"/>
        <v>0</v>
      </c>
      <c r="M5" s="56">
        <f t="shared" si="2"/>
        <v>0</v>
      </c>
      <c r="N5" s="3">
        <f>ROUNDUP(J5*Paramètres!$B$19,-1)</f>
        <v>0</v>
      </c>
      <c r="O5" s="1">
        <f t="shared" si="3"/>
        <v>0</v>
      </c>
      <c r="P5" s="1">
        <f t="shared" si="4"/>
        <v>0</v>
      </c>
      <c r="Q5" s="3">
        <f t="shared" si="5"/>
        <v>0</v>
      </c>
      <c r="R5" s="47">
        <f>ROUNDUP(+K5/Paramètres!$B$4/Paramètres!$B$53,0)</f>
        <v>0</v>
      </c>
      <c r="S5" s="47">
        <f>ROUNDUP(+L5/Paramètres!$B$6/Paramètres!$B$53,0)</f>
        <v>0</v>
      </c>
      <c r="T5" s="47"/>
      <c r="U5" s="2">
        <f t="shared" si="6"/>
        <v>0</v>
      </c>
      <c r="V5" s="1">
        <f>R5*Paramètres!$B$7</f>
        <v>0</v>
      </c>
      <c r="W5" s="1">
        <f>S5*Paramètres!$B$9</f>
        <v>0</v>
      </c>
      <c r="X5" s="1"/>
      <c r="Y5" s="2">
        <f t="shared" si="7"/>
        <v>0</v>
      </c>
      <c r="Z5" s="7">
        <f>R5*Paramètres!$B$10</f>
        <v>0</v>
      </c>
      <c r="AA5" s="7">
        <f>S5*Paramètres!$B$10</f>
        <v>0</v>
      </c>
      <c r="AB5" s="7"/>
      <c r="AC5" s="2">
        <f t="shared" si="8"/>
        <v>0</v>
      </c>
      <c r="AD5" s="1">
        <f t="shared" ref="AD5:AD68" si="12">U5</f>
        <v>0</v>
      </c>
      <c r="AE5" s="1">
        <f t="shared" si="9"/>
        <v>0</v>
      </c>
      <c r="AF5" s="1">
        <f>IF(B5="",0,Paramètres!$B$53*1.5)</f>
        <v>0</v>
      </c>
      <c r="AG5" s="1">
        <f>IF(C5="",0,Paramètres!$B$53*1.5)</f>
        <v>0</v>
      </c>
      <c r="AH5" s="1"/>
      <c r="AI5" s="1"/>
      <c r="AJ5" s="1"/>
      <c r="AK5" s="1"/>
      <c r="AL5" s="1">
        <f>(U5*Paramètres!$B$53)*3</f>
        <v>0</v>
      </c>
      <c r="AM5" s="1">
        <f t="shared" si="10"/>
        <v>0</v>
      </c>
      <c r="AN5" s="1">
        <f>U5*Paramètres!$B$75</f>
        <v>0</v>
      </c>
      <c r="AO5" s="1">
        <f>U5*Paramètres!$B$72*Paramètres!$B$73</f>
        <v>0</v>
      </c>
      <c r="AP5" s="1"/>
      <c r="AQ5" s="1">
        <f>(Y5+AC5)*Paramètres!$B$42*Paramètres!$B$53</f>
        <v>0</v>
      </c>
      <c r="AR5" s="1"/>
      <c r="AS5" s="7">
        <f>ROUNDUP(D5*Paramètres!$B$23*Paramètres!$B$26,-1)</f>
        <v>0</v>
      </c>
      <c r="AT5" s="7"/>
      <c r="AU5" s="1"/>
      <c r="AV5" s="8"/>
      <c r="AW5" s="8"/>
      <c r="AX5" s="8"/>
      <c r="AY5" s="8"/>
      <c r="AZ5" s="8"/>
      <c r="BA5" s="8"/>
      <c r="BB5" s="44"/>
      <c r="BC5" s="44"/>
      <c r="BD5" s="8"/>
      <c r="BE5" s="8"/>
      <c r="BF5" s="8"/>
      <c r="BG5" s="44"/>
      <c r="BI5">
        <f t="shared" si="11"/>
        <v>0</v>
      </c>
    </row>
    <row r="6" spans="1:61" x14ac:dyDescent="0.25">
      <c r="A6">
        <v>4</v>
      </c>
      <c r="B6" s="1"/>
      <c r="C6" s="1"/>
      <c r="D6" s="1"/>
      <c r="E6" s="1"/>
      <c r="F6" s="47"/>
      <c r="G6" s="53"/>
      <c r="H6" s="53"/>
      <c r="I6" s="53"/>
      <c r="J6" s="50">
        <f>F6*Paramètres!$B$3</f>
        <v>0</v>
      </c>
      <c r="K6" s="56">
        <f t="shared" si="0"/>
        <v>0</v>
      </c>
      <c r="L6" s="56">
        <f t="shared" si="1"/>
        <v>0</v>
      </c>
      <c r="M6" s="56">
        <f t="shared" si="2"/>
        <v>0</v>
      </c>
      <c r="N6" s="3">
        <f>ROUNDUP(J6*Paramètres!$B$19,-1)</f>
        <v>0</v>
      </c>
      <c r="O6" s="1">
        <f t="shared" si="3"/>
        <v>0</v>
      </c>
      <c r="P6" s="1">
        <f t="shared" si="4"/>
        <v>0</v>
      </c>
      <c r="Q6" s="3">
        <f t="shared" si="5"/>
        <v>0</v>
      </c>
      <c r="R6" s="47">
        <f>ROUNDUP(+K6/Paramètres!$B$4/Paramètres!$B$53,0)</f>
        <v>0</v>
      </c>
      <c r="S6" s="47">
        <f>ROUNDUP(+L6/Paramètres!$B$6/Paramètres!$B$53,0)</f>
        <v>0</v>
      </c>
      <c r="T6" s="47"/>
      <c r="U6" s="2">
        <f t="shared" si="6"/>
        <v>0</v>
      </c>
      <c r="V6" s="1">
        <f>R6*Paramètres!$B$7</f>
        <v>0</v>
      </c>
      <c r="W6" s="1">
        <f>S6*Paramètres!$B$9</f>
        <v>0</v>
      </c>
      <c r="X6" s="1"/>
      <c r="Y6" s="2">
        <f t="shared" si="7"/>
        <v>0</v>
      </c>
      <c r="Z6" s="7">
        <f>R6*Paramètres!$B$10</f>
        <v>0</v>
      </c>
      <c r="AA6" s="7">
        <f>S6*Paramètres!$B$10</f>
        <v>0</v>
      </c>
      <c r="AB6" s="7"/>
      <c r="AC6" s="2">
        <f t="shared" si="8"/>
        <v>0</v>
      </c>
      <c r="AD6" s="1">
        <f t="shared" si="12"/>
        <v>0</v>
      </c>
      <c r="AE6" s="1">
        <f t="shared" si="9"/>
        <v>0</v>
      </c>
      <c r="AF6" s="1">
        <f>IF(B6="",0,Paramètres!$B$53*1.5)</f>
        <v>0</v>
      </c>
      <c r="AG6" s="1">
        <f>IF(C6="",0,Paramètres!$B$53*1.5)</f>
        <v>0</v>
      </c>
      <c r="AH6" s="1"/>
      <c r="AI6" s="1"/>
      <c r="AJ6" s="1"/>
      <c r="AK6" s="1"/>
      <c r="AL6" s="1">
        <f>(U6*Paramètres!$B$53)*3</f>
        <v>0</v>
      </c>
      <c r="AM6" s="1">
        <f t="shared" si="10"/>
        <v>0</v>
      </c>
      <c r="AN6" s="1">
        <f>U6*Paramètres!$B$75</f>
        <v>0</v>
      </c>
      <c r="AO6" s="1">
        <f>U6*Paramètres!$B$72*Paramètres!$B$73</f>
        <v>0</v>
      </c>
      <c r="AP6" s="1"/>
      <c r="AQ6" s="1">
        <f>(Y6+AC6)*Paramètres!$B$42*Paramètres!$B$53</f>
        <v>0</v>
      </c>
      <c r="AR6" s="1"/>
      <c r="AS6" s="7">
        <f>ROUNDUP(D6*Paramètres!$B$23*Paramètres!$B$26,-1)</f>
        <v>0</v>
      </c>
      <c r="AT6" s="7"/>
      <c r="AU6" s="1"/>
      <c r="AV6" s="8"/>
      <c r="AW6" s="8"/>
      <c r="AX6" s="8"/>
      <c r="AY6" s="8"/>
      <c r="AZ6" s="8"/>
      <c r="BA6" s="8"/>
      <c r="BB6" s="44"/>
      <c r="BC6" s="44"/>
      <c r="BD6" s="8"/>
      <c r="BE6" s="8"/>
      <c r="BF6" s="8"/>
      <c r="BG6" s="44"/>
      <c r="BI6">
        <f t="shared" si="11"/>
        <v>0</v>
      </c>
    </row>
    <row r="7" spans="1:61" x14ac:dyDescent="0.25">
      <c r="A7">
        <v>5</v>
      </c>
      <c r="B7" s="1"/>
      <c r="C7" s="1"/>
      <c r="D7" s="1"/>
      <c r="E7" s="1"/>
      <c r="F7" s="47"/>
      <c r="G7" s="53"/>
      <c r="H7" s="53"/>
      <c r="I7" s="53"/>
      <c r="J7" s="50">
        <f>F7*Paramètres!$B$3</f>
        <v>0</v>
      </c>
      <c r="K7" s="56">
        <f t="shared" si="0"/>
        <v>0</v>
      </c>
      <c r="L7" s="56">
        <f t="shared" si="1"/>
        <v>0</v>
      </c>
      <c r="M7" s="56">
        <f t="shared" si="2"/>
        <v>0</v>
      </c>
      <c r="N7" s="3">
        <f>ROUNDUP(J7*Paramètres!$B$19,-1)</f>
        <v>0</v>
      </c>
      <c r="O7" s="1">
        <f t="shared" si="3"/>
        <v>0</v>
      </c>
      <c r="P7" s="1">
        <f t="shared" si="4"/>
        <v>0</v>
      </c>
      <c r="Q7" s="3">
        <f t="shared" si="5"/>
        <v>0</v>
      </c>
      <c r="R7" s="47">
        <f>ROUNDUP(+K7/Paramètres!$B$4/Paramètres!$B$53,0)</f>
        <v>0</v>
      </c>
      <c r="S7" s="47">
        <f>ROUNDUP(+L7/Paramètres!$B$6/Paramètres!$B$53,0)</f>
        <v>0</v>
      </c>
      <c r="T7" s="47"/>
      <c r="U7" s="2">
        <f t="shared" si="6"/>
        <v>0</v>
      </c>
      <c r="V7" s="1">
        <f>R7*Paramètres!$B$7</f>
        <v>0</v>
      </c>
      <c r="W7" s="1">
        <f>S7*Paramètres!$B$9</f>
        <v>0</v>
      </c>
      <c r="X7" s="1"/>
      <c r="Y7" s="2">
        <f t="shared" si="7"/>
        <v>0</v>
      </c>
      <c r="Z7" s="7">
        <f>R7*Paramètres!$B$10</f>
        <v>0</v>
      </c>
      <c r="AA7" s="7">
        <f>S7*Paramètres!$B$10</f>
        <v>0</v>
      </c>
      <c r="AB7" s="7"/>
      <c r="AC7" s="2">
        <f t="shared" si="8"/>
        <v>0</v>
      </c>
      <c r="AD7" s="1">
        <f t="shared" si="12"/>
        <v>0</v>
      </c>
      <c r="AE7" s="1">
        <f t="shared" si="9"/>
        <v>0</v>
      </c>
      <c r="AF7" s="1">
        <f>IF(B7="",0,Paramètres!$B$53*1.5)</f>
        <v>0</v>
      </c>
      <c r="AG7" s="1">
        <f>IF(C7="",0,Paramètres!$B$53*1.5)</f>
        <v>0</v>
      </c>
      <c r="AH7" s="1"/>
      <c r="AI7" s="1"/>
      <c r="AJ7" s="1"/>
      <c r="AK7" s="1"/>
      <c r="AL7" s="1">
        <f>(U7*Paramètres!$B$53)*3</f>
        <v>0</v>
      </c>
      <c r="AM7" s="1">
        <f t="shared" si="10"/>
        <v>0</v>
      </c>
      <c r="AN7" s="1">
        <f>U7*Paramètres!$B$75</f>
        <v>0</v>
      </c>
      <c r="AO7" s="1">
        <f>U7*Paramètres!$B$72*Paramètres!$B$73</f>
        <v>0</v>
      </c>
      <c r="AP7" s="1"/>
      <c r="AQ7" s="1">
        <f>(Y7+AC7)*Paramètres!$B$42*Paramètres!$B$53</f>
        <v>0</v>
      </c>
      <c r="AR7" s="1"/>
      <c r="AS7" s="7">
        <f>ROUNDUP(D7*Paramètres!$B$23*Paramètres!$B$26,-1)</f>
        <v>0</v>
      </c>
      <c r="AT7" s="7"/>
      <c r="AU7" s="1"/>
      <c r="AV7" s="8"/>
      <c r="AW7" s="8"/>
      <c r="AX7" s="8"/>
      <c r="AY7" s="8"/>
      <c r="AZ7" s="8"/>
      <c r="BA7" s="8"/>
      <c r="BB7" s="44"/>
      <c r="BC7" s="44"/>
      <c r="BD7" s="8"/>
      <c r="BE7" s="8"/>
      <c r="BF7" s="8"/>
      <c r="BG7" s="44"/>
      <c r="BI7">
        <f t="shared" si="11"/>
        <v>0</v>
      </c>
    </row>
    <row r="8" spans="1:61" x14ac:dyDescent="0.25">
      <c r="A8">
        <v>6</v>
      </c>
      <c r="B8" s="1"/>
      <c r="C8" s="1"/>
      <c r="D8" s="1"/>
      <c r="E8" s="1"/>
      <c r="F8" s="47"/>
      <c r="G8" s="53"/>
      <c r="H8" s="53"/>
      <c r="I8" s="53"/>
      <c r="J8" s="50">
        <f>F8*Paramètres!$B$3</f>
        <v>0</v>
      </c>
      <c r="K8" s="56">
        <f t="shared" si="0"/>
        <v>0</v>
      </c>
      <c r="L8" s="56">
        <f t="shared" si="1"/>
        <v>0</v>
      </c>
      <c r="M8" s="56">
        <f t="shared" si="2"/>
        <v>0</v>
      </c>
      <c r="N8" s="3">
        <f>ROUNDUP(J8*Paramètres!$B$19,-1)</f>
        <v>0</v>
      </c>
      <c r="O8" s="1">
        <f t="shared" si="3"/>
        <v>0</v>
      </c>
      <c r="P8" s="1">
        <f t="shared" si="4"/>
        <v>0</v>
      </c>
      <c r="Q8" s="3">
        <f t="shared" si="5"/>
        <v>0</v>
      </c>
      <c r="R8" s="47">
        <f>ROUNDUP(+K8/Paramètres!$B$4/Paramètres!$B$53,0)</f>
        <v>0</v>
      </c>
      <c r="S8" s="47">
        <f>ROUNDUP(+L8/Paramètres!$B$6/Paramètres!$B$53,0)</f>
        <v>0</v>
      </c>
      <c r="T8" s="47"/>
      <c r="U8" s="2">
        <f t="shared" si="6"/>
        <v>0</v>
      </c>
      <c r="V8" s="1">
        <f>R8*Paramètres!$B$7</f>
        <v>0</v>
      </c>
      <c r="W8" s="1">
        <f>S8*Paramètres!$B$9</f>
        <v>0</v>
      </c>
      <c r="X8" s="1"/>
      <c r="Y8" s="2">
        <f t="shared" si="7"/>
        <v>0</v>
      </c>
      <c r="Z8" s="7">
        <f>R8*Paramètres!$B$10</f>
        <v>0</v>
      </c>
      <c r="AA8" s="7">
        <f>S8*Paramètres!$B$10</f>
        <v>0</v>
      </c>
      <c r="AB8" s="7"/>
      <c r="AC8" s="2">
        <f t="shared" si="8"/>
        <v>0</v>
      </c>
      <c r="AD8" s="1">
        <f t="shared" si="12"/>
        <v>0</v>
      </c>
      <c r="AE8" s="1">
        <f t="shared" si="9"/>
        <v>0</v>
      </c>
      <c r="AF8" s="1">
        <f>IF(B8="",0,Paramètres!$B$53*1.5)</f>
        <v>0</v>
      </c>
      <c r="AG8" s="1">
        <f>IF(C8="",0,Paramètres!$B$53*1.5)</f>
        <v>0</v>
      </c>
      <c r="AH8" s="1"/>
      <c r="AI8" s="1"/>
      <c r="AJ8" s="1"/>
      <c r="AK8" s="1"/>
      <c r="AL8" s="1">
        <f>(U8*Paramètres!$B$53)*3</f>
        <v>0</v>
      </c>
      <c r="AM8" s="1">
        <f t="shared" si="10"/>
        <v>0</v>
      </c>
      <c r="AN8" s="1">
        <f>U8*Paramètres!$B$75</f>
        <v>0</v>
      </c>
      <c r="AO8" s="1">
        <f>U8*Paramètres!$B$72*Paramètres!$B$73</f>
        <v>0</v>
      </c>
      <c r="AP8" s="1"/>
      <c r="AQ8" s="1">
        <f>(Y8+AC8)*Paramètres!$B$42*Paramètres!$B$53</f>
        <v>0</v>
      </c>
      <c r="AR8" s="1"/>
      <c r="AS8" s="7">
        <f>ROUNDUP(D8*Paramètres!$B$23*Paramètres!$B$26,-1)</f>
        <v>0</v>
      </c>
      <c r="AT8" s="7"/>
      <c r="AU8" s="1"/>
      <c r="AV8" s="8"/>
      <c r="AW8" s="8"/>
      <c r="AX8" s="8"/>
      <c r="AY8" s="8"/>
      <c r="AZ8" s="8"/>
      <c r="BA8" s="8"/>
      <c r="BB8" s="44"/>
      <c r="BC8" s="44"/>
      <c r="BD8" s="8"/>
      <c r="BE8" s="8"/>
      <c r="BF8" s="8"/>
      <c r="BG8" s="44"/>
      <c r="BI8">
        <f t="shared" si="11"/>
        <v>0</v>
      </c>
    </row>
    <row r="9" spans="1:61" x14ac:dyDescent="0.25">
      <c r="A9">
        <v>7</v>
      </c>
      <c r="B9" s="1"/>
      <c r="C9" s="1"/>
      <c r="D9" s="1"/>
      <c r="E9" s="1"/>
      <c r="F9" s="47"/>
      <c r="G9" s="53"/>
      <c r="H9" s="53"/>
      <c r="I9" s="53"/>
      <c r="J9" s="50">
        <f>F9*Paramètres!$B$3</f>
        <v>0</v>
      </c>
      <c r="K9" s="56">
        <f t="shared" si="0"/>
        <v>0</v>
      </c>
      <c r="L9" s="56">
        <f t="shared" si="1"/>
        <v>0</v>
      </c>
      <c r="M9" s="56">
        <f t="shared" si="2"/>
        <v>0</v>
      </c>
      <c r="N9" s="3">
        <f>ROUNDUP(J9*Paramètres!$B$19,-1)</f>
        <v>0</v>
      </c>
      <c r="O9" s="1">
        <f t="shared" si="3"/>
        <v>0</v>
      </c>
      <c r="P9" s="1">
        <f t="shared" si="4"/>
        <v>0</v>
      </c>
      <c r="Q9" s="3">
        <f t="shared" si="5"/>
        <v>0</v>
      </c>
      <c r="R9" s="47">
        <f>ROUNDUP(+K9/Paramètres!$B$4/Paramètres!$B$53,0)</f>
        <v>0</v>
      </c>
      <c r="S9" s="47">
        <f>ROUNDUP(+L9/Paramètres!$B$6/Paramètres!$B$53,0)</f>
        <v>0</v>
      </c>
      <c r="T9" s="47"/>
      <c r="U9" s="2">
        <f t="shared" si="6"/>
        <v>0</v>
      </c>
      <c r="V9" s="1">
        <f>R9*Paramètres!$B$7</f>
        <v>0</v>
      </c>
      <c r="W9" s="1">
        <f>S9*Paramètres!$B$9</f>
        <v>0</v>
      </c>
      <c r="X9" s="1"/>
      <c r="Y9" s="2">
        <f t="shared" si="7"/>
        <v>0</v>
      </c>
      <c r="Z9" s="7">
        <f>R9*Paramètres!$B$10</f>
        <v>0</v>
      </c>
      <c r="AA9" s="7">
        <f>S9*Paramètres!$B$10</f>
        <v>0</v>
      </c>
      <c r="AB9" s="7"/>
      <c r="AC9" s="2">
        <f t="shared" si="8"/>
        <v>0</v>
      </c>
      <c r="AD9" s="1">
        <f t="shared" si="12"/>
        <v>0</v>
      </c>
      <c r="AE9" s="1">
        <f t="shared" si="9"/>
        <v>0</v>
      </c>
      <c r="AF9" s="1">
        <f>IF(B9="",0,Paramètres!$B$53*1.5)</f>
        <v>0</v>
      </c>
      <c r="AG9" s="1">
        <f>IF(C9="",0,Paramètres!$B$53*1.5)</f>
        <v>0</v>
      </c>
      <c r="AH9" s="1"/>
      <c r="AI9" s="1"/>
      <c r="AJ9" s="1"/>
      <c r="AK9" s="1"/>
      <c r="AL9" s="1">
        <f>(U9*Paramètres!$B$53)*3</f>
        <v>0</v>
      </c>
      <c r="AM9" s="1">
        <f t="shared" si="10"/>
        <v>0</v>
      </c>
      <c r="AN9" s="1">
        <f>U9*Paramètres!$B$75</f>
        <v>0</v>
      </c>
      <c r="AO9" s="1">
        <f>U9*Paramètres!$B$72*Paramètres!$B$73</f>
        <v>0</v>
      </c>
      <c r="AP9" s="1"/>
      <c r="AQ9" s="1">
        <f>(Y9+AC9)*Paramètres!$B$42*Paramètres!$B$53</f>
        <v>0</v>
      </c>
      <c r="AR9" s="1"/>
      <c r="AS9" s="7">
        <f>ROUNDUP(D9*Paramètres!$B$23*Paramètres!$B$26,-1)</f>
        <v>0</v>
      </c>
      <c r="AT9" s="7"/>
      <c r="AU9" s="1"/>
      <c r="AV9" s="8"/>
      <c r="AW9" s="8"/>
      <c r="AX9" s="8"/>
      <c r="AY9" s="8"/>
      <c r="AZ9" s="8"/>
      <c r="BA9" s="8"/>
      <c r="BB9" s="44"/>
      <c r="BC9" s="44"/>
      <c r="BD9" s="8"/>
      <c r="BE9" s="8"/>
      <c r="BF9" s="8"/>
      <c r="BG9" s="44"/>
      <c r="BI9">
        <f t="shared" si="11"/>
        <v>0</v>
      </c>
    </row>
    <row r="10" spans="1:61" x14ac:dyDescent="0.25">
      <c r="A10">
        <v>8</v>
      </c>
      <c r="B10" s="1"/>
      <c r="C10" s="1"/>
      <c r="D10" s="1"/>
      <c r="E10" s="1"/>
      <c r="F10" s="47"/>
      <c r="G10" s="53"/>
      <c r="H10" s="53"/>
      <c r="I10" s="53"/>
      <c r="J10" s="50">
        <f>F10*Paramètres!$B$3</f>
        <v>0</v>
      </c>
      <c r="K10" s="56">
        <f t="shared" si="0"/>
        <v>0</v>
      </c>
      <c r="L10" s="56">
        <f t="shared" si="1"/>
        <v>0</v>
      </c>
      <c r="M10" s="56">
        <f t="shared" si="2"/>
        <v>0</v>
      </c>
      <c r="N10" s="3">
        <f>ROUNDUP(J10*Paramètres!$B$19,-1)</f>
        <v>0</v>
      </c>
      <c r="O10" s="1">
        <f t="shared" si="3"/>
        <v>0</v>
      </c>
      <c r="P10" s="1">
        <f t="shared" si="4"/>
        <v>0</v>
      </c>
      <c r="Q10" s="3">
        <f t="shared" si="5"/>
        <v>0</v>
      </c>
      <c r="R10" s="47">
        <f>ROUNDUP(+K10/Paramètres!$B$4/Paramètres!$B$53,0)</f>
        <v>0</v>
      </c>
      <c r="S10" s="47">
        <f>ROUNDUP(+L10/Paramètres!$B$6/Paramètres!$B$53,0)</f>
        <v>0</v>
      </c>
      <c r="T10" s="47"/>
      <c r="U10" s="2">
        <f t="shared" si="6"/>
        <v>0</v>
      </c>
      <c r="V10" s="1">
        <f>R10*Paramètres!$B$7</f>
        <v>0</v>
      </c>
      <c r="W10" s="1">
        <f>S10*Paramètres!$B$9</f>
        <v>0</v>
      </c>
      <c r="X10" s="1"/>
      <c r="Y10" s="2">
        <f t="shared" si="7"/>
        <v>0</v>
      </c>
      <c r="Z10" s="7">
        <f>R10*Paramètres!$B$10</f>
        <v>0</v>
      </c>
      <c r="AA10" s="7">
        <f>S10*Paramètres!$B$10</f>
        <v>0</v>
      </c>
      <c r="AB10" s="7"/>
      <c r="AC10" s="2">
        <f t="shared" si="8"/>
        <v>0</v>
      </c>
      <c r="AD10" s="1">
        <f t="shared" si="12"/>
        <v>0</v>
      </c>
      <c r="AE10" s="1">
        <f t="shared" si="9"/>
        <v>0</v>
      </c>
      <c r="AF10" s="1">
        <f>IF(B10="",0,Paramètres!$B$53*1.5)</f>
        <v>0</v>
      </c>
      <c r="AG10" s="1">
        <f>IF(C10="",0,Paramètres!$B$53*1.5)</f>
        <v>0</v>
      </c>
      <c r="AH10" s="1"/>
      <c r="AI10" s="1"/>
      <c r="AJ10" s="1"/>
      <c r="AK10" s="1"/>
      <c r="AL10" s="1">
        <f>(U10*Paramètres!$B$53)*3</f>
        <v>0</v>
      </c>
      <c r="AM10" s="1">
        <f t="shared" si="10"/>
        <v>0</v>
      </c>
      <c r="AN10" s="1">
        <f>U10*Paramètres!$B$75</f>
        <v>0</v>
      </c>
      <c r="AO10" s="1">
        <f>U10*Paramètres!$B$72*Paramètres!$B$73</f>
        <v>0</v>
      </c>
      <c r="AP10" s="1"/>
      <c r="AQ10" s="1">
        <f>(Y10+AC10)*Paramètres!$B$42*Paramètres!$B$53</f>
        <v>0</v>
      </c>
      <c r="AR10" s="1"/>
      <c r="AS10" s="7">
        <f>ROUNDUP(D10*Paramètres!$B$23*Paramètres!$B$26,-1)</f>
        <v>0</v>
      </c>
      <c r="AT10" s="7"/>
      <c r="AU10" s="1"/>
      <c r="AV10" s="8"/>
      <c r="AW10" s="8"/>
      <c r="AX10" s="8"/>
      <c r="AY10" s="8"/>
      <c r="AZ10" s="8"/>
      <c r="BA10" s="8"/>
      <c r="BB10" s="44"/>
      <c r="BC10" s="44"/>
      <c r="BD10" s="8"/>
      <c r="BE10" s="8"/>
      <c r="BF10" s="8"/>
      <c r="BG10" s="44"/>
      <c r="BI10">
        <f t="shared" si="11"/>
        <v>0</v>
      </c>
    </row>
    <row r="11" spans="1:61" x14ac:dyDescent="0.25">
      <c r="A11">
        <v>9</v>
      </c>
      <c r="B11" s="1"/>
      <c r="C11" s="1"/>
      <c r="D11" s="1"/>
      <c r="E11" s="10"/>
      <c r="F11" s="47"/>
      <c r="G11" s="53"/>
      <c r="H11" s="53"/>
      <c r="I11" s="53"/>
      <c r="J11" s="50">
        <f>F11*Paramètres!$B$3</f>
        <v>0</v>
      </c>
      <c r="K11" s="56">
        <f t="shared" si="0"/>
        <v>0</v>
      </c>
      <c r="L11" s="56">
        <f t="shared" si="1"/>
        <v>0</v>
      </c>
      <c r="M11" s="56">
        <f t="shared" si="2"/>
        <v>0</v>
      </c>
      <c r="N11" s="3">
        <f>ROUNDUP(J11*Paramètres!$B$19,-1)</f>
        <v>0</v>
      </c>
      <c r="O11" s="1">
        <f t="shared" si="3"/>
        <v>0</v>
      </c>
      <c r="P11" s="1">
        <f t="shared" si="4"/>
        <v>0</v>
      </c>
      <c r="Q11" s="3">
        <f t="shared" si="5"/>
        <v>0</v>
      </c>
      <c r="R11" s="47">
        <f>ROUNDUP(+K11/Paramètres!$B$4/Paramètres!$B$53,0)</f>
        <v>0</v>
      </c>
      <c r="S11" s="47">
        <f>ROUNDUP(+L11/Paramètres!$B$6/Paramètres!$B$53,0)</f>
        <v>0</v>
      </c>
      <c r="T11" s="47"/>
      <c r="U11" s="2">
        <f t="shared" si="6"/>
        <v>0</v>
      </c>
      <c r="V11" s="1">
        <f>R11*Paramètres!$B$7</f>
        <v>0</v>
      </c>
      <c r="W11" s="1">
        <f>S11*Paramètres!$B$9</f>
        <v>0</v>
      </c>
      <c r="X11" s="1"/>
      <c r="Y11" s="2">
        <f t="shared" si="7"/>
        <v>0</v>
      </c>
      <c r="Z11" s="7">
        <f>R11*Paramètres!$B$10</f>
        <v>0</v>
      </c>
      <c r="AA11" s="7">
        <f>S11*Paramètres!$B$10</f>
        <v>0</v>
      </c>
      <c r="AB11" s="7"/>
      <c r="AC11" s="2">
        <f t="shared" si="8"/>
        <v>0</v>
      </c>
      <c r="AD11" s="1">
        <f t="shared" si="12"/>
        <v>0</v>
      </c>
      <c r="AE11" s="1">
        <f t="shared" si="9"/>
        <v>0</v>
      </c>
      <c r="AF11" s="1">
        <f>IF(B11="",0,Paramètres!$B$53*1.5)</f>
        <v>0</v>
      </c>
      <c r="AG11" s="1">
        <f>IF(C11="",0,Paramètres!$B$53*1.5)</f>
        <v>0</v>
      </c>
      <c r="AH11" s="1"/>
      <c r="AI11" s="1"/>
      <c r="AJ11" s="1"/>
      <c r="AK11" s="1"/>
      <c r="AL11" s="1">
        <f>(U11*Paramètres!$B$53)*3</f>
        <v>0</v>
      </c>
      <c r="AM11" s="1">
        <f t="shared" si="10"/>
        <v>0</v>
      </c>
      <c r="AN11" s="1">
        <f>U11*Paramètres!$B$75</f>
        <v>0</v>
      </c>
      <c r="AO11" s="1">
        <f>U11*Paramètres!$B$72*Paramètres!$B$73</f>
        <v>0</v>
      </c>
      <c r="AP11" s="1"/>
      <c r="AQ11" s="1">
        <f>(Y11+AC11)*Paramètres!$B$42*Paramètres!$B$53</f>
        <v>0</v>
      </c>
      <c r="AR11" s="1"/>
      <c r="AS11" s="7">
        <f>ROUNDUP(D11*Paramètres!$B$23*Paramètres!$B$26,-1)</f>
        <v>0</v>
      </c>
      <c r="AT11" s="7"/>
      <c r="AU11" s="1"/>
      <c r="AV11" s="8"/>
      <c r="AW11" s="8"/>
      <c r="AX11" s="8"/>
      <c r="AY11" s="8"/>
      <c r="AZ11" s="8"/>
      <c r="BA11" s="8"/>
      <c r="BB11" s="44"/>
      <c r="BC11" s="44"/>
      <c r="BD11" s="8"/>
      <c r="BE11" s="8"/>
      <c r="BF11" s="8"/>
      <c r="BG11" s="44"/>
      <c r="BI11">
        <f t="shared" si="11"/>
        <v>0</v>
      </c>
    </row>
    <row r="12" spans="1:61" x14ac:dyDescent="0.25">
      <c r="A12">
        <v>10</v>
      </c>
      <c r="B12" s="1"/>
      <c r="C12" s="1"/>
      <c r="D12" s="1"/>
      <c r="E12" s="1"/>
      <c r="F12" s="47"/>
      <c r="G12" s="53"/>
      <c r="H12" s="53"/>
      <c r="I12" s="53"/>
      <c r="J12" s="50">
        <f>F12*Paramètres!$B$3</f>
        <v>0</v>
      </c>
      <c r="K12" s="56">
        <f t="shared" si="0"/>
        <v>0</v>
      </c>
      <c r="L12" s="56">
        <f t="shared" si="1"/>
        <v>0</v>
      </c>
      <c r="M12" s="56">
        <f t="shared" si="2"/>
        <v>0</v>
      </c>
      <c r="N12" s="3">
        <f>ROUNDUP(J12*Paramètres!$B$19,-1)</f>
        <v>0</v>
      </c>
      <c r="O12" s="1">
        <f t="shared" si="3"/>
        <v>0</v>
      </c>
      <c r="P12" s="1">
        <f t="shared" si="4"/>
        <v>0</v>
      </c>
      <c r="Q12" s="3">
        <f t="shared" si="5"/>
        <v>0</v>
      </c>
      <c r="R12" s="47">
        <f>ROUNDUP(+K12/Paramètres!$B$4/Paramètres!$B$53,0)</f>
        <v>0</v>
      </c>
      <c r="S12" s="47">
        <f>ROUNDUP(+L12/Paramètres!$B$6/Paramètres!$B$53,0)</f>
        <v>0</v>
      </c>
      <c r="T12" s="47"/>
      <c r="U12" s="2">
        <f t="shared" si="6"/>
        <v>0</v>
      </c>
      <c r="V12" s="1">
        <f>R12*Paramètres!$B$7</f>
        <v>0</v>
      </c>
      <c r="W12" s="1">
        <f>S12*Paramètres!$B$9</f>
        <v>0</v>
      </c>
      <c r="X12" s="1"/>
      <c r="Y12" s="2">
        <f t="shared" si="7"/>
        <v>0</v>
      </c>
      <c r="Z12" s="7">
        <f>R12*Paramètres!$B$10</f>
        <v>0</v>
      </c>
      <c r="AA12" s="7">
        <f>S12*Paramètres!$B$10</f>
        <v>0</v>
      </c>
      <c r="AB12" s="7"/>
      <c r="AC12" s="2">
        <f t="shared" si="8"/>
        <v>0</v>
      </c>
      <c r="AD12" s="1">
        <f t="shared" si="12"/>
        <v>0</v>
      </c>
      <c r="AE12" s="1">
        <f t="shared" si="9"/>
        <v>0</v>
      </c>
      <c r="AF12" s="1">
        <f>IF(B12="",0,Paramètres!$B$53*1.5)</f>
        <v>0</v>
      </c>
      <c r="AG12" s="1">
        <f>IF(C12="",0,Paramètres!$B$53*1.5)</f>
        <v>0</v>
      </c>
      <c r="AH12" s="1"/>
      <c r="AI12" s="1"/>
      <c r="AJ12" s="1"/>
      <c r="AK12" s="1"/>
      <c r="AL12" s="1">
        <f>(U12*Paramètres!$B$53)*3</f>
        <v>0</v>
      </c>
      <c r="AM12" s="1">
        <f t="shared" si="10"/>
        <v>0</v>
      </c>
      <c r="AN12" s="1">
        <f>U12*Paramètres!$B$75</f>
        <v>0</v>
      </c>
      <c r="AO12" s="1">
        <f>U12*Paramètres!$B$72*Paramètres!$B$73</f>
        <v>0</v>
      </c>
      <c r="AP12" s="1"/>
      <c r="AQ12" s="1">
        <f>(Y12+AC12)*Paramètres!$B$42*Paramètres!$B$53</f>
        <v>0</v>
      </c>
      <c r="AR12" s="1"/>
      <c r="AS12" s="7">
        <f>ROUNDUP(D12*Paramètres!$B$23*Paramètres!$B$26,-1)</f>
        <v>0</v>
      </c>
      <c r="AT12" s="7"/>
      <c r="AU12" s="1"/>
      <c r="AV12" s="8"/>
      <c r="AW12" s="8"/>
      <c r="AX12" s="8"/>
      <c r="AY12" s="8"/>
      <c r="AZ12" s="8"/>
      <c r="BA12" s="8"/>
      <c r="BB12" s="44"/>
      <c r="BC12" s="44"/>
      <c r="BD12" s="8"/>
      <c r="BE12" s="8"/>
      <c r="BF12" s="8"/>
      <c r="BG12" s="44"/>
      <c r="BI12">
        <f t="shared" si="11"/>
        <v>0</v>
      </c>
    </row>
    <row r="13" spans="1:61" x14ac:dyDescent="0.25">
      <c r="A13">
        <v>11</v>
      </c>
      <c r="B13" s="1"/>
      <c r="C13" s="1"/>
      <c r="D13" s="1"/>
      <c r="E13" s="1"/>
      <c r="F13" s="47"/>
      <c r="G13" s="53"/>
      <c r="H13" s="53"/>
      <c r="I13" s="53"/>
      <c r="J13" s="50">
        <f>F13*Paramètres!$B$3</f>
        <v>0</v>
      </c>
      <c r="K13" s="56">
        <f t="shared" si="0"/>
        <v>0</v>
      </c>
      <c r="L13" s="56">
        <f t="shared" si="1"/>
        <v>0</v>
      </c>
      <c r="M13" s="56">
        <f t="shared" si="2"/>
        <v>0</v>
      </c>
      <c r="N13" s="3">
        <f>ROUNDUP(J13*Paramètres!$B$19,-1)</f>
        <v>0</v>
      </c>
      <c r="O13" s="1">
        <f t="shared" si="3"/>
        <v>0</v>
      </c>
      <c r="P13" s="1">
        <f t="shared" si="4"/>
        <v>0</v>
      </c>
      <c r="Q13" s="3">
        <f t="shared" si="5"/>
        <v>0</v>
      </c>
      <c r="R13" s="47">
        <f>ROUNDUP(+K13/Paramètres!$B$4/Paramètres!$B$53,0)</f>
        <v>0</v>
      </c>
      <c r="S13" s="47">
        <f>ROUNDUP(+L13/Paramètres!$B$6/Paramètres!$B$53,0)</f>
        <v>0</v>
      </c>
      <c r="T13" s="47"/>
      <c r="U13" s="2">
        <f t="shared" si="6"/>
        <v>0</v>
      </c>
      <c r="V13" s="1">
        <f>R13*Paramètres!$B$7</f>
        <v>0</v>
      </c>
      <c r="W13" s="1">
        <f>S13*Paramètres!$B$9</f>
        <v>0</v>
      </c>
      <c r="X13" s="1"/>
      <c r="Y13" s="2">
        <f t="shared" si="7"/>
        <v>0</v>
      </c>
      <c r="Z13" s="7">
        <f>R13*Paramètres!$B$10</f>
        <v>0</v>
      </c>
      <c r="AA13" s="7">
        <f>S13*Paramètres!$B$10</f>
        <v>0</v>
      </c>
      <c r="AB13" s="7"/>
      <c r="AC13" s="2">
        <f t="shared" si="8"/>
        <v>0</v>
      </c>
      <c r="AD13" s="1">
        <f t="shared" si="12"/>
        <v>0</v>
      </c>
      <c r="AE13" s="1">
        <f t="shared" si="9"/>
        <v>0</v>
      </c>
      <c r="AF13" s="1">
        <f>IF(B13="",0,Paramètres!$B$53*1.5)</f>
        <v>0</v>
      </c>
      <c r="AG13" s="1">
        <f>IF(C13="",0,Paramètres!$B$53*1.5)</f>
        <v>0</v>
      </c>
      <c r="AH13" s="1"/>
      <c r="AI13" s="1"/>
      <c r="AJ13" s="1"/>
      <c r="AK13" s="1"/>
      <c r="AL13" s="1">
        <f>(U13*Paramètres!$B$53)*3</f>
        <v>0</v>
      </c>
      <c r="AM13" s="1">
        <f t="shared" si="10"/>
        <v>0</v>
      </c>
      <c r="AN13" s="1">
        <f>U13*Paramètres!$B$75</f>
        <v>0</v>
      </c>
      <c r="AO13" s="1">
        <f>U13*Paramètres!$B$72*Paramètres!$B$73</f>
        <v>0</v>
      </c>
      <c r="AP13" s="1"/>
      <c r="AQ13" s="1">
        <f>(Y13+AC13)*Paramètres!$B$42*Paramètres!$B$53</f>
        <v>0</v>
      </c>
      <c r="AR13" s="1"/>
      <c r="AS13" s="7">
        <f>ROUNDUP(D13*Paramètres!$B$23*Paramètres!$B$26,-1)</f>
        <v>0</v>
      </c>
      <c r="AT13" s="7"/>
      <c r="AU13" s="1"/>
      <c r="AV13" s="8"/>
      <c r="AW13" s="8"/>
      <c r="AX13" s="8"/>
      <c r="AY13" s="8"/>
      <c r="AZ13" s="8"/>
      <c r="BA13" s="8"/>
      <c r="BB13" s="44"/>
      <c r="BC13" s="44"/>
      <c r="BD13" s="8"/>
      <c r="BE13" s="8"/>
      <c r="BF13" s="8"/>
      <c r="BG13" s="44"/>
      <c r="BI13">
        <f t="shared" si="11"/>
        <v>0</v>
      </c>
    </row>
    <row r="14" spans="1:61" x14ac:dyDescent="0.25">
      <c r="A14">
        <v>12</v>
      </c>
      <c r="B14" s="1"/>
      <c r="C14" s="1"/>
      <c r="D14" s="1"/>
      <c r="E14" s="1"/>
      <c r="F14" s="47"/>
      <c r="G14" s="53"/>
      <c r="H14" s="53"/>
      <c r="I14" s="53"/>
      <c r="J14" s="50">
        <f>F14*Paramètres!$B$3</f>
        <v>0</v>
      </c>
      <c r="K14" s="56">
        <f t="shared" si="0"/>
        <v>0</v>
      </c>
      <c r="L14" s="56">
        <f t="shared" si="1"/>
        <v>0</v>
      </c>
      <c r="M14" s="56">
        <f t="shared" si="2"/>
        <v>0</v>
      </c>
      <c r="N14" s="3">
        <f>ROUNDUP(J14*Paramètres!$B$19,-1)</f>
        <v>0</v>
      </c>
      <c r="O14" s="1">
        <f t="shared" si="3"/>
        <v>0</v>
      </c>
      <c r="P14" s="1">
        <f t="shared" si="4"/>
        <v>0</v>
      </c>
      <c r="Q14" s="3">
        <f t="shared" si="5"/>
        <v>0</v>
      </c>
      <c r="R14" s="47">
        <f>ROUNDUP(+K14/Paramètres!$B$4/Paramètres!$B$53,0)</f>
        <v>0</v>
      </c>
      <c r="S14" s="47">
        <f>ROUNDUP(+L14/Paramètres!$B$6/Paramètres!$B$53,0)</f>
        <v>0</v>
      </c>
      <c r="T14" s="47"/>
      <c r="U14" s="2">
        <f t="shared" si="6"/>
        <v>0</v>
      </c>
      <c r="V14" s="1">
        <f>R14*Paramètres!$B$7</f>
        <v>0</v>
      </c>
      <c r="W14" s="1">
        <f>S14*Paramètres!$B$9</f>
        <v>0</v>
      </c>
      <c r="X14" s="1"/>
      <c r="Y14" s="2">
        <f t="shared" si="7"/>
        <v>0</v>
      </c>
      <c r="Z14" s="7">
        <f>R14*Paramètres!$B$10</f>
        <v>0</v>
      </c>
      <c r="AA14" s="7">
        <f>S14*Paramètres!$B$10</f>
        <v>0</v>
      </c>
      <c r="AB14" s="7"/>
      <c r="AC14" s="2">
        <f t="shared" si="8"/>
        <v>0</v>
      </c>
      <c r="AD14" s="1">
        <f t="shared" si="12"/>
        <v>0</v>
      </c>
      <c r="AE14" s="1">
        <f t="shared" si="9"/>
        <v>0</v>
      </c>
      <c r="AF14" s="1">
        <f>IF(B14="",0,Paramètres!$B$53*1.5)</f>
        <v>0</v>
      </c>
      <c r="AG14" s="1">
        <f>IF(C14="",0,Paramètres!$B$53*1.5)</f>
        <v>0</v>
      </c>
      <c r="AH14" s="1"/>
      <c r="AI14" s="1"/>
      <c r="AJ14" s="1"/>
      <c r="AK14" s="1"/>
      <c r="AL14" s="1">
        <f>(U14*Paramètres!$B$53)*3</f>
        <v>0</v>
      </c>
      <c r="AM14" s="1">
        <f t="shared" si="10"/>
        <v>0</v>
      </c>
      <c r="AN14" s="1">
        <f>U14*Paramètres!$B$75</f>
        <v>0</v>
      </c>
      <c r="AO14" s="1">
        <f>U14*Paramètres!$B$72*Paramètres!$B$73</f>
        <v>0</v>
      </c>
      <c r="AP14" s="1"/>
      <c r="AQ14" s="1">
        <f>(Y14+AC14)*Paramètres!$B$42*Paramètres!$B$53</f>
        <v>0</v>
      </c>
      <c r="AR14" s="1"/>
      <c r="AS14" s="7">
        <f>ROUNDUP(D14*Paramètres!$B$23*Paramètres!$B$26,-1)</f>
        <v>0</v>
      </c>
      <c r="AT14" s="7"/>
      <c r="AU14" s="1"/>
      <c r="AV14" s="8"/>
      <c r="AW14" s="8"/>
      <c r="AX14" s="8"/>
      <c r="AY14" s="8"/>
      <c r="AZ14" s="8"/>
      <c r="BA14" s="8"/>
      <c r="BB14" s="44"/>
      <c r="BC14" s="44"/>
      <c r="BD14" s="8"/>
      <c r="BE14" s="8"/>
      <c r="BF14" s="8"/>
      <c r="BG14" s="44"/>
      <c r="BI14">
        <f t="shared" si="11"/>
        <v>0</v>
      </c>
    </row>
    <row r="15" spans="1:61" x14ac:dyDescent="0.25">
      <c r="A15">
        <v>13</v>
      </c>
      <c r="B15" s="1"/>
      <c r="C15" s="1"/>
      <c r="D15" s="1"/>
      <c r="E15" s="10"/>
      <c r="F15" s="47"/>
      <c r="G15" s="53"/>
      <c r="H15" s="53"/>
      <c r="I15" s="53"/>
      <c r="J15" s="50">
        <f>F15*Paramètres!$B$3</f>
        <v>0</v>
      </c>
      <c r="K15" s="56">
        <f t="shared" si="0"/>
        <v>0</v>
      </c>
      <c r="L15" s="56">
        <f t="shared" si="1"/>
        <v>0</v>
      </c>
      <c r="M15" s="56">
        <f t="shared" si="2"/>
        <v>0</v>
      </c>
      <c r="N15" s="3">
        <f>ROUNDUP(J15*Paramètres!$B$19,-1)</f>
        <v>0</v>
      </c>
      <c r="O15" s="1">
        <f t="shared" si="3"/>
        <v>0</v>
      </c>
      <c r="P15" s="1">
        <f t="shared" si="4"/>
        <v>0</v>
      </c>
      <c r="Q15" s="3">
        <f t="shared" si="5"/>
        <v>0</v>
      </c>
      <c r="R15" s="47">
        <f>ROUNDUP(+K15/Paramètres!$B$4/Paramètres!$B$53,0)</f>
        <v>0</v>
      </c>
      <c r="S15" s="47">
        <f>ROUNDUP(+L15/Paramètres!$B$6/Paramètres!$B$53,0)</f>
        <v>0</v>
      </c>
      <c r="T15" s="47"/>
      <c r="U15" s="2">
        <f t="shared" si="6"/>
        <v>0</v>
      </c>
      <c r="V15" s="1">
        <f>R15*Paramètres!$B$7</f>
        <v>0</v>
      </c>
      <c r="W15" s="1">
        <f>S15*Paramètres!$B$9</f>
        <v>0</v>
      </c>
      <c r="X15" s="1"/>
      <c r="Y15" s="2">
        <f t="shared" si="7"/>
        <v>0</v>
      </c>
      <c r="Z15" s="7">
        <f>R15*Paramètres!$B$10</f>
        <v>0</v>
      </c>
      <c r="AA15" s="7">
        <f>S15*Paramètres!$B$10</f>
        <v>0</v>
      </c>
      <c r="AB15" s="7"/>
      <c r="AC15" s="2">
        <f t="shared" si="8"/>
        <v>0</v>
      </c>
      <c r="AD15" s="1">
        <f t="shared" si="12"/>
        <v>0</v>
      </c>
      <c r="AE15" s="1">
        <f t="shared" si="9"/>
        <v>0</v>
      </c>
      <c r="AF15" s="1">
        <f>IF(B15="",0,Paramètres!$B$53*1.5)</f>
        <v>0</v>
      </c>
      <c r="AG15" s="1">
        <f>IF(C15="",0,Paramètres!$B$53*1.5)</f>
        <v>0</v>
      </c>
      <c r="AH15" s="1"/>
      <c r="AI15" s="1"/>
      <c r="AJ15" s="1"/>
      <c r="AK15" s="1"/>
      <c r="AL15" s="1">
        <f>(U15*Paramètres!$B$53)*3</f>
        <v>0</v>
      </c>
      <c r="AM15" s="1">
        <f t="shared" si="10"/>
        <v>0</v>
      </c>
      <c r="AN15" s="1">
        <f>U15*Paramètres!$B$75</f>
        <v>0</v>
      </c>
      <c r="AO15" s="1">
        <f>U15*Paramètres!$B$72*Paramètres!$B$73</f>
        <v>0</v>
      </c>
      <c r="AP15" s="1"/>
      <c r="AQ15" s="1">
        <f>(Y15+AC15)*Paramètres!$B$42*Paramètres!$B$53</f>
        <v>0</v>
      </c>
      <c r="AR15" s="1"/>
      <c r="AS15" s="7">
        <f>ROUNDUP(D15*Paramètres!$B$23*Paramètres!$B$26,-1)</f>
        <v>0</v>
      </c>
      <c r="AT15" s="7"/>
      <c r="AU15" s="1"/>
      <c r="AV15" s="8"/>
      <c r="AW15" s="8"/>
      <c r="AX15" s="8"/>
      <c r="AY15" s="8"/>
      <c r="AZ15" s="8"/>
      <c r="BA15" s="8"/>
      <c r="BB15" s="44"/>
      <c r="BC15" s="44"/>
      <c r="BD15" s="8"/>
      <c r="BE15" s="8"/>
      <c r="BF15" s="8"/>
      <c r="BG15" s="44"/>
      <c r="BI15">
        <f t="shared" si="11"/>
        <v>0</v>
      </c>
    </row>
    <row r="16" spans="1:61" x14ac:dyDescent="0.25">
      <c r="A16">
        <v>14</v>
      </c>
      <c r="B16" s="1"/>
      <c r="C16" s="1"/>
      <c r="D16" s="1"/>
      <c r="E16" s="1"/>
      <c r="F16" s="47"/>
      <c r="G16" s="53"/>
      <c r="H16" s="53"/>
      <c r="I16" s="53"/>
      <c r="J16" s="50">
        <f>F16*Paramètres!$B$3</f>
        <v>0</v>
      </c>
      <c r="K16" s="56">
        <f t="shared" si="0"/>
        <v>0</v>
      </c>
      <c r="L16" s="56">
        <f t="shared" si="1"/>
        <v>0</v>
      </c>
      <c r="M16" s="56">
        <f t="shared" si="2"/>
        <v>0</v>
      </c>
      <c r="N16" s="3">
        <f>ROUNDUP(J16*Paramètres!$B$19,-1)</f>
        <v>0</v>
      </c>
      <c r="O16" s="1">
        <f t="shared" si="3"/>
        <v>0</v>
      </c>
      <c r="P16" s="1">
        <f t="shared" si="4"/>
        <v>0</v>
      </c>
      <c r="Q16" s="3">
        <f t="shared" si="5"/>
        <v>0</v>
      </c>
      <c r="R16" s="47">
        <f>ROUNDUP(+K16/Paramètres!$B$4/Paramètres!$B$53,0)</f>
        <v>0</v>
      </c>
      <c r="S16" s="47">
        <f>ROUNDUP(+L16/Paramètres!$B$6/Paramètres!$B$53,0)</f>
        <v>0</v>
      </c>
      <c r="T16" s="47"/>
      <c r="U16" s="2">
        <f t="shared" si="6"/>
        <v>0</v>
      </c>
      <c r="V16" s="1">
        <f>R16*Paramètres!$B$7</f>
        <v>0</v>
      </c>
      <c r="W16" s="1">
        <f>S16*Paramètres!$B$9</f>
        <v>0</v>
      </c>
      <c r="X16" s="1"/>
      <c r="Y16" s="2">
        <f t="shared" si="7"/>
        <v>0</v>
      </c>
      <c r="Z16" s="7">
        <f>R16*Paramètres!$B$10</f>
        <v>0</v>
      </c>
      <c r="AA16" s="7">
        <f>S16*Paramètres!$B$10</f>
        <v>0</v>
      </c>
      <c r="AB16" s="7"/>
      <c r="AC16" s="2">
        <f t="shared" si="8"/>
        <v>0</v>
      </c>
      <c r="AD16" s="1">
        <f t="shared" si="12"/>
        <v>0</v>
      </c>
      <c r="AE16" s="1">
        <f t="shared" si="9"/>
        <v>0</v>
      </c>
      <c r="AF16" s="1">
        <f>IF(B16="",0,Paramètres!$B$53*1.5)</f>
        <v>0</v>
      </c>
      <c r="AG16" s="1">
        <f>IF(C16="",0,Paramètres!$B$53*1.5)</f>
        <v>0</v>
      </c>
      <c r="AH16" s="1"/>
      <c r="AI16" s="1"/>
      <c r="AJ16" s="1"/>
      <c r="AK16" s="1"/>
      <c r="AL16" s="1">
        <f>(U16*Paramètres!$B$53)*3</f>
        <v>0</v>
      </c>
      <c r="AM16" s="1">
        <f t="shared" si="10"/>
        <v>0</v>
      </c>
      <c r="AN16" s="1">
        <f>U16*Paramètres!$B$75</f>
        <v>0</v>
      </c>
      <c r="AO16" s="1">
        <f>U16*Paramètres!$B$72*Paramètres!$B$73</f>
        <v>0</v>
      </c>
      <c r="AP16" s="1"/>
      <c r="AQ16" s="1">
        <f>(Y16+AC16)*Paramètres!$B$42*Paramètres!$B$53</f>
        <v>0</v>
      </c>
      <c r="AR16" s="1"/>
      <c r="AS16" s="7">
        <f>ROUNDUP(D16*Paramètres!$B$23*Paramètres!$B$26,-1)</f>
        <v>0</v>
      </c>
      <c r="AT16" s="7"/>
      <c r="AU16" s="1"/>
      <c r="AV16" s="8"/>
      <c r="AW16" s="8"/>
      <c r="AX16" s="8"/>
      <c r="AY16" s="8"/>
      <c r="AZ16" s="8"/>
      <c r="BA16" s="8"/>
      <c r="BB16" s="44"/>
      <c r="BC16" s="44"/>
      <c r="BD16" s="8"/>
      <c r="BE16" s="8"/>
      <c r="BF16" s="8"/>
      <c r="BG16" s="44"/>
      <c r="BI16">
        <f t="shared" si="11"/>
        <v>0</v>
      </c>
    </row>
    <row r="17" spans="1:61" x14ac:dyDescent="0.25">
      <c r="A17">
        <v>15</v>
      </c>
      <c r="B17" s="1"/>
      <c r="C17" s="1"/>
      <c r="D17" s="1"/>
      <c r="E17" s="1"/>
      <c r="F17" s="47"/>
      <c r="G17" s="53"/>
      <c r="H17" s="53"/>
      <c r="I17" s="53"/>
      <c r="J17" s="50">
        <f>F17*Paramètres!$B$3</f>
        <v>0</v>
      </c>
      <c r="K17" s="56">
        <f t="shared" si="0"/>
        <v>0</v>
      </c>
      <c r="L17" s="56">
        <f t="shared" si="1"/>
        <v>0</v>
      </c>
      <c r="M17" s="56">
        <f t="shared" si="2"/>
        <v>0</v>
      </c>
      <c r="N17" s="3">
        <f>ROUNDUP(J17*Paramètres!$B$19,-1)</f>
        <v>0</v>
      </c>
      <c r="O17" s="1">
        <f t="shared" si="3"/>
        <v>0</v>
      </c>
      <c r="P17" s="1">
        <f t="shared" si="4"/>
        <v>0</v>
      </c>
      <c r="Q17" s="3">
        <f t="shared" si="5"/>
        <v>0</v>
      </c>
      <c r="R17" s="47">
        <f>ROUNDUP(+K17/Paramètres!$B$4/Paramètres!$B$53,0)</f>
        <v>0</v>
      </c>
      <c r="S17" s="47">
        <f>ROUNDUP(+L17/Paramètres!$B$6/Paramètres!$B$53,0)</f>
        <v>0</v>
      </c>
      <c r="T17" s="47"/>
      <c r="U17" s="2">
        <f t="shared" si="6"/>
        <v>0</v>
      </c>
      <c r="V17" s="1">
        <f>R17*Paramètres!$B$7</f>
        <v>0</v>
      </c>
      <c r="W17" s="1">
        <f>S17*Paramètres!$B$9</f>
        <v>0</v>
      </c>
      <c r="X17" s="1"/>
      <c r="Y17" s="2">
        <f t="shared" si="7"/>
        <v>0</v>
      </c>
      <c r="Z17" s="7">
        <f>R17*Paramètres!$B$10</f>
        <v>0</v>
      </c>
      <c r="AA17" s="7">
        <f>S17*Paramètres!$B$10</f>
        <v>0</v>
      </c>
      <c r="AB17" s="7"/>
      <c r="AC17" s="2">
        <f t="shared" si="8"/>
        <v>0</v>
      </c>
      <c r="AD17" s="1">
        <f t="shared" si="12"/>
        <v>0</v>
      </c>
      <c r="AE17" s="1">
        <f t="shared" si="9"/>
        <v>0</v>
      </c>
      <c r="AF17" s="1">
        <f>IF(B17="",0,Paramètres!$B$53*1.5)</f>
        <v>0</v>
      </c>
      <c r="AG17" s="1">
        <f>IF(C17="",0,Paramètres!$B$53*1.5)</f>
        <v>0</v>
      </c>
      <c r="AH17" s="1"/>
      <c r="AI17" s="1"/>
      <c r="AJ17" s="1"/>
      <c r="AK17" s="1"/>
      <c r="AL17" s="1">
        <f>(U17*Paramètres!$B$53)*3</f>
        <v>0</v>
      </c>
      <c r="AM17" s="1">
        <f t="shared" si="10"/>
        <v>0</v>
      </c>
      <c r="AN17" s="1">
        <f>U17*Paramètres!$B$75</f>
        <v>0</v>
      </c>
      <c r="AO17" s="1">
        <f>U17*Paramètres!$B$72*Paramètres!$B$73</f>
        <v>0</v>
      </c>
      <c r="AP17" s="1"/>
      <c r="AQ17" s="1">
        <f>(Y17+AC17)*Paramètres!$B$42*Paramètres!$B$53</f>
        <v>0</v>
      </c>
      <c r="AR17" s="1"/>
      <c r="AS17" s="7">
        <f>ROUNDUP(D17*Paramètres!$B$23*Paramètres!$B$26,-1)</f>
        <v>0</v>
      </c>
      <c r="AT17" s="7"/>
      <c r="AU17" s="1"/>
      <c r="AV17" s="8"/>
      <c r="AW17" s="8"/>
      <c r="AX17" s="8"/>
      <c r="AY17" s="8"/>
      <c r="AZ17" s="8"/>
      <c r="BA17" s="8"/>
      <c r="BB17" s="44"/>
      <c r="BC17" s="44"/>
      <c r="BD17" s="8"/>
      <c r="BE17" s="8"/>
      <c r="BF17" s="8"/>
      <c r="BG17" s="44"/>
      <c r="BI17">
        <f t="shared" si="11"/>
        <v>0</v>
      </c>
    </row>
    <row r="18" spans="1:61" x14ac:dyDescent="0.25">
      <c r="A18">
        <v>16</v>
      </c>
      <c r="B18" s="1"/>
      <c r="C18" s="1"/>
      <c r="D18" s="1"/>
      <c r="E18" s="1"/>
      <c r="F18" s="47"/>
      <c r="G18" s="53"/>
      <c r="H18" s="53"/>
      <c r="I18" s="53"/>
      <c r="J18" s="50">
        <f>F18*Paramètres!$B$3</f>
        <v>0</v>
      </c>
      <c r="K18" s="56">
        <f t="shared" si="0"/>
        <v>0</v>
      </c>
      <c r="L18" s="56">
        <f t="shared" si="1"/>
        <v>0</v>
      </c>
      <c r="M18" s="56">
        <f t="shared" si="2"/>
        <v>0</v>
      </c>
      <c r="N18" s="3">
        <f>ROUNDUP(J18*Paramètres!$B$19,-1)</f>
        <v>0</v>
      </c>
      <c r="O18" s="1">
        <f t="shared" si="3"/>
        <v>0</v>
      </c>
      <c r="P18" s="1">
        <f t="shared" si="4"/>
        <v>0</v>
      </c>
      <c r="Q18" s="3">
        <f t="shared" si="5"/>
        <v>0</v>
      </c>
      <c r="R18" s="47">
        <f>ROUNDUP(+K18/Paramètres!$B$4/Paramètres!$B$53,0)</f>
        <v>0</v>
      </c>
      <c r="S18" s="47">
        <f>ROUNDUP(+L18/Paramètres!$B$6/Paramètres!$B$53,0)</f>
        <v>0</v>
      </c>
      <c r="T18" s="47"/>
      <c r="U18" s="2">
        <f t="shared" si="6"/>
        <v>0</v>
      </c>
      <c r="V18" s="1">
        <f>R18*Paramètres!$B$7</f>
        <v>0</v>
      </c>
      <c r="W18" s="1">
        <f>S18*Paramètres!$B$9</f>
        <v>0</v>
      </c>
      <c r="X18" s="1"/>
      <c r="Y18" s="2">
        <f t="shared" si="7"/>
        <v>0</v>
      </c>
      <c r="Z18" s="7">
        <f>R18*Paramètres!$B$10</f>
        <v>0</v>
      </c>
      <c r="AA18" s="7">
        <f>S18*Paramètres!$B$10</f>
        <v>0</v>
      </c>
      <c r="AB18" s="7"/>
      <c r="AC18" s="2">
        <f t="shared" si="8"/>
        <v>0</v>
      </c>
      <c r="AD18" s="1">
        <f t="shared" si="12"/>
        <v>0</v>
      </c>
      <c r="AE18" s="1">
        <f t="shared" si="9"/>
        <v>0</v>
      </c>
      <c r="AF18" s="1">
        <f>IF(B18="",0,Paramètres!$B$53*1.5)</f>
        <v>0</v>
      </c>
      <c r="AG18" s="1">
        <f>IF(C18="",0,Paramètres!$B$53*1.5)</f>
        <v>0</v>
      </c>
      <c r="AH18" s="1"/>
      <c r="AI18" s="1"/>
      <c r="AJ18" s="1"/>
      <c r="AK18" s="1"/>
      <c r="AL18" s="1">
        <f>(U18*Paramètres!$B$53)*3</f>
        <v>0</v>
      </c>
      <c r="AM18" s="1">
        <f t="shared" si="10"/>
        <v>0</v>
      </c>
      <c r="AN18" s="1">
        <f>U18*Paramètres!$B$75</f>
        <v>0</v>
      </c>
      <c r="AO18" s="1">
        <f>U18*Paramètres!$B$72*Paramètres!$B$73</f>
        <v>0</v>
      </c>
      <c r="AP18" s="1"/>
      <c r="AQ18" s="1">
        <f>(Y18+AC18)*Paramètres!$B$42*Paramètres!$B$53</f>
        <v>0</v>
      </c>
      <c r="AR18" s="1"/>
      <c r="AS18" s="7">
        <f>ROUNDUP(D18*Paramètres!$B$23*Paramètres!$B$26,-1)</f>
        <v>0</v>
      </c>
      <c r="AT18" s="7"/>
      <c r="AU18" s="1"/>
      <c r="AV18" s="8"/>
      <c r="AW18" s="8"/>
      <c r="AX18" s="8"/>
      <c r="AY18" s="8"/>
      <c r="AZ18" s="8"/>
      <c r="BA18" s="8"/>
      <c r="BB18" s="44"/>
      <c r="BC18" s="44"/>
      <c r="BD18" s="8"/>
      <c r="BE18" s="8"/>
      <c r="BF18" s="8"/>
      <c r="BG18" s="44"/>
      <c r="BI18">
        <f t="shared" si="11"/>
        <v>0</v>
      </c>
    </row>
    <row r="19" spans="1:61" x14ac:dyDescent="0.25">
      <c r="A19">
        <v>17</v>
      </c>
      <c r="B19" s="1"/>
      <c r="C19" s="1"/>
      <c r="D19" s="1"/>
      <c r="E19" s="1"/>
      <c r="F19" s="47"/>
      <c r="G19" s="53"/>
      <c r="H19" s="53"/>
      <c r="I19" s="53"/>
      <c r="J19" s="50">
        <f>F19*Paramètres!$B$3</f>
        <v>0</v>
      </c>
      <c r="K19" s="56">
        <f t="shared" si="0"/>
        <v>0</v>
      </c>
      <c r="L19" s="56">
        <f t="shared" si="1"/>
        <v>0</v>
      </c>
      <c r="M19" s="56">
        <f t="shared" si="2"/>
        <v>0</v>
      </c>
      <c r="N19" s="3">
        <f>ROUNDUP(J19*Paramètres!$B$19,-1)</f>
        <v>0</v>
      </c>
      <c r="O19" s="1">
        <f t="shared" si="3"/>
        <v>0</v>
      </c>
      <c r="P19" s="1">
        <f t="shared" si="4"/>
        <v>0</v>
      </c>
      <c r="Q19" s="3">
        <f t="shared" si="5"/>
        <v>0</v>
      </c>
      <c r="R19" s="47">
        <f>ROUNDUP(+K19/Paramètres!$B$4/Paramètres!$B$53,0)</f>
        <v>0</v>
      </c>
      <c r="S19" s="47">
        <f>ROUNDUP(+L19/Paramètres!$B$6/Paramètres!$B$53,0)</f>
        <v>0</v>
      </c>
      <c r="T19" s="47"/>
      <c r="U19" s="2">
        <f t="shared" si="6"/>
        <v>0</v>
      </c>
      <c r="V19" s="1">
        <f>R19*Paramètres!$B$7</f>
        <v>0</v>
      </c>
      <c r="W19" s="1">
        <f>S19*Paramètres!$B$9</f>
        <v>0</v>
      </c>
      <c r="X19" s="1"/>
      <c r="Y19" s="2">
        <f t="shared" si="7"/>
        <v>0</v>
      </c>
      <c r="Z19" s="7">
        <f>R19*Paramètres!$B$10</f>
        <v>0</v>
      </c>
      <c r="AA19" s="7">
        <f>S19*Paramètres!$B$10</f>
        <v>0</v>
      </c>
      <c r="AB19" s="7"/>
      <c r="AC19" s="2">
        <f t="shared" si="8"/>
        <v>0</v>
      </c>
      <c r="AD19" s="1">
        <f t="shared" si="12"/>
        <v>0</v>
      </c>
      <c r="AE19" s="1">
        <f t="shared" si="9"/>
        <v>0</v>
      </c>
      <c r="AF19" s="1">
        <f>IF(B19="",0,Paramètres!$B$53*1.5)</f>
        <v>0</v>
      </c>
      <c r="AG19" s="1">
        <f>IF(C19="",0,Paramètres!$B$53*1.5)</f>
        <v>0</v>
      </c>
      <c r="AH19" s="1"/>
      <c r="AI19" s="1"/>
      <c r="AJ19" s="1"/>
      <c r="AK19" s="1"/>
      <c r="AL19" s="1">
        <f>(U19*Paramètres!$B$53)*3</f>
        <v>0</v>
      </c>
      <c r="AM19" s="1">
        <f t="shared" si="10"/>
        <v>0</v>
      </c>
      <c r="AN19" s="1">
        <f>U19*Paramètres!$B$75</f>
        <v>0</v>
      </c>
      <c r="AO19" s="1">
        <f>U19*Paramètres!$B$72*Paramètres!$B$73</f>
        <v>0</v>
      </c>
      <c r="AP19" s="1"/>
      <c r="AQ19" s="1">
        <f>(Y19+AC19)*Paramètres!$B$42*Paramètres!$B$53</f>
        <v>0</v>
      </c>
      <c r="AR19" s="1"/>
      <c r="AS19" s="7">
        <f>ROUNDUP(D19*Paramètres!$B$23*Paramètres!$B$26,-1)</f>
        <v>0</v>
      </c>
      <c r="AT19" s="7"/>
      <c r="AU19" s="1"/>
      <c r="AV19" s="8"/>
      <c r="AW19" s="8"/>
      <c r="AX19" s="8"/>
      <c r="AY19" s="8"/>
      <c r="AZ19" s="8"/>
      <c r="BA19" s="8"/>
      <c r="BB19" s="44"/>
      <c r="BC19" s="44"/>
      <c r="BD19" s="8"/>
      <c r="BE19" s="8"/>
      <c r="BF19" s="8"/>
      <c r="BG19" s="44"/>
      <c r="BI19">
        <f t="shared" si="11"/>
        <v>0</v>
      </c>
    </row>
    <row r="20" spans="1:61" x14ac:dyDescent="0.25">
      <c r="A20">
        <v>18</v>
      </c>
      <c r="B20" s="1"/>
      <c r="C20" s="1"/>
      <c r="D20" s="1"/>
      <c r="E20" s="1"/>
      <c r="F20" s="47"/>
      <c r="G20" s="53"/>
      <c r="H20" s="53"/>
      <c r="I20" s="53"/>
      <c r="J20" s="50">
        <f>F20*Paramètres!$B$3</f>
        <v>0</v>
      </c>
      <c r="K20" s="56">
        <f t="shared" si="0"/>
        <v>0</v>
      </c>
      <c r="L20" s="56">
        <f t="shared" si="1"/>
        <v>0</v>
      </c>
      <c r="M20" s="56">
        <f t="shared" si="2"/>
        <v>0</v>
      </c>
      <c r="N20" s="3">
        <f>ROUNDUP(J20*Paramètres!$B$19,-1)</f>
        <v>0</v>
      </c>
      <c r="O20" s="1">
        <f t="shared" si="3"/>
        <v>0</v>
      </c>
      <c r="P20" s="1">
        <f t="shared" si="4"/>
        <v>0</v>
      </c>
      <c r="Q20" s="3">
        <f t="shared" si="5"/>
        <v>0</v>
      </c>
      <c r="R20" s="47">
        <f>ROUNDUP(+K20/Paramètres!$B$4/Paramètres!$B$53,0)</f>
        <v>0</v>
      </c>
      <c r="S20" s="47">
        <f>ROUNDUP(+L20/Paramètres!$B$6/Paramètres!$B$53,0)</f>
        <v>0</v>
      </c>
      <c r="T20" s="47"/>
      <c r="U20" s="2">
        <f t="shared" si="6"/>
        <v>0</v>
      </c>
      <c r="V20" s="1">
        <f>R20*Paramètres!$B$7</f>
        <v>0</v>
      </c>
      <c r="W20" s="1">
        <f>S20*Paramètres!$B$9</f>
        <v>0</v>
      </c>
      <c r="X20" s="1"/>
      <c r="Y20" s="2">
        <f t="shared" si="7"/>
        <v>0</v>
      </c>
      <c r="Z20" s="7">
        <f>R20*Paramètres!$B$10</f>
        <v>0</v>
      </c>
      <c r="AA20" s="7">
        <f>S20*Paramètres!$B$10</f>
        <v>0</v>
      </c>
      <c r="AB20" s="7"/>
      <c r="AC20" s="2">
        <f t="shared" si="8"/>
        <v>0</v>
      </c>
      <c r="AD20" s="1">
        <f t="shared" si="12"/>
        <v>0</v>
      </c>
      <c r="AE20" s="1">
        <f t="shared" si="9"/>
        <v>0</v>
      </c>
      <c r="AF20" s="1">
        <f>IF(B20="",0,Paramètres!$B$53*1.5)</f>
        <v>0</v>
      </c>
      <c r="AG20" s="1">
        <f>IF(C20="",0,Paramètres!$B$53*1.5)</f>
        <v>0</v>
      </c>
      <c r="AH20" s="1"/>
      <c r="AI20" s="1"/>
      <c r="AJ20" s="1"/>
      <c r="AK20" s="1"/>
      <c r="AL20" s="1">
        <f>(U20*Paramètres!$B$53)*3</f>
        <v>0</v>
      </c>
      <c r="AM20" s="1">
        <f t="shared" si="10"/>
        <v>0</v>
      </c>
      <c r="AN20" s="1">
        <f>U20*Paramètres!$B$75</f>
        <v>0</v>
      </c>
      <c r="AO20" s="1">
        <f>U20*Paramètres!$B$72*Paramètres!$B$73</f>
        <v>0</v>
      </c>
      <c r="AP20" s="1"/>
      <c r="AQ20" s="1">
        <f>(Y20+AC20)*Paramètres!$B$42*Paramètres!$B$53</f>
        <v>0</v>
      </c>
      <c r="AR20" s="1"/>
      <c r="AS20" s="7">
        <f>ROUNDUP(D20*Paramètres!$B$23*Paramètres!$B$26,-1)</f>
        <v>0</v>
      </c>
      <c r="AT20" s="7"/>
      <c r="AU20" s="1"/>
      <c r="AV20" s="8"/>
      <c r="AW20" s="8"/>
      <c r="AX20" s="8"/>
      <c r="AY20" s="8"/>
      <c r="AZ20" s="8"/>
      <c r="BA20" s="8"/>
      <c r="BB20" s="44"/>
      <c r="BC20" s="44"/>
      <c r="BD20" s="8"/>
      <c r="BE20" s="8"/>
      <c r="BF20" s="8"/>
      <c r="BG20" s="44"/>
      <c r="BI20">
        <f t="shared" si="11"/>
        <v>0</v>
      </c>
    </row>
    <row r="21" spans="1:61" x14ac:dyDescent="0.25">
      <c r="A21">
        <v>19</v>
      </c>
      <c r="B21" s="1"/>
      <c r="C21" s="1"/>
      <c r="D21" s="1"/>
      <c r="E21" s="1"/>
      <c r="F21" s="47"/>
      <c r="G21" s="53"/>
      <c r="H21" s="53"/>
      <c r="I21" s="53"/>
      <c r="J21" s="50">
        <f>F21*Paramètres!$B$3</f>
        <v>0</v>
      </c>
      <c r="K21" s="56">
        <f t="shared" si="0"/>
        <v>0</v>
      </c>
      <c r="L21" s="56">
        <f t="shared" si="1"/>
        <v>0</v>
      </c>
      <c r="M21" s="56">
        <f t="shared" si="2"/>
        <v>0</v>
      </c>
      <c r="N21" s="3">
        <f>ROUNDUP(J21*Paramètres!$B$19,-1)</f>
        <v>0</v>
      </c>
      <c r="O21" s="1">
        <f t="shared" si="3"/>
        <v>0</v>
      </c>
      <c r="P21" s="1">
        <f t="shared" si="4"/>
        <v>0</v>
      </c>
      <c r="Q21" s="3">
        <f t="shared" si="5"/>
        <v>0</v>
      </c>
      <c r="R21" s="47">
        <f>ROUNDUP(+K21/Paramètres!$B$4/Paramètres!$B$53,0)</f>
        <v>0</v>
      </c>
      <c r="S21" s="47">
        <f>ROUNDUP(+L21/Paramètres!$B$6/Paramètres!$B$53,0)</f>
        <v>0</v>
      </c>
      <c r="T21" s="47"/>
      <c r="U21" s="2">
        <f t="shared" si="6"/>
        <v>0</v>
      </c>
      <c r="V21" s="1">
        <f>R21*Paramètres!$B$7</f>
        <v>0</v>
      </c>
      <c r="W21" s="1">
        <f>S21*Paramètres!$B$9</f>
        <v>0</v>
      </c>
      <c r="X21" s="1"/>
      <c r="Y21" s="2">
        <f t="shared" si="7"/>
        <v>0</v>
      </c>
      <c r="Z21" s="7">
        <f>R21*Paramètres!$B$10</f>
        <v>0</v>
      </c>
      <c r="AA21" s="7">
        <f>S21*Paramètres!$B$10</f>
        <v>0</v>
      </c>
      <c r="AB21" s="7"/>
      <c r="AC21" s="2">
        <f t="shared" si="8"/>
        <v>0</v>
      </c>
      <c r="AD21" s="1">
        <f t="shared" si="12"/>
        <v>0</v>
      </c>
      <c r="AE21" s="1">
        <f t="shared" si="9"/>
        <v>0</v>
      </c>
      <c r="AF21" s="1">
        <f>IF(B21="",0,Paramètres!$B$53*1.5)</f>
        <v>0</v>
      </c>
      <c r="AG21" s="1">
        <f>IF(C21="",0,Paramètres!$B$53*1.5)</f>
        <v>0</v>
      </c>
      <c r="AH21" s="1"/>
      <c r="AI21" s="1"/>
      <c r="AJ21" s="1"/>
      <c r="AK21" s="1"/>
      <c r="AL21" s="1">
        <f>(U21*Paramètres!$B$53)*3</f>
        <v>0</v>
      </c>
      <c r="AM21" s="1">
        <f t="shared" si="10"/>
        <v>0</v>
      </c>
      <c r="AN21" s="1">
        <f>U21*Paramètres!$B$75</f>
        <v>0</v>
      </c>
      <c r="AO21" s="1">
        <f>U21*Paramètres!$B$72*Paramètres!$B$73</f>
        <v>0</v>
      </c>
      <c r="AP21" s="1"/>
      <c r="AQ21" s="1">
        <f>(Y21+AC21)*Paramètres!$B$42*Paramètres!$B$53</f>
        <v>0</v>
      </c>
      <c r="AR21" s="1"/>
      <c r="AS21" s="7">
        <f>ROUNDUP(D21*Paramètres!$B$23*Paramètres!$B$26,-1)</f>
        <v>0</v>
      </c>
      <c r="AT21" s="7"/>
      <c r="AU21" s="1"/>
      <c r="AV21" s="8"/>
      <c r="AW21" s="8"/>
      <c r="AX21" s="8"/>
      <c r="AY21" s="8"/>
      <c r="AZ21" s="8"/>
      <c r="BA21" s="8"/>
      <c r="BB21" s="44"/>
      <c r="BC21" s="44"/>
      <c r="BD21" s="8"/>
      <c r="BE21" s="8"/>
      <c r="BF21" s="8"/>
      <c r="BG21" s="44"/>
      <c r="BI21">
        <f t="shared" si="11"/>
        <v>0</v>
      </c>
    </row>
    <row r="22" spans="1:61" x14ac:dyDescent="0.25">
      <c r="A22">
        <v>20</v>
      </c>
      <c r="B22" s="1"/>
      <c r="C22" s="1"/>
      <c r="F22" s="47"/>
      <c r="G22" s="53"/>
      <c r="H22" s="53"/>
      <c r="I22" s="53"/>
      <c r="J22" s="50">
        <f>F22*Paramètres!$B$3</f>
        <v>0</v>
      </c>
      <c r="K22" s="56">
        <f t="shared" si="0"/>
        <v>0</v>
      </c>
      <c r="L22" s="56">
        <f t="shared" si="1"/>
        <v>0</v>
      </c>
      <c r="M22" s="56">
        <f t="shared" si="2"/>
        <v>0</v>
      </c>
      <c r="N22" s="3">
        <f>ROUNDUP(J22*Paramètres!$B$19,-1)</f>
        <v>0</v>
      </c>
      <c r="O22" s="1">
        <f t="shared" si="3"/>
        <v>0</v>
      </c>
      <c r="P22" s="1">
        <f t="shared" si="4"/>
        <v>0</v>
      </c>
      <c r="Q22" s="3">
        <f t="shared" si="5"/>
        <v>0</v>
      </c>
      <c r="R22" s="47">
        <f>ROUNDUP(+K22/Paramètres!$B$4/Paramètres!$B$53,0)</f>
        <v>0</v>
      </c>
      <c r="S22" s="47">
        <f>ROUNDUP(+L22/Paramètres!$B$6/Paramètres!$B$53,0)</f>
        <v>0</v>
      </c>
      <c r="T22" s="47"/>
      <c r="U22" s="2">
        <f t="shared" si="6"/>
        <v>0</v>
      </c>
      <c r="V22" s="1">
        <f>R22*Paramètres!$B$7</f>
        <v>0</v>
      </c>
      <c r="W22" s="1">
        <f>S22*Paramètres!$B$9</f>
        <v>0</v>
      </c>
      <c r="X22" s="1"/>
      <c r="Y22" s="2">
        <f t="shared" si="7"/>
        <v>0</v>
      </c>
      <c r="Z22" s="7">
        <f>R22*Paramètres!$B$10</f>
        <v>0</v>
      </c>
      <c r="AA22" s="7">
        <f>S22*Paramètres!$B$10</f>
        <v>0</v>
      </c>
      <c r="AB22" s="7"/>
      <c r="AC22" s="2">
        <f t="shared" si="8"/>
        <v>0</v>
      </c>
      <c r="AD22" s="1">
        <f t="shared" si="12"/>
        <v>0</v>
      </c>
      <c r="AE22" s="1">
        <f t="shared" si="9"/>
        <v>0</v>
      </c>
      <c r="AF22" s="1">
        <f>IF(B22="",0,Paramètres!$B$53*1.5)</f>
        <v>0</v>
      </c>
      <c r="AG22" s="1">
        <f>IF(C22="",0,Paramètres!$B$53*1.5)</f>
        <v>0</v>
      </c>
      <c r="AH22" s="1"/>
      <c r="AI22" s="1"/>
      <c r="AJ22" s="1"/>
      <c r="AK22" s="1"/>
      <c r="AL22" s="1">
        <f>(U22*Paramètres!$B$53)*3</f>
        <v>0</v>
      </c>
      <c r="AM22" s="1">
        <f t="shared" si="10"/>
        <v>0</v>
      </c>
      <c r="AN22" s="1">
        <f>U22*Paramètres!$B$75</f>
        <v>0</v>
      </c>
      <c r="AO22" s="1">
        <f>U22*Paramètres!$B$72*Paramètres!$B$73</f>
        <v>0</v>
      </c>
      <c r="AP22" s="1"/>
      <c r="AQ22" s="1">
        <f>(Y22+AC22)*Paramètres!$B$42*Paramètres!$B$53</f>
        <v>0</v>
      </c>
      <c r="AR22" s="1"/>
      <c r="AS22" s="7">
        <f>ROUNDUP(D22*Paramètres!$B$23*Paramètres!$B$26,-1)</f>
        <v>0</v>
      </c>
      <c r="AT22" s="7"/>
      <c r="AU22" s="1"/>
      <c r="AV22" s="8"/>
      <c r="AW22" s="8"/>
      <c r="AX22" s="8"/>
      <c r="AY22" s="8"/>
      <c r="AZ22" s="8"/>
      <c r="BA22" s="8"/>
      <c r="BB22" s="44"/>
      <c r="BC22" s="44"/>
      <c r="BD22" s="8"/>
      <c r="BE22" s="8"/>
      <c r="BF22" s="8"/>
      <c r="BG22" s="44"/>
      <c r="BI22">
        <f t="shared" si="11"/>
        <v>0</v>
      </c>
    </row>
    <row r="23" spans="1:61" x14ac:dyDescent="0.25">
      <c r="A23">
        <v>21</v>
      </c>
      <c r="B23" s="1"/>
      <c r="C23" s="1"/>
      <c r="F23" s="47"/>
      <c r="G23" s="53"/>
      <c r="H23" s="53"/>
      <c r="I23" s="53"/>
      <c r="J23" s="50">
        <f>F23*Paramètres!$B$3</f>
        <v>0</v>
      </c>
      <c r="K23" s="56">
        <f t="shared" si="0"/>
        <v>0</v>
      </c>
      <c r="L23" s="56">
        <f t="shared" si="1"/>
        <v>0</v>
      </c>
      <c r="M23" s="56">
        <f t="shared" si="2"/>
        <v>0</v>
      </c>
      <c r="N23" s="3">
        <f>ROUNDUP(J23*Paramètres!$B$19,-1)</f>
        <v>0</v>
      </c>
      <c r="O23" s="1">
        <f t="shared" si="3"/>
        <v>0</v>
      </c>
      <c r="P23" s="1">
        <f t="shared" si="4"/>
        <v>0</v>
      </c>
      <c r="Q23" s="3">
        <f t="shared" si="5"/>
        <v>0</v>
      </c>
      <c r="R23" s="47">
        <f>ROUNDUP(+K23/Paramètres!$B$4/Paramètres!$B$53,0)</f>
        <v>0</v>
      </c>
      <c r="S23" s="47">
        <f>ROUNDUP(+L23/Paramètres!$B$6/Paramètres!$B$53,0)</f>
        <v>0</v>
      </c>
      <c r="T23" s="47"/>
      <c r="U23" s="2">
        <f t="shared" si="6"/>
        <v>0</v>
      </c>
      <c r="V23" s="1">
        <f>R23*Paramètres!$B$7</f>
        <v>0</v>
      </c>
      <c r="W23" s="1">
        <f>S23*Paramètres!$B$9</f>
        <v>0</v>
      </c>
      <c r="X23" s="1"/>
      <c r="Y23" s="2">
        <f t="shared" si="7"/>
        <v>0</v>
      </c>
      <c r="Z23" s="7">
        <f>R23*Paramètres!$B$10</f>
        <v>0</v>
      </c>
      <c r="AA23" s="7">
        <f>S23*Paramètres!$B$10</f>
        <v>0</v>
      </c>
      <c r="AB23" s="7"/>
      <c r="AC23" s="2">
        <f t="shared" si="8"/>
        <v>0</v>
      </c>
      <c r="AD23" s="1">
        <f t="shared" si="12"/>
        <v>0</v>
      </c>
      <c r="AE23" s="1">
        <f t="shared" si="9"/>
        <v>0</v>
      </c>
      <c r="AF23" s="1">
        <f>IF(B23="",0,Paramètres!$B$53*1.5)</f>
        <v>0</v>
      </c>
      <c r="AG23" s="1">
        <f>IF(C23="",0,Paramètres!$B$53*1.5)</f>
        <v>0</v>
      </c>
      <c r="AH23" s="1"/>
      <c r="AI23" s="1"/>
      <c r="AJ23" s="1"/>
      <c r="AK23" s="1"/>
      <c r="AL23" s="1">
        <f>(U23*Paramètres!$B$53)*3</f>
        <v>0</v>
      </c>
      <c r="AM23" s="1">
        <f t="shared" si="10"/>
        <v>0</v>
      </c>
      <c r="AN23" s="1">
        <f>U23*Paramètres!$B$75</f>
        <v>0</v>
      </c>
      <c r="AO23" s="1">
        <f>U23*Paramètres!$B$72*Paramètres!$B$73</f>
        <v>0</v>
      </c>
      <c r="AP23" s="1"/>
      <c r="AQ23" s="1">
        <f>(Y23+AC23)*Paramètres!$B$42*Paramètres!$B$53</f>
        <v>0</v>
      </c>
      <c r="AR23" s="1"/>
      <c r="AS23" s="7">
        <f>ROUNDUP(D23*Paramètres!$B$23*Paramètres!$B$26,-1)</f>
        <v>0</v>
      </c>
      <c r="AT23" s="7"/>
      <c r="AU23" s="1"/>
      <c r="AV23" s="8"/>
      <c r="AW23" s="8"/>
      <c r="AX23" s="8"/>
      <c r="AY23" s="8"/>
      <c r="AZ23" s="8"/>
      <c r="BA23" s="8"/>
      <c r="BB23" s="44"/>
      <c r="BC23" s="44"/>
      <c r="BD23" s="8"/>
      <c r="BE23" s="8"/>
      <c r="BF23" s="8"/>
      <c r="BG23" s="44"/>
      <c r="BI23">
        <f t="shared" si="11"/>
        <v>0</v>
      </c>
    </row>
    <row r="24" spans="1:61" x14ac:dyDescent="0.25">
      <c r="A24">
        <v>22</v>
      </c>
      <c r="B24" s="1"/>
      <c r="C24" s="1"/>
      <c r="F24" s="47"/>
      <c r="G24" s="53"/>
      <c r="H24" s="53"/>
      <c r="I24" s="53"/>
      <c r="J24" s="50">
        <f>F24*Paramètres!$B$3</f>
        <v>0</v>
      </c>
      <c r="K24" s="56">
        <f t="shared" si="0"/>
        <v>0</v>
      </c>
      <c r="L24" s="56">
        <f t="shared" si="1"/>
        <v>0</v>
      </c>
      <c r="M24" s="56">
        <f t="shared" si="2"/>
        <v>0</v>
      </c>
      <c r="N24" s="3">
        <f>ROUNDUP(J24*Paramètres!$B$19,-1)</f>
        <v>0</v>
      </c>
      <c r="O24" s="1">
        <f t="shared" si="3"/>
        <v>0</v>
      </c>
      <c r="P24" s="1">
        <f t="shared" si="4"/>
        <v>0</v>
      </c>
      <c r="Q24" s="3">
        <f t="shared" si="5"/>
        <v>0</v>
      </c>
      <c r="R24" s="47">
        <f>ROUNDUP(+K24/Paramètres!$B$4/Paramètres!$B$53,0)</f>
        <v>0</v>
      </c>
      <c r="S24" s="47">
        <f>ROUNDUP(+L24/Paramètres!$B$6/Paramètres!$B$53,0)</f>
        <v>0</v>
      </c>
      <c r="T24" s="47"/>
      <c r="U24" s="2">
        <f t="shared" si="6"/>
        <v>0</v>
      </c>
      <c r="V24" s="1">
        <f>R24*Paramètres!$B$7</f>
        <v>0</v>
      </c>
      <c r="W24" s="1">
        <f>S24*Paramètres!$B$9</f>
        <v>0</v>
      </c>
      <c r="X24" s="1"/>
      <c r="Y24" s="2">
        <f t="shared" si="7"/>
        <v>0</v>
      </c>
      <c r="Z24" s="7">
        <f>R24*Paramètres!$B$10</f>
        <v>0</v>
      </c>
      <c r="AA24" s="7">
        <f>S24*Paramètres!$B$10</f>
        <v>0</v>
      </c>
      <c r="AB24" s="7"/>
      <c r="AC24" s="2">
        <f t="shared" si="8"/>
        <v>0</v>
      </c>
      <c r="AD24" s="1">
        <f t="shared" si="12"/>
        <v>0</v>
      </c>
      <c r="AE24" s="1">
        <f t="shared" si="9"/>
        <v>0</v>
      </c>
      <c r="AF24" s="1">
        <f>IF(B24="",0,Paramètres!$B$53*1.5)</f>
        <v>0</v>
      </c>
      <c r="AG24" s="1">
        <f>IF(C24="",0,Paramètres!$B$53*1.5)</f>
        <v>0</v>
      </c>
      <c r="AH24" s="1"/>
      <c r="AI24" s="1"/>
      <c r="AJ24" s="1"/>
      <c r="AK24" s="1"/>
      <c r="AL24" s="1">
        <f>(U24*Paramètres!$B$53)*3</f>
        <v>0</v>
      </c>
      <c r="AM24" s="1">
        <f t="shared" si="10"/>
        <v>0</v>
      </c>
      <c r="AN24" s="1">
        <f>U24*Paramètres!$B$75</f>
        <v>0</v>
      </c>
      <c r="AO24" s="1">
        <f>U24*Paramètres!$B$72*Paramètres!$B$73</f>
        <v>0</v>
      </c>
      <c r="AP24" s="1"/>
      <c r="AQ24" s="1">
        <f>(Y24+AC24)*Paramètres!$B$42*Paramètres!$B$53</f>
        <v>0</v>
      </c>
      <c r="AR24" s="1"/>
      <c r="AS24" s="7">
        <f>ROUNDUP(D24*Paramètres!$B$23*Paramètres!$B$26,-1)</f>
        <v>0</v>
      </c>
      <c r="AT24" s="7"/>
      <c r="AU24" s="1"/>
      <c r="AV24" s="8"/>
      <c r="AW24" s="8"/>
      <c r="AX24" s="8"/>
      <c r="AY24" s="8"/>
      <c r="AZ24" s="8"/>
      <c r="BA24" s="8"/>
      <c r="BB24" s="44"/>
      <c r="BC24" s="44"/>
      <c r="BD24" s="8"/>
      <c r="BE24" s="8"/>
      <c r="BF24" s="8"/>
      <c r="BG24" s="44"/>
      <c r="BI24">
        <f t="shared" si="11"/>
        <v>0</v>
      </c>
    </row>
    <row r="25" spans="1:61" x14ac:dyDescent="0.25">
      <c r="A25">
        <v>23</v>
      </c>
      <c r="B25" s="1"/>
      <c r="C25" s="1"/>
      <c r="D25" s="1"/>
      <c r="E25" s="1"/>
      <c r="F25" s="47"/>
      <c r="G25" s="53"/>
      <c r="H25" s="53"/>
      <c r="I25" s="53"/>
      <c r="J25" s="50">
        <f>F25*Paramètres!$B$3</f>
        <v>0</v>
      </c>
      <c r="K25" s="56">
        <f t="shared" si="0"/>
        <v>0</v>
      </c>
      <c r="L25" s="56">
        <f t="shared" si="1"/>
        <v>0</v>
      </c>
      <c r="M25" s="56">
        <f t="shared" si="2"/>
        <v>0</v>
      </c>
      <c r="N25" s="3">
        <f>ROUNDUP(J25*Paramètres!$B$19,-1)</f>
        <v>0</v>
      </c>
      <c r="O25" s="1">
        <f t="shared" si="3"/>
        <v>0</v>
      </c>
      <c r="P25" s="1">
        <f t="shared" si="4"/>
        <v>0</v>
      </c>
      <c r="Q25" s="3">
        <f t="shared" si="5"/>
        <v>0</v>
      </c>
      <c r="R25" s="47">
        <f>ROUNDUP(+K25/Paramètres!$B$4/Paramètres!$B$53,0)</f>
        <v>0</v>
      </c>
      <c r="S25" s="47">
        <f>ROUNDUP(+L25/Paramètres!$B$6/Paramètres!$B$53,0)</f>
        <v>0</v>
      </c>
      <c r="T25" s="47"/>
      <c r="U25" s="2">
        <f t="shared" si="6"/>
        <v>0</v>
      </c>
      <c r="V25" s="1">
        <f>R25*Paramètres!$B$7</f>
        <v>0</v>
      </c>
      <c r="W25" s="1">
        <f>S25*Paramètres!$B$9</f>
        <v>0</v>
      </c>
      <c r="X25" s="1"/>
      <c r="Y25" s="2">
        <f t="shared" si="7"/>
        <v>0</v>
      </c>
      <c r="Z25" s="7">
        <f>R25*Paramètres!$B$10</f>
        <v>0</v>
      </c>
      <c r="AA25" s="7">
        <f>S25*Paramètres!$B$10</f>
        <v>0</v>
      </c>
      <c r="AB25" s="7"/>
      <c r="AC25" s="2">
        <f t="shared" si="8"/>
        <v>0</v>
      </c>
      <c r="AD25" s="1">
        <f t="shared" si="12"/>
        <v>0</v>
      </c>
      <c r="AE25" s="1">
        <f t="shared" si="9"/>
        <v>0</v>
      </c>
      <c r="AF25" s="1">
        <f>IF(B25="",0,Paramètres!$B$53*1.5)</f>
        <v>0</v>
      </c>
      <c r="AG25" s="1">
        <f>IF(C25="",0,Paramètres!$B$53*1.5)</f>
        <v>0</v>
      </c>
      <c r="AH25" s="1"/>
      <c r="AI25" s="1"/>
      <c r="AJ25" s="1"/>
      <c r="AK25" s="1"/>
      <c r="AL25" s="1">
        <f>(U25*Paramètres!$B$53)*3</f>
        <v>0</v>
      </c>
      <c r="AM25" s="1">
        <f t="shared" si="10"/>
        <v>0</v>
      </c>
      <c r="AN25" s="1">
        <f>U25*Paramètres!$B$75</f>
        <v>0</v>
      </c>
      <c r="AO25" s="1">
        <f>U25*Paramètres!$B$72*Paramètres!$B$73</f>
        <v>0</v>
      </c>
      <c r="AP25" s="1"/>
      <c r="AQ25" s="1">
        <f>(Y25+AC25)*Paramètres!$B$42*Paramètres!$B$53</f>
        <v>0</v>
      </c>
      <c r="AR25" s="1"/>
      <c r="AS25" s="7">
        <f>ROUNDUP(D25*Paramètres!$B$23*Paramètres!$B$26,-1)</f>
        <v>0</v>
      </c>
      <c r="AT25" s="7"/>
      <c r="AU25" s="1"/>
      <c r="AV25" s="8"/>
      <c r="AW25" s="8"/>
      <c r="AX25" s="8"/>
      <c r="AY25" s="8"/>
      <c r="AZ25" s="8"/>
      <c r="BA25" s="8"/>
      <c r="BB25" s="44"/>
      <c r="BC25" s="44"/>
      <c r="BD25" s="8"/>
      <c r="BE25" s="8"/>
      <c r="BF25" s="8"/>
      <c r="BG25" s="44"/>
      <c r="BI25">
        <f t="shared" si="11"/>
        <v>0</v>
      </c>
    </row>
    <row r="26" spans="1:61" x14ac:dyDescent="0.25">
      <c r="A26">
        <v>24</v>
      </c>
      <c r="B26" s="1"/>
      <c r="C26" s="1"/>
      <c r="D26" s="1"/>
      <c r="E26" s="1"/>
      <c r="F26" s="47"/>
      <c r="G26" s="53"/>
      <c r="H26" s="53"/>
      <c r="I26" s="53"/>
      <c r="J26" s="50">
        <f>F26*Paramètres!$B$3</f>
        <v>0</v>
      </c>
      <c r="K26" s="56">
        <f t="shared" si="0"/>
        <v>0</v>
      </c>
      <c r="L26" s="56">
        <f t="shared" si="1"/>
        <v>0</v>
      </c>
      <c r="M26" s="56">
        <f t="shared" si="2"/>
        <v>0</v>
      </c>
      <c r="N26" s="3">
        <f>ROUNDUP(J26*Paramètres!$B$19,-1)</f>
        <v>0</v>
      </c>
      <c r="O26" s="1">
        <f t="shared" si="3"/>
        <v>0</v>
      </c>
      <c r="P26" s="1">
        <f t="shared" si="4"/>
        <v>0</v>
      </c>
      <c r="Q26" s="3">
        <f t="shared" si="5"/>
        <v>0</v>
      </c>
      <c r="R26" s="47">
        <f>ROUNDUP(+K26/Paramètres!$B$4/Paramètres!$B$53,0)</f>
        <v>0</v>
      </c>
      <c r="S26" s="47">
        <f>ROUNDUP(+L26/Paramètres!$B$6/Paramètres!$B$53,0)</f>
        <v>0</v>
      </c>
      <c r="T26" s="47"/>
      <c r="U26" s="2">
        <f t="shared" si="6"/>
        <v>0</v>
      </c>
      <c r="V26" s="1">
        <f>R26*Paramètres!$B$7</f>
        <v>0</v>
      </c>
      <c r="W26" s="1">
        <f>S26*Paramètres!$B$9</f>
        <v>0</v>
      </c>
      <c r="X26" s="1"/>
      <c r="Y26" s="2">
        <f t="shared" si="7"/>
        <v>0</v>
      </c>
      <c r="Z26" s="7">
        <f>R26*Paramètres!$B$10</f>
        <v>0</v>
      </c>
      <c r="AA26" s="7">
        <f>S26*Paramètres!$B$10</f>
        <v>0</v>
      </c>
      <c r="AB26" s="7"/>
      <c r="AC26" s="2">
        <f t="shared" si="8"/>
        <v>0</v>
      </c>
      <c r="AD26" s="1">
        <f t="shared" si="12"/>
        <v>0</v>
      </c>
      <c r="AE26" s="1">
        <f t="shared" si="9"/>
        <v>0</v>
      </c>
      <c r="AF26" s="1">
        <f>IF(B26="",0,Paramètres!$B$53*1.5)</f>
        <v>0</v>
      </c>
      <c r="AG26" s="1">
        <f>IF(C26="",0,Paramètres!$B$53*1.5)</f>
        <v>0</v>
      </c>
      <c r="AH26" s="1"/>
      <c r="AI26" s="1"/>
      <c r="AJ26" s="1"/>
      <c r="AK26" s="1"/>
      <c r="AL26" s="1">
        <f>(U26*Paramètres!$B$53)*3</f>
        <v>0</v>
      </c>
      <c r="AM26" s="1">
        <f t="shared" si="10"/>
        <v>0</v>
      </c>
      <c r="AN26" s="1">
        <f>U26*Paramètres!$B$75</f>
        <v>0</v>
      </c>
      <c r="AO26" s="1">
        <f>U26*Paramètres!$B$72*Paramètres!$B$73</f>
        <v>0</v>
      </c>
      <c r="AP26" s="1"/>
      <c r="AQ26" s="1">
        <f>(Y26+AC26)*Paramètres!$B$42*Paramètres!$B$53</f>
        <v>0</v>
      </c>
      <c r="AR26" s="1"/>
      <c r="AS26" s="7">
        <f>ROUNDUP(D26*Paramètres!$B$23*Paramètres!$B$26,-1)</f>
        <v>0</v>
      </c>
      <c r="AT26" s="7"/>
      <c r="AU26" s="1"/>
      <c r="AV26" s="8"/>
      <c r="AW26" s="8"/>
      <c r="AX26" s="8"/>
      <c r="AY26" s="8"/>
      <c r="AZ26" s="8"/>
      <c r="BA26" s="8"/>
      <c r="BB26" s="44"/>
      <c r="BC26" s="44"/>
      <c r="BD26" s="8"/>
      <c r="BE26" s="8"/>
      <c r="BF26" s="8"/>
      <c r="BG26" s="44"/>
      <c r="BI26">
        <f t="shared" si="11"/>
        <v>0</v>
      </c>
    </row>
    <row r="27" spans="1:61" x14ac:dyDescent="0.25">
      <c r="A27">
        <v>25</v>
      </c>
      <c r="B27" s="1"/>
      <c r="C27" s="1"/>
      <c r="D27" s="1"/>
      <c r="E27" s="1"/>
      <c r="F27" s="47"/>
      <c r="G27" s="53"/>
      <c r="H27" s="53"/>
      <c r="I27" s="53"/>
      <c r="J27" s="50">
        <f>F27*Paramètres!$B$3</f>
        <v>0</v>
      </c>
      <c r="K27" s="56">
        <f t="shared" si="0"/>
        <v>0</v>
      </c>
      <c r="L27" s="56">
        <f t="shared" si="1"/>
        <v>0</v>
      </c>
      <c r="M27" s="56">
        <f t="shared" si="2"/>
        <v>0</v>
      </c>
      <c r="N27" s="3">
        <f>ROUNDUP(J27*Paramètres!$B$19,-1)</f>
        <v>0</v>
      </c>
      <c r="O27" s="1">
        <f t="shared" si="3"/>
        <v>0</v>
      </c>
      <c r="P27" s="1">
        <f t="shared" si="4"/>
        <v>0</v>
      </c>
      <c r="Q27" s="3">
        <f t="shared" si="5"/>
        <v>0</v>
      </c>
      <c r="R27" s="47">
        <f>ROUNDUP(+K27/Paramètres!$B$4/Paramètres!$B$53,0)</f>
        <v>0</v>
      </c>
      <c r="S27" s="47">
        <f>ROUNDUP(+L27/Paramètres!$B$6/Paramètres!$B$53,0)</f>
        <v>0</v>
      </c>
      <c r="T27" s="47"/>
      <c r="U27" s="2">
        <f t="shared" si="6"/>
        <v>0</v>
      </c>
      <c r="V27" s="1">
        <f>R27*Paramètres!$B$7</f>
        <v>0</v>
      </c>
      <c r="W27" s="1">
        <f>S27*Paramètres!$B$9</f>
        <v>0</v>
      </c>
      <c r="X27" s="1"/>
      <c r="Y27" s="2">
        <f t="shared" si="7"/>
        <v>0</v>
      </c>
      <c r="Z27" s="7">
        <f>R27*Paramètres!$B$10</f>
        <v>0</v>
      </c>
      <c r="AA27" s="7">
        <f>S27*Paramètres!$B$10</f>
        <v>0</v>
      </c>
      <c r="AB27" s="7"/>
      <c r="AC27" s="2">
        <f t="shared" si="8"/>
        <v>0</v>
      </c>
      <c r="AD27" s="1">
        <f t="shared" si="12"/>
        <v>0</v>
      </c>
      <c r="AE27" s="1">
        <f t="shared" si="9"/>
        <v>0</v>
      </c>
      <c r="AF27" s="1">
        <f>IF(B27="",0,Paramètres!$B$53*1.5)</f>
        <v>0</v>
      </c>
      <c r="AG27" s="1">
        <f>IF(C27="",0,Paramètres!$B$53*1.5)</f>
        <v>0</v>
      </c>
      <c r="AH27" s="1"/>
      <c r="AI27" s="1"/>
      <c r="AJ27" s="1"/>
      <c r="AK27" s="1"/>
      <c r="AL27" s="1">
        <f>(U27*Paramètres!$B$53)*3</f>
        <v>0</v>
      </c>
      <c r="AM27" s="1">
        <f t="shared" si="10"/>
        <v>0</v>
      </c>
      <c r="AN27" s="1">
        <f>U27*Paramètres!$B$75</f>
        <v>0</v>
      </c>
      <c r="AO27" s="1">
        <f>U27*Paramètres!$B$72*Paramètres!$B$73</f>
        <v>0</v>
      </c>
      <c r="AP27" s="1"/>
      <c r="AQ27" s="1">
        <f>(Y27+AC27)*Paramètres!$B$42*Paramètres!$B$53</f>
        <v>0</v>
      </c>
      <c r="AR27" s="1"/>
      <c r="AS27" s="7">
        <f>ROUNDUP(D27*Paramètres!$B$23*Paramètres!$B$26,-1)</f>
        <v>0</v>
      </c>
      <c r="AT27" s="7"/>
      <c r="AU27" s="1"/>
      <c r="AV27" s="8"/>
      <c r="AW27" s="8"/>
      <c r="AX27" s="8"/>
      <c r="AY27" s="8"/>
      <c r="AZ27" s="8"/>
      <c r="BA27" s="8"/>
      <c r="BB27" s="44"/>
      <c r="BC27" s="44"/>
      <c r="BD27" s="8"/>
      <c r="BE27" s="8"/>
      <c r="BF27" s="8"/>
      <c r="BG27" s="44"/>
      <c r="BI27">
        <f t="shared" si="11"/>
        <v>0</v>
      </c>
    </row>
    <row r="28" spans="1:61" x14ac:dyDescent="0.25">
      <c r="A28">
        <v>26</v>
      </c>
      <c r="B28" s="1"/>
      <c r="C28" s="1"/>
      <c r="D28" s="1"/>
      <c r="E28" s="1"/>
      <c r="F28" s="47"/>
      <c r="G28" s="53"/>
      <c r="H28" s="53"/>
      <c r="I28" s="53"/>
      <c r="J28" s="50">
        <f>F28*Paramètres!$B$3</f>
        <v>0</v>
      </c>
      <c r="K28" s="56">
        <f t="shared" si="0"/>
        <v>0</v>
      </c>
      <c r="L28" s="56">
        <f t="shared" si="1"/>
        <v>0</v>
      </c>
      <c r="M28" s="56">
        <f t="shared" si="2"/>
        <v>0</v>
      </c>
      <c r="N28" s="3">
        <f>ROUNDUP(J28*Paramètres!$B$19,-1)</f>
        <v>0</v>
      </c>
      <c r="O28" s="1">
        <f t="shared" si="3"/>
        <v>0</v>
      </c>
      <c r="P28" s="1">
        <f t="shared" si="4"/>
        <v>0</v>
      </c>
      <c r="Q28" s="3">
        <f t="shared" si="5"/>
        <v>0</v>
      </c>
      <c r="R28" s="47">
        <f>ROUNDUP(+K28/Paramètres!$B$4/Paramètres!$B$53,0)</f>
        <v>0</v>
      </c>
      <c r="S28" s="47">
        <f>ROUNDUP(+L28/Paramètres!$B$6/Paramètres!$B$53,0)</f>
        <v>0</v>
      </c>
      <c r="T28" s="47"/>
      <c r="U28" s="2">
        <f t="shared" si="6"/>
        <v>0</v>
      </c>
      <c r="V28" s="1">
        <f>R28*Paramètres!$B$7</f>
        <v>0</v>
      </c>
      <c r="W28" s="1">
        <f>S28*Paramètres!$B$9</f>
        <v>0</v>
      </c>
      <c r="X28" s="1"/>
      <c r="Y28" s="2">
        <f t="shared" si="7"/>
        <v>0</v>
      </c>
      <c r="Z28" s="7">
        <f>R28*Paramètres!$B$10</f>
        <v>0</v>
      </c>
      <c r="AA28" s="7">
        <f>S28*Paramètres!$B$10</f>
        <v>0</v>
      </c>
      <c r="AB28" s="7"/>
      <c r="AC28" s="2">
        <f t="shared" si="8"/>
        <v>0</v>
      </c>
      <c r="AD28" s="1">
        <f t="shared" si="12"/>
        <v>0</v>
      </c>
      <c r="AE28" s="1">
        <f t="shared" si="9"/>
        <v>0</v>
      </c>
      <c r="AF28" s="1">
        <f>IF(B28="",0,Paramètres!$B$53*1.5)</f>
        <v>0</v>
      </c>
      <c r="AG28" s="1">
        <f>IF(C28="",0,Paramètres!$B$53*1.5)</f>
        <v>0</v>
      </c>
      <c r="AH28" s="1"/>
      <c r="AI28" s="1"/>
      <c r="AJ28" s="1"/>
      <c r="AK28" s="1"/>
      <c r="AL28" s="1">
        <f>(U28*Paramètres!$B$53)*3</f>
        <v>0</v>
      </c>
      <c r="AM28" s="1">
        <f t="shared" si="10"/>
        <v>0</v>
      </c>
      <c r="AN28" s="1">
        <f>U28*Paramètres!$B$75</f>
        <v>0</v>
      </c>
      <c r="AO28" s="1">
        <f>U28*Paramètres!$B$72*Paramètres!$B$73</f>
        <v>0</v>
      </c>
      <c r="AP28" s="1"/>
      <c r="AQ28" s="1">
        <f>(Y28+AC28)*Paramètres!$B$42*Paramètres!$B$53</f>
        <v>0</v>
      </c>
      <c r="AR28" s="1"/>
      <c r="AS28" s="7">
        <f>ROUNDUP(D28*Paramètres!$B$23*Paramètres!$B$26,-1)</f>
        <v>0</v>
      </c>
      <c r="AT28" s="7"/>
      <c r="AU28" s="1"/>
      <c r="AV28" s="8"/>
      <c r="AW28" s="8"/>
      <c r="AX28" s="8"/>
      <c r="AY28" s="8"/>
      <c r="AZ28" s="8"/>
      <c r="BA28" s="8"/>
      <c r="BB28" s="44"/>
      <c r="BC28" s="44"/>
      <c r="BD28" s="8"/>
      <c r="BE28" s="8"/>
      <c r="BF28" s="8"/>
      <c r="BG28" s="44"/>
      <c r="BI28">
        <f t="shared" si="11"/>
        <v>0</v>
      </c>
    </row>
    <row r="29" spans="1:61" x14ac:dyDescent="0.25">
      <c r="A29">
        <v>27</v>
      </c>
      <c r="B29" s="1"/>
      <c r="C29" s="1"/>
      <c r="D29" s="1"/>
      <c r="E29" s="4"/>
      <c r="F29" s="47"/>
      <c r="G29" s="53"/>
      <c r="H29" s="53"/>
      <c r="I29" s="53"/>
      <c r="J29" s="50">
        <f>F29*Paramètres!$B$3</f>
        <v>0</v>
      </c>
      <c r="K29" s="56">
        <f t="shared" si="0"/>
        <v>0</v>
      </c>
      <c r="L29" s="56">
        <f t="shared" si="1"/>
        <v>0</v>
      </c>
      <c r="M29" s="56">
        <f t="shared" si="2"/>
        <v>0</v>
      </c>
      <c r="N29" s="3">
        <f>ROUNDUP(J29*Paramètres!$B$19,-1)</f>
        <v>0</v>
      </c>
      <c r="O29" s="1">
        <f t="shared" si="3"/>
        <v>0</v>
      </c>
      <c r="P29" s="1">
        <f t="shared" si="4"/>
        <v>0</v>
      </c>
      <c r="Q29" s="3">
        <f t="shared" si="5"/>
        <v>0</v>
      </c>
      <c r="R29" s="47">
        <f>ROUNDUP(+K29/Paramètres!$B$4/Paramètres!$B$53,0)</f>
        <v>0</v>
      </c>
      <c r="S29" s="47">
        <f>ROUNDUP(+L29/Paramètres!$B$6/Paramètres!$B$53,0)</f>
        <v>0</v>
      </c>
      <c r="T29" s="47"/>
      <c r="U29" s="2">
        <f t="shared" si="6"/>
        <v>0</v>
      </c>
      <c r="V29" s="1">
        <f>R29*Paramètres!$B$7</f>
        <v>0</v>
      </c>
      <c r="W29" s="1">
        <f>S29*Paramètres!$B$9</f>
        <v>0</v>
      </c>
      <c r="X29" s="1"/>
      <c r="Y29" s="2">
        <f t="shared" si="7"/>
        <v>0</v>
      </c>
      <c r="Z29" s="7">
        <f>R29*Paramètres!$B$10</f>
        <v>0</v>
      </c>
      <c r="AA29" s="7">
        <f>S29*Paramètres!$B$10</f>
        <v>0</v>
      </c>
      <c r="AB29" s="7"/>
      <c r="AC29" s="2">
        <f t="shared" si="8"/>
        <v>0</v>
      </c>
      <c r="AD29" s="1">
        <f t="shared" si="12"/>
        <v>0</v>
      </c>
      <c r="AE29" s="1">
        <f t="shared" si="9"/>
        <v>0</v>
      </c>
      <c r="AF29" s="1">
        <f>IF(B29="",0,Paramètres!$B$53*1.5)</f>
        <v>0</v>
      </c>
      <c r="AG29" s="1">
        <f>IF(C29="",0,Paramètres!$B$53*1.5)</f>
        <v>0</v>
      </c>
      <c r="AH29" s="1"/>
      <c r="AI29" s="1"/>
      <c r="AJ29" s="1"/>
      <c r="AK29" s="1"/>
      <c r="AL29" s="1">
        <f>(U29*Paramètres!$B$53)*3</f>
        <v>0</v>
      </c>
      <c r="AM29" s="1">
        <f t="shared" si="10"/>
        <v>0</v>
      </c>
      <c r="AN29" s="1">
        <f>U29*Paramètres!$B$75</f>
        <v>0</v>
      </c>
      <c r="AO29" s="1">
        <f>U29*Paramètres!$B$72*Paramètres!$B$73</f>
        <v>0</v>
      </c>
      <c r="AP29" s="1"/>
      <c r="AQ29" s="1">
        <f>(Y29+AC29)*Paramètres!$B$42*Paramètres!$B$53</f>
        <v>0</v>
      </c>
      <c r="AR29" s="1"/>
      <c r="AS29" s="7">
        <f>ROUNDUP(D29*Paramètres!$B$23*Paramètres!$B$26,-1)</f>
        <v>0</v>
      </c>
      <c r="AT29" s="7"/>
      <c r="AU29" s="1"/>
      <c r="AV29" s="8"/>
      <c r="AW29" s="8"/>
      <c r="AX29" s="8"/>
      <c r="AY29" s="8"/>
      <c r="AZ29" s="8"/>
      <c r="BA29" s="8"/>
      <c r="BB29" s="44"/>
      <c r="BC29" s="44"/>
      <c r="BD29" s="8"/>
      <c r="BE29" s="8"/>
      <c r="BF29" s="8"/>
      <c r="BG29" s="44"/>
      <c r="BI29">
        <f t="shared" si="11"/>
        <v>0</v>
      </c>
    </row>
    <row r="30" spans="1:61" x14ac:dyDescent="0.25">
      <c r="A30">
        <v>28</v>
      </c>
      <c r="B30" s="1"/>
      <c r="C30" s="1"/>
      <c r="D30" s="1"/>
      <c r="E30" s="1"/>
      <c r="F30" s="47"/>
      <c r="G30" s="53"/>
      <c r="H30" s="53"/>
      <c r="I30" s="53"/>
      <c r="J30" s="50">
        <f>F30*Paramètres!$B$3</f>
        <v>0</v>
      </c>
      <c r="K30" s="56">
        <f t="shared" si="0"/>
        <v>0</v>
      </c>
      <c r="L30" s="56">
        <f t="shared" si="1"/>
        <v>0</v>
      </c>
      <c r="M30" s="56">
        <f t="shared" si="2"/>
        <v>0</v>
      </c>
      <c r="N30" s="3">
        <f>ROUNDUP(J30*Paramètres!$B$19,-1)</f>
        <v>0</v>
      </c>
      <c r="O30" s="1">
        <f t="shared" si="3"/>
        <v>0</v>
      </c>
      <c r="P30" s="1">
        <f t="shared" si="4"/>
        <v>0</v>
      </c>
      <c r="Q30" s="3">
        <f t="shared" si="5"/>
        <v>0</v>
      </c>
      <c r="R30" s="47">
        <f>ROUNDUP(+K30/Paramètres!$B$4/Paramètres!$B$53,0)</f>
        <v>0</v>
      </c>
      <c r="S30" s="47">
        <f>ROUNDUP(+L30/Paramètres!$B$6/Paramètres!$B$53,0)</f>
        <v>0</v>
      </c>
      <c r="T30" s="47"/>
      <c r="U30" s="2">
        <f t="shared" si="6"/>
        <v>0</v>
      </c>
      <c r="V30" s="1">
        <f>R30*Paramètres!$B$7</f>
        <v>0</v>
      </c>
      <c r="W30" s="1">
        <f>S30*Paramètres!$B$9</f>
        <v>0</v>
      </c>
      <c r="X30" s="1"/>
      <c r="Y30" s="2">
        <f t="shared" si="7"/>
        <v>0</v>
      </c>
      <c r="Z30" s="7">
        <f>R30*Paramètres!$B$10</f>
        <v>0</v>
      </c>
      <c r="AA30" s="7">
        <f>S30*Paramètres!$B$10</f>
        <v>0</v>
      </c>
      <c r="AB30" s="7"/>
      <c r="AC30" s="2">
        <f t="shared" si="8"/>
        <v>0</v>
      </c>
      <c r="AD30" s="1">
        <f t="shared" si="12"/>
        <v>0</v>
      </c>
      <c r="AE30" s="1">
        <f t="shared" si="9"/>
        <v>0</v>
      </c>
      <c r="AF30" s="1">
        <f>IF(B30="",0,Paramètres!$B$53*1.5)</f>
        <v>0</v>
      </c>
      <c r="AG30" s="1">
        <f>IF(C30="",0,Paramètres!$B$53*1.5)</f>
        <v>0</v>
      </c>
      <c r="AH30" s="1"/>
      <c r="AI30" s="1"/>
      <c r="AJ30" s="1"/>
      <c r="AK30" s="1"/>
      <c r="AL30" s="1">
        <f>(U30*Paramètres!$B$53)*3</f>
        <v>0</v>
      </c>
      <c r="AM30" s="1">
        <f t="shared" si="10"/>
        <v>0</v>
      </c>
      <c r="AN30" s="1">
        <f>U30*Paramètres!$B$75</f>
        <v>0</v>
      </c>
      <c r="AO30" s="1">
        <f>U30*Paramètres!$B$72*Paramètres!$B$73</f>
        <v>0</v>
      </c>
      <c r="AP30" s="1"/>
      <c r="AQ30" s="1">
        <f>(Y30+AC30)*Paramètres!$B$42*Paramètres!$B$53</f>
        <v>0</v>
      </c>
      <c r="AR30" s="1"/>
      <c r="AS30" s="7">
        <f>ROUNDUP(D30*Paramètres!$B$23*Paramètres!$B$26,-1)</f>
        <v>0</v>
      </c>
      <c r="AT30" s="7"/>
      <c r="AU30" s="1"/>
      <c r="AV30" s="8"/>
      <c r="AW30" s="8"/>
      <c r="AX30" s="8"/>
      <c r="AY30" s="8"/>
      <c r="AZ30" s="8"/>
      <c r="BA30" s="8"/>
      <c r="BB30" s="44"/>
      <c r="BC30" s="44"/>
      <c r="BD30" s="8"/>
      <c r="BE30" s="8"/>
      <c r="BF30" s="8"/>
      <c r="BG30" s="44"/>
      <c r="BI30">
        <f t="shared" si="11"/>
        <v>0</v>
      </c>
    </row>
    <row r="31" spans="1:61" x14ac:dyDescent="0.25">
      <c r="A31">
        <v>29</v>
      </c>
      <c r="B31" s="1"/>
      <c r="C31" s="1"/>
      <c r="F31" s="47"/>
      <c r="G31" s="53"/>
      <c r="H31" s="53"/>
      <c r="I31" s="53"/>
      <c r="J31" s="50">
        <f>F31*Paramètres!$B$3</f>
        <v>0</v>
      </c>
      <c r="K31" s="56">
        <f t="shared" si="0"/>
        <v>0</v>
      </c>
      <c r="L31" s="56">
        <f t="shared" si="1"/>
        <v>0</v>
      </c>
      <c r="M31" s="56">
        <f t="shared" si="2"/>
        <v>0</v>
      </c>
      <c r="N31" s="3">
        <f>ROUNDUP(J31*Paramètres!$B$19,-1)</f>
        <v>0</v>
      </c>
      <c r="O31" s="1">
        <f t="shared" si="3"/>
        <v>0</v>
      </c>
      <c r="P31" s="1">
        <f t="shared" si="4"/>
        <v>0</v>
      </c>
      <c r="Q31" s="3">
        <f t="shared" si="5"/>
        <v>0</v>
      </c>
      <c r="R31" s="47">
        <f>ROUNDUP(+K31/Paramètres!$B$4/Paramètres!$B$53,0)</f>
        <v>0</v>
      </c>
      <c r="S31" s="47">
        <f>ROUNDUP(+L31/Paramètres!$B$6/Paramètres!$B$53,0)</f>
        <v>0</v>
      </c>
      <c r="T31" s="47"/>
      <c r="U31" s="2">
        <f t="shared" si="6"/>
        <v>0</v>
      </c>
      <c r="V31" s="1">
        <f>R31*Paramètres!$B$7</f>
        <v>0</v>
      </c>
      <c r="W31" s="1">
        <f>S31*Paramètres!$B$9</f>
        <v>0</v>
      </c>
      <c r="X31" s="1"/>
      <c r="Y31" s="2">
        <f t="shared" si="7"/>
        <v>0</v>
      </c>
      <c r="Z31" s="7">
        <f>R31*Paramètres!$B$10</f>
        <v>0</v>
      </c>
      <c r="AA31" s="7">
        <f>S31*Paramètres!$B$10</f>
        <v>0</v>
      </c>
      <c r="AB31" s="7"/>
      <c r="AC31" s="2">
        <f t="shared" si="8"/>
        <v>0</v>
      </c>
      <c r="AD31" s="1">
        <f t="shared" si="12"/>
        <v>0</v>
      </c>
      <c r="AE31" s="1">
        <f t="shared" si="9"/>
        <v>0</v>
      </c>
      <c r="AF31" s="1">
        <f>IF(B31="",0,Paramètres!$B$53*1.5)</f>
        <v>0</v>
      </c>
      <c r="AG31" s="1">
        <f>IF(C31="",0,Paramètres!$B$53*1.5)</f>
        <v>0</v>
      </c>
      <c r="AH31" s="1"/>
      <c r="AI31" s="1"/>
      <c r="AJ31" s="1"/>
      <c r="AK31" s="1"/>
      <c r="AL31" s="1">
        <f>(U31*Paramètres!$B$53)*3</f>
        <v>0</v>
      </c>
      <c r="AM31" s="1">
        <f t="shared" si="10"/>
        <v>0</v>
      </c>
      <c r="AN31" s="1">
        <f>U31*Paramètres!$B$75</f>
        <v>0</v>
      </c>
      <c r="AO31" s="1">
        <f>U31*Paramètres!$B$72*Paramètres!$B$73</f>
        <v>0</v>
      </c>
      <c r="AP31" s="1"/>
      <c r="AQ31" s="1">
        <f>(Y31+AC31)*Paramètres!$B$42*Paramètres!$B$53</f>
        <v>0</v>
      </c>
      <c r="AR31" s="1"/>
      <c r="AS31" s="7">
        <f>ROUNDUP(D31*Paramètres!$B$23*Paramètres!$B$26,-1)</f>
        <v>0</v>
      </c>
      <c r="AT31" s="7"/>
      <c r="AU31" s="1"/>
      <c r="AV31" s="8"/>
      <c r="AW31" s="8"/>
      <c r="AX31" s="8"/>
      <c r="AY31" s="8"/>
      <c r="AZ31" s="8"/>
      <c r="BA31" s="8"/>
      <c r="BB31" s="44"/>
      <c r="BC31" s="44"/>
      <c r="BD31" s="8"/>
      <c r="BE31" s="8"/>
      <c r="BF31" s="8"/>
      <c r="BG31" s="44"/>
      <c r="BI31">
        <f t="shared" si="11"/>
        <v>0</v>
      </c>
    </row>
    <row r="32" spans="1:61" x14ac:dyDescent="0.25">
      <c r="A32">
        <v>30</v>
      </c>
      <c r="B32" s="1"/>
      <c r="C32" s="1"/>
      <c r="F32" s="47"/>
      <c r="G32" s="53"/>
      <c r="H32" s="53"/>
      <c r="I32" s="53"/>
      <c r="J32" s="50">
        <f>F32*Paramètres!$B$3</f>
        <v>0</v>
      </c>
      <c r="K32" s="56">
        <f t="shared" si="0"/>
        <v>0</v>
      </c>
      <c r="L32" s="56">
        <f t="shared" si="1"/>
        <v>0</v>
      </c>
      <c r="M32" s="56">
        <f t="shared" si="2"/>
        <v>0</v>
      </c>
      <c r="N32" s="3">
        <f>ROUNDUP(J32*Paramètres!$B$19,-1)</f>
        <v>0</v>
      </c>
      <c r="O32" s="1">
        <f t="shared" si="3"/>
        <v>0</v>
      </c>
      <c r="P32" s="1">
        <f t="shared" si="4"/>
        <v>0</v>
      </c>
      <c r="Q32" s="3">
        <f t="shared" si="5"/>
        <v>0</v>
      </c>
      <c r="R32" s="47">
        <f>ROUNDUP(+K32/Paramètres!$B$4/Paramètres!$B$53,0)</f>
        <v>0</v>
      </c>
      <c r="S32" s="47">
        <f>ROUNDUP(+L32/Paramètres!$B$6/Paramètres!$B$53,0)</f>
        <v>0</v>
      </c>
      <c r="T32" s="47"/>
      <c r="U32" s="2">
        <f t="shared" si="6"/>
        <v>0</v>
      </c>
      <c r="V32" s="1">
        <f>R32*Paramètres!$B$7</f>
        <v>0</v>
      </c>
      <c r="W32" s="1">
        <f>S32*Paramètres!$B$9</f>
        <v>0</v>
      </c>
      <c r="X32" s="1"/>
      <c r="Y32" s="2">
        <f t="shared" si="7"/>
        <v>0</v>
      </c>
      <c r="Z32" s="7">
        <f>R32*Paramètres!$B$10</f>
        <v>0</v>
      </c>
      <c r="AA32" s="7">
        <f>S32*Paramètres!$B$10</f>
        <v>0</v>
      </c>
      <c r="AB32" s="7"/>
      <c r="AC32" s="2">
        <f t="shared" si="8"/>
        <v>0</v>
      </c>
      <c r="AD32" s="1">
        <f t="shared" si="12"/>
        <v>0</v>
      </c>
      <c r="AE32" s="1">
        <f t="shared" si="9"/>
        <v>0</v>
      </c>
      <c r="AF32" s="1">
        <f>IF(B32="",0,Paramètres!$B$53*1.5)</f>
        <v>0</v>
      </c>
      <c r="AG32" s="1">
        <f>IF(C32="",0,Paramètres!$B$53*1.5)</f>
        <v>0</v>
      </c>
      <c r="AH32" s="1"/>
      <c r="AI32" s="1"/>
      <c r="AJ32" s="1"/>
      <c r="AK32" s="1"/>
      <c r="AL32" s="1">
        <f>(U32*Paramètres!$B$53)*3</f>
        <v>0</v>
      </c>
      <c r="AM32" s="1">
        <f t="shared" si="10"/>
        <v>0</v>
      </c>
      <c r="AN32" s="1">
        <f>U32*Paramètres!$B$75</f>
        <v>0</v>
      </c>
      <c r="AO32" s="1">
        <f>U32*Paramètres!$B$72*Paramètres!$B$73</f>
        <v>0</v>
      </c>
      <c r="AP32" s="1"/>
      <c r="AQ32" s="1">
        <f>(Y32+AC32)*Paramètres!$B$42*Paramètres!$B$53</f>
        <v>0</v>
      </c>
      <c r="AR32" s="1"/>
      <c r="AS32" s="7">
        <f>ROUNDUP(D32*Paramètres!$B$23*Paramètres!$B$26,-1)</f>
        <v>0</v>
      </c>
      <c r="AT32" s="7"/>
      <c r="AU32" s="1"/>
      <c r="AV32" s="8"/>
      <c r="AW32" s="8"/>
      <c r="AX32" s="8"/>
      <c r="AY32" s="8"/>
      <c r="AZ32" s="8"/>
      <c r="BA32" s="8"/>
      <c r="BB32" s="44"/>
      <c r="BC32" s="44"/>
      <c r="BD32" s="8"/>
      <c r="BE32" s="8"/>
      <c r="BF32" s="8"/>
      <c r="BG32" s="44"/>
      <c r="BI32">
        <f t="shared" si="11"/>
        <v>0</v>
      </c>
    </row>
    <row r="33" spans="1:61" x14ac:dyDescent="0.25">
      <c r="A33">
        <v>31</v>
      </c>
      <c r="B33" s="1"/>
      <c r="C33" s="1"/>
      <c r="F33" s="47"/>
      <c r="G33" s="53"/>
      <c r="H33" s="53"/>
      <c r="I33" s="53"/>
      <c r="J33" s="50">
        <f>F33*Paramètres!$B$3</f>
        <v>0</v>
      </c>
      <c r="K33" s="56">
        <f t="shared" si="0"/>
        <v>0</v>
      </c>
      <c r="L33" s="56">
        <f t="shared" si="1"/>
        <v>0</v>
      </c>
      <c r="M33" s="56">
        <f t="shared" si="2"/>
        <v>0</v>
      </c>
      <c r="N33" s="3">
        <f>ROUNDUP(J33*Paramètres!$B$19,-1)</f>
        <v>0</v>
      </c>
      <c r="O33" s="1">
        <f t="shared" si="3"/>
        <v>0</v>
      </c>
      <c r="P33" s="1">
        <f t="shared" si="4"/>
        <v>0</v>
      </c>
      <c r="Q33" s="3">
        <f t="shared" si="5"/>
        <v>0</v>
      </c>
      <c r="R33" s="47">
        <f>ROUNDUP(+K33/Paramètres!$B$4/Paramètres!$B$53,0)</f>
        <v>0</v>
      </c>
      <c r="S33" s="47">
        <f>ROUNDUP(+L33/Paramètres!$B$6/Paramètres!$B$53,0)</f>
        <v>0</v>
      </c>
      <c r="T33" s="47"/>
      <c r="U33" s="2">
        <f t="shared" si="6"/>
        <v>0</v>
      </c>
      <c r="V33" s="1">
        <f>R33*Paramètres!$B$7</f>
        <v>0</v>
      </c>
      <c r="W33" s="1">
        <f>S33*Paramètres!$B$9</f>
        <v>0</v>
      </c>
      <c r="X33" s="1"/>
      <c r="Y33" s="2">
        <f t="shared" si="7"/>
        <v>0</v>
      </c>
      <c r="Z33" s="7">
        <f>R33*Paramètres!$B$10</f>
        <v>0</v>
      </c>
      <c r="AA33" s="7">
        <f>S33*Paramètres!$B$10</f>
        <v>0</v>
      </c>
      <c r="AB33" s="7"/>
      <c r="AC33" s="2">
        <f t="shared" si="8"/>
        <v>0</v>
      </c>
      <c r="AD33" s="1">
        <f t="shared" si="12"/>
        <v>0</v>
      </c>
      <c r="AE33" s="1">
        <f t="shared" si="9"/>
        <v>0</v>
      </c>
      <c r="AF33" s="1">
        <f>IF(B33="",0,Paramètres!$B$53*1.5)</f>
        <v>0</v>
      </c>
      <c r="AG33" s="1">
        <f>IF(C33="",0,Paramètres!$B$53*1.5)</f>
        <v>0</v>
      </c>
      <c r="AH33" s="1"/>
      <c r="AI33" s="1"/>
      <c r="AJ33" s="1"/>
      <c r="AK33" s="1"/>
      <c r="AL33" s="1">
        <f>(U33*Paramètres!$B$53)*3</f>
        <v>0</v>
      </c>
      <c r="AM33" s="1">
        <f t="shared" si="10"/>
        <v>0</v>
      </c>
      <c r="AN33" s="1">
        <f>U33*Paramètres!$B$75</f>
        <v>0</v>
      </c>
      <c r="AO33" s="1">
        <f>U33*Paramètres!$B$72*Paramètres!$B$73</f>
        <v>0</v>
      </c>
      <c r="AP33" s="1"/>
      <c r="AQ33" s="1">
        <f>(Y33+AC33)*Paramètres!$B$42*Paramètres!$B$53</f>
        <v>0</v>
      </c>
      <c r="AR33" s="1"/>
      <c r="AS33" s="7">
        <f>ROUNDUP(D33*Paramètres!$B$23*Paramètres!$B$26,-1)</f>
        <v>0</v>
      </c>
      <c r="AT33" s="7"/>
      <c r="AU33" s="1"/>
      <c r="AV33" s="8"/>
      <c r="AW33" s="8"/>
      <c r="AX33" s="8"/>
      <c r="AY33" s="8"/>
      <c r="AZ33" s="8"/>
      <c r="BA33" s="8"/>
      <c r="BB33" s="44"/>
      <c r="BC33" s="44"/>
      <c r="BD33" s="8"/>
      <c r="BE33" s="8"/>
      <c r="BF33" s="8"/>
      <c r="BG33" s="44"/>
      <c r="BI33">
        <f t="shared" si="11"/>
        <v>0</v>
      </c>
    </row>
    <row r="34" spans="1:61" x14ac:dyDescent="0.25">
      <c r="A34">
        <v>32</v>
      </c>
      <c r="B34" s="1"/>
      <c r="C34" s="1"/>
      <c r="F34" s="47"/>
      <c r="G34" s="53"/>
      <c r="H34" s="53"/>
      <c r="I34" s="53"/>
      <c r="J34" s="50">
        <f>F34*Paramètres!$B$3</f>
        <v>0</v>
      </c>
      <c r="K34" s="56">
        <f t="shared" si="0"/>
        <v>0</v>
      </c>
      <c r="L34" s="56">
        <f t="shared" si="1"/>
        <v>0</v>
      </c>
      <c r="M34" s="56">
        <f t="shared" si="2"/>
        <v>0</v>
      </c>
      <c r="N34" s="3">
        <f>ROUNDUP(J34*Paramètres!$B$19,-1)</f>
        <v>0</v>
      </c>
      <c r="O34" s="1">
        <f t="shared" si="3"/>
        <v>0</v>
      </c>
      <c r="P34" s="1">
        <f t="shared" si="4"/>
        <v>0</v>
      </c>
      <c r="Q34" s="3">
        <f t="shared" si="5"/>
        <v>0</v>
      </c>
      <c r="R34" s="47">
        <f>ROUNDUP(+K34/Paramètres!$B$4/Paramètres!$B$53,0)</f>
        <v>0</v>
      </c>
      <c r="S34" s="47">
        <f>ROUNDUP(+L34/Paramètres!$B$6/Paramètres!$B$53,0)</f>
        <v>0</v>
      </c>
      <c r="T34" s="47"/>
      <c r="U34" s="2">
        <f t="shared" si="6"/>
        <v>0</v>
      </c>
      <c r="V34" s="1">
        <f>R34*Paramètres!$B$7</f>
        <v>0</v>
      </c>
      <c r="W34" s="1">
        <f>S34*Paramètres!$B$9</f>
        <v>0</v>
      </c>
      <c r="X34" s="1"/>
      <c r="Y34" s="2">
        <f t="shared" si="7"/>
        <v>0</v>
      </c>
      <c r="Z34" s="7">
        <f>R34*Paramètres!$B$10</f>
        <v>0</v>
      </c>
      <c r="AA34" s="7">
        <f>S34*Paramètres!$B$10</f>
        <v>0</v>
      </c>
      <c r="AB34" s="7"/>
      <c r="AC34" s="2">
        <f t="shared" si="8"/>
        <v>0</v>
      </c>
      <c r="AD34" s="1">
        <f t="shared" si="12"/>
        <v>0</v>
      </c>
      <c r="AE34" s="1">
        <f t="shared" si="9"/>
        <v>0</v>
      </c>
      <c r="AF34" s="1">
        <f>IF(B34="",0,Paramètres!$B$53*1.5)</f>
        <v>0</v>
      </c>
      <c r="AG34" s="1">
        <f>IF(C34="",0,Paramètres!$B$53*1.5)</f>
        <v>0</v>
      </c>
      <c r="AH34" s="1"/>
      <c r="AI34" s="1"/>
      <c r="AJ34" s="1"/>
      <c r="AK34" s="1"/>
      <c r="AL34" s="1">
        <f>(U34*Paramètres!$B$53)*3</f>
        <v>0</v>
      </c>
      <c r="AM34" s="1">
        <f t="shared" si="10"/>
        <v>0</v>
      </c>
      <c r="AN34" s="1">
        <f>U34*Paramètres!$B$75</f>
        <v>0</v>
      </c>
      <c r="AO34" s="1">
        <f>U34*Paramètres!$B$72*Paramètres!$B$73</f>
        <v>0</v>
      </c>
      <c r="AP34" s="1"/>
      <c r="AQ34" s="1">
        <f>(Y34+AC34)*Paramètres!$B$42*Paramètres!$B$53</f>
        <v>0</v>
      </c>
      <c r="AR34" s="1"/>
      <c r="AS34" s="7">
        <f>ROUNDUP(D34*Paramètres!$B$23*Paramètres!$B$26,-1)</f>
        <v>0</v>
      </c>
      <c r="AT34" s="7"/>
      <c r="AU34" s="1"/>
      <c r="AV34" s="8"/>
      <c r="AW34" s="8"/>
      <c r="AX34" s="8"/>
      <c r="AY34" s="8"/>
      <c r="AZ34" s="8"/>
      <c r="BA34" s="8"/>
      <c r="BB34" s="44"/>
      <c r="BC34" s="44"/>
      <c r="BD34" s="8"/>
      <c r="BE34" s="8"/>
      <c r="BF34" s="8"/>
      <c r="BG34" s="44"/>
      <c r="BI34">
        <f t="shared" si="11"/>
        <v>0</v>
      </c>
    </row>
    <row r="35" spans="1:61" x14ac:dyDescent="0.25">
      <c r="A35">
        <v>33</v>
      </c>
      <c r="B35" s="1"/>
      <c r="C35" s="1"/>
      <c r="F35" s="47"/>
      <c r="G35" s="53"/>
      <c r="H35" s="53"/>
      <c r="I35" s="53"/>
      <c r="J35" s="50">
        <f>F35*Paramètres!$B$3</f>
        <v>0</v>
      </c>
      <c r="K35" s="56">
        <f t="shared" si="0"/>
        <v>0</v>
      </c>
      <c r="L35" s="56">
        <f t="shared" si="1"/>
        <v>0</v>
      </c>
      <c r="M35" s="56">
        <f t="shared" si="2"/>
        <v>0</v>
      </c>
      <c r="N35" s="3">
        <f>ROUNDUP(J35*Paramètres!$B$19,-1)</f>
        <v>0</v>
      </c>
      <c r="O35" s="1">
        <f t="shared" si="3"/>
        <v>0</v>
      </c>
      <c r="P35" s="1">
        <f t="shared" si="4"/>
        <v>0</v>
      </c>
      <c r="Q35" s="3">
        <f t="shared" si="5"/>
        <v>0</v>
      </c>
      <c r="R35" s="47">
        <f>ROUNDUP(+K35/Paramètres!$B$4/Paramètres!$B$53,0)</f>
        <v>0</v>
      </c>
      <c r="S35" s="47">
        <f>ROUNDUP(+L35/Paramètres!$B$6/Paramètres!$B$53,0)</f>
        <v>0</v>
      </c>
      <c r="T35" s="47"/>
      <c r="U35" s="2">
        <f t="shared" si="6"/>
        <v>0</v>
      </c>
      <c r="V35" s="1">
        <f>R35*Paramètres!$B$7</f>
        <v>0</v>
      </c>
      <c r="W35" s="1">
        <f>S35*Paramètres!$B$9</f>
        <v>0</v>
      </c>
      <c r="X35" s="1"/>
      <c r="Y35" s="2">
        <f t="shared" si="7"/>
        <v>0</v>
      </c>
      <c r="Z35" s="7">
        <f>R35*Paramètres!$B$10</f>
        <v>0</v>
      </c>
      <c r="AA35" s="7">
        <f>S35*Paramètres!$B$10</f>
        <v>0</v>
      </c>
      <c r="AB35" s="7"/>
      <c r="AC35" s="2">
        <f t="shared" si="8"/>
        <v>0</v>
      </c>
      <c r="AD35" s="1">
        <f t="shared" si="12"/>
        <v>0</v>
      </c>
      <c r="AE35" s="1">
        <f t="shared" si="9"/>
        <v>0</v>
      </c>
      <c r="AF35" s="1">
        <f>IF(B35="",0,Paramètres!$B$53*1.5)</f>
        <v>0</v>
      </c>
      <c r="AG35" s="1">
        <f>IF(C35="",0,Paramètres!$B$53*1.5)</f>
        <v>0</v>
      </c>
      <c r="AH35" s="1"/>
      <c r="AI35" s="1"/>
      <c r="AJ35" s="1"/>
      <c r="AK35" s="1"/>
      <c r="AL35" s="1">
        <f>(U35*Paramètres!$B$53)*3</f>
        <v>0</v>
      </c>
      <c r="AM35" s="1">
        <f t="shared" si="10"/>
        <v>0</v>
      </c>
      <c r="AN35" s="1">
        <f>U35*Paramètres!$B$75</f>
        <v>0</v>
      </c>
      <c r="AO35" s="1">
        <f>U35*Paramètres!$B$72*Paramètres!$B$73</f>
        <v>0</v>
      </c>
      <c r="AP35" s="1"/>
      <c r="AQ35" s="1">
        <f>(Y35+AC35)*Paramètres!$B$42*Paramètres!$B$53</f>
        <v>0</v>
      </c>
      <c r="AR35" s="1"/>
      <c r="AS35" s="7">
        <f>ROUNDUP(D35*Paramètres!$B$23*Paramètres!$B$26,-1)</f>
        <v>0</v>
      </c>
      <c r="AT35" s="7"/>
      <c r="AU35" s="1"/>
      <c r="AV35" s="8"/>
      <c r="AW35" s="8"/>
      <c r="AX35" s="8"/>
      <c r="AY35" s="8"/>
      <c r="AZ35" s="8"/>
      <c r="BA35" s="8"/>
      <c r="BB35" s="44"/>
      <c r="BC35" s="44"/>
      <c r="BD35" s="8"/>
      <c r="BE35" s="8"/>
      <c r="BF35" s="8"/>
      <c r="BG35" s="44"/>
      <c r="BI35">
        <f t="shared" si="11"/>
        <v>0</v>
      </c>
    </row>
    <row r="36" spans="1:61" x14ac:dyDescent="0.25">
      <c r="A36">
        <v>34</v>
      </c>
      <c r="B36" s="1"/>
      <c r="C36" s="1"/>
      <c r="F36" s="47"/>
      <c r="G36" s="53"/>
      <c r="H36" s="53"/>
      <c r="I36" s="53"/>
      <c r="J36" s="50">
        <f>F36*Paramètres!$B$3</f>
        <v>0</v>
      </c>
      <c r="K36" s="56">
        <f t="shared" si="0"/>
        <v>0</v>
      </c>
      <c r="L36" s="56">
        <f t="shared" si="1"/>
        <v>0</v>
      </c>
      <c r="M36" s="56">
        <f t="shared" si="2"/>
        <v>0</v>
      </c>
      <c r="N36" s="3">
        <f>ROUNDUP(J36*Paramètres!$B$19,-1)</f>
        <v>0</v>
      </c>
      <c r="O36" s="1">
        <f t="shared" si="3"/>
        <v>0</v>
      </c>
      <c r="P36" s="1">
        <f t="shared" si="4"/>
        <v>0</v>
      </c>
      <c r="Q36" s="3">
        <f t="shared" si="5"/>
        <v>0</v>
      </c>
      <c r="R36" s="47">
        <f>ROUNDUP(+K36/Paramètres!$B$4/Paramètres!$B$53,0)</f>
        <v>0</v>
      </c>
      <c r="S36" s="47">
        <f>ROUNDUP(+L36/Paramètres!$B$6/Paramètres!$B$53,0)</f>
        <v>0</v>
      </c>
      <c r="T36" s="47"/>
      <c r="U36" s="2">
        <f t="shared" si="6"/>
        <v>0</v>
      </c>
      <c r="V36" s="1">
        <f>R36*Paramètres!$B$7</f>
        <v>0</v>
      </c>
      <c r="W36" s="1">
        <f>S36*Paramètres!$B$9</f>
        <v>0</v>
      </c>
      <c r="X36" s="1"/>
      <c r="Y36" s="2">
        <f t="shared" si="7"/>
        <v>0</v>
      </c>
      <c r="Z36" s="7">
        <f>R36*Paramètres!$B$10</f>
        <v>0</v>
      </c>
      <c r="AA36" s="7">
        <f>S36*Paramètres!$B$10</f>
        <v>0</v>
      </c>
      <c r="AB36" s="7"/>
      <c r="AC36" s="2">
        <f t="shared" si="8"/>
        <v>0</v>
      </c>
      <c r="AD36" s="1">
        <f t="shared" si="12"/>
        <v>0</v>
      </c>
      <c r="AE36" s="1">
        <f t="shared" si="9"/>
        <v>0</v>
      </c>
      <c r="AF36" s="1">
        <f>IF(B36="",0,Paramètres!$B$53*1.5)</f>
        <v>0</v>
      </c>
      <c r="AG36" s="1">
        <f>IF(C36="",0,Paramètres!$B$53*1.5)</f>
        <v>0</v>
      </c>
      <c r="AH36" s="1"/>
      <c r="AI36" s="1"/>
      <c r="AJ36" s="1"/>
      <c r="AK36" s="1"/>
      <c r="AL36" s="1">
        <f>(U36*Paramètres!$B$53)*3</f>
        <v>0</v>
      </c>
      <c r="AM36" s="1">
        <f t="shared" si="10"/>
        <v>0</v>
      </c>
      <c r="AN36" s="1">
        <f>U36*Paramètres!$B$75</f>
        <v>0</v>
      </c>
      <c r="AO36" s="1">
        <f>U36*Paramètres!$B$72*Paramètres!$B$73</f>
        <v>0</v>
      </c>
      <c r="AP36" s="1"/>
      <c r="AQ36" s="1">
        <f>(Y36+AC36)*Paramètres!$B$42*Paramètres!$B$53</f>
        <v>0</v>
      </c>
      <c r="AR36" s="1"/>
      <c r="AS36" s="7">
        <f>ROUNDUP(D36*Paramètres!$B$23*Paramètres!$B$26,-1)</f>
        <v>0</v>
      </c>
      <c r="AT36" s="7"/>
      <c r="AU36" s="1"/>
      <c r="AV36" s="8"/>
      <c r="AW36" s="8"/>
      <c r="AX36" s="8"/>
      <c r="AY36" s="8"/>
      <c r="AZ36" s="8"/>
      <c r="BA36" s="8"/>
      <c r="BB36" s="44"/>
      <c r="BC36" s="44"/>
      <c r="BD36" s="8"/>
      <c r="BE36" s="8"/>
      <c r="BF36" s="8"/>
      <c r="BG36" s="44"/>
      <c r="BI36">
        <f t="shared" si="11"/>
        <v>0</v>
      </c>
    </row>
    <row r="37" spans="1:61" x14ac:dyDescent="0.25">
      <c r="A37">
        <v>35</v>
      </c>
      <c r="B37" s="1"/>
      <c r="C37" s="1"/>
      <c r="F37" s="47"/>
      <c r="G37" s="53"/>
      <c r="H37" s="53"/>
      <c r="I37" s="53"/>
      <c r="J37" s="50">
        <f>F37*Paramètres!$B$3</f>
        <v>0</v>
      </c>
      <c r="K37" s="56">
        <f t="shared" si="0"/>
        <v>0</v>
      </c>
      <c r="L37" s="56">
        <f t="shared" si="1"/>
        <v>0</v>
      </c>
      <c r="M37" s="56">
        <f t="shared" si="2"/>
        <v>0</v>
      </c>
      <c r="N37" s="3">
        <f>ROUNDUP(J37*Paramètres!$B$19,-1)</f>
        <v>0</v>
      </c>
      <c r="O37" s="1">
        <f t="shared" si="3"/>
        <v>0</v>
      </c>
      <c r="P37" s="1">
        <f t="shared" si="4"/>
        <v>0</v>
      </c>
      <c r="Q37" s="3">
        <f t="shared" si="5"/>
        <v>0</v>
      </c>
      <c r="R37" s="47">
        <f>ROUNDUP(+K37/Paramètres!$B$4/Paramètres!$B$53,0)</f>
        <v>0</v>
      </c>
      <c r="S37" s="47">
        <f>ROUNDUP(+L37/Paramètres!$B$6/Paramètres!$B$53,0)</f>
        <v>0</v>
      </c>
      <c r="T37" s="47"/>
      <c r="U37" s="2">
        <f t="shared" si="6"/>
        <v>0</v>
      </c>
      <c r="V37" s="1">
        <f>R37*Paramètres!$B$7</f>
        <v>0</v>
      </c>
      <c r="W37" s="1">
        <f>S37*Paramètres!$B$9</f>
        <v>0</v>
      </c>
      <c r="X37" s="1"/>
      <c r="Y37" s="2">
        <f t="shared" si="7"/>
        <v>0</v>
      </c>
      <c r="Z37" s="7">
        <f>R37*Paramètres!$B$10</f>
        <v>0</v>
      </c>
      <c r="AA37" s="7">
        <f>S37*Paramètres!$B$10</f>
        <v>0</v>
      </c>
      <c r="AB37" s="7"/>
      <c r="AC37" s="2">
        <f t="shared" si="8"/>
        <v>0</v>
      </c>
      <c r="AD37" s="1">
        <f t="shared" si="12"/>
        <v>0</v>
      </c>
      <c r="AE37" s="1">
        <f t="shared" si="9"/>
        <v>0</v>
      </c>
      <c r="AF37" s="1">
        <f>IF(B37="",0,Paramètres!$B$53*1.5)</f>
        <v>0</v>
      </c>
      <c r="AG37" s="1">
        <f>IF(C37="",0,Paramètres!$B$53*1.5)</f>
        <v>0</v>
      </c>
      <c r="AH37" s="1"/>
      <c r="AI37" s="1"/>
      <c r="AJ37" s="1"/>
      <c r="AK37" s="1"/>
      <c r="AL37" s="1">
        <f>(U37*Paramètres!$B$53)*3</f>
        <v>0</v>
      </c>
      <c r="AM37" s="1">
        <f t="shared" si="10"/>
        <v>0</v>
      </c>
      <c r="AN37" s="1">
        <f>U37*Paramètres!$B$75</f>
        <v>0</v>
      </c>
      <c r="AO37" s="1">
        <f>U37*Paramètres!$B$72*Paramètres!$B$73</f>
        <v>0</v>
      </c>
      <c r="AP37" s="1"/>
      <c r="AQ37" s="1">
        <f>(Y37+AC37)*Paramètres!$B$42*Paramètres!$B$53</f>
        <v>0</v>
      </c>
      <c r="AR37" s="1"/>
      <c r="AS37" s="7">
        <f>ROUNDUP(D37*Paramètres!$B$23*Paramètres!$B$26,-1)</f>
        <v>0</v>
      </c>
      <c r="AT37" s="7"/>
      <c r="AU37" s="1"/>
      <c r="AV37" s="8"/>
      <c r="AW37" s="8"/>
      <c r="AX37" s="8"/>
      <c r="AY37" s="8"/>
      <c r="AZ37" s="8"/>
      <c r="BA37" s="8"/>
      <c r="BB37" s="44"/>
      <c r="BC37" s="44"/>
      <c r="BD37" s="8"/>
      <c r="BE37" s="8"/>
      <c r="BF37" s="8"/>
      <c r="BG37" s="44"/>
      <c r="BI37">
        <f t="shared" si="11"/>
        <v>0</v>
      </c>
    </row>
    <row r="38" spans="1:61" x14ac:dyDescent="0.25">
      <c r="A38">
        <v>36</v>
      </c>
      <c r="B38" s="1"/>
      <c r="C38" s="1"/>
      <c r="D38" s="1"/>
      <c r="E38" s="1"/>
      <c r="F38" s="1"/>
      <c r="G38" s="53"/>
      <c r="H38" s="53"/>
      <c r="I38" s="53"/>
      <c r="J38" s="50">
        <f>F38*Paramètres!$B$3</f>
        <v>0</v>
      </c>
      <c r="K38" s="56">
        <f t="shared" si="0"/>
        <v>0</v>
      </c>
      <c r="L38" s="56">
        <f t="shared" si="1"/>
        <v>0</v>
      </c>
      <c r="M38" s="56">
        <f t="shared" si="2"/>
        <v>0</v>
      </c>
      <c r="N38" s="3">
        <f>ROUNDUP(J38*Paramètres!$B$19,-1)</f>
        <v>0</v>
      </c>
      <c r="O38" s="1">
        <f t="shared" si="3"/>
        <v>0</v>
      </c>
      <c r="P38" s="1">
        <f t="shared" si="4"/>
        <v>0</v>
      </c>
      <c r="Q38" s="3">
        <f t="shared" si="5"/>
        <v>0</v>
      </c>
      <c r="R38" s="47">
        <f>ROUNDUP(+K38/Paramètres!$B$4/Paramètres!$B$53,0)</f>
        <v>0</v>
      </c>
      <c r="S38" s="47">
        <f>ROUNDUP(+L38/Paramètres!$B$6/Paramètres!$B$53,0)</f>
        <v>0</v>
      </c>
      <c r="T38" s="47"/>
      <c r="U38" s="2">
        <f t="shared" si="6"/>
        <v>0</v>
      </c>
      <c r="V38" s="1">
        <f>R38*Paramètres!$B$7</f>
        <v>0</v>
      </c>
      <c r="W38" s="1">
        <f>S38*Paramètres!$B$9</f>
        <v>0</v>
      </c>
      <c r="X38" s="1"/>
      <c r="Y38" s="2">
        <f t="shared" si="7"/>
        <v>0</v>
      </c>
      <c r="Z38" s="7">
        <f>R38*Paramètres!$B$10</f>
        <v>0</v>
      </c>
      <c r="AA38" s="7">
        <f>S38*Paramètres!$B$10</f>
        <v>0</v>
      </c>
      <c r="AB38" s="7"/>
      <c r="AC38" s="2">
        <f t="shared" si="8"/>
        <v>0</v>
      </c>
      <c r="AD38" s="1">
        <f t="shared" si="12"/>
        <v>0</v>
      </c>
      <c r="AE38" s="1">
        <f t="shared" si="9"/>
        <v>0</v>
      </c>
      <c r="AF38" s="1">
        <f>IF(B38="",0,Paramètres!$B$53*1.5)</f>
        <v>0</v>
      </c>
      <c r="AG38" s="1">
        <f>IF(C38="",0,Paramètres!$B$53*1.5)</f>
        <v>0</v>
      </c>
      <c r="AH38" s="1"/>
      <c r="AI38" s="1"/>
      <c r="AJ38" s="1"/>
      <c r="AK38" s="1"/>
      <c r="AL38" s="1">
        <f>(U38*Paramètres!$B$53)*3</f>
        <v>0</v>
      </c>
      <c r="AM38" s="1">
        <f t="shared" si="10"/>
        <v>0</v>
      </c>
      <c r="AN38" s="1">
        <f>U38*Paramètres!$B$75</f>
        <v>0</v>
      </c>
      <c r="AO38" s="1">
        <f>U38*Paramètres!$B$72*Paramètres!$B$73</f>
        <v>0</v>
      </c>
      <c r="AP38" s="1"/>
      <c r="AQ38" s="1">
        <f>(Y38+AC38)*Paramètres!$B$42*Paramètres!$B$53</f>
        <v>0</v>
      </c>
      <c r="AR38" s="1"/>
      <c r="AS38" s="7">
        <f>ROUNDUP(D38*Paramètres!$B$23*Paramètres!$B$26,-1)</f>
        <v>0</v>
      </c>
      <c r="AT38" s="7"/>
      <c r="AU38" s="1"/>
      <c r="AV38" s="8"/>
      <c r="AW38" s="8"/>
      <c r="AX38" s="8"/>
      <c r="AY38" s="8"/>
      <c r="AZ38" s="8"/>
      <c r="BA38" s="8"/>
      <c r="BB38" s="44"/>
      <c r="BC38" s="44"/>
      <c r="BD38" s="8"/>
      <c r="BE38" s="8"/>
      <c r="BF38" s="8"/>
      <c r="BG38" s="44"/>
      <c r="BI38">
        <f t="shared" si="11"/>
        <v>0</v>
      </c>
    </row>
    <row r="39" spans="1:61" x14ac:dyDescent="0.25">
      <c r="A39">
        <v>37</v>
      </c>
      <c r="B39" s="1"/>
      <c r="C39" s="1"/>
      <c r="D39" s="1"/>
      <c r="E39" s="1"/>
      <c r="F39" s="1"/>
      <c r="G39" s="53"/>
      <c r="H39" s="53"/>
      <c r="I39" s="53"/>
      <c r="J39" s="50">
        <f>F39*Paramètres!$B$3</f>
        <v>0</v>
      </c>
      <c r="K39" s="56">
        <f t="shared" si="0"/>
        <v>0</v>
      </c>
      <c r="L39" s="56">
        <f t="shared" si="1"/>
        <v>0</v>
      </c>
      <c r="M39" s="56">
        <f t="shared" si="2"/>
        <v>0</v>
      </c>
      <c r="N39" s="3">
        <f>ROUNDUP(J39*Paramètres!$B$19,-1)</f>
        <v>0</v>
      </c>
      <c r="O39" s="1">
        <f t="shared" si="3"/>
        <v>0</v>
      </c>
      <c r="P39" s="1">
        <f t="shared" si="4"/>
        <v>0</v>
      </c>
      <c r="Q39" s="3">
        <f t="shared" si="5"/>
        <v>0</v>
      </c>
      <c r="R39" s="47">
        <f>ROUNDUP(+K39/Paramètres!$B$4/Paramètres!$B$53,0)</f>
        <v>0</v>
      </c>
      <c r="S39" s="47">
        <f>ROUNDUP(+L39/Paramètres!$B$6/Paramètres!$B$53,0)</f>
        <v>0</v>
      </c>
      <c r="T39" s="47"/>
      <c r="U39" s="2">
        <f t="shared" si="6"/>
        <v>0</v>
      </c>
      <c r="V39" s="1">
        <f>R39*Paramètres!$B$7</f>
        <v>0</v>
      </c>
      <c r="W39" s="1">
        <f>S39*Paramètres!$B$9</f>
        <v>0</v>
      </c>
      <c r="X39" s="1"/>
      <c r="Y39" s="2">
        <f t="shared" si="7"/>
        <v>0</v>
      </c>
      <c r="Z39" s="7">
        <f>R39*Paramètres!$B$10</f>
        <v>0</v>
      </c>
      <c r="AA39" s="7">
        <f>S39*Paramètres!$B$10</f>
        <v>0</v>
      </c>
      <c r="AB39" s="7"/>
      <c r="AC39" s="2">
        <f t="shared" si="8"/>
        <v>0</v>
      </c>
      <c r="AD39" s="1">
        <f t="shared" si="12"/>
        <v>0</v>
      </c>
      <c r="AE39" s="1">
        <f t="shared" si="9"/>
        <v>0</v>
      </c>
      <c r="AF39" s="1">
        <f>IF(B39="",0,Paramètres!$B$53*1.5)</f>
        <v>0</v>
      </c>
      <c r="AG39" s="1">
        <f>IF(C39="",0,Paramètres!$B$53*1.5)</f>
        <v>0</v>
      </c>
      <c r="AH39" s="1"/>
      <c r="AI39" s="1"/>
      <c r="AJ39" s="1"/>
      <c r="AK39" s="1"/>
      <c r="AL39" s="1">
        <f>(U39*Paramètres!$B$53)*3</f>
        <v>0</v>
      </c>
      <c r="AM39" s="1">
        <f t="shared" si="10"/>
        <v>0</v>
      </c>
      <c r="AN39" s="1">
        <f>U39*Paramètres!$B$75</f>
        <v>0</v>
      </c>
      <c r="AO39" s="1">
        <f>U39*Paramètres!$B$72*Paramètres!$B$73</f>
        <v>0</v>
      </c>
      <c r="AP39" s="1"/>
      <c r="AQ39" s="1">
        <f>(Y39+AC39)*Paramètres!$B$42*Paramètres!$B$53</f>
        <v>0</v>
      </c>
      <c r="AR39" s="1"/>
      <c r="AS39" s="7">
        <f>ROUNDUP(D39*Paramètres!$B$23*Paramètres!$B$26,-1)</f>
        <v>0</v>
      </c>
      <c r="AT39" s="7"/>
      <c r="AU39" s="1"/>
      <c r="AV39" s="8"/>
      <c r="AW39" s="8"/>
      <c r="AX39" s="8"/>
      <c r="AY39" s="8"/>
      <c r="AZ39" s="8"/>
      <c r="BA39" s="8"/>
      <c r="BB39" s="44"/>
      <c r="BC39" s="44"/>
      <c r="BD39" s="8"/>
      <c r="BE39" s="8"/>
      <c r="BF39" s="8"/>
      <c r="BG39" s="44"/>
      <c r="BI39">
        <f t="shared" si="11"/>
        <v>0</v>
      </c>
    </row>
    <row r="40" spans="1:61" x14ac:dyDescent="0.25">
      <c r="A40">
        <v>38</v>
      </c>
      <c r="B40" s="1"/>
      <c r="C40" s="1"/>
      <c r="D40" s="1"/>
      <c r="E40" s="1"/>
      <c r="F40" s="1"/>
      <c r="G40" s="53"/>
      <c r="H40" s="53"/>
      <c r="I40" s="54"/>
      <c r="J40" s="50">
        <f>F40*Paramètres!$B$3</f>
        <v>0</v>
      </c>
      <c r="K40" s="56">
        <f t="shared" si="0"/>
        <v>0</v>
      </c>
      <c r="L40" s="56">
        <f t="shared" si="1"/>
        <v>0</v>
      </c>
      <c r="M40" s="56">
        <f t="shared" si="2"/>
        <v>0</v>
      </c>
      <c r="N40" s="3">
        <f>ROUNDUP(J40*Paramètres!$B$19,-1)</f>
        <v>0</v>
      </c>
      <c r="O40" s="1">
        <f t="shared" si="3"/>
        <v>0</v>
      </c>
      <c r="P40" s="1">
        <f t="shared" si="4"/>
        <v>0</v>
      </c>
      <c r="Q40" s="3">
        <f t="shared" si="5"/>
        <v>0</v>
      </c>
      <c r="R40" s="47">
        <f>ROUNDUP(+K40/Paramètres!$B$4/Paramètres!$B$53,0)</f>
        <v>0</v>
      </c>
      <c r="S40" s="47">
        <f>ROUNDUP(+L40/Paramètres!$B$6/Paramètres!$B$53,0)</f>
        <v>0</v>
      </c>
      <c r="T40" s="47"/>
      <c r="U40" s="2">
        <f t="shared" si="6"/>
        <v>0</v>
      </c>
      <c r="V40" s="1">
        <f>R40*Paramètres!$B$7</f>
        <v>0</v>
      </c>
      <c r="W40" s="1">
        <f>S40*Paramètres!$B$9</f>
        <v>0</v>
      </c>
      <c r="X40" s="1"/>
      <c r="Y40" s="2">
        <f t="shared" si="7"/>
        <v>0</v>
      </c>
      <c r="Z40" s="7">
        <f>R40*Paramètres!$B$10</f>
        <v>0</v>
      </c>
      <c r="AA40" s="7">
        <f>S40*Paramètres!$B$10</f>
        <v>0</v>
      </c>
      <c r="AB40" s="7"/>
      <c r="AC40" s="2">
        <f t="shared" si="8"/>
        <v>0</v>
      </c>
      <c r="AD40" s="1">
        <f t="shared" si="12"/>
        <v>0</v>
      </c>
      <c r="AE40" s="1">
        <f t="shared" si="9"/>
        <v>0</v>
      </c>
      <c r="AF40" s="1">
        <f>IF(B40="",0,Paramètres!$B$53*1.5)</f>
        <v>0</v>
      </c>
      <c r="AG40" s="1">
        <f>IF(C40="",0,Paramètres!$B$53*1.5)</f>
        <v>0</v>
      </c>
      <c r="AH40" s="1"/>
      <c r="AI40" s="1"/>
      <c r="AJ40" s="1"/>
      <c r="AK40" s="1"/>
      <c r="AL40" s="1">
        <f>(U40*Paramètres!$B$53)*3</f>
        <v>0</v>
      </c>
      <c r="AM40" s="1">
        <f t="shared" si="10"/>
        <v>0</v>
      </c>
      <c r="AN40" s="1">
        <f>U40*Paramètres!$B$75</f>
        <v>0</v>
      </c>
      <c r="AO40" s="1">
        <f>U40*Paramètres!$B$72*Paramètres!$B$73</f>
        <v>0</v>
      </c>
      <c r="AP40" s="1"/>
      <c r="AQ40" s="1">
        <f>(Y40+AC40)*Paramètres!$B$42*Paramètres!$B$53</f>
        <v>0</v>
      </c>
      <c r="AR40" s="1"/>
      <c r="AS40" s="7">
        <f>ROUNDUP(D40*Paramètres!$B$23*Paramètres!$B$26,-1)</f>
        <v>0</v>
      </c>
      <c r="AT40" s="7"/>
      <c r="AU40" s="1"/>
      <c r="AV40" s="8"/>
      <c r="AW40" s="8"/>
      <c r="AX40" s="8"/>
      <c r="AY40" s="8"/>
      <c r="AZ40" s="8"/>
      <c r="BA40" s="8"/>
      <c r="BB40" s="44"/>
      <c r="BC40" s="44"/>
      <c r="BD40" s="8"/>
      <c r="BE40" s="8"/>
      <c r="BF40" s="8"/>
      <c r="BG40" s="44"/>
      <c r="BI40">
        <f t="shared" si="11"/>
        <v>0</v>
      </c>
    </row>
    <row r="41" spans="1:61" x14ac:dyDescent="0.25">
      <c r="A41">
        <v>39</v>
      </c>
      <c r="B41" s="1"/>
      <c r="C41" s="1"/>
      <c r="D41" s="1"/>
      <c r="E41" s="1"/>
      <c r="F41" s="1"/>
      <c r="G41" s="53"/>
      <c r="H41" s="53"/>
      <c r="I41" s="54"/>
      <c r="J41" s="50">
        <f>F41*Paramètres!$B$3</f>
        <v>0</v>
      </c>
      <c r="K41" s="56">
        <f t="shared" si="0"/>
        <v>0</v>
      </c>
      <c r="L41" s="56">
        <f t="shared" si="1"/>
        <v>0</v>
      </c>
      <c r="M41" s="56">
        <f t="shared" si="2"/>
        <v>0</v>
      </c>
      <c r="N41" s="3">
        <f>ROUNDUP(J41*Paramètres!$B$19,-1)</f>
        <v>0</v>
      </c>
      <c r="O41" s="1">
        <f t="shared" si="3"/>
        <v>0</v>
      </c>
      <c r="P41" s="1">
        <f t="shared" si="4"/>
        <v>0</v>
      </c>
      <c r="Q41" s="3">
        <f t="shared" si="5"/>
        <v>0</v>
      </c>
      <c r="R41" s="47">
        <f>ROUNDUP(+K41/Paramètres!$B$4/Paramètres!$B$53,0)</f>
        <v>0</v>
      </c>
      <c r="S41" s="47">
        <f>ROUNDUP(+L41/Paramètres!$B$6/Paramètres!$B$53,0)</f>
        <v>0</v>
      </c>
      <c r="T41" s="47"/>
      <c r="U41" s="2">
        <f t="shared" si="6"/>
        <v>0</v>
      </c>
      <c r="V41" s="1">
        <f>R41*Paramètres!$B$7</f>
        <v>0</v>
      </c>
      <c r="W41" s="1">
        <f>S41*Paramètres!$B$9</f>
        <v>0</v>
      </c>
      <c r="X41" s="1"/>
      <c r="Y41" s="2">
        <f t="shared" si="7"/>
        <v>0</v>
      </c>
      <c r="Z41" s="7">
        <f>R41*Paramètres!$B$10</f>
        <v>0</v>
      </c>
      <c r="AA41" s="7">
        <f>S41*Paramètres!$B$10</f>
        <v>0</v>
      </c>
      <c r="AB41" s="7"/>
      <c r="AC41" s="2">
        <f t="shared" si="8"/>
        <v>0</v>
      </c>
      <c r="AD41" s="1">
        <f t="shared" si="12"/>
        <v>0</v>
      </c>
      <c r="AE41" s="1">
        <f t="shared" si="9"/>
        <v>0</v>
      </c>
      <c r="AF41" s="1">
        <f>IF(B41="",0,Paramètres!$B$53*1.5)</f>
        <v>0</v>
      </c>
      <c r="AG41" s="1">
        <f>IF(C41="",0,Paramètres!$B$53*1.5)</f>
        <v>0</v>
      </c>
      <c r="AH41" s="1"/>
      <c r="AI41" s="1"/>
      <c r="AJ41" s="1"/>
      <c r="AK41" s="1"/>
      <c r="AL41" s="1">
        <f>(U41*Paramètres!$B$53)*3</f>
        <v>0</v>
      </c>
      <c r="AM41" s="1">
        <f t="shared" si="10"/>
        <v>0</v>
      </c>
      <c r="AN41" s="1">
        <f>U41*Paramètres!$B$75</f>
        <v>0</v>
      </c>
      <c r="AO41" s="1">
        <f>U41*Paramètres!$B$72*Paramètres!$B$73</f>
        <v>0</v>
      </c>
      <c r="AP41" s="1"/>
      <c r="AQ41" s="1">
        <f>(Y41+AC41)*Paramètres!$B$42*Paramètres!$B$53</f>
        <v>0</v>
      </c>
      <c r="AR41" s="1"/>
      <c r="AS41" s="7">
        <f>ROUNDUP(D41*Paramètres!$B$23*Paramètres!$B$26,-1)</f>
        <v>0</v>
      </c>
      <c r="AT41" s="7"/>
      <c r="AU41" s="1"/>
      <c r="AV41" s="8"/>
      <c r="AW41" s="8"/>
      <c r="AX41" s="8"/>
      <c r="AY41" s="8"/>
      <c r="AZ41" s="8"/>
      <c r="BA41" s="8"/>
      <c r="BB41" s="44"/>
      <c r="BC41" s="44"/>
      <c r="BD41" s="8"/>
      <c r="BE41" s="8"/>
      <c r="BF41" s="8"/>
      <c r="BG41" s="44"/>
      <c r="BI41">
        <f t="shared" si="11"/>
        <v>0</v>
      </c>
    </row>
    <row r="42" spans="1:61" x14ac:dyDescent="0.25">
      <c r="A42">
        <v>40</v>
      </c>
      <c r="B42" s="1"/>
      <c r="C42" s="1"/>
      <c r="D42" s="1"/>
      <c r="E42" s="1"/>
      <c r="F42" s="1"/>
      <c r="G42" s="53"/>
      <c r="H42" s="53"/>
      <c r="I42" s="54"/>
      <c r="J42" s="50">
        <f>F42*Paramètres!$B$3</f>
        <v>0</v>
      </c>
      <c r="K42" s="56">
        <f t="shared" si="0"/>
        <v>0</v>
      </c>
      <c r="L42" s="56">
        <f t="shared" si="1"/>
        <v>0</v>
      </c>
      <c r="M42" s="56">
        <f t="shared" si="2"/>
        <v>0</v>
      </c>
      <c r="N42" s="3">
        <f>ROUNDUP(J42*Paramètres!$B$19,-1)</f>
        <v>0</v>
      </c>
      <c r="O42" s="1">
        <f t="shared" si="3"/>
        <v>0</v>
      </c>
      <c r="P42" s="1">
        <f t="shared" si="4"/>
        <v>0</v>
      </c>
      <c r="Q42" s="3">
        <f t="shared" si="5"/>
        <v>0</v>
      </c>
      <c r="R42" s="47">
        <f>ROUNDUP(+K42/Paramètres!$B$4/Paramètres!$B$53,0)</f>
        <v>0</v>
      </c>
      <c r="S42" s="47">
        <f>ROUNDUP(+L42/Paramètres!$B$6/Paramètres!$B$53,0)</f>
        <v>0</v>
      </c>
      <c r="T42" s="47"/>
      <c r="U42" s="2">
        <f t="shared" si="6"/>
        <v>0</v>
      </c>
      <c r="V42" s="1">
        <f>R42*Paramètres!$B$7</f>
        <v>0</v>
      </c>
      <c r="W42" s="1">
        <f>S42*Paramètres!$B$9</f>
        <v>0</v>
      </c>
      <c r="X42" s="1"/>
      <c r="Y42" s="2">
        <f t="shared" si="7"/>
        <v>0</v>
      </c>
      <c r="Z42" s="7">
        <f>R42*Paramètres!$B$10</f>
        <v>0</v>
      </c>
      <c r="AA42" s="7">
        <f>S42*Paramètres!$B$10</f>
        <v>0</v>
      </c>
      <c r="AB42" s="7"/>
      <c r="AC42" s="2">
        <f t="shared" si="8"/>
        <v>0</v>
      </c>
      <c r="AD42" s="1">
        <f t="shared" si="12"/>
        <v>0</v>
      </c>
      <c r="AE42" s="1">
        <f t="shared" si="9"/>
        <v>0</v>
      </c>
      <c r="AF42" s="1">
        <f>IF(B42="",0,Paramètres!$B$53*1.5)</f>
        <v>0</v>
      </c>
      <c r="AG42" s="1">
        <f>IF(C42="",0,Paramètres!$B$53*1.5)</f>
        <v>0</v>
      </c>
      <c r="AH42" s="1"/>
      <c r="AI42" s="1"/>
      <c r="AJ42" s="1"/>
      <c r="AK42" s="1"/>
      <c r="AL42" s="1">
        <f>(U42*Paramètres!$B$53)*3</f>
        <v>0</v>
      </c>
      <c r="AM42" s="1">
        <f t="shared" si="10"/>
        <v>0</v>
      </c>
      <c r="AN42" s="1">
        <f>U42*Paramètres!$B$75</f>
        <v>0</v>
      </c>
      <c r="AO42" s="1">
        <f>U42*Paramètres!$B$72*Paramètres!$B$73</f>
        <v>0</v>
      </c>
      <c r="AP42" s="1"/>
      <c r="AQ42" s="1">
        <f>(Y42+AC42)*Paramètres!$B$42*Paramètres!$B$53</f>
        <v>0</v>
      </c>
      <c r="AR42" s="1"/>
      <c r="AS42" s="7">
        <f>ROUNDUP(D42*Paramètres!$B$23*Paramètres!$B$26,-1)</f>
        <v>0</v>
      </c>
      <c r="AT42" s="7"/>
      <c r="AU42" s="1"/>
      <c r="AV42" s="8"/>
      <c r="AW42" s="8"/>
      <c r="AX42" s="8"/>
      <c r="AY42" s="8"/>
      <c r="AZ42" s="8"/>
      <c r="BA42" s="8"/>
      <c r="BB42" s="44"/>
      <c r="BC42" s="44"/>
      <c r="BD42" s="8"/>
      <c r="BE42" s="8"/>
      <c r="BF42" s="8"/>
      <c r="BG42" s="44"/>
      <c r="BI42">
        <f t="shared" si="11"/>
        <v>0</v>
      </c>
    </row>
    <row r="43" spans="1:61" x14ac:dyDescent="0.25">
      <c r="A43">
        <v>41</v>
      </c>
      <c r="B43" s="1"/>
      <c r="C43" s="1"/>
      <c r="D43" s="1"/>
      <c r="E43" s="1"/>
      <c r="F43" s="1"/>
      <c r="G43" s="53"/>
      <c r="H43" s="53"/>
      <c r="I43" s="54"/>
      <c r="J43" s="50">
        <f>F43*Paramètres!$B$3</f>
        <v>0</v>
      </c>
      <c r="K43" s="56">
        <f t="shared" si="0"/>
        <v>0</v>
      </c>
      <c r="L43" s="56">
        <f t="shared" si="1"/>
        <v>0</v>
      </c>
      <c r="M43" s="56">
        <f t="shared" si="2"/>
        <v>0</v>
      </c>
      <c r="N43" s="3">
        <f>ROUNDUP(J43*Paramètres!$B$19,-1)</f>
        <v>0</v>
      </c>
      <c r="O43" s="1">
        <f t="shared" si="3"/>
        <v>0</v>
      </c>
      <c r="P43" s="1">
        <f t="shared" si="4"/>
        <v>0</v>
      </c>
      <c r="Q43" s="3">
        <f t="shared" si="5"/>
        <v>0</v>
      </c>
      <c r="R43" s="47">
        <f>ROUNDUP(+K43/Paramètres!$B$4/Paramètres!$B$53,0)</f>
        <v>0</v>
      </c>
      <c r="S43" s="47">
        <f>ROUNDUP(+L43/Paramètres!$B$6/Paramètres!$B$53,0)</f>
        <v>0</v>
      </c>
      <c r="T43" s="47"/>
      <c r="U43" s="2">
        <f t="shared" si="6"/>
        <v>0</v>
      </c>
      <c r="V43" s="1">
        <f>R43*Paramètres!$B$7</f>
        <v>0</v>
      </c>
      <c r="W43" s="1">
        <f>S43*Paramètres!$B$9</f>
        <v>0</v>
      </c>
      <c r="X43" s="1"/>
      <c r="Y43" s="2">
        <f t="shared" si="7"/>
        <v>0</v>
      </c>
      <c r="Z43" s="7">
        <f>R43*Paramètres!$B$10</f>
        <v>0</v>
      </c>
      <c r="AA43" s="7">
        <f>S43*Paramètres!$B$10</f>
        <v>0</v>
      </c>
      <c r="AB43" s="7"/>
      <c r="AC43" s="2">
        <f t="shared" si="8"/>
        <v>0</v>
      </c>
      <c r="AD43" s="1">
        <f t="shared" si="12"/>
        <v>0</v>
      </c>
      <c r="AE43" s="1">
        <f t="shared" si="9"/>
        <v>0</v>
      </c>
      <c r="AF43" s="1">
        <f>IF(B43="",0,Paramètres!$B$53*1.5)</f>
        <v>0</v>
      </c>
      <c r="AG43" s="1">
        <f>IF(C43="",0,Paramètres!$B$53*1.5)</f>
        <v>0</v>
      </c>
      <c r="AH43" s="1"/>
      <c r="AI43" s="1"/>
      <c r="AJ43" s="1"/>
      <c r="AK43" s="1"/>
      <c r="AL43" s="1">
        <f>(U43*Paramètres!$B$53)*3</f>
        <v>0</v>
      </c>
      <c r="AM43" s="1">
        <f t="shared" si="10"/>
        <v>0</v>
      </c>
      <c r="AN43" s="1">
        <f>U43*Paramètres!$B$75</f>
        <v>0</v>
      </c>
      <c r="AO43" s="1">
        <f>U43*Paramètres!$B$72*Paramètres!$B$73</f>
        <v>0</v>
      </c>
      <c r="AP43" s="1"/>
      <c r="AQ43" s="1">
        <f>(Y43+AC43)*Paramètres!$B$42*Paramètres!$B$53</f>
        <v>0</v>
      </c>
      <c r="AR43" s="1"/>
      <c r="AS43" s="7">
        <f>ROUNDUP(D43*Paramètres!$B$23*Paramètres!$B$26,-1)</f>
        <v>0</v>
      </c>
      <c r="AT43" s="7"/>
      <c r="AU43" s="1"/>
      <c r="AV43" s="8"/>
      <c r="AW43" s="8"/>
      <c r="AX43" s="8"/>
      <c r="AY43" s="8"/>
      <c r="AZ43" s="8"/>
      <c r="BA43" s="8"/>
      <c r="BB43" s="44"/>
      <c r="BC43" s="44"/>
      <c r="BD43" s="8"/>
      <c r="BE43" s="8"/>
      <c r="BF43" s="8"/>
      <c r="BG43" s="44"/>
      <c r="BI43">
        <f t="shared" si="11"/>
        <v>0</v>
      </c>
    </row>
    <row r="44" spans="1:61" x14ac:dyDescent="0.25">
      <c r="A44">
        <v>42</v>
      </c>
      <c r="B44" s="1"/>
      <c r="C44" s="1"/>
      <c r="D44" s="1"/>
      <c r="E44" s="1"/>
      <c r="F44" s="1"/>
      <c r="G44" s="53"/>
      <c r="H44" s="53"/>
      <c r="I44" s="54"/>
      <c r="J44" s="50">
        <f>F44*Paramètres!$B$3</f>
        <v>0</v>
      </c>
      <c r="K44" s="56">
        <f t="shared" si="0"/>
        <v>0</v>
      </c>
      <c r="L44" s="56">
        <f t="shared" si="1"/>
        <v>0</v>
      </c>
      <c r="M44" s="56">
        <f t="shared" si="2"/>
        <v>0</v>
      </c>
      <c r="N44" s="3">
        <f>ROUNDUP(J44*Paramètres!$B$19,-1)</f>
        <v>0</v>
      </c>
      <c r="O44" s="1">
        <f t="shared" si="3"/>
        <v>0</v>
      </c>
      <c r="P44" s="1">
        <f t="shared" si="4"/>
        <v>0</v>
      </c>
      <c r="Q44" s="3">
        <f t="shared" si="5"/>
        <v>0</v>
      </c>
      <c r="R44" s="47">
        <f>ROUNDUP(+K44/Paramètres!$B$4/Paramètres!$B$53,0)</f>
        <v>0</v>
      </c>
      <c r="S44" s="47">
        <f>ROUNDUP(+L44/Paramètres!$B$6/Paramètres!$B$53,0)</f>
        <v>0</v>
      </c>
      <c r="T44" s="47"/>
      <c r="U44" s="2">
        <f t="shared" si="6"/>
        <v>0</v>
      </c>
      <c r="V44" s="1">
        <f>R44*Paramètres!$B$7</f>
        <v>0</v>
      </c>
      <c r="W44" s="1">
        <f>S44*Paramètres!$B$9</f>
        <v>0</v>
      </c>
      <c r="X44" s="1"/>
      <c r="Y44" s="2">
        <f t="shared" si="7"/>
        <v>0</v>
      </c>
      <c r="Z44" s="7">
        <f>R44*Paramètres!$B$10</f>
        <v>0</v>
      </c>
      <c r="AA44" s="7">
        <f>S44*Paramètres!$B$10</f>
        <v>0</v>
      </c>
      <c r="AB44" s="7"/>
      <c r="AC44" s="2">
        <f t="shared" si="8"/>
        <v>0</v>
      </c>
      <c r="AD44" s="1">
        <f t="shared" si="12"/>
        <v>0</v>
      </c>
      <c r="AE44" s="1">
        <f t="shared" si="9"/>
        <v>0</v>
      </c>
      <c r="AF44" s="1">
        <f>IF(B44="",0,Paramètres!$B$53*1.5)</f>
        <v>0</v>
      </c>
      <c r="AG44" s="1">
        <f>IF(C44="",0,Paramètres!$B$53*1.5)</f>
        <v>0</v>
      </c>
      <c r="AH44" s="1"/>
      <c r="AI44" s="1"/>
      <c r="AJ44" s="1"/>
      <c r="AK44" s="1"/>
      <c r="AL44" s="1">
        <f>(U44*Paramètres!$B$53)*3</f>
        <v>0</v>
      </c>
      <c r="AM44" s="1">
        <f t="shared" si="10"/>
        <v>0</v>
      </c>
      <c r="AN44" s="1">
        <f>U44*Paramètres!$B$75</f>
        <v>0</v>
      </c>
      <c r="AO44" s="1">
        <f>U44*Paramètres!$B$72*Paramètres!$B$73</f>
        <v>0</v>
      </c>
      <c r="AP44" s="1"/>
      <c r="AQ44" s="1">
        <f>(Y44+AC44)*Paramètres!$B$42*Paramètres!$B$53</f>
        <v>0</v>
      </c>
      <c r="AR44" s="1"/>
      <c r="AS44" s="7">
        <f>ROUNDUP(D44*Paramètres!$B$23*Paramètres!$B$26,-1)</f>
        <v>0</v>
      </c>
      <c r="AT44" s="7"/>
      <c r="AU44" s="1"/>
      <c r="AV44" s="8"/>
      <c r="AW44" s="8"/>
      <c r="AX44" s="8"/>
      <c r="AY44" s="8"/>
      <c r="AZ44" s="8"/>
      <c r="BA44" s="8"/>
      <c r="BB44" s="44"/>
      <c r="BC44" s="44"/>
      <c r="BD44" s="8"/>
      <c r="BE44" s="8"/>
      <c r="BF44" s="8"/>
      <c r="BG44" s="44"/>
      <c r="BI44">
        <f t="shared" si="11"/>
        <v>0</v>
      </c>
    </row>
    <row r="45" spans="1:61" x14ac:dyDescent="0.25">
      <c r="A45">
        <v>43</v>
      </c>
      <c r="B45" s="1"/>
      <c r="C45" s="1"/>
      <c r="D45" s="1"/>
      <c r="E45" s="1"/>
      <c r="F45" s="1"/>
      <c r="G45" s="53"/>
      <c r="H45" s="53"/>
      <c r="I45" s="54"/>
      <c r="J45" s="50">
        <f>F45*Paramètres!$B$3</f>
        <v>0</v>
      </c>
      <c r="K45" s="56">
        <f t="shared" si="0"/>
        <v>0</v>
      </c>
      <c r="L45" s="56">
        <f t="shared" si="1"/>
        <v>0</v>
      </c>
      <c r="M45" s="56">
        <f t="shared" si="2"/>
        <v>0</v>
      </c>
      <c r="N45" s="3">
        <f>ROUNDUP(J45*Paramètres!$B$19,-1)</f>
        <v>0</v>
      </c>
      <c r="O45" s="1">
        <f t="shared" si="3"/>
        <v>0</v>
      </c>
      <c r="P45" s="1">
        <f t="shared" si="4"/>
        <v>0</v>
      </c>
      <c r="Q45" s="3">
        <f t="shared" si="5"/>
        <v>0</v>
      </c>
      <c r="R45" s="47">
        <f>ROUNDUP(+K45/Paramètres!$B$4/Paramètres!$B$53,0)</f>
        <v>0</v>
      </c>
      <c r="S45" s="47">
        <f>ROUNDUP(+L45/Paramètres!$B$6/Paramètres!$B$53,0)</f>
        <v>0</v>
      </c>
      <c r="T45" s="47"/>
      <c r="U45" s="2">
        <f t="shared" si="6"/>
        <v>0</v>
      </c>
      <c r="V45" s="1">
        <f>R45*Paramètres!$B$7</f>
        <v>0</v>
      </c>
      <c r="W45" s="1">
        <f>S45*Paramètres!$B$9</f>
        <v>0</v>
      </c>
      <c r="X45" s="1"/>
      <c r="Y45" s="2">
        <f t="shared" si="7"/>
        <v>0</v>
      </c>
      <c r="Z45" s="7">
        <f>R45*Paramètres!$B$10</f>
        <v>0</v>
      </c>
      <c r="AA45" s="7">
        <f>S45*Paramètres!$B$10</f>
        <v>0</v>
      </c>
      <c r="AB45" s="7"/>
      <c r="AC45" s="2">
        <f t="shared" si="8"/>
        <v>0</v>
      </c>
      <c r="AD45" s="1">
        <f t="shared" si="12"/>
        <v>0</v>
      </c>
      <c r="AE45" s="1">
        <f t="shared" si="9"/>
        <v>0</v>
      </c>
      <c r="AF45" s="1">
        <f>IF(B45="",0,Paramètres!$B$53*1.5)</f>
        <v>0</v>
      </c>
      <c r="AG45" s="1">
        <f>IF(C45="",0,Paramètres!$B$53*1.5)</f>
        <v>0</v>
      </c>
      <c r="AH45" s="1"/>
      <c r="AI45" s="1"/>
      <c r="AJ45" s="1"/>
      <c r="AK45" s="1"/>
      <c r="AL45" s="1">
        <f>(U45*Paramètres!$B$53)*3</f>
        <v>0</v>
      </c>
      <c r="AM45" s="1">
        <f t="shared" si="10"/>
        <v>0</v>
      </c>
      <c r="AN45" s="1">
        <f>U45*Paramètres!$B$75</f>
        <v>0</v>
      </c>
      <c r="AO45" s="1">
        <f>U45*Paramètres!$B$72*Paramètres!$B$73</f>
        <v>0</v>
      </c>
      <c r="AP45" s="1"/>
      <c r="AQ45" s="1">
        <f>(Y45+AC45)*Paramètres!$B$42*Paramètres!$B$53</f>
        <v>0</v>
      </c>
      <c r="AR45" s="1"/>
      <c r="AS45" s="7">
        <f>ROUNDUP(D45*Paramètres!$B$23*Paramètres!$B$26,-1)</f>
        <v>0</v>
      </c>
      <c r="AT45" s="7"/>
      <c r="AU45" s="1"/>
      <c r="AV45" s="8"/>
      <c r="AW45" s="8"/>
      <c r="AX45" s="8"/>
      <c r="AY45" s="8"/>
      <c r="AZ45" s="8"/>
      <c r="BA45" s="8"/>
      <c r="BB45" s="44"/>
      <c r="BC45" s="44"/>
      <c r="BD45" s="8"/>
      <c r="BE45" s="8"/>
      <c r="BF45" s="8"/>
      <c r="BG45" s="44"/>
      <c r="BI45">
        <f t="shared" si="11"/>
        <v>0</v>
      </c>
    </row>
    <row r="46" spans="1:61" x14ac:dyDescent="0.25">
      <c r="A46">
        <v>44</v>
      </c>
      <c r="B46" s="1"/>
      <c r="C46" s="1"/>
      <c r="D46" s="1"/>
      <c r="E46" s="1"/>
      <c r="F46" s="1"/>
      <c r="G46" s="53"/>
      <c r="H46" s="53"/>
      <c r="I46" s="54"/>
      <c r="J46" s="50">
        <f>F46*Paramètres!$B$3</f>
        <v>0</v>
      </c>
      <c r="K46" s="56">
        <f t="shared" si="0"/>
        <v>0</v>
      </c>
      <c r="L46" s="56">
        <f t="shared" si="1"/>
        <v>0</v>
      </c>
      <c r="M46" s="56">
        <f t="shared" si="2"/>
        <v>0</v>
      </c>
      <c r="N46" s="3">
        <f>ROUNDUP(J46*Paramètres!$B$19,-1)</f>
        <v>0</v>
      </c>
      <c r="O46" s="1">
        <f t="shared" si="3"/>
        <v>0</v>
      </c>
      <c r="P46" s="1">
        <f t="shared" si="4"/>
        <v>0</v>
      </c>
      <c r="Q46" s="3">
        <f t="shared" si="5"/>
        <v>0</v>
      </c>
      <c r="R46" s="47">
        <f>ROUNDUP(+K46/Paramètres!$B$4/Paramètres!$B$53,0)</f>
        <v>0</v>
      </c>
      <c r="S46" s="47">
        <f>ROUNDUP(+L46/Paramètres!$B$6/Paramètres!$B$53,0)</f>
        <v>0</v>
      </c>
      <c r="T46" s="47"/>
      <c r="U46" s="2">
        <f t="shared" si="6"/>
        <v>0</v>
      </c>
      <c r="V46" s="1">
        <f>R46*Paramètres!$B$7</f>
        <v>0</v>
      </c>
      <c r="W46" s="1">
        <f>S46*Paramètres!$B$9</f>
        <v>0</v>
      </c>
      <c r="X46" s="1"/>
      <c r="Y46" s="2">
        <f t="shared" si="7"/>
        <v>0</v>
      </c>
      <c r="Z46" s="7">
        <f>R46*Paramètres!$B$10</f>
        <v>0</v>
      </c>
      <c r="AA46" s="7">
        <f>S46*Paramètres!$B$10</f>
        <v>0</v>
      </c>
      <c r="AB46" s="7"/>
      <c r="AC46" s="2">
        <f t="shared" si="8"/>
        <v>0</v>
      </c>
      <c r="AD46" s="1">
        <f t="shared" si="12"/>
        <v>0</v>
      </c>
      <c r="AE46" s="1">
        <f t="shared" si="9"/>
        <v>0</v>
      </c>
      <c r="AF46" s="1">
        <f>IF(B46="",0,Paramètres!$B$53*1.5)</f>
        <v>0</v>
      </c>
      <c r="AG46" s="1">
        <f>IF(C46="",0,Paramètres!$B$53*1.5)</f>
        <v>0</v>
      </c>
      <c r="AH46" s="1"/>
      <c r="AI46" s="1"/>
      <c r="AJ46" s="1"/>
      <c r="AK46" s="1"/>
      <c r="AL46" s="1">
        <f>(U46*Paramètres!$B$53)*3</f>
        <v>0</v>
      </c>
      <c r="AM46" s="1">
        <f t="shared" si="10"/>
        <v>0</v>
      </c>
      <c r="AN46" s="1">
        <f>U46*Paramètres!$B$75</f>
        <v>0</v>
      </c>
      <c r="AO46" s="1">
        <f>U46*Paramètres!$B$72*Paramètres!$B$73</f>
        <v>0</v>
      </c>
      <c r="AP46" s="1"/>
      <c r="AQ46" s="1">
        <f>(Y46+AC46)*Paramètres!$B$42*Paramètres!$B$53</f>
        <v>0</v>
      </c>
      <c r="AR46" s="1"/>
      <c r="AS46" s="7">
        <f>ROUNDUP(D46*Paramètres!$B$23*Paramètres!$B$26,-1)</f>
        <v>0</v>
      </c>
      <c r="AT46" s="7"/>
      <c r="AU46" s="1"/>
      <c r="AV46" s="8"/>
      <c r="AW46" s="8"/>
      <c r="AX46" s="8"/>
      <c r="AY46" s="8"/>
      <c r="AZ46" s="8"/>
      <c r="BA46" s="8"/>
      <c r="BB46" s="44"/>
      <c r="BC46" s="44"/>
      <c r="BD46" s="8"/>
      <c r="BE46" s="8"/>
      <c r="BF46" s="8"/>
      <c r="BG46" s="44"/>
      <c r="BI46">
        <f t="shared" si="11"/>
        <v>0</v>
      </c>
    </row>
    <row r="47" spans="1:61" x14ac:dyDescent="0.25">
      <c r="A47">
        <v>45</v>
      </c>
      <c r="B47" s="1"/>
      <c r="C47" s="1"/>
      <c r="D47" s="1"/>
      <c r="E47" s="1"/>
      <c r="F47" s="1"/>
      <c r="G47" s="53"/>
      <c r="H47" s="53"/>
      <c r="I47" s="54"/>
      <c r="J47" s="50">
        <f>F47*Paramètres!$B$3</f>
        <v>0</v>
      </c>
      <c r="K47" s="56">
        <f t="shared" si="0"/>
        <v>0</v>
      </c>
      <c r="L47" s="56">
        <f t="shared" si="1"/>
        <v>0</v>
      </c>
      <c r="M47" s="56">
        <f t="shared" si="2"/>
        <v>0</v>
      </c>
      <c r="N47" s="3">
        <f>ROUNDUP(J47*Paramètres!$B$19,-1)</f>
        <v>0</v>
      </c>
      <c r="O47" s="1">
        <f t="shared" si="3"/>
        <v>0</v>
      </c>
      <c r="P47" s="1">
        <f t="shared" si="4"/>
        <v>0</v>
      </c>
      <c r="Q47" s="3">
        <f t="shared" si="5"/>
        <v>0</v>
      </c>
      <c r="R47" s="47">
        <f>ROUNDUP(+K47/Paramètres!$B$4/Paramètres!$B$53,0)</f>
        <v>0</v>
      </c>
      <c r="S47" s="47">
        <f>ROUNDUP(+L47/Paramètres!$B$6/Paramètres!$B$53,0)</f>
        <v>0</v>
      </c>
      <c r="T47" s="47"/>
      <c r="U47" s="2">
        <f t="shared" si="6"/>
        <v>0</v>
      </c>
      <c r="V47" s="1">
        <f>R47*Paramètres!$B$7</f>
        <v>0</v>
      </c>
      <c r="W47" s="1">
        <f>S47*Paramètres!$B$9</f>
        <v>0</v>
      </c>
      <c r="X47" s="1"/>
      <c r="Y47" s="2">
        <f t="shared" si="7"/>
        <v>0</v>
      </c>
      <c r="Z47" s="7">
        <f>R47*Paramètres!$B$10</f>
        <v>0</v>
      </c>
      <c r="AA47" s="7">
        <f>S47*Paramètres!$B$10</f>
        <v>0</v>
      </c>
      <c r="AB47" s="7"/>
      <c r="AC47" s="2">
        <f t="shared" si="8"/>
        <v>0</v>
      </c>
      <c r="AD47" s="1">
        <f t="shared" si="12"/>
        <v>0</v>
      </c>
      <c r="AE47" s="1">
        <f t="shared" si="9"/>
        <v>0</v>
      </c>
      <c r="AF47" s="1">
        <f>IF(B47="",0,Paramètres!$B$53*1.5)</f>
        <v>0</v>
      </c>
      <c r="AG47" s="1">
        <f>IF(C47="",0,Paramètres!$B$53*1.5)</f>
        <v>0</v>
      </c>
      <c r="AH47" s="1"/>
      <c r="AI47" s="1"/>
      <c r="AJ47" s="1"/>
      <c r="AK47" s="1"/>
      <c r="AL47" s="1">
        <f>(U47*Paramètres!$B$53)*3</f>
        <v>0</v>
      </c>
      <c r="AM47" s="1">
        <f t="shared" si="10"/>
        <v>0</v>
      </c>
      <c r="AN47" s="1">
        <f>U47*Paramètres!$B$75</f>
        <v>0</v>
      </c>
      <c r="AO47" s="1">
        <f>U47*Paramètres!$B$72*Paramètres!$B$73</f>
        <v>0</v>
      </c>
      <c r="AP47" s="1"/>
      <c r="AQ47" s="1">
        <f>(Y47+AC47)*Paramètres!$B$42*Paramètres!$B$53</f>
        <v>0</v>
      </c>
      <c r="AR47" s="1"/>
      <c r="AS47" s="7">
        <f>ROUNDUP(D47*Paramètres!$B$23*Paramètres!$B$26,-1)</f>
        <v>0</v>
      </c>
      <c r="AT47" s="7"/>
      <c r="AU47" s="1"/>
      <c r="AV47" s="8"/>
      <c r="AW47" s="8"/>
      <c r="AX47" s="8"/>
      <c r="AY47" s="8"/>
      <c r="AZ47" s="8"/>
      <c r="BA47" s="8"/>
      <c r="BB47" s="44"/>
      <c r="BC47" s="44"/>
      <c r="BD47" s="8"/>
      <c r="BE47" s="8"/>
      <c r="BF47" s="8"/>
      <c r="BG47" s="44"/>
      <c r="BI47">
        <f t="shared" si="11"/>
        <v>0</v>
      </c>
    </row>
    <row r="48" spans="1:61" x14ac:dyDescent="0.25">
      <c r="A48">
        <v>46</v>
      </c>
      <c r="B48" s="1"/>
      <c r="C48" s="1"/>
      <c r="D48" s="1"/>
      <c r="E48" s="1"/>
      <c r="F48" s="1"/>
      <c r="G48" s="53"/>
      <c r="H48" s="53"/>
      <c r="I48" s="54"/>
      <c r="J48" s="50">
        <f>F48*Paramètres!$B$3</f>
        <v>0</v>
      </c>
      <c r="K48" s="56">
        <f t="shared" si="0"/>
        <v>0</v>
      </c>
      <c r="L48" s="56">
        <f t="shared" si="1"/>
        <v>0</v>
      </c>
      <c r="M48" s="56">
        <f t="shared" si="2"/>
        <v>0</v>
      </c>
      <c r="N48" s="3">
        <f>ROUNDUP(J48*Paramètres!$B$19,-1)</f>
        <v>0</v>
      </c>
      <c r="O48" s="1">
        <f t="shared" si="3"/>
        <v>0</v>
      </c>
      <c r="P48" s="1">
        <f t="shared" si="4"/>
        <v>0</v>
      </c>
      <c r="Q48" s="3">
        <f t="shared" si="5"/>
        <v>0</v>
      </c>
      <c r="R48" s="47">
        <f>ROUNDUP(+K48/Paramètres!$B$4/Paramètres!$B$53,0)</f>
        <v>0</v>
      </c>
      <c r="S48" s="47">
        <f>ROUNDUP(+L48/Paramètres!$B$6/Paramètres!$B$53,0)</f>
        <v>0</v>
      </c>
      <c r="T48" s="47"/>
      <c r="U48" s="2">
        <f t="shared" si="6"/>
        <v>0</v>
      </c>
      <c r="V48" s="1">
        <f>R48*Paramètres!$B$7</f>
        <v>0</v>
      </c>
      <c r="W48" s="1">
        <f>S48*Paramètres!$B$9</f>
        <v>0</v>
      </c>
      <c r="X48" s="1"/>
      <c r="Y48" s="2">
        <f t="shared" si="7"/>
        <v>0</v>
      </c>
      <c r="Z48" s="7">
        <f>R48*Paramètres!$B$10</f>
        <v>0</v>
      </c>
      <c r="AA48" s="7">
        <f>S48*Paramètres!$B$10</f>
        <v>0</v>
      </c>
      <c r="AB48" s="7"/>
      <c r="AC48" s="2">
        <f t="shared" si="8"/>
        <v>0</v>
      </c>
      <c r="AD48" s="1">
        <f t="shared" si="12"/>
        <v>0</v>
      </c>
      <c r="AE48" s="1">
        <f t="shared" si="9"/>
        <v>0</v>
      </c>
      <c r="AF48" s="1">
        <f>IF(B48="",0,Paramètres!$B$53*1.5)</f>
        <v>0</v>
      </c>
      <c r="AG48" s="1">
        <f>IF(C48="",0,Paramètres!$B$53*1.5)</f>
        <v>0</v>
      </c>
      <c r="AH48" s="1"/>
      <c r="AI48" s="1"/>
      <c r="AJ48" s="1"/>
      <c r="AK48" s="1"/>
      <c r="AL48" s="1">
        <f>(U48*Paramètres!$B$53)*3</f>
        <v>0</v>
      </c>
      <c r="AM48" s="1">
        <f t="shared" si="10"/>
        <v>0</v>
      </c>
      <c r="AN48" s="1">
        <f>U48*Paramètres!$B$75</f>
        <v>0</v>
      </c>
      <c r="AO48" s="1">
        <f>U48*Paramètres!$B$72*Paramètres!$B$73</f>
        <v>0</v>
      </c>
      <c r="AP48" s="1"/>
      <c r="AQ48" s="1">
        <f>(Y48+AC48)*Paramètres!$B$42*Paramètres!$B$53</f>
        <v>0</v>
      </c>
      <c r="AR48" s="1"/>
      <c r="AS48" s="7">
        <f>ROUNDUP(D48*Paramètres!$B$23*Paramètres!$B$26,-1)</f>
        <v>0</v>
      </c>
      <c r="AT48" s="7"/>
      <c r="AU48" s="1"/>
      <c r="AV48" s="8"/>
      <c r="AW48" s="8"/>
      <c r="AX48" s="8"/>
      <c r="AY48" s="8"/>
      <c r="AZ48" s="8"/>
      <c r="BA48" s="8"/>
      <c r="BB48" s="44"/>
      <c r="BC48" s="44"/>
      <c r="BD48" s="8"/>
      <c r="BE48" s="8"/>
      <c r="BF48" s="8"/>
      <c r="BG48" s="44"/>
      <c r="BI48">
        <f t="shared" si="11"/>
        <v>0</v>
      </c>
    </row>
    <row r="49" spans="1:61" x14ac:dyDescent="0.25">
      <c r="A49">
        <v>47</v>
      </c>
      <c r="B49" s="1"/>
      <c r="C49" s="1"/>
      <c r="D49" s="1"/>
      <c r="E49" s="1"/>
      <c r="F49" s="1"/>
      <c r="G49" s="53"/>
      <c r="H49" s="53"/>
      <c r="I49" s="54"/>
      <c r="J49" s="50">
        <f>F49*Paramètres!$B$3</f>
        <v>0</v>
      </c>
      <c r="K49" s="56">
        <f t="shared" si="0"/>
        <v>0</v>
      </c>
      <c r="L49" s="56">
        <f t="shared" si="1"/>
        <v>0</v>
      </c>
      <c r="M49" s="56">
        <f t="shared" si="2"/>
        <v>0</v>
      </c>
      <c r="N49" s="3">
        <f>ROUNDUP(J49*Paramètres!$B$19,-1)</f>
        <v>0</v>
      </c>
      <c r="O49" s="1">
        <f t="shared" si="3"/>
        <v>0</v>
      </c>
      <c r="P49" s="1">
        <f t="shared" si="4"/>
        <v>0</v>
      </c>
      <c r="Q49" s="3">
        <f t="shared" si="5"/>
        <v>0</v>
      </c>
      <c r="R49" s="47">
        <f>ROUNDUP(+K49/Paramètres!$B$4/Paramètres!$B$53,0)</f>
        <v>0</v>
      </c>
      <c r="S49" s="47">
        <f>ROUNDUP(+L49/Paramètres!$B$6/Paramètres!$B$53,0)</f>
        <v>0</v>
      </c>
      <c r="T49" s="47"/>
      <c r="U49" s="2">
        <f t="shared" si="6"/>
        <v>0</v>
      </c>
      <c r="V49" s="1">
        <f>R49*Paramètres!$B$7</f>
        <v>0</v>
      </c>
      <c r="W49" s="1">
        <f>S49*Paramètres!$B$9</f>
        <v>0</v>
      </c>
      <c r="X49" s="1"/>
      <c r="Y49" s="2">
        <f t="shared" si="7"/>
        <v>0</v>
      </c>
      <c r="Z49" s="7">
        <f>R49*Paramètres!$B$10</f>
        <v>0</v>
      </c>
      <c r="AA49" s="7">
        <f>S49*Paramètres!$B$10</f>
        <v>0</v>
      </c>
      <c r="AB49" s="7"/>
      <c r="AC49" s="2">
        <f t="shared" si="8"/>
        <v>0</v>
      </c>
      <c r="AD49" s="1">
        <f t="shared" si="12"/>
        <v>0</v>
      </c>
      <c r="AE49" s="1">
        <f t="shared" si="9"/>
        <v>0</v>
      </c>
      <c r="AF49" s="1">
        <f>IF(B49="",0,Paramètres!$B$53*1.5)</f>
        <v>0</v>
      </c>
      <c r="AG49" s="1">
        <f>IF(C49="",0,Paramètres!$B$53*1.5)</f>
        <v>0</v>
      </c>
      <c r="AH49" s="1"/>
      <c r="AI49" s="1"/>
      <c r="AJ49" s="1"/>
      <c r="AK49" s="1"/>
      <c r="AL49" s="1">
        <f>(U49*Paramètres!$B$53)*3</f>
        <v>0</v>
      </c>
      <c r="AM49" s="1">
        <f t="shared" si="10"/>
        <v>0</v>
      </c>
      <c r="AN49" s="1">
        <f>U49*Paramètres!$B$75</f>
        <v>0</v>
      </c>
      <c r="AO49" s="1">
        <f>U49*Paramètres!$B$72*Paramètres!$B$73</f>
        <v>0</v>
      </c>
      <c r="AP49" s="1"/>
      <c r="AQ49" s="1">
        <f>(Y49+AC49)*Paramètres!$B$42*Paramètres!$B$53</f>
        <v>0</v>
      </c>
      <c r="AR49" s="1"/>
      <c r="AS49" s="7">
        <f>ROUNDUP(D49*Paramètres!$B$23*Paramètres!$B$26,-1)</f>
        <v>0</v>
      </c>
      <c r="AT49" s="7"/>
      <c r="AU49" s="1"/>
      <c r="AV49" s="8"/>
      <c r="AW49" s="8"/>
      <c r="AX49" s="8"/>
      <c r="AY49" s="8"/>
      <c r="AZ49" s="8"/>
      <c r="BA49" s="8"/>
      <c r="BB49" s="44"/>
      <c r="BC49" s="44"/>
      <c r="BD49" s="8"/>
      <c r="BE49" s="8"/>
      <c r="BF49" s="8"/>
      <c r="BG49" s="44"/>
      <c r="BI49">
        <f t="shared" si="11"/>
        <v>0</v>
      </c>
    </row>
    <row r="50" spans="1:61" x14ac:dyDescent="0.25">
      <c r="A50">
        <v>48</v>
      </c>
      <c r="B50" s="1"/>
      <c r="C50" s="1"/>
      <c r="D50" s="1"/>
      <c r="E50" s="1"/>
      <c r="F50" s="1"/>
      <c r="G50" s="53"/>
      <c r="H50" s="53"/>
      <c r="I50" s="54"/>
      <c r="J50" s="50">
        <f>F50*Paramètres!$B$3</f>
        <v>0</v>
      </c>
      <c r="K50" s="56">
        <f t="shared" si="0"/>
        <v>0</v>
      </c>
      <c r="L50" s="56">
        <f t="shared" si="1"/>
        <v>0</v>
      </c>
      <c r="M50" s="56">
        <f t="shared" si="2"/>
        <v>0</v>
      </c>
      <c r="N50" s="3">
        <f>ROUNDUP(J50*Paramètres!$B$19,-1)</f>
        <v>0</v>
      </c>
      <c r="O50" s="1">
        <f t="shared" si="3"/>
        <v>0</v>
      </c>
      <c r="P50" s="1">
        <f t="shared" si="4"/>
        <v>0</v>
      </c>
      <c r="Q50" s="3">
        <f t="shared" si="5"/>
        <v>0</v>
      </c>
      <c r="R50" s="47">
        <f>ROUNDUP(+K50/Paramètres!$B$4/Paramètres!$B$53,0)</f>
        <v>0</v>
      </c>
      <c r="S50" s="47">
        <f>ROUNDUP(+L50/Paramètres!$B$6/Paramètres!$B$53,0)</f>
        <v>0</v>
      </c>
      <c r="T50" s="47"/>
      <c r="U50" s="2">
        <f t="shared" si="6"/>
        <v>0</v>
      </c>
      <c r="V50" s="1">
        <f>R50*Paramètres!$B$7</f>
        <v>0</v>
      </c>
      <c r="W50" s="1">
        <f>S50*Paramètres!$B$9</f>
        <v>0</v>
      </c>
      <c r="X50" s="1"/>
      <c r="Y50" s="2">
        <f t="shared" si="7"/>
        <v>0</v>
      </c>
      <c r="Z50" s="7">
        <f>R50*Paramètres!$B$10</f>
        <v>0</v>
      </c>
      <c r="AA50" s="7">
        <f>S50*Paramètres!$B$10</f>
        <v>0</v>
      </c>
      <c r="AB50" s="7"/>
      <c r="AC50" s="2">
        <f t="shared" si="8"/>
        <v>0</v>
      </c>
      <c r="AD50" s="1">
        <f t="shared" si="12"/>
        <v>0</v>
      </c>
      <c r="AE50" s="1">
        <f t="shared" si="9"/>
        <v>0</v>
      </c>
      <c r="AF50" s="1">
        <f>IF(B50="",0,Paramètres!$B$53*1.5)</f>
        <v>0</v>
      </c>
      <c r="AG50" s="1">
        <f>IF(C50="",0,Paramètres!$B$53*1.5)</f>
        <v>0</v>
      </c>
      <c r="AH50" s="1"/>
      <c r="AI50" s="1"/>
      <c r="AJ50" s="1"/>
      <c r="AK50" s="1"/>
      <c r="AL50" s="1">
        <f>(U50*Paramètres!$B$53)*3</f>
        <v>0</v>
      </c>
      <c r="AM50" s="1">
        <f t="shared" si="10"/>
        <v>0</v>
      </c>
      <c r="AN50" s="1">
        <f>U50*Paramètres!$B$75</f>
        <v>0</v>
      </c>
      <c r="AO50" s="1">
        <f>U50*Paramètres!$B$72*Paramètres!$B$73</f>
        <v>0</v>
      </c>
      <c r="AP50" s="1"/>
      <c r="AQ50" s="1">
        <f>(Y50+AC50)*Paramètres!$B$42*Paramètres!$B$53</f>
        <v>0</v>
      </c>
      <c r="AR50" s="1"/>
      <c r="AS50" s="7">
        <f>ROUNDUP(D50*Paramètres!$B$23*Paramètres!$B$26,-1)</f>
        <v>0</v>
      </c>
      <c r="AT50" s="7"/>
      <c r="AU50" s="1"/>
      <c r="AV50" s="8"/>
      <c r="AW50" s="8"/>
      <c r="AX50" s="8"/>
      <c r="AY50" s="8"/>
      <c r="AZ50" s="8"/>
      <c r="BA50" s="8"/>
      <c r="BB50" s="44"/>
      <c r="BC50" s="44"/>
      <c r="BD50" s="8"/>
      <c r="BE50" s="8"/>
      <c r="BF50" s="8"/>
      <c r="BG50" s="44"/>
      <c r="BI50">
        <f t="shared" si="11"/>
        <v>0</v>
      </c>
    </row>
    <row r="51" spans="1:61" x14ac:dyDescent="0.25">
      <c r="A51">
        <v>49</v>
      </c>
      <c r="B51" s="1"/>
      <c r="C51" s="1"/>
      <c r="D51" s="1"/>
      <c r="E51" s="1"/>
      <c r="F51" s="1"/>
      <c r="G51" s="53"/>
      <c r="H51" s="53"/>
      <c r="I51" s="54"/>
      <c r="J51" s="50">
        <f>F51*Paramètres!$B$3</f>
        <v>0</v>
      </c>
      <c r="K51" s="56">
        <f t="shared" si="0"/>
        <v>0</v>
      </c>
      <c r="L51" s="56">
        <f t="shared" si="1"/>
        <v>0</v>
      </c>
      <c r="M51" s="56">
        <f t="shared" si="2"/>
        <v>0</v>
      </c>
      <c r="N51" s="3">
        <f>ROUNDUP(J51*Paramètres!$B$19,-1)</f>
        <v>0</v>
      </c>
      <c r="O51" s="1">
        <f t="shared" si="3"/>
        <v>0</v>
      </c>
      <c r="P51" s="1">
        <f t="shared" si="4"/>
        <v>0</v>
      </c>
      <c r="Q51" s="3">
        <f t="shared" si="5"/>
        <v>0</v>
      </c>
      <c r="R51" s="47">
        <f>ROUNDUP(+K51/Paramètres!$B$4/Paramètres!$B$53,0)</f>
        <v>0</v>
      </c>
      <c r="S51" s="47">
        <f>ROUNDUP(+L51/Paramètres!$B$6/Paramètres!$B$53,0)</f>
        <v>0</v>
      </c>
      <c r="T51" s="47"/>
      <c r="U51" s="2">
        <f t="shared" si="6"/>
        <v>0</v>
      </c>
      <c r="V51" s="1">
        <f>R51*Paramètres!$B$7</f>
        <v>0</v>
      </c>
      <c r="W51" s="1">
        <f>S51*Paramètres!$B$9</f>
        <v>0</v>
      </c>
      <c r="X51" s="1"/>
      <c r="Y51" s="2">
        <f t="shared" si="7"/>
        <v>0</v>
      </c>
      <c r="Z51" s="7">
        <f>R51*Paramètres!$B$10</f>
        <v>0</v>
      </c>
      <c r="AA51" s="7">
        <f>S51*Paramètres!$B$10</f>
        <v>0</v>
      </c>
      <c r="AB51" s="7"/>
      <c r="AC51" s="2">
        <f t="shared" si="8"/>
        <v>0</v>
      </c>
      <c r="AD51" s="1">
        <f t="shared" si="12"/>
        <v>0</v>
      </c>
      <c r="AE51" s="1">
        <f t="shared" si="9"/>
        <v>0</v>
      </c>
      <c r="AF51" s="1">
        <f>IF(B51="",0,Paramètres!$B$53*1.5)</f>
        <v>0</v>
      </c>
      <c r="AG51" s="1">
        <f>IF(C51="",0,Paramètres!$B$53*1.5)</f>
        <v>0</v>
      </c>
      <c r="AH51" s="1"/>
      <c r="AI51" s="1"/>
      <c r="AJ51" s="1"/>
      <c r="AK51" s="1"/>
      <c r="AL51" s="1">
        <f>(U51*Paramètres!$B$53)*3</f>
        <v>0</v>
      </c>
      <c r="AM51" s="1">
        <f t="shared" si="10"/>
        <v>0</v>
      </c>
      <c r="AN51" s="1">
        <f>U51*Paramètres!$B$75</f>
        <v>0</v>
      </c>
      <c r="AO51" s="1">
        <f>U51*Paramètres!$B$72*Paramètres!$B$73</f>
        <v>0</v>
      </c>
      <c r="AP51" s="1"/>
      <c r="AQ51" s="1">
        <f>(Y51+AC51)*Paramètres!$B$42*Paramètres!$B$53</f>
        <v>0</v>
      </c>
      <c r="AR51" s="1"/>
      <c r="AS51" s="7">
        <f>ROUNDUP(D51*Paramètres!$B$23*Paramètres!$B$26,-1)</f>
        <v>0</v>
      </c>
      <c r="AT51" s="7"/>
      <c r="AU51" s="1"/>
      <c r="AV51" s="8"/>
      <c r="AW51" s="8"/>
      <c r="AX51" s="8"/>
      <c r="AY51" s="8"/>
      <c r="AZ51" s="8"/>
      <c r="BA51" s="8"/>
      <c r="BB51" s="44"/>
      <c r="BC51" s="44"/>
      <c r="BD51" s="8"/>
      <c r="BE51" s="8"/>
      <c r="BF51" s="8"/>
      <c r="BG51" s="44"/>
      <c r="BI51">
        <f t="shared" si="11"/>
        <v>0</v>
      </c>
    </row>
    <row r="52" spans="1:61" x14ac:dyDescent="0.25">
      <c r="A52">
        <v>50</v>
      </c>
      <c r="B52" s="1"/>
      <c r="C52" s="1"/>
      <c r="D52" s="1"/>
      <c r="E52" s="1"/>
      <c r="F52" s="1"/>
      <c r="G52" s="53"/>
      <c r="H52" s="53"/>
      <c r="I52" s="54"/>
      <c r="J52" s="50">
        <f>F52*Paramètres!$B$3</f>
        <v>0</v>
      </c>
      <c r="K52" s="56">
        <f t="shared" si="0"/>
        <v>0</v>
      </c>
      <c r="L52" s="56">
        <f t="shared" si="1"/>
        <v>0</v>
      </c>
      <c r="M52" s="56">
        <f t="shared" si="2"/>
        <v>0</v>
      </c>
      <c r="N52" s="3">
        <f>ROUNDUP(J52*Paramètres!$B$19,-1)</f>
        <v>0</v>
      </c>
      <c r="O52" s="1">
        <f t="shared" si="3"/>
        <v>0</v>
      </c>
      <c r="P52" s="1">
        <f t="shared" si="4"/>
        <v>0</v>
      </c>
      <c r="Q52" s="3">
        <f t="shared" si="5"/>
        <v>0</v>
      </c>
      <c r="R52" s="47">
        <f>ROUNDUP(+K52/Paramètres!$B$4/Paramètres!$B$53,0)</f>
        <v>0</v>
      </c>
      <c r="S52" s="47">
        <f>ROUNDUP(+L52/Paramètres!$B$6/Paramètres!$B$53,0)</f>
        <v>0</v>
      </c>
      <c r="T52" s="47"/>
      <c r="U52" s="2">
        <f t="shared" si="6"/>
        <v>0</v>
      </c>
      <c r="V52" s="1">
        <f>R52*Paramètres!$B$7</f>
        <v>0</v>
      </c>
      <c r="W52" s="1">
        <f>S52*Paramètres!$B$9</f>
        <v>0</v>
      </c>
      <c r="X52" s="1"/>
      <c r="Y52" s="2">
        <f t="shared" si="7"/>
        <v>0</v>
      </c>
      <c r="Z52" s="7">
        <f>R52*Paramètres!$B$10</f>
        <v>0</v>
      </c>
      <c r="AA52" s="7">
        <f>S52*Paramètres!$B$10</f>
        <v>0</v>
      </c>
      <c r="AB52" s="7"/>
      <c r="AC52" s="2">
        <f t="shared" si="8"/>
        <v>0</v>
      </c>
      <c r="AD52" s="1">
        <f t="shared" si="12"/>
        <v>0</v>
      </c>
      <c r="AE52" s="1">
        <f t="shared" si="9"/>
        <v>0</v>
      </c>
      <c r="AF52" s="1">
        <f>IF(B52="",0,Paramètres!$B$53*1.5)</f>
        <v>0</v>
      </c>
      <c r="AG52" s="1">
        <f>IF(C52="",0,Paramètres!$B$53*1.5)</f>
        <v>0</v>
      </c>
      <c r="AH52" s="1"/>
      <c r="AI52" s="1"/>
      <c r="AJ52" s="1"/>
      <c r="AK52" s="1"/>
      <c r="AL52" s="1">
        <f>(U52*Paramètres!$B$53)*3</f>
        <v>0</v>
      </c>
      <c r="AM52" s="1">
        <f t="shared" si="10"/>
        <v>0</v>
      </c>
      <c r="AN52" s="1">
        <f>U52*Paramètres!$B$75</f>
        <v>0</v>
      </c>
      <c r="AO52" s="1">
        <f>U52*Paramètres!$B$72*Paramètres!$B$73</f>
        <v>0</v>
      </c>
      <c r="AP52" s="1"/>
      <c r="AQ52" s="1">
        <f>(Y52+AC52)*Paramètres!$B$42*Paramètres!$B$53</f>
        <v>0</v>
      </c>
      <c r="AR52" s="1"/>
      <c r="AS52" s="7">
        <f>ROUNDUP(D52*Paramètres!$B$23*Paramètres!$B$26,-1)</f>
        <v>0</v>
      </c>
      <c r="AT52" s="7"/>
      <c r="AU52" s="1"/>
      <c r="AV52" s="8"/>
      <c r="AW52" s="8"/>
      <c r="AX52" s="8"/>
      <c r="AY52" s="8"/>
      <c r="AZ52" s="8"/>
      <c r="BA52" s="8"/>
      <c r="BB52" s="44"/>
      <c r="BC52" s="44"/>
      <c r="BD52" s="8"/>
      <c r="BE52" s="8"/>
      <c r="BF52" s="8"/>
      <c r="BG52" s="44"/>
      <c r="BI52">
        <f t="shared" si="11"/>
        <v>0</v>
      </c>
    </row>
    <row r="53" spans="1:61" x14ac:dyDescent="0.25">
      <c r="A53">
        <v>51</v>
      </c>
      <c r="B53" s="1"/>
      <c r="C53" s="1"/>
      <c r="D53" s="1"/>
      <c r="E53" s="1"/>
      <c r="F53" s="1"/>
      <c r="G53" s="53"/>
      <c r="H53" s="53"/>
      <c r="I53" s="54"/>
      <c r="J53" s="50">
        <f>F53*Paramètres!$B$3</f>
        <v>0</v>
      </c>
      <c r="K53" s="56">
        <f t="shared" si="0"/>
        <v>0</v>
      </c>
      <c r="L53" s="56">
        <f t="shared" si="1"/>
        <v>0</v>
      </c>
      <c r="M53" s="56">
        <f t="shared" si="2"/>
        <v>0</v>
      </c>
      <c r="N53" s="3">
        <f>ROUNDUP(J53*Paramètres!$B$19,-1)</f>
        <v>0</v>
      </c>
      <c r="O53" s="1">
        <f t="shared" si="3"/>
        <v>0</v>
      </c>
      <c r="P53" s="1">
        <f t="shared" si="4"/>
        <v>0</v>
      </c>
      <c r="Q53" s="3">
        <f t="shared" si="5"/>
        <v>0</v>
      </c>
      <c r="R53" s="47">
        <f>ROUNDUP(+K53/Paramètres!$B$4/Paramètres!$B$53,0)</f>
        <v>0</v>
      </c>
      <c r="S53" s="47">
        <f>ROUNDUP(+L53/Paramètres!$B$6/Paramètres!$B$53,0)</f>
        <v>0</v>
      </c>
      <c r="T53" s="47"/>
      <c r="U53" s="2">
        <f t="shared" si="6"/>
        <v>0</v>
      </c>
      <c r="V53" s="1">
        <f>R53*Paramètres!$B$7</f>
        <v>0</v>
      </c>
      <c r="W53" s="1">
        <f>S53*Paramètres!$B$9</f>
        <v>0</v>
      </c>
      <c r="X53" s="1"/>
      <c r="Y53" s="2">
        <f t="shared" si="7"/>
        <v>0</v>
      </c>
      <c r="Z53" s="7">
        <f>R53*Paramètres!$B$10</f>
        <v>0</v>
      </c>
      <c r="AA53" s="7">
        <f>S53*Paramètres!$B$10</f>
        <v>0</v>
      </c>
      <c r="AB53" s="7"/>
      <c r="AC53" s="2">
        <f t="shared" si="8"/>
        <v>0</v>
      </c>
      <c r="AD53" s="1">
        <f t="shared" si="12"/>
        <v>0</v>
      </c>
      <c r="AE53" s="1">
        <f t="shared" si="9"/>
        <v>0</v>
      </c>
      <c r="AF53" s="1">
        <f>IF(B53="",0,Paramètres!$B$53*1.5)</f>
        <v>0</v>
      </c>
      <c r="AG53" s="1">
        <f>IF(C53="",0,Paramètres!$B$53*1.5)</f>
        <v>0</v>
      </c>
      <c r="AH53" s="1"/>
      <c r="AI53" s="1"/>
      <c r="AJ53" s="1"/>
      <c r="AK53" s="1"/>
      <c r="AL53" s="1">
        <f>(U53*Paramètres!$B$53)*3</f>
        <v>0</v>
      </c>
      <c r="AM53" s="1">
        <f t="shared" si="10"/>
        <v>0</v>
      </c>
      <c r="AN53" s="1">
        <f>U53*Paramètres!$B$75</f>
        <v>0</v>
      </c>
      <c r="AO53" s="1">
        <f>U53*Paramètres!$B$72*Paramètres!$B$73</f>
        <v>0</v>
      </c>
      <c r="AP53" s="1"/>
      <c r="AQ53" s="1">
        <f>(Y53+AC53)*Paramètres!$B$42*Paramètres!$B$53</f>
        <v>0</v>
      </c>
      <c r="AR53" s="1"/>
      <c r="AS53" s="7">
        <f>ROUNDUP(D53*Paramètres!$B$23*Paramètres!$B$26,-1)</f>
        <v>0</v>
      </c>
      <c r="AT53" s="7"/>
      <c r="AU53" s="1"/>
      <c r="AV53" s="8"/>
      <c r="AW53" s="8"/>
      <c r="AX53" s="8"/>
      <c r="AY53" s="8"/>
      <c r="AZ53" s="8"/>
      <c r="BA53" s="8"/>
      <c r="BB53" s="44"/>
      <c r="BC53" s="44"/>
      <c r="BD53" s="8"/>
      <c r="BE53" s="8"/>
      <c r="BF53" s="8"/>
      <c r="BG53" s="44"/>
      <c r="BI53">
        <f t="shared" si="11"/>
        <v>0</v>
      </c>
    </row>
    <row r="54" spans="1:61" x14ac:dyDescent="0.25">
      <c r="B54" s="1"/>
      <c r="C54" s="1"/>
      <c r="D54" s="1"/>
      <c r="E54" s="1"/>
      <c r="F54" s="1"/>
      <c r="G54" s="54"/>
      <c r="H54" s="54"/>
      <c r="I54" s="54"/>
      <c r="J54" s="50">
        <f>F54*Paramètres!$B$3</f>
        <v>0</v>
      </c>
      <c r="K54" s="56">
        <f t="shared" si="0"/>
        <v>0</v>
      </c>
      <c r="L54" s="56">
        <f t="shared" si="1"/>
        <v>0</v>
      </c>
      <c r="M54" s="56">
        <f t="shared" si="2"/>
        <v>0</v>
      </c>
      <c r="N54" s="3">
        <f>ROUNDUP(J54*Paramètres!$B$19,-1)</f>
        <v>0</v>
      </c>
      <c r="O54" s="1">
        <f t="shared" si="3"/>
        <v>0</v>
      </c>
      <c r="P54" s="1">
        <f t="shared" si="4"/>
        <v>0</v>
      </c>
      <c r="Q54" s="3">
        <f t="shared" si="5"/>
        <v>0</v>
      </c>
      <c r="R54" s="47">
        <f>ROUNDUP(+K54/Paramètres!$B$4/Paramètres!$B$53,0)</f>
        <v>0</v>
      </c>
      <c r="S54" s="47">
        <f>ROUNDUP(+L54/Paramètres!$B$6/Paramètres!$B$53,0)</f>
        <v>0</v>
      </c>
      <c r="T54" s="47"/>
      <c r="U54" s="2">
        <f t="shared" si="6"/>
        <v>0</v>
      </c>
      <c r="V54" s="1">
        <f>R54*Paramètres!$B$7</f>
        <v>0</v>
      </c>
      <c r="W54" s="1">
        <f>S54*Paramètres!$B$9</f>
        <v>0</v>
      </c>
      <c r="X54" s="1"/>
      <c r="Y54" s="2">
        <f t="shared" si="7"/>
        <v>0</v>
      </c>
      <c r="Z54" s="7">
        <f>R54*Paramètres!$B$10</f>
        <v>0</v>
      </c>
      <c r="AA54" s="7">
        <f>S54*Paramètres!$B$10</f>
        <v>0</v>
      </c>
      <c r="AB54" s="7"/>
      <c r="AC54" s="2">
        <f t="shared" si="8"/>
        <v>0</v>
      </c>
      <c r="AD54" s="1">
        <f t="shared" si="12"/>
        <v>0</v>
      </c>
      <c r="AE54" s="1">
        <f t="shared" si="9"/>
        <v>0</v>
      </c>
      <c r="AF54" s="1">
        <f>IF(B54="",0,Paramètres!$B$53*1.5)</f>
        <v>0</v>
      </c>
      <c r="AG54" s="1">
        <f>IF(C54="",0,Paramètres!$B$53*1.5)</f>
        <v>0</v>
      </c>
      <c r="AH54" s="1"/>
      <c r="AI54" s="1"/>
      <c r="AJ54" s="1"/>
      <c r="AK54" s="1"/>
      <c r="AL54" s="1">
        <f>(U54*Paramètres!$B$53)*3</f>
        <v>0</v>
      </c>
      <c r="AM54" s="1">
        <f t="shared" si="10"/>
        <v>0</v>
      </c>
      <c r="AN54" s="1">
        <f>U54*Paramètres!$B$75</f>
        <v>0</v>
      </c>
      <c r="AO54" s="1">
        <f>U54*Paramètres!$B$72*Paramètres!$B$73</f>
        <v>0</v>
      </c>
      <c r="AP54" s="1"/>
      <c r="AQ54" s="1">
        <f>(Y54+AC54)*Paramètres!$B$42*Paramètres!$B$53</f>
        <v>0</v>
      </c>
      <c r="AR54" s="1"/>
      <c r="AS54" s="7">
        <f>ROUNDUP(D54*Paramètres!$B$23*Paramètres!$B$26,-1)</f>
        <v>0</v>
      </c>
      <c r="AT54" s="7"/>
      <c r="AU54" s="1"/>
      <c r="AV54" s="8"/>
      <c r="AW54" s="8"/>
      <c r="AX54" s="8"/>
      <c r="AY54" s="8"/>
      <c r="AZ54" s="8"/>
      <c r="BA54" s="8"/>
      <c r="BB54" s="44"/>
      <c r="BC54" s="44"/>
      <c r="BD54" s="8"/>
      <c r="BE54" s="8"/>
      <c r="BF54" s="8"/>
      <c r="BG54" s="44"/>
      <c r="BI54">
        <f t="shared" si="11"/>
        <v>0</v>
      </c>
    </row>
    <row r="55" spans="1:61" x14ac:dyDescent="0.25">
      <c r="B55" s="1"/>
      <c r="C55" s="1"/>
      <c r="D55" s="1"/>
      <c r="E55" s="1"/>
      <c r="F55" s="1"/>
      <c r="G55" s="54"/>
      <c r="H55" s="54"/>
      <c r="I55" s="54"/>
      <c r="J55" s="50">
        <f>F55*Paramètres!$B$3</f>
        <v>0</v>
      </c>
      <c r="K55" s="56">
        <f t="shared" si="0"/>
        <v>0</v>
      </c>
      <c r="L55" s="56">
        <f t="shared" si="1"/>
        <v>0</v>
      </c>
      <c r="M55" s="56">
        <f t="shared" si="2"/>
        <v>0</v>
      </c>
      <c r="N55" s="3">
        <f>ROUNDUP(J55*Paramètres!$B$19,-1)</f>
        <v>0</v>
      </c>
      <c r="O55" s="1">
        <f t="shared" si="3"/>
        <v>0</v>
      </c>
      <c r="P55" s="1">
        <f t="shared" si="4"/>
        <v>0</v>
      </c>
      <c r="Q55" s="3">
        <f t="shared" si="5"/>
        <v>0</v>
      </c>
      <c r="R55" s="47">
        <f>ROUNDUP(+K55/Paramètres!$B$4/Paramètres!$B$53,0)</f>
        <v>0</v>
      </c>
      <c r="S55" s="47">
        <f>ROUNDUP(+L55/Paramètres!$B$6/Paramètres!$B$53,0)</f>
        <v>0</v>
      </c>
      <c r="T55" s="47"/>
      <c r="U55" s="2">
        <f t="shared" si="6"/>
        <v>0</v>
      </c>
      <c r="V55" s="1">
        <f>R55*Paramètres!$B$7</f>
        <v>0</v>
      </c>
      <c r="W55" s="1">
        <f>S55*Paramètres!$B$9</f>
        <v>0</v>
      </c>
      <c r="X55" s="1"/>
      <c r="Y55" s="2">
        <f t="shared" si="7"/>
        <v>0</v>
      </c>
      <c r="Z55" s="7">
        <f>R55*Paramètres!$B$10</f>
        <v>0</v>
      </c>
      <c r="AA55" s="7">
        <f>S55*Paramètres!$B$10</f>
        <v>0</v>
      </c>
      <c r="AB55" s="7"/>
      <c r="AC55" s="2">
        <f t="shared" si="8"/>
        <v>0</v>
      </c>
      <c r="AD55" s="1">
        <f t="shared" si="12"/>
        <v>0</v>
      </c>
      <c r="AE55" s="1">
        <f t="shared" si="9"/>
        <v>0</v>
      </c>
      <c r="AF55" s="1">
        <f>IF(B55="",0,Paramètres!$B$53*1.5)</f>
        <v>0</v>
      </c>
      <c r="AG55" s="1">
        <f>IF(C55="",0,Paramètres!$B$53*1.5)</f>
        <v>0</v>
      </c>
      <c r="AH55" s="1"/>
      <c r="AI55" s="1"/>
      <c r="AJ55" s="1"/>
      <c r="AK55" s="1"/>
      <c r="AL55" s="1">
        <f>(U55*Paramètres!$B$53)*3</f>
        <v>0</v>
      </c>
      <c r="AM55" s="1">
        <f t="shared" si="10"/>
        <v>0</v>
      </c>
      <c r="AN55" s="1">
        <f>U55*Paramètres!$B$75</f>
        <v>0</v>
      </c>
      <c r="AO55" s="1">
        <f>U55*Paramètres!$B$72*Paramètres!$B$73</f>
        <v>0</v>
      </c>
      <c r="AP55" s="1"/>
      <c r="AQ55" s="1">
        <f>(Y55+AC55)*Paramètres!$B$42*Paramètres!$B$53</f>
        <v>0</v>
      </c>
      <c r="AR55" s="1"/>
      <c r="AS55" s="7">
        <f>ROUNDUP(D55*Paramètres!$B$23*Paramètres!$B$26,-1)</f>
        <v>0</v>
      </c>
      <c r="AT55" s="7"/>
      <c r="AU55" s="1"/>
      <c r="AV55" s="8"/>
      <c r="AW55" s="8"/>
      <c r="AX55" s="8"/>
      <c r="AY55" s="8"/>
      <c r="AZ55" s="8"/>
      <c r="BA55" s="8"/>
      <c r="BB55" s="44"/>
      <c r="BC55" s="44"/>
      <c r="BD55" s="8"/>
      <c r="BE55" s="8"/>
      <c r="BF55" s="8"/>
      <c r="BG55" s="44"/>
      <c r="BI55">
        <f t="shared" si="11"/>
        <v>0</v>
      </c>
    </row>
    <row r="56" spans="1:61" x14ac:dyDescent="0.25">
      <c r="B56" s="1"/>
      <c r="C56" s="1"/>
      <c r="D56" s="1"/>
      <c r="E56" s="1"/>
      <c r="F56" s="1"/>
      <c r="G56" s="54"/>
      <c r="H56" s="54"/>
      <c r="I56" s="54"/>
      <c r="J56" s="50">
        <f>F56*Paramètres!$B$3</f>
        <v>0</v>
      </c>
      <c r="K56" s="56">
        <f t="shared" si="0"/>
        <v>0</v>
      </c>
      <c r="L56" s="56">
        <f t="shared" si="1"/>
        <v>0</v>
      </c>
      <c r="M56" s="56">
        <f t="shared" si="2"/>
        <v>0</v>
      </c>
      <c r="N56" s="3">
        <f>ROUNDUP(J56*Paramètres!$B$19,-1)</f>
        <v>0</v>
      </c>
      <c r="O56" s="1">
        <f t="shared" si="3"/>
        <v>0</v>
      </c>
      <c r="P56" s="1">
        <f t="shared" si="4"/>
        <v>0</v>
      </c>
      <c r="Q56" s="3">
        <f t="shared" si="5"/>
        <v>0</v>
      </c>
      <c r="R56" s="47">
        <f>ROUNDUP(+K56/Paramètres!$B$4/Paramètres!$B$53,0)</f>
        <v>0</v>
      </c>
      <c r="S56" s="47">
        <f>ROUNDUP(+L56/Paramètres!$B$6/Paramètres!$B$53,0)</f>
        <v>0</v>
      </c>
      <c r="T56" s="47"/>
      <c r="U56" s="2">
        <f t="shared" si="6"/>
        <v>0</v>
      </c>
      <c r="V56" s="1">
        <f>R56*Paramètres!$B$7</f>
        <v>0</v>
      </c>
      <c r="W56" s="1">
        <f>S56*Paramètres!$B$9</f>
        <v>0</v>
      </c>
      <c r="X56" s="1"/>
      <c r="Y56" s="2">
        <f t="shared" si="7"/>
        <v>0</v>
      </c>
      <c r="Z56" s="7">
        <f>R56*Paramètres!$B$10</f>
        <v>0</v>
      </c>
      <c r="AA56" s="7">
        <f>S56*Paramètres!$B$10</f>
        <v>0</v>
      </c>
      <c r="AB56" s="7"/>
      <c r="AC56" s="2">
        <f t="shared" si="8"/>
        <v>0</v>
      </c>
      <c r="AD56" s="1">
        <f t="shared" si="12"/>
        <v>0</v>
      </c>
      <c r="AE56" s="1">
        <f t="shared" si="9"/>
        <v>0</v>
      </c>
      <c r="AF56" s="1">
        <f>IF(B56="",0,Paramètres!$B$53*1.5)</f>
        <v>0</v>
      </c>
      <c r="AG56" s="1">
        <f>IF(C56="",0,Paramètres!$B$53*1.5)</f>
        <v>0</v>
      </c>
      <c r="AH56" s="1"/>
      <c r="AI56" s="1"/>
      <c r="AJ56" s="1"/>
      <c r="AK56" s="1"/>
      <c r="AL56" s="1">
        <f>(U56*Paramètres!$B$53)*3</f>
        <v>0</v>
      </c>
      <c r="AM56" s="1">
        <f t="shared" si="10"/>
        <v>0</v>
      </c>
      <c r="AN56" s="1">
        <f>U56*Paramètres!$B$75</f>
        <v>0</v>
      </c>
      <c r="AO56" s="1">
        <f>U56*Paramètres!$B$72*Paramètres!$B$73</f>
        <v>0</v>
      </c>
      <c r="AP56" s="1"/>
      <c r="AQ56" s="1">
        <f>(Y56+AC56)*Paramètres!$B$42*Paramètres!$B$53</f>
        <v>0</v>
      </c>
      <c r="AR56" s="1"/>
      <c r="AS56" s="7">
        <f>ROUNDUP(D56*Paramètres!$B$23*Paramètres!$B$26,-1)</f>
        <v>0</v>
      </c>
      <c r="AT56" s="7"/>
      <c r="AU56" s="1"/>
      <c r="AV56" s="8"/>
      <c r="AW56" s="8"/>
      <c r="AX56" s="8"/>
      <c r="AY56" s="8"/>
      <c r="AZ56" s="8"/>
      <c r="BA56" s="8"/>
      <c r="BB56" s="44"/>
      <c r="BC56" s="44"/>
      <c r="BD56" s="8"/>
      <c r="BE56" s="8"/>
      <c r="BF56" s="8"/>
      <c r="BG56" s="44"/>
      <c r="BI56">
        <f t="shared" si="11"/>
        <v>0</v>
      </c>
    </row>
    <row r="57" spans="1:61" x14ac:dyDescent="0.25">
      <c r="B57" s="1"/>
      <c r="C57" s="1"/>
      <c r="D57" s="1"/>
      <c r="E57" s="1"/>
      <c r="F57" s="1"/>
      <c r="G57" s="54"/>
      <c r="H57" s="54"/>
      <c r="I57" s="54"/>
      <c r="J57" s="50">
        <f>F57*Paramètres!$B$3</f>
        <v>0</v>
      </c>
      <c r="K57" s="56">
        <f t="shared" si="0"/>
        <v>0</v>
      </c>
      <c r="L57" s="56">
        <f t="shared" si="1"/>
        <v>0</v>
      </c>
      <c r="M57" s="56">
        <f t="shared" si="2"/>
        <v>0</v>
      </c>
      <c r="N57" s="3">
        <f>ROUNDUP(J57*Paramètres!$B$19,-1)</f>
        <v>0</v>
      </c>
      <c r="O57" s="1">
        <f t="shared" si="3"/>
        <v>0</v>
      </c>
      <c r="P57" s="1">
        <f t="shared" si="4"/>
        <v>0</v>
      </c>
      <c r="Q57" s="3">
        <f t="shared" si="5"/>
        <v>0</v>
      </c>
      <c r="R57" s="47">
        <f>ROUNDUP(+K57/Paramètres!$B$4/Paramètres!$B$53,0)</f>
        <v>0</v>
      </c>
      <c r="S57" s="47">
        <f>ROUNDUP(+L57/Paramètres!$B$6/Paramètres!$B$53,0)</f>
        <v>0</v>
      </c>
      <c r="T57" s="47"/>
      <c r="U57" s="2">
        <f t="shared" si="6"/>
        <v>0</v>
      </c>
      <c r="V57" s="1">
        <f>R57*Paramètres!$B$7</f>
        <v>0</v>
      </c>
      <c r="W57" s="1">
        <f>S57*Paramètres!$B$9</f>
        <v>0</v>
      </c>
      <c r="X57" s="1"/>
      <c r="Y57" s="2">
        <f t="shared" si="7"/>
        <v>0</v>
      </c>
      <c r="Z57" s="7">
        <f>R57*Paramètres!$B$10</f>
        <v>0</v>
      </c>
      <c r="AA57" s="7">
        <f>S57*Paramètres!$B$10</f>
        <v>0</v>
      </c>
      <c r="AB57" s="7"/>
      <c r="AC57" s="2">
        <f t="shared" si="8"/>
        <v>0</v>
      </c>
      <c r="AD57" s="1">
        <f t="shared" si="12"/>
        <v>0</v>
      </c>
      <c r="AE57" s="1">
        <f t="shared" si="9"/>
        <v>0</v>
      </c>
      <c r="AF57" s="1">
        <f>IF(B57="",0,Paramètres!$B$53*1.5)</f>
        <v>0</v>
      </c>
      <c r="AG57" s="1">
        <f>IF(C57="",0,Paramètres!$B$53*1.5)</f>
        <v>0</v>
      </c>
      <c r="AH57" s="1"/>
      <c r="AI57" s="1"/>
      <c r="AJ57" s="1"/>
      <c r="AK57" s="1"/>
      <c r="AL57" s="1">
        <f>(U57*Paramètres!$B$53)*3</f>
        <v>0</v>
      </c>
      <c r="AM57" s="1">
        <f t="shared" si="10"/>
        <v>0</v>
      </c>
      <c r="AN57" s="1">
        <f>U57*Paramètres!$B$75</f>
        <v>0</v>
      </c>
      <c r="AO57" s="1">
        <f>U57*Paramètres!$B$72*Paramètres!$B$73</f>
        <v>0</v>
      </c>
      <c r="AP57" s="1"/>
      <c r="AQ57" s="1">
        <f>(Y57+AC57)*Paramètres!$B$42*Paramètres!$B$53</f>
        <v>0</v>
      </c>
      <c r="AR57" s="1"/>
      <c r="AS57" s="7">
        <f>ROUNDUP(D57*Paramètres!$B$23*Paramètres!$B$26,-1)</f>
        <v>0</v>
      </c>
      <c r="AT57" s="7"/>
      <c r="AU57" s="1"/>
      <c r="AV57" s="8"/>
      <c r="AW57" s="8"/>
      <c r="AX57" s="8"/>
      <c r="AY57" s="8"/>
      <c r="AZ57" s="8"/>
      <c r="BA57" s="8"/>
      <c r="BB57" s="44"/>
      <c r="BC57" s="44"/>
      <c r="BD57" s="8"/>
      <c r="BE57" s="8"/>
      <c r="BF57" s="8"/>
      <c r="BG57" s="44"/>
      <c r="BI57">
        <f t="shared" si="11"/>
        <v>0</v>
      </c>
    </row>
    <row r="58" spans="1:61" x14ac:dyDescent="0.25">
      <c r="B58" s="1"/>
      <c r="C58" s="1"/>
      <c r="D58" s="1"/>
      <c r="E58" s="1"/>
      <c r="F58" s="1"/>
      <c r="G58" s="54"/>
      <c r="H58" s="54"/>
      <c r="I58" s="54"/>
      <c r="J58" s="50">
        <f>F58*Paramètres!$B$3</f>
        <v>0</v>
      </c>
      <c r="K58" s="56">
        <f t="shared" si="0"/>
        <v>0</v>
      </c>
      <c r="L58" s="56">
        <f t="shared" si="1"/>
        <v>0</v>
      </c>
      <c r="M58" s="56">
        <f t="shared" si="2"/>
        <v>0</v>
      </c>
      <c r="N58" s="3">
        <f>ROUNDUP(J58*Paramètres!$B$19,-1)</f>
        <v>0</v>
      </c>
      <c r="O58" s="1">
        <f t="shared" si="3"/>
        <v>0</v>
      </c>
      <c r="P58" s="1">
        <f t="shared" si="4"/>
        <v>0</v>
      </c>
      <c r="Q58" s="3">
        <f t="shared" si="5"/>
        <v>0</v>
      </c>
      <c r="R58" s="47">
        <f>ROUNDUP(+K58/Paramètres!$B$4/Paramètres!$B$53,0)</f>
        <v>0</v>
      </c>
      <c r="S58" s="47">
        <f>ROUNDUP(+L58/Paramètres!$B$6/Paramètres!$B$53,0)</f>
        <v>0</v>
      </c>
      <c r="T58" s="47"/>
      <c r="U58" s="2">
        <f t="shared" si="6"/>
        <v>0</v>
      </c>
      <c r="V58" s="1">
        <f>R58*Paramètres!$B$7</f>
        <v>0</v>
      </c>
      <c r="W58" s="1">
        <f>S58*Paramètres!$B$9</f>
        <v>0</v>
      </c>
      <c r="X58" s="1"/>
      <c r="Y58" s="2">
        <f t="shared" si="7"/>
        <v>0</v>
      </c>
      <c r="Z58" s="7">
        <f>R58*Paramètres!$B$10</f>
        <v>0</v>
      </c>
      <c r="AA58" s="7">
        <f>S58*Paramètres!$B$10</f>
        <v>0</v>
      </c>
      <c r="AB58" s="7"/>
      <c r="AC58" s="2">
        <f t="shared" si="8"/>
        <v>0</v>
      </c>
      <c r="AD58" s="1">
        <f t="shared" si="12"/>
        <v>0</v>
      </c>
      <c r="AE58" s="1">
        <f t="shared" si="9"/>
        <v>0</v>
      </c>
      <c r="AF58" s="1">
        <f>IF(B58="",0,Paramètres!$B$53*1.5)</f>
        <v>0</v>
      </c>
      <c r="AG58" s="1">
        <f>IF(C58="",0,Paramètres!$B$53*1.5)</f>
        <v>0</v>
      </c>
      <c r="AH58" s="1"/>
      <c r="AI58" s="1"/>
      <c r="AJ58" s="1"/>
      <c r="AK58" s="1"/>
      <c r="AL58" s="1">
        <f>(U58*Paramètres!$B$53)*3</f>
        <v>0</v>
      </c>
      <c r="AM58" s="1">
        <f t="shared" si="10"/>
        <v>0</v>
      </c>
      <c r="AN58" s="1">
        <f>U58*Paramètres!$B$75</f>
        <v>0</v>
      </c>
      <c r="AO58" s="1">
        <f>U58*Paramètres!$B$72*Paramètres!$B$73</f>
        <v>0</v>
      </c>
      <c r="AP58" s="1"/>
      <c r="AQ58" s="1">
        <f>(Y58+AC58)*Paramètres!$B$42*Paramètres!$B$53</f>
        <v>0</v>
      </c>
      <c r="AR58" s="1"/>
      <c r="AS58" s="7">
        <f>ROUNDUP(D58*Paramètres!$B$23*Paramètres!$B$26,-1)</f>
        <v>0</v>
      </c>
      <c r="AT58" s="7"/>
      <c r="AU58" s="1"/>
      <c r="AV58" s="8"/>
      <c r="AW58" s="8"/>
      <c r="AX58" s="8"/>
      <c r="AY58" s="8"/>
      <c r="AZ58" s="8"/>
      <c r="BA58" s="8"/>
      <c r="BB58" s="44"/>
      <c r="BC58" s="44"/>
      <c r="BD58" s="8"/>
      <c r="BE58" s="8"/>
      <c r="BF58" s="8"/>
      <c r="BG58" s="44"/>
      <c r="BI58">
        <f t="shared" si="11"/>
        <v>0</v>
      </c>
    </row>
    <row r="59" spans="1:61" x14ac:dyDescent="0.25">
      <c r="B59" s="1"/>
      <c r="C59" s="1"/>
      <c r="D59" s="1"/>
      <c r="E59" s="1"/>
      <c r="F59" s="1"/>
      <c r="G59" s="54"/>
      <c r="H59" s="54"/>
      <c r="I59" s="54"/>
      <c r="J59" s="50">
        <f>F59*Paramètres!$B$3</f>
        <v>0</v>
      </c>
      <c r="K59" s="56">
        <f t="shared" si="0"/>
        <v>0</v>
      </c>
      <c r="L59" s="56">
        <f t="shared" si="1"/>
        <v>0</v>
      </c>
      <c r="M59" s="56">
        <f t="shared" si="2"/>
        <v>0</v>
      </c>
      <c r="N59" s="3">
        <f>ROUNDUP(J59*Paramètres!$B$19,-1)</f>
        <v>0</v>
      </c>
      <c r="O59" s="1">
        <f t="shared" si="3"/>
        <v>0</v>
      </c>
      <c r="P59" s="1">
        <f t="shared" si="4"/>
        <v>0</v>
      </c>
      <c r="Q59" s="3">
        <f t="shared" si="5"/>
        <v>0</v>
      </c>
      <c r="R59" s="47">
        <f>ROUNDUP(+K59/Paramètres!$B$4/Paramètres!$B$53,0)</f>
        <v>0</v>
      </c>
      <c r="S59" s="47">
        <f>ROUNDUP(+L59/Paramètres!$B$6/Paramètres!$B$53,0)</f>
        <v>0</v>
      </c>
      <c r="T59" s="47"/>
      <c r="U59" s="2">
        <f t="shared" si="6"/>
        <v>0</v>
      </c>
      <c r="V59" s="1">
        <f>R59*Paramètres!$B$7</f>
        <v>0</v>
      </c>
      <c r="W59" s="1">
        <f>S59*Paramètres!$B$9</f>
        <v>0</v>
      </c>
      <c r="X59" s="1"/>
      <c r="Y59" s="2">
        <f t="shared" si="7"/>
        <v>0</v>
      </c>
      <c r="Z59" s="7">
        <f>R59*Paramètres!$B$10</f>
        <v>0</v>
      </c>
      <c r="AA59" s="7">
        <f>S59*Paramètres!$B$10</f>
        <v>0</v>
      </c>
      <c r="AB59" s="7"/>
      <c r="AC59" s="2">
        <f t="shared" si="8"/>
        <v>0</v>
      </c>
      <c r="AD59" s="1">
        <f t="shared" si="12"/>
        <v>0</v>
      </c>
      <c r="AE59" s="1">
        <f t="shared" si="9"/>
        <v>0</v>
      </c>
      <c r="AF59" s="1">
        <f>IF(B59="",0,Paramètres!$B$53*1.5)</f>
        <v>0</v>
      </c>
      <c r="AG59" s="1">
        <f>IF(C59="",0,Paramètres!$B$53*1.5)</f>
        <v>0</v>
      </c>
      <c r="AH59" s="1"/>
      <c r="AI59" s="1"/>
      <c r="AJ59" s="1"/>
      <c r="AK59" s="1"/>
      <c r="AL59" s="1">
        <f>(U59*Paramètres!$B$53)*3</f>
        <v>0</v>
      </c>
      <c r="AM59" s="1">
        <f t="shared" si="10"/>
        <v>0</v>
      </c>
      <c r="AN59" s="1">
        <f>U59*Paramètres!$B$75</f>
        <v>0</v>
      </c>
      <c r="AO59" s="1">
        <f>U59*Paramètres!$B$72*Paramètres!$B$73</f>
        <v>0</v>
      </c>
      <c r="AP59" s="1"/>
      <c r="AQ59" s="1">
        <f>(Y59+AC59)*Paramètres!$B$42*Paramètres!$B$53</f>
        <v>0</v>
      </c>
      <c r="AR59" s="1"/>
      <c r="AS59" s="7">
        <f>ROUNDUP(D59*Paramètres!$B$23*Paramètres!$B$26,-1)</f>
        <v>0</v>
      </c>
      <c r="AT59" s="7"/>
      <c r="AU59" s="1"/>
      <c r="AV59" s="8"/>
      <c r="AW59" s="8"/>
      <c r="AX59" s="8"/>
      <c r="AY59" s="8"/>
      <c r="AZ59" s="8"/>
      <c r="BA59" s="8"/>
      <c r="BB59" s="44"/>
      <c r="BC59" s="44"/>
      <c r="BD59" s="8"/>
      <c r="BE59" s="8"/>
      <c r="BF59" s="8"/>
      <c r="BG59" s="44"/>
      <c r="BI59">
        <f t="shared" si="11"/>
        <v>0</v>
      </c>
    </row>
    <row r="60" spans="1:61" x14ac:dyDescent="0.25">
      <c r="B60" s="1"/>
      <c r="C60" s="1"/>
      <c r="D60" s="1"/>
      <c r="E60" s="1"/>
      <c r="F60" s="1"/>
      <c r="G60" s="54"/>
      <c r="H60" s="54"/>
      <c r="I60" s="54"/>
      <c r="J60" s="50">
        <f>F60*Paramètres!$B$3</f>
        <v>0</v>
      </c>
      <c r="K60" s="56">
        <f t="shared" si="0"/>
        <v>0</v>
      </c>
      <c r="L60" s="56">
        <f t="shared" si="1"/>
        <v>0</v>
      </c>
      <c r="M60" s="56">
        <f t="shared" si="2"/>
        <v>0</v>
      </c>
      <c r="N60" s="3">
        <f>ROUNDUP(J60*Paramètres!$B$19,-1)</f>
        <v>0</v>
      </c>
      <c r="O60" s="1">
        <f t="shared" si="3"/>
        <v>0</v>
      </c>
      <c r="P60" s="1">
        <f t="shared" si="4"/>
        <v>0</v>
      </c>
      <c r="Q60" s="3">
        <f t="shared" si="5"/>
        <v>0</v>
      </c>
      <c r="R60" s="47">
        <f>ROUNDUP(+K60/Paramètres!$B$4/Paramètres!$B$53,0)</f>
        <v>0</v>
      </c>
      <c r="S60" s="47">
        <f>ROUNDUP(+L60/Paramètres!$B$6/Paramètres!$B$53,0)</f>
        <v>0</v>
      </c>
      <c r="T60" s="47"/>
      <c r="U60" s="2">
        <f t="shared" si="6"/>
        <v>0</v>
      </c>
      <c r="V60" s="1">
        <f>R60*Paramètres!$B$7</f>
        <v>0</v>
      </c>
      <c r="W60" s="1">
        <f>S60*Paramètres!$B$9</f>
        <v>0</v>
      </c>
      <c r="X60" s="1"/>
      <c r="Y60" s="2">
        <f t="shared" si="7"/>
        <v>0</v>
      </c>
      <c r="Z60" s="7">
        <f>R60*Paramètres!$B$10</f>
        <v>0</v>
      </c>
      <c r="AA60" s="7">
        <f>S60*Paramètres!$B$10</f>
        <v>0</v>
      </c>
      <c r="AB60" s="7"/>
      <c r="AC60" s="2">
        <f t="shared" si="8"/>
        <v>0</v>
      </c>
      <c r="AD60" s="1">
        <f t="shared" si="12"/>
        <v>0</v>
      </c>
      <c r="AE60" s="1">
        <f t="shared" si="9"/>
        <v>0</v>
      </c>
      <c r="AF60" s="1">
        <f>IF(B60="",0,Paramètres!$B$53*1.5)</f>
        <v>0</v>
      </c>
      <c r="AG60" s="1">
        <f>IF(C60="",0,Paramètres!$B$53*1.5)</f>
        <v>0</v>
      </c>
      <c r="AH60" s="1"/>
      <c r="AI60" s="1"/>
      <c r="AJ60" s="1"/>
      <c r="AK60" s="1"/>
      <c r="AL60" s="1">
        <f>(U60*Paramètres!$B$53)*3</f>
        <v>0</v>
      </c>
      <c r="AM60" s="1">
        <f t="shared" si="10"/>
        <v>0</v>
      </c>
      <c r="AN60" s="1">
        <f>U60*Paramètres!$B$75</f>
        <v>0</v>
      </c>
      <c r="AO60" s="1">
        <f>U60*Paramètres!$B$72*Paramètres!$B$73</f>
        <v>0</v>
      </c>
      <c r="AP60" s="1"/>
      <c r="AQ60" s="1">
        <f>(Y60+AC60)*Paramètres!$B$42*Paramètres!$B$53</f>
        <v>0</v>
      </c>
      <c r="AR60" s="1"/>
      <c r="AS60" s="7">
        <f>ROUNDUP(D60*Paramètres!$B$23*Paramètres!$B$26,-1)</f>
        <v>0</v>
      </c>
      <c r="AT60" s="7"/>
      <c r="AU60" s="1"/>
      <c r="AV60" s="8"/>
      <c r="AW60" s="8"/>
      <c r="AX60" s="8"/>
      <c r="AY60" s="8"/>
      <c r="AZ60" s="8"/>
      <c r="BA60" s="8"/>
      <c r="BB60" s="44"/>
      <c r="BC60" s="44"/>
      <c r="BD60" s="8"/>
      <c r="BE60" s="8"/>
      <c r="BF60" s="8"/>
      <c r="BG60" s="44"/>
      <c r="BI60">
        <f t="shared" si="11"/>
        <v>0</v>
      </c>
    </row>
    <row r="61" spans="1:61" x14ac:dyDescent="0.25">
      <c r="B61" s="1"/>
      <c r="C61" s="1"/>
      <c r="D61" s="1"/>
      <c r="E61" s="1"/>
      <c r="F61" s="1"/>
      <c r="G61" s="54"/>
      <c r="H61" s="54"/>
      <c r="I61" s="54"/>
      <c r="J61" s="50">
        <f>F61*Paramètres!$B$3</f>
        <v>0</v>
      </c>
      <c r="K61" s="56">
        <f t="shared" si="0"/>
        <v>0</v>
      </c>
      <c r="L61" s="56">
        <f t="shared" si="1"/>
        <v>0</v>
      </c>
      <c r="M61" s="56">
        <f t="shared" si="2"/>
        <v>0</v>
      </c>
      <c r="N61" s="3">
        <f>ROUNDUP(J61*Paramètres!$B$19,-1)</f>
        <v>0</v>
      </c>
      <c r="O61" s="1">
        <f t="shared" si="3"/>
        <v>0</v>
      </c>
      <c r="P61" s="1">
        <f t="shared" si="4"/>
        <v>0</v>
      </c>
      <c r="Q61" s="3">
        <f t="shared" si="5"/>
        <v>0</v>
      </c>
      <c r="R61" s="47">
        <f>ROUNDUP(+K61/Paramètres!$B$4/Paramètres!$B$53,0)</f>
        <v>0</v>
      </c>
      <c r="S61" s="47">
        <f>ROUNDUP(+L61/Paramètres!$B$6/Paramètres!$B$53,0)</f>
        <v>0</v>
      </c>
      <c r="T61" s="47"/>
      <c r="U61" s="2">
        <f t="shared" si="6"/>
        <v>0</v>
      </c>
      <c r="V61" s="1">
        <f>R61*Paramètres!$B$7</f>
        <v>0</v>
      </c>
      <c r="W61" s="1">
        <f>S61*Paramètres!$B$9</f>
        <v>0</v>
      </c>
      <c r="X61" s="1"/>
      <c r="Y61" s="2">
        <f t="shared" si="7"/>
        <v>0</v>
      </c>
      <c r="Z61" s="7">
        <f>R61*Paramètres!$B$10</f>
        <v>0</v>
      </c>
      <c r="AA61" s="7">
        <f>S61*Paramètres!$B$10</f>
        <v>0</v>
      </c>
      <c r="AB61" s="7"/>
      <c r="AC61" s="2">
        <f t="shared" si="8"/>
        <v>0</v>
      </c>
      <c r="AD61" s="1">
        <f t="shared" si="12"/>
        <v>0</v>
      </c>
      <c r="AE61" s="1">
        <f t="shared" si="9"/>
        <v>0</v>
      </c>
      <c r="AF61" s="1">
        <f>IF(B61="",0,Paramètres!$B$53*1.5)</f>
        <v>0</v>
      </c>
      <c r="AG61" s="1">
        <f>IF(C61="",0,Paramètres!$B$53*1.5)</f>
        <v>0</v>
      </c>
      <c r="AH61" s="1"/>
      <c r="AI61" s="1"/>
      <c r="AJ61" s="1"/>
      <c r="AK61" s="1"/>
      <c r="AL61" s="1">
        <f>(U61*Paramètres!$B$53)*3</f>
        <v>0</v>
      </c>
      <c r="AM61" s="1">
        <f t="shared" si="10"/>
        <v>0</v>
      </c>
      <c r="AN61" s="1">
        <f>U61*Paramètres!$B$75</f>
        <v>0</v>
      </c>
      <c r="AO61" s="1">
        <f>U61*Paramètres!$B$72*Paramètres!$B$73</f>
        <v>0</v>
      </c>
      <c r="AP61" s="1"/>
      <c r="AQ61" s="1">
        <f>(Y61+AC61)*Paramètres!$B$42*Paramètres!$B$53</f>
        <v>0</v>
      </c>
      <c r="AR61" s="1"/>
      <c r="AS61" s="7">
        <f>ROUNDUP(D61*Paramètres!$B$23*Paramètres!$B$26,-1)</f>
        <v>0</v>
      </c>
      <c r="AT61" s="7"/>
      <c r="AU61" s="1"/>
      <c r="AV61" s="8"/>
      <c r="AW61" s="8"/>
      <c r="AX61" s="8"/>
      <c r="AY61" s="8"/>
      <c r="AZ61" s="8"/>
      <c r="BA61" s="8"/>
      <c r="BB61" s="44"/>
      <c r="BC61" s="44"/>
      <c r="BD61" s="8"/>
      <c r="BE61" s="8"/>
      <c r="BF61" s="8"/>
      <c r="BG61" s="44"/>
      <c r="BI61">
        <f t="shared" si="11"/>
        <v>0</v>
      </c>
    </row>
    <row r="62" spans="1:61" x14ac:dyDescent="0.25">
      <c r="B62" s="1"/>
      <c r="C62" s="1"/>
      <c r="D62" s="1"/>
      <c r="E62" s="1"/>
      <c r="F62" s="1"/>
      <c r="G62" s="54"/>
      <c r="H62" s="54"/>
      <c r="I62" s="54"/>
      <c r="J62" s="50">
        <f>F62*Paramètres!$B$3</f>
        <v>0</v>
      </c>
      <c r="K62" s="56">
        <f t="shared" si="0"/>
        <v>0</v>
      </c>
      <c r="L62" s="56">
        <f t="shared" si="1"/>
        <v>0</v>
      </c>
      <c r="M62" s="56">
        <f t="shared" si="2"/>
        <v>0</v>
      </c>
      <c r="N62" s="3">
        <f>ROUNDUP(J62*Paramètres!$B$19,-1)</f>
        <v>0</v>
      </c>
      <c r="O62" s="1">
        <f t="shared" si="3"/>
        <v>0</v>
      </c>
      <c r="P62" s="1">
        <f t="shared" si="4"/>
        <v>0</v>
      </c>
      <c r="Q62" s="3">
        <f t="shared" si="5"/>
        <v>0</v>
      </c>
      <c r="R62" s="47">
        <f>ROUNDUP(+K62/Paramètres!$B$4/Paramètres!$B$53,0)</f>
        <v>0</v>
      </c>
      <c r="S62" s="47">
        <f>ROUNDUP(+L62/Paramètres!$B$6/Paramètres!$B$53,0)</f>
        <v>0</v>
      </c>
      <c r="T62" s="47"/>
      <c r="U62" s="2">
        <f t="shared" si="6"/>
        <v>0</v>
      </c>
      <c r="V62" s="1">
        <f>R62*Paramètres!$B$7</f>
        <v>0</v>
      </c>
      <c r="W62" s="1">
        <f>S62*Paramètres!$B$9</f>
        <v>0</v>
      </c>
      <c r="X62" s="1"/>
      <c r="Y62" s="2">
        <f t="shared" si="7"/>
        <v>0</v>
      </c>
      <c r="Z62" s="7">
        <f>R62*Paramètres!$B$10</f>
        <v>0</v>
      </c>
      <c r="AA62" s="7">
        <f>S62*Paramètres!$B$10</f>
        <v>0</v>
      </c>
      <c r="AB62" s="7"/>
      <c r="AC62" s="2">
        <f t="shared" si="8"/>
        <v>0</v>
      </c>
      <c r="AD62" s="1">
        <f t="shared" si="12"/>
        <v>0</v>
      </c>
      <c r="AE62" s="1">
        <f t="shared" si="9"/>
        <v>0</v>
      </c>
      <c r="AF62" s="1">
        <f>IF(B62="",0,Paramètres!$B$53*1.5)</f>
        <v>0</v>
      </c>
      <c r="AG62" s="1">
        <f>IF(C62="",0,Paramètres!$B$53*1.5)</f>
        <v>0</v>
      </c>
      <c r="AH62" s="1"/>
      <c r="AI62" s="1"/>
      <c r="AJ62" s="1"/>
      <c r="AK62" s="1"/>
      <c r="AL62" s="1">
        <f>(U62*Paramètres!$B$53)*3</f>
        <v>0</v>
      </c>
      <c r="AM62" s="1">
        <f t="shared" si="10"/>
        <v>0</v>
      </c>
      <c r="AN62" s="1">
        <f>U62*Paramètres!$B$75</f>
        <v>0</v>
      </c>
      <c r="AO62" s="1">
        <f>U62*Paramètres!$B$72*Paramètres!$B$73</f>
        <v>0</v>
      </c>
      <c r="AP62" s="1"/>
      <c r="AQ62" s="1">
        <f>(Y62+AC62)*Paramètres!$B$42*Paramètres!$B$53</f>
        <v>0</v>
      </c>
      <c r="AR62" s="1"/>
      <c r="AS62" s="7">
        <f>ROUNDUP(D62*Paramètres!$B$23*Paramètres!$B$26,-1)</f>
        <v>0</v>
      </c>
      <c r="AT62" s="7"/>
      <c r="AU62" s="1"/>
      <c r="AV62" s="8"/>
      <c r="AW62" s="8"/>
      <c r="AX62" s="8"/>
      <c r="AY62" s="8"/>
      <c r="AZ62" s="8"/>
      <c r="BA62" s="8"/>
      <c r="BB62" s="44"/>
      <c r="BC62" s="44"/>
      <c r="BD62" s="8"/>
      <c r="BE62" s="8"/>
      <c r="BF62" s="8"/>
      <c r="BG62" s="44"/>
      <c r="BI62">
        <f t="shared" si="11"/>
        <v>0</v>
      </c>
    </row>
    <row r="63" spans="1:61" x14ac:dyDescent="0.25">
      <c r="B63" s="1"/>
      <c r="C63" s="1"/>
      <c r="D63" s="1"/>
      <c r="E63" s="1"/>
      <c r="F63" s="1"/>
      <c r="G63" s="54"/>
      <c r="H63" s="54"/>
      <c r="I63" s="54"/>
      <c r="J63" s="50">
        <f>F63*Paramètres!$B$3</f>
        <v>0</v>
      </c>
      <c r="K63" s="56">
        <f t="shared" si="0"/>
        <v>0</v>
      </c>
      <c r="L63" s="56">
        <f t="shared" si="1"/>
        <v>0</v>
      </c>
      <c r="M63" s="56">
        <f t="shared" si="2"/>
        <v>0</v>
      </c>
      <c r="N63" s="3">
        <f>ROUNDUP(J63*Paramètres!$B$19,-1)</f>
        <v>0</v>
      </c>
      <c r="O63" s="1">
        <f t="shared" si="3"/>
        <v>0</v>
      </c>
      <c r="P63" s="1">
        <f t="shared" si="4"/>
        <v>0</v>
      </c>
      <c r="Q63" s="3">
        <f t="shared" si="5"/>
        <v>0</v>
      </c>
      <c r="R63" s="47">
        <f>ROUNDUP(+K63/Paramètres!$B$4/Paramètres!$B$53,0)</f>
        <v>0</v>
      </c>
      <c r="S63" s="47">
        <f>ROUNDUP(+L63/Paramètres!$B$6/Paramètres!$B$53,0)</f>
        <v>0</v>
      </c>
      <c r="T63" s="47"/>
      <c r="U63" s="2">
        <f t="shared" si="6"/>
        <v>0</v>
      </c>
      <c r="V63" s="1">
        <f>R63*Paramètres!$B$7</f>
        <v>0</v>
      </c>
      <c r="W63" s="1">
        <f>S63*Paramètres!$B$9</f>
        <v>0</v>
      </c>
      <c r="X63" s="1"/>
      <c r="Y63" s="2">
        <f t="shared" si="7"/>
        <v>0</v>
      </c>
      <c r="Z63" s="7">
        <f>R63*Paramètres!$B$10</f>
        <v>0</v>
      </c>
      <c r="AA63" s="7">
        <f>S63*Paramètres!$B$10</f>
        <v>0</v>
      </c>
      <c r="AB63" s="7"/>
      <c r="AC63" s="2">
        <f t="shared" si="8"/>
        <v>0</v>
      </c>
      <c r="AD63" s="1">
        <f t="shared" si="12"/>
        <v>0</v>
      </c>
      <c r="AE63" s="1">
        <f t="shared" si="9"/>
        <v>0</v>
      </c>
      <c r="AF63" s="1">
        <f>IF(B63="",0,Paramètres!$B$53*1.5)</f>
        <v>0</v>
      </c>
      <c r="AG63" s="1">
        <f>IF(C63="",0,Paramètres!$B$53*1.5)</f>
        <v>0</v>
      </c>
      <c r="AH63" s="1"/>
      <c r="AI63" s="1"/>
      <c r="AJ63" s="1"/>
      <c r="AK63" s="1"/>
      <c r="AL63" s="1">
        <f>(U63*Paramètres!$B$53)*3</f>
        <v>0</v>
      </c>
      <c r="AM63" s="1">
        <f t="shared" si="10"/>
        <v>0</v>
      </c>
      <c r="AN63" s="1">
        <f>U63*Paramètres!$B$75</f>
        <v>0</v>
      </c>
      <c r="AO63" s="1">
        <f>U63*Paramètres!$B$72*Paramètres!$B$73</f>
        <v>0</v>
      </c>
      <c r="AP63" s="1"/>
      <c r="AQ63" s="1">
        <f>(Y63+AC63)*Paramètres!$B$42*Paramètres!$B$53</f>
        <v>0</v>
      </c>
      <c r="AR63" s="1"/>
      <c r="AS63" s="7">
        <f>ROUNDUP(D63*Paramètres!$B$23*Paramètres!$B$26,-1)</f>
        <v>0</v>
      </c>
      <c r="AT63" s="7"/>
      <c r="AU63" s="1"/>
      <c r="AV63" s="8"/>
      <c r="AW63" s="8"/>
      <c r="AX63" s="8"/>
      <c r="AY63" s="8"/>
      <c r="AZ63" s="8"/>
      <c r="BA63" s="8"/>
      <c r="BB63" s="44"/>
      <c r="BC63" s="44"/>
      <c r="BD63" s="8"/>
      <c r="BE63" s="8"/>
      <c r="BF63" s="8"/>
      <c r="BG63" s="44"/>
      <c r="BI63">
        <f t="shared" si="11"/>
        <v>0</v>
      </c>
    </row>
    <row r="64" spans="1:61" x14ac:dyDescent="0.25">
      <c r="B64" s="1"/>
      <c r="C64" s="1"/>
      <c r="D64" s="1"/>
      <c r="E64" s="1"/>
      <c r="F64" s="1"/>
      <c r="G64" s="54"/>
      <c r="H64" s="54"/>
      <c r="I64" s="54"/>
      <c r="J64" s="50">
        <f>F64*Paramètres!$B$3</f>
        <v>0</v>
      </c>
      <c r="K64" s="56">
        <f t="shared" si="0"/>
        <v>0</v>
      </c>
      <c r="L64" s="56">
        <f t="shared" si="1"/>
        <v>0</v>
      </c>
      <c r="M64" s="56">
        <f t="shared" si="2"/>
        <v>0</v>
      </c>
      <c r="N64" s="3">
        <f>ROUNDUP(J64*Paramètres!$B$19,-1)</f>
        <v>0</v>
      </c>
      <c r="O64" s="1">
        <f t="shared" si="3"/>
        <v>0</v>
      </c>
      <c r="P64" s="1">
        <f t="shared" si="4"/>
        <v>0</v>
      </c>
      <c r="Q64" s="3">
        <f t="shared" si="5"/>
        <v>0</v>
      </c>
      <c r="R64" s="47">
        <f>ROUNDUP(+K64/Paramètres!$B$4/Paramètres!$B$53,0)</f>
        <v>0</v>
      </c>
      <c r="S64" s="47">
        <f>ROUNDUP(+L64/Paramètres!$B$6/Paramètres!$B$53,0)</f>
        <v>0</v>
      </c>
      <c r="T64" s="47"/>
      <c r="U64" s="2">
        <f t="shared" si="6"/>
        <v>0</v>
      </c>
      <c r="V64" s="1">
        <f>R64*Paramètres!$B$7</f>
        <v>0</v>
      </c>
      <c r="W64" s="1">
        <f>S64*Paramètres!$B$9</f>
        <v>0</v>
      </c>
      <c r="X64" s="1"/>
      <c r="Y64" s="2">
        <f t="shared" si="7"/>
        <v>0</v>
      </c>
      <c r="Z64" s="7">
        <f>R64*Paramètres!$B$10</f>
        <v>0</v>
      </c>
      <c r="AA64" s="7">
        <f>S64*Paramètres!$B$10</f>
        <v>0</v>
      </c>
      <c r="AB64" s="7"/>
      <c r="AC64" s="2">
        <f t="shared" si="8"/>
        <v>0</v>
      </c>
      <c r="AD64" s="1">
        <f t="shared" si="12"/>
        <v>0</v>
      </c>
      <c r="AE64" s="1">
        <f t="shared" si="9"/>
        <v>0</v>
      </c>
      <c r="AF64" s="1">
        <f>IF(B64="",0,Paramètres!$B$53*1.5)</f>
        <v>0</v>
      </c>
      <c r="AG64" s="1">
        <f>IF(C64="",0,Paramètres!$B$53*1.5)</f>
        <v>0</v>
      </c>
      <c r="AH64" s="1"/>
      <c r="AI64" s="1"/>
      <c r="AJ64" s="1"/>
      <c r="AK64" s="1"/>
      <c r="AL64" s="1">
        <f>(U64*Paramètres!$B$53)*3</f>
        <v>0</v>
      </c>
      <c r="AM64" s="1">
        <f t="shared" si="10"/>
        <v>0</v>
      </c>
      <c r="AN64" s="1">
        <f>U64*Paramètres!$B$75</f>
        <v>0</v>
      </c>
      <c r="AO64" s="1">
        <f>U64*Paramètres!$B$72*Paramètres!$B$73</f>
        <v>0</v>
      </c>
      <c r="AP64" s="1"/>
      <c r="AQ64" s="1">
        <f>(Y64+AC64)*Paramètres!$B$42*Paramètres!$B$53</f>
        <v>0</v>
      </c>
      <c r="AR64" s="1"/>
      <c r="AS64" s="7">
        <f>ROUNDUP(D64*Paramètres!$B$23*Paramètres!$B$26,-1)</f>
        <v>0</v>
      </c>
      <c r="AT64" s="7"/>
      <c r="AU64" s="1"/>
      <c r="AV64" s="8"/>
      <c r="AW64" s="8"/>
      <c r="AX64" s="8"/>
      <c r="AY64" s="8"/>
      <c r="AZ64" s="8"/>
      <c r="BA64" s="8"/>
      <c r="BB64" s="44"/>
      <c r="BC64" s="44"/>
      <c r="BD64" s="8"/>
      <c r="BE64" s="8"/>
      <c r="BF64" s="8"/>
      <c r="BG64" s="44"/>
      <c r="BI64">
        <f t="shared" si="11"/>
        <v>0</v>
      </c>
    </row>
    <row r="65" spans="1:61" x14ac:dyDescent="0.25">
      <c r="B65" s="1"/>
      <c r="C65" s="1"/>
      <c r="D65" s="1"/>
      <c r="E65" s="1"/>
      <c r="F65" s="1"/>
      <c r="G65" s="54"/>
      <c r="H65" s="54"/>
      <c r="I65" s="54"/>
      <c r="J65" s="50">
        <f>F65*Paramètres!$B$3</f>
        <v>0</v>
      </c>
      <c r="K65" s="56">
        <f t="shared" si="0"/>
        <v>0</v>
      </c>
      <c r="L65" s="56">
        <f t="shared" si="1"/>
        <v>0</v>
      </c>
      <c r="M65" s="56">
        <f t="shared" si="2"/>
        <v>0</v>
      </c>
      <c r="N65" s="3">
        <f>ROUNDUP(J65*Paramètres!$B$19,-1)</f>
        <v>0</v>
      </c>
      <c r="O65" s="1">
        <f t="shared" si="3"/>
        <v>0</v>
      </c>
      <c r="P65" s="1">
        <f t="shared" si="4"/>
        <v>0</v>
      </c>
      <c r="Q65" s="3">
        <f t="shared" si="5"/>
        <v>0</v>
      </c>
      <c r="R65" s="47">
        <f>ROUNDUP(+K65/Paramètres!$B$4/Paramètres!$B$53,0)</f>
        <v>0</v>
      </c>
      <c r="S65" s="47">
        <f>ROUNDUP(+L65/Paramètres!$B$6/Paramètres!$B$53,0)</f>
        <v>0</v>
      </c>
      <c r="T65" s="47"/>
      <c r="U65" s="2">
        <f t="shared" si="6"/>
        <v>0</v>
      </c>
      <c r="V65" s="1">
        <f>R65*Paramètres!$B$7</f>
        <v>0</v>
      </c>
      <c r="W65" s="1">
        <f>S65*Paramètres!$B$9</f>
        <v>0</v>
      </c>
      <c r="X65" s="1"/>
      <c r="Y65" s="2">
        <f t="shared" si="7"/>
        <v>0</v>
      </c>
      <c r="Z65" s="7">
        <f>R65*Paramètres!$B$10</f>
        <v>0</v>
      </c>
      <c r="AA65" s="7">
        <f>S65*Paramètres!$B$10</f>
        <v>0</v>
      </c>
      <c r="AB65" s="7"/>
      <c r="AC65" s="2">
        <f t="shared" si="8"/>
        <v>0</v>
      </c>
      <c r="AD65" s="1">
        <f t="shared" si="12"/>
        <v>0</v>
      </c>
      <c r="AE65" s="1">
        <f t="shared" si="9"/>
        <v>0</v>
      </c>
      <c r="AF65" s="1">
        <f>IF(B65="",0,Paramètres!$B$53*1.5)</f>
        <v>0</v>
      </c>
      <c r="AG65" s="1">
        <f>IF(C65="",0,Paramètres!$B$53*1.5)</f>
        <v>0</v>
      </c>
      <c r="AH65" s="1"/>
      <c r="AI65" s="1"/>
      <c r="AJ65" s="1"/>
      <c r="AK65" s="1"/>
      <c r="AL65" s="1">
        <f>(U65*Paramètres!$B$53)*3</f>
        <v>0</v>
      </c>
      <c r="AM65" s="1">
        <f t="shared" si="10"/>
        <v>0</v>
      </c>
      <c r="AN65" s="1">
        <f>U65*Paramètres!$B$75</f>
        <v>0</v>
      </c>
      <c r="AO65" s="1">
        <f>U65*Paramètres!$B$72*Paramètres!$B$73</f>
        <v>0</v>
      </c>
      <c r="AP65" s="1"/>
      <c r="AQ65" s="1">
        <f>(Y65+AC65)*Paramètres!$B$42*Paramètres!$B$53</f>
        <v>0</v>
      </c>
      <c r="AR65" s="1"/>
      <c r="AS65" s="7">
        <f>ROUNDUP(D65*Paramètres!$B$23*Paramètres!$B$26,-1)</f>
        <v>0</v>
      </c>
      <c r="AT65" s="7"/>
      <c r="AU65" s="1"/>
      <c r="AV65" s="8"/>
      <c r="AW65" s="8"/>
      <c r="AX65" s="8"/>
      <c r="AY65" s="8"/>
      <c r="AZ65" s="8"/>
      <c r="BA65" s="8"/>
      <c r="BB65" s="44"/>
      <c r="BC65" s="44"/>
      <c r="BD65" s="8"/>
      <c r="BE65" s="8"/>
      <c r="BF65" s="8"/>
      <c r="BG65" s="44"/>
      <c r="BI65">
        <f t="shared" si="11"/>
        <v>0</v>
      </c>
    </row>
    <row r="66" spans="1:61" x14ac:dyDescent="0.25">
      <c r="B66" s="1"/>
      <c r="C66" s="1"/>
      <c r="D66" s="1"/>
      <c r="E66" s="1"/>
      <c r="F66" s="1"/>
      <c r="G66" s="54"/>
      <c r="H66" s="54"/>
      <c r="I66" s="54"/>
      <c r="J66" s="50">
        <f>F66*Paramètres!$B$3</f>
        <v>0</v>
      </c>
      <c r="K66" s="56">
        <f t="shared" si="0"/>
        <v>0</v>
      </c>
      <c r="L66" s="56">
        <f t="shared" si="1"/>
        <v>0</v>
      </c>
      <c r="M66" s="56">
        <f t="shared" si="2"/>
        <v>0</v>
      </c>
      <c r="N66" s="3">
        <f>ROUNDUP(J66*Paramètres!$B$19,-1)</f>
        <v>0</v>
      </c>
      <c r="O66" s="1">
        <f t="shared" si="3"/>
        <v>0</v>
      </c>
      <c r="P66" s="1">
        <f t="shared" si="4"/>
        <v>0</v>
      </c>
      <c r="Q66" s="3">
        <f t="shared" si="5"/>
        <v>0</v>
      </c>
      <c r="R66" s="47">
        <f>ROUNDUP(+K66/Paramètres!$B$4/Paramètres!$B$53,0)</f>
        <v>0</v>
      </c>
      <c r="S66" s="47">
        <f>ROUNDUP(+L66/Paramètres!$B$6/Paramètres!$B$53,0)</f>
        <v>0</v>
      </c>
      <c r="T66" s="47"/>
      <c r="U66" s="2">
        <f t="shared" si="6"/>
        <v>0</v>
      </c>
      <c r="V66" s="1">
        <f>R66*Paramètres!$B$7</f>
        <v>0</v>
      </c>
      <c r="W66" s="1">
        <f>S66*Paramètres!$B$9</f>
        <v>0</v>
      </c>
      <c r="X66" s="1"/>
      <c r="Y66" s="2">
        <f t="shared" si="7"/>
        <v>0</v>
      </c>
      <c r="Z66" s="7">
        <f>R66*Paramètres!$B$10</f>
        <v>0</v>
      </c>
      <c r="AA66" s="7">
        <f>S66*Paramètres!$B$10</f>
        <v>0</v>
      </c>
      <c r="AB66" s="7"/>
      <c r="AC66" s="2">
        <f t="shared" si="8"/>
        <v>0</v>
      </c>
      <c r="AD66" s="1">
        <f t="shared" si="12"/>
        <v>0</v>
      </c>
      <c r="AE66" s="1">
        <f t="shared" si="9"/>
        <v>0</v>
      </c>
      <c r="AF66" s="1">
        <f>IF(B66="",0,Paramètres!$B$53*1.5)</f>
        <v>0</v>
      </c>
      <c r="AG66" s="1">
        <f>IF(C66="",0,Paramètres!$B$53*1.5)</f>
        <v>0</v>
      </c>
      <c r="AH66" s="1"/>
      <c r="AI66" s="1"/>
      <c r="AJ66" s="1"/>
      <c r="AK66" s="1"/>
      <c r="AL66" s="1">
        <f>(U66*Paramètres!$B$53)*3</f>
        <v>0</v>
      </c>
      <c r="AM66" s="1">
        <f t="shared" si="10"/>
        <v>0</v>
      </c>
      <c r="AN66" s="1">
        <f>U66*Paramètres!$B$75</f>
        <v>0</v>
      </c>
      <c r="AO66" s="1">
        <f>U66*Paramètres!$B$72*Paramètres!$B$73</f>
        <v>0</v>
      </c>
      <c r="AP66" s="1"/>
      <c r="AQ66" s="1">
        <f>(Y66+AC66)*Paramètres!$B$42*Paramètres!$B$53</f>
        <v>0</v>
      </c>
      <c r="AR66" s="1"/>
      <c r="AS66" s="7">
        <f>ROUNDUP(D66*Paramètres!$B$23*Paramètres!$B$26,-1)</f>
        <v>0</v>
      </c>
      <c r="AT66" s="7"/>
      <c r="AU66" s="1"/>
      <c r="AV66" s="8"/>
      <c r="AW66" s="8"/>
      <c r="AX66" s="8"/>
      <c r="AY66" s="8"/>
      <c r="AZ66" s="8"/>
      <c r="BA66" s="8"/>
      <c r="BB66" s="44"/>
      <c r="BC66" s="44"/>
      <c r="BD66" s="8"/>
      <c r="BE66" s="8"/>
      <c r="BF66" s="8"/>
      <c r="BG66" s="44"/>
      <c r="BI66">
        <f t="shared" si="11"/>
        <v>0</v>
      </c>
    </row>
    <row r="67" spans="1:61" x14ac:dyDescent="0.25">
      <c r="B67" s="1"/>
      <c r="C67" s="1"/>
      <c r="D67" s="1"/>
      <c r="E67" s="1"/>
      <c r="F67" s="1"/>
      <c r="G67" s="54"/>
      <c r="H67" s="54"/>
      <c r="I67" s="54"/>
      <c r="J67" s="50">
        <f>F67*Paramètres!$B$3</f>
        <v>0</v>
      </c>
      <c r="K67" s="56">
        <f t="shared" si="0"/>
        <v>0</v>
      </c>
      <c r="L67" s="56">
        <f t="shared" si="1"/>
        <v>0</v>
      </c>
      <c r="M67" s="56">
        <f t="shared" si="2"/>
        <v>0</v>
      </c>
      <c r="N67" s="3">
        <f>ROUNDUP(J67*Paramètres!$B$19,-1)</f>
        <v>0</v>
      </c>
      <c r="O67" s="1">
        <f t="shared" si="3"/>
        <v>0</v>
      </c>
      <c r="P67" s="1">
        <f t="shared" si="4"/>
        <v>0</v>
      </c>
      <c r="Q67" s="3">
        <f t="shared" si="5"/>
        <v>0</v>
      </c>
      <c r="R67" s="47">
        <f>ROUNDUP(+K67/Paramètres!$B$4/Paramètres!$B$53,0)</f>
        <v>0</v>
      </c>
      <c r="S67" s="47">
        <f>ROUNDUP(+L67/Paramètres!$B$6/Paramètres!$B$53,0)</f>
        <v>0</v>
      </c>
      <c r="T67" s="47"/>
      <c r="U67" s="2">
        <f t="shared" si="6"/>
        <v>0</v>
      </c>
      <c r="V67" s="1">
        <f>R67*Paramètres!$B$7</f>
        <v>0</v>
      </c>
      <c r="W67" s="1">
        <f>S67*Paramètres!$B$9</f>
        <v>0</v>
      </c>
      <c r="X67" s="1"/>
      <c r="Y67" s="2">
        <f t="shared" si="7"/>
        <v>0</v>
      </c>
      <c r="Z67" s="7">
        <f>R67*Paramètres!$B$10</f>
        <v>0</v>
      </c>
      <c r="AA67" s="7">
        <f>S67*Paramètres!$B$10</f>
        <v>0</v>
      </c>
      <c r="AB67" s="7"/>
      <c r="AC67" s="2">
        <f t="shared" si="8"/>
        <v>0</v>
      </c>
      <c r="AD67" s="1">
        <f t="shared" si="12"/>
        <v>0</v>
      </c>
      <c r="AE67" s="1">
        <f t="shared" si="9"/>
        <v>0</v>
      </c>
      <c r="AF67" s="1">
        <f>IF(B67="",0,Paramètres!$B$53*1.5)</f>
        <v>0</v>
      </c>
      <c r="AG67" s="1">
        <f>IF(C67="",0,Paramètres!$B$53*1.5)</f>
        <v>0</v>
      </c>
      <c r="AH67" s="1"/>
      <c r="AI67" s="1"/>
      <c r="AJ67" s="1"/>
      <c r="AK67" s="1"/>
      <c r="AL67" s="1">
        <f>(U67*Paramètres!$B$53)*3</f>
        <v>0</v>
      </c>
      <c r="AM67" s="1">
        <f t="shared" si="10"/>
        <v>0</v>
      </c>
      <c r="AN67" s="1">
        <f>U67*Paramètres!$B$75</f>
        <v>0</v>
      </c>
      <c r="AO67" s="1">
        <f>U67*Paramètres!$B$72*Paramètres!$B$73</f>
        <v>0</v>
      </c>
      <c r="AP67" s="1"/>
      <c r="AQ67" s="1">
        <f>(Y67+AC67)*Paramètres!$B$42*Paramètres!$B$53</f>
        <v>0</v>
      </c>
      <c r="AR67" s="1"/>
      <c r="AS67" s="7">
        <f>ROUNDUP(D67*Paramètres!$B$23*Paramètres!$B$26,-1)</f>
        <v>0</v>
      </c>
      <c r="AT67" s="7"/>
      <c r="AU67" s="1"/>
      <c r="AV67" s="8"/>
      <c r="AW67" s="8"/>
      <c r="AX67" s="8"/>
      <c r="AY67" s="8"/>
      <c r="AZ67" s="8"/>
      <c r="BA67" s="8"/>
      <c r="BB67" s="44"/>
      <c r="BC67" s="44"/>
      <c r="BD67" s="8"/>
      <c r="BE67" s="8"/>
      <c r="BF67" s="8"/>
      <c r="BG67" s="44"/>
      <c r="BI67">
        <f t="shared" si="11"/>
        <v>0</v>
      </c>
    </row>
    <row r="68" spans="1:61" x14ac:dyDescent="0.25">
      <c r="B68" s="1"/>
      <c r="C68" s="1"/>
      <c r="D68" s="1"/>
      <c r="E68" s="1"/>
      <c r="F68" s="1"/>
      <c r="G68" s="54"/>
      <c r="H68" s="54"/>
      <c r="I68" s="54"/>
      <c r="J68" s="50">
        <f>F68*Paramètres!$B$3</f>
        <v>0</v>
      </c>
      <c r="K68" s="56">
        <f>J68*G68</f>
        <v>0</v>
      </c>
      <c r="L68" s="56">
        <f>J68*H68</f>
        <v>0</v>
      </c>
      <c r="M68" s="56">
        <f>J68*I68</f>
        <v>0</v>
      </c>
      <c r="N68" s="3">
        <f>ROUNDUP(J68*Paramètres!$B$19,-1)</f>
        <v>0</v>
      </c>
      <c r="O68" s="1">
        <f>N68</f>
        <v>0</v>
      </c>
      <c r="P68" s="1">
        <f>O68/10</f>
        <v>0</v>
      </c>
      <c r="Q68" s="3">
        <f>ROUNDUP((O68+P68)/100,-1)</f>
        <v>0</v>
      </c>
      <c r="R68" s="47">
        <f>ROUNDUP(+K68/Paramètres!$B$4/Paramètres!$B$53,0)</f>
        <v>0</v>
      </c>
      <c r="S68" s="47">
        <f>ROUNDUP(+L68/Paramètres!$B$6/Paramètres!$B$53,0)</f>
        <v>0</v>
      </c>
      <c r="T68" s="47"/>
      <c r="U68" s="2">
        <f>R68+S68+T68</f>
        <v>0</v>
      </c>
      <c r="V68" s="1">
        <f>R68*Paramètres!$B$7</f>
        <v>0</v>
      </c>
      <c r="W68" s="1">
        <f>S68*Paramètres!$B$9</f>
        <v>0</v>
      </c>
      <c r="X68" s="1"/>
      <c r="Y68" s="2">
        <f>V68+W68+X68</f>
        <v>0</v>
      </c>
      <c r="Z68" s="7">
        <f>R68*Paramètres!$B$10</f>
        <v>0</v>
      </c>
      <c r="AA68" s="7">
        <f>S68*Paramètres!$B$10</f>
        <v>0</v>
      </c>
      <c r="AB68" s="7"/>
      <c r="AC68" s="2">
        <f>Z68+AA68+AB68</f>
        <v>0</v>
      </c>
      <c r="AD68" s="1">
        <f t="shared" si="12"/>
        <v>0</v>
      </c>
      <c r="AE68" s="1">
        <f>ROUNDUP((U68/200)*2,0)*10</f>
        <v>0</v>
      </c>
      <c r="AF68" s="1">
        <f>IF(B68="",0,Paramètres!$B$53*1.5)</f>
        <v>0</v>
      </c>
      <c r="AG68" s="1">
        <f>IF(C68="",0,Paramètres!$B$53*1.5)</f>
        <v>0</v>
      </c>
      <c r="AH68" s="1"/>
      <c r="AI68" s="1"/>
      <c r="AJ68" s="1"/>
      <c r="AK68" s="1"/>
      <c r="AL68" s="1">
        <f>(U68*Paramètres!$B$53)*3</f>
        <v>0</v>
      </c>
      <c r="AM68" s="1">
        <f>N68</f>
        <v>0</v>
      </c>
      <c r="AN68" s="1">
        <f>U68*Paramètres!$B$75</f>
        <v>0</v>
      </c>
      <c r="AO68" s="1">
        <f>U68*Paramètres!$B$72*Paramètres!$B$73</f>
        <v>0</v>
      </c>
      <c r="AP68" s="1"/>
      <c r="AQ68" s="1">
        <f>(Y68+AC68)*Paramètres!$B$42*Paramètres!$B$53</f>
        <v>0</v>
      </c>
      <c r="AR68" s="1"/>
      <c r="AS68" s="7">
        <f>ROUNDUP(D68*Paramètres!$B$23*Paramètres!$B$26,-1)</f>
        <v>0</v>
      </c>
      <c r="AT68" s="7"/>
      <c r="AU68" s="1"/>
      <c r="AV68" s="8"/>
      <c r="AW68" s="8"/>
      <c r="AX68" s="8"/>
      <c r="AY68" s="8"/>
      <c r="AZ68" s="8"/>
      <c r="BA68" s="8"/>
      <c r="BB68" s="44"/>
      <c r="BC68" s="44"/>
      <c r="BD68" s="8"/>
      <c r="BE68" s="8"/>
      <c r="BF68" s="8"/>
      <c r="BG68" s="44"/>
      <c r="BI68">
        <f>AQ68+AS68</f>
        <v>0</v>
      </c>
    </row>
    <row r="69" spans="1:61" x14ac:dyDescent="0.25">
      <c r="B69" s="1"/>
      <c r="C69" s="1"/>
      <c r="D69" s="1"/>
      <c r="E69" s="1"/>
      <c r="F69" s="1"/>
      <c r="G69" s="54"/>
      <c r="H69" s="54"/>
      <c r="I69" s="54"/>
      <c r="J69" s="50">
        <f>F69*Paramètres!$B$3</f>
        <v>0</v>
      </c>
      <c r="K69" s="56">
        <f>J69*G69</f>
        <v>0</v>
      </c>
      <c r="L69" s="56">
        <f>J69*H69</f>
        <v>0</v>
      </c>
      <c r="M69" s="56">
        <f>J69*I69</f>
        <v>0</v>
      </c>
      <c r="N69" s="3">
        <f>ROUNDUP(J69*Paramètres!$B$19,-1)</f>
        <v>0</v>
      </c>
      <c r="O69" s="1">
        <f>N69</f>
        <v>0</v>
      </c>
      <c r="P69" s="1">
        <f>O69/10</f>
        <v>0</v>
      </c>
      <c r="Q69" s="3">
        <f>ROUNDUP((O69+P69)/100,-1)</f>
        <v>0</v>
      </c>
      <c r="R69" s="47">
        <f>ROUNDUP(+K69/Paramètres!$B$4/Paramètres!$B$53,0)</f>
        <v>0</v>
      </c>
      <c r="S69" s="47">
        <f>ROUNDUP(+L69/Paramètres!$B$6/Paramètres!$B$53,0)</f>
        <v>0</v>
      </c>
      <c r="T69" s="47"/>
      <c r="U69" s="2">
        <f>R69+S69+T69</f>
        <v>0</v>
      </c>
      <c r="V69" s="1">
        <f>R69*Paramètres!$B$7</f>
        <v>0</v>
      </c>
      <c r="W69" s="1">
        <f>S69*Paramètres!$B$9</f>
        <v>0</v>
      </c>
      <c r="X69" s="1"/>
      <c r="Y69" s="2">
        <f>V69+W69+X69</f>
        <v>0</v>
      </c>
      <c r="Z69" s="7">
        <f>R69*Paramètres!$B$10</f>
        <v>0</v>
      </c>
      <c r="AA69" s="7">
        <f>S69*Paramètres!$B$10</f>
        <v>0</v>
      </c>
      <c r="AB69" s="7"/>
      <c r="AC69" s="2">
        <f>Z69+AA69+AB69</f>
        <v>0</v>
      </c>
      <c r="AD69" s="1">
        <f>U69</f>
        <v>0</v>
      </c>
      <c r="AE69" s="1">
        <f>ROUNDUP((U69/200)*2,0)*10</f>
        <v>0</v>
      </c>
      <c r="AF69" s="1">
        <f>IF(B69="",0,Paramètres!$B$53*1.5)</f>
        <v>0</v>
      </c>
      <c r="AG69" s="1">
        <f>IF(C69="",0,Paramètres!$B$53*1.5)</f>
        <v>0</v>
      </c>
      <c r="AH69" s="1"/>
      <c r="AI69" s="1"/>
      <c r="AJ69" s="1"/>
      <c r="AK69" s="1"/>
      <c r="AL69" s="1">
        <f>(U69*Paramètres!$B$53)*3</f>
        <v>0</v>
      </c>
      <c r="AM69" s="1">
        <f>N69</f>
        <v>0</v>
      </c>
      <c r="AN69" s="1">
        <f>U69*Paramètres!$B$75</f>
        <v>0</v>
      </c>
      <c r="AO69" s="1">
        <f>U69*Paramètres!$B$72*Paramètres!$B$73</f>
        <v>0</v>
      </c>
      <c r="AP69" s="1"/>
      <c r="AQ69" s="1">
        <f>(Y69+AC69)*Paramètres!$B$42*Paramètres!$B$53</f>
        <v>0</v>
      </c>
      <c r="AR69" s="1"/>
      <c r="AS69" s="7">
        <f>ROUNDUP(D69*Paramètres!$B$23*Paramètres!$B$26,-1)</f>
        <v>0</v>
      </c>
      <c r="AT69" s="7"/>
      <c r="AU69" s="1"/>
      <c r="AV69" s="8"/>
      <c r="AW69" s="8"/>
      <c r="AX69" s="8"/>
      <c r="AY69" s="8"/>
      <c r="AZ69" s="8"/>
      <c r="BA69" s="8"/>
      <c r="BB69" s="44"/>
      <c r="BC69" s="44"/>
      <c r="BD69" s="8"/>
      <c r="BE69" s="8"/>
      <c r="BF69" s="8"/>
      <c r="BG69" s="44"/>
      <c r="BI69">
        <f>AQ69+AS69</f>
        <v>0</v>
      </c>
    </row>
    <row r="70" spans="1:61" x14ac:dyDescent="0.25">
      <c r="B70" s="1"/>
      <c r="C70" s="1"/>
      <c r="D70" s="1"/>
      <c r="E70" s="1"/>
      <c r="F70" s="1"/>
      <c r="G70" s="54"/>
      <c r="H70" s="54"/>
      <c r="I70" s="54"/>
      <c r="J70" s="50">
        <f>F70*Paramètres!$B$3</f>
        <v>0</v>
      </c>
      <c r="K70" s="56">
        <f>J70*G70</f>
        <v>0</v>
      </c>
      <c r="L70" s="56">
        <f>J70*H70</f>
        <v>0</v>
      </c>
      <c r="M70" s="56">
        <f>J70*I70</f>
        <v>0</v>
      </c>
      <c r="N70" s="3">
        <f>ROUNDUP(J70*Paramètres!$B$19,-1)</f>
        <v>0</v>
      </c>
      <c r="O70" s="1">
        <f>N70</f>
        <v>0</v>
      </c>
      <c r="P70" s="1">
        <f>O70/10</f>
        <v>0</v>
      </c>
      <c r="Q70" s="3">
        <f>ROUNDUP((O70+P70)/100,-1)</f>
        <v>0</v>
      </c>
      <c r="R70" s="47">
        <f>ROUNDUP(+K70/Paramètres!$B$4/Paramètres!$B$53,0)</f>
        <v>0</v>
      </c>
      <c r="S70" s="47">
        <f>ROUNDUP(+L70/Paramètres!$B$6/Paramètres!$B$53,0)</f>
        <v>0</v>
      </c>
      <c r="T70" s="47"/>
      <c r="U70" s="2">
        <f>R70+S70+T70</f>
        <v>0</v>
      </c>
      <c r="V70" s="1">
        <f>R70*Paramètres!$B$7</f>
        <v>0</v>
      </c>
      <c r="W70" s="1">
        <f>S70*Paramètres!$B$9</f>
        <v>0</v>
      </c>
      <c r="X70" s="1"/>
      <c r="Y70" s="2">
        <f>V70+W70+X70</f>
        <v>0</v>
      </c>
      <c r="Z70" s="7">
        <f>R70*Paramètres!$B$10</f>
        <v>0</v>
      </c>
      <c r="AA70" s="7">
        <f>S70*Paramètres!$B$10</f>
        <v>0</v>
      </c>
      <c r="AB70" s="7"/>
      <c r="AC70" s="2">
        <f>Z70+AA70+AB70</f>
        <v>0</v>
      </c>
      <c r="AD70" s="1">
        <f>U70</f>
        <v>0</v>
      </c>
      <c r="AE70" s="1">
        <f>ROUNDUP((U70/200)*2,0)*10</f>
        <v>0</v>
      </c>
      <c r="AF70" s="1">
        <f>IF(B70="",0,Paramètres!$B$53*1.5)</f>
        <v>0</v>
      </c>
      <c r="AG70" s="1">
        <f>IF(C70="",0,Paramètres!$B$53*1.5)</f>
        <v>0</v>
      </c>
      <c r="AH70" s="1"/>
      <c r="AI70" s="1"/>
      <c r="AJ70" s="1"/>
      <c r="AK70" s="1"/>
      <c r="AL70" s="1">
        <f>(U70*Paramètres!$B$53)*3</f>
        <v>0</v>
      </c>
      <c r="AM70" s="1">
        <f>N70</f>
        <v>0</v>
      </c>
      <c r="AN70" s="1">
        <f>U70*Paramètres!$B$75</f>
        <v>0</v>
      </c>
      <c r="AO70" s="1">
        <f>U70*Paramètres!$B$72*Paramètres!$B$73</f>
        <v>0</v>
      </c>
      <c r="AP70" s="1"/>
      <c r="AQ70" s="1">
        <f>(Y70+AC70)*Paramètres!$B$42*Paramètres!$B$53</f>
        <v>0</v>
      </c>
      <c r="AR70" s="1"/>
      <c r="AS70" s="7">
        <f>ROUNDUP(D70*Paramètres!$B$23*Paramètres!$B$26,-1)</f>
        <v>0</v>
      </c>
      <c r="AT70" s="7"/>
      <c r="AU70" s="1"/>
      <c r="AV70" s="8"/>
      <c r="AW70" s="8"/>
      <c r="AX70" s="8"/>
      <c r="AY70" s="8"/>
      <c r="AZ70" s="8"/>
      <c r="BA70" s="8"/>
      <c r="BB70" s="44"/>
      <c r="BC70" s="44"/>
      <c r="BD70" s="8"/>
      <c r="BE70" s="8"/>
      <c r="BF70" s="8"/>
      <c r="BG70" s="44"/>
      <c r="BI70">
        <f>AQ70+AS70</f>
        <v>0</v>
      </c>
    </row>
    <row r="71" spans="1:61" x14ac:dyDescent="0.25">
      <c r="B71" s="1"/>
      <c r="C71" s="1"/>
      <c r="D71" s="1"/>
      <c r="E71" s="1"/>
      <c r="F71" s="1"/>
      <c r="G71" s="54"/>
      <c r="H71" s="54"/>
      <c r="I71" s="54"/>
      <c r="J71" s="50">
        <f>F71*Paramètres!$B$3</f>
        <v>0</v>
      </c>
      <c r="K71" s="56">
        <f>J71*G71</f>
        <v>0</v>
      </c>
      <c r="L71" s="56">
        <f>J71*H71</f>
        <v>0</v>
      </c>
      <c r="M71" s="56">
        <f>J71*I71</f>
        <v>0</v>
      </c>
      <c r="N71" s="3">
        <f>ROUNDUP(J71*Paramètres!$B$19,-1)</f>
        <v>0</v>
      </c>
      <c r="O71" s="1">
        <f>N71</f>
        <v>0</v>
      </c>
      <c r="P71" s="1">
        <f>O71/10</f>
        <v>0</v>
      </c>
      <c r="Q71" s="3">
        <f>ROUNDUP((O71+P71)/100,-1)</f>
        <v>0</v>
      </c>
      <c r="R71" s="47">
        <f>ROUNDUP(+K71/Paramètres!$B$4/Paramètres!$B$53,0)</f>
        <v>0</v>
      </c>
      <c r="S71" s="47">
        <f>ROUNDUP(+L71/Paramètres!$B$6/Paramètres!$B$53,0)</f>
        <v>0</v>
      </c>
      <c r="T71" s="47"/>
      <c r="U71" s="2">
        <f>R71+S71+T71</f>
        <v>0</v>
      </c>
      <c r="V71" s="1">
        <f>R71*Paramètres!$B$7</f>
        <v>0</v>
      </c>
      <c r="W71" s="1">
        <f>S71*Paramètres!$B$9</f>
        <v>0</v>
      </c>
      <c r="X71" s="1"/>
      <c r="Y71" s="2">
        <f>V71+W71+X71</f>
        <v>0</v>
      </c>
      <c r="Z71" s="7">
        <f>R71*Paramètres!$B$10</f>
        <v>0</v>
      </c>
      <c r="AA71" s="7">
        <f>S71*Paramètres!$B$10</f>
        <v>0</v>
      </c>
      <c r="AB71" s="7"/>
      <c r="AC71" s="2">
        <f>Z71+AA71+AB71</f>
        <v>0</v>
      </c>
      <c r="AD71" s="1">
        <f>U71</f>
        <v>0</v>
      </c>
      <c r="AE71" s="1">
        <f>ROUNDUP((U71/200)*2,0)*10</f>
        <v>0</v>
      </c>
      <c r="AF71" s="1">
        <f>IF(B71="",0,Paramètres!$B$53*1.5)</f>
        <v>0</v>
      </c>
      <c r="AG71" s="1">
        <f>IF(C71="",0,Paramètres!$B$53*1.5)</f>
        <v>0</v>
      </c>
      <c r="AH71" s="1"/>
      <c r="AI71" s="1"/>
      <c r="AJ71" s="1"/>
      <c r="AK71" s="1"/>
      <c r="AL71" s="1">
        <f>(U71*Paramètres!$B$53)*3</f>
        <v>0</v>
      </c>
      <c r="AM71" s="1">
        <f>N71</f>
        <v>0</v>
      </c>
      <c r="AN71" s="1">
        <f>U71*Paramètres!$B$75</f>
        <v>0</v>
      </c>
      <c r="AO71" s="1">
        <f>U71*Paramètres!$B$72*Paramètres!$B$73</f>
        <v>0</v>
      </c>
      <c r="AP71" s="1"/>
      <c r="AQ71" s="1">
        <f>(Y71+AC71)*Paramètres!$B$42*Paramètres!$B$53</f>
        <v>0</v>
      </c>
      <c r="AR71" s="1"/>
      <c r="AS71" s="7">
        <f>ROUNDUP(D71*Paramètres!$B$23*Paramètres!$B$26,-1)</f>
        <v>0</v>
      </c>
      <c r="AT71" s="7"/>
      <c r="AU71" s="1"/>
      <c r="AV71" s="8"/>
      <c r="AW71" s="8"/>
      <c r="AX71" s="8"/>
      <c r="AY71" s="8"/>
      <c r="AZ71" s="8"/>
      <c r="BA71" s="8"/>
      <c r="BB71" s="44"/>
      <c r="BC71" s="44"/>
      <c r="BD71" s="8"/>
      <c r="BE71" s="8"/>
      <c r="BF71" s="8"/>
      <c r="BG71" s="44"/>
      <c r="BI71">
        <f>AQ71+AS71</f>
        <v>0</v>
      </c>
    </row>
    <row r="72" spans="1:61" x14ac:dyDescent="0.25">
      <c r="A72" s="5">
        <v>0</v>
      </c>
      <c r="B72" s="5" t="s">
        <v>5</v>
      </c>
      <c r="C72" s="5">
        <f>SUM(C3:C71)</f>
        <v>0</v>
      </c>
      <c r="D72" s="5">
        <f t="shared" ref="D72:S72" si="13">SUM(D3:D71)</f>
        <v>0</v>
      </c>
      <c r="E72" s="5">
        <f t="shared" si="13"/>
        <v>0</v>
      </c>
      <c r="F72" s="5"/>
      <c r="G72" s="55"/>
      <c r="H72" s="55"/>
      <c r="I72" s="55"/>
      <c r="J72" s="51">
        <f>SUM(J3:J71)</f>
        <v>0</v>
      </c>
      <c r="K72" s="57">
        <f t="shared" si="13"/>
        <v>0</v>
      </c>
      <c r="L72" s="57">
        <f t="shared" si="13"/>
        <v>0</v>
      </c>
      <c r="M72" s="57">
        <f t="shared" si="13"/>
        <v>0</v>
      </c>
      <c r="N72" s="5">
        <f t="shared" si="13"/>
        <v>0</v>
      </c>
      <c r="O72" s="5">
        <f t="shared" si="13"/>
        <v>0</v>
      </c>
      <c r="P72" s="5">
        <f t="shared" si="13"/>
        <v>0</v>
      </c>
      <c r="Q72" s="5">
        <f t="shared" si="13"/>
        <v>0</v>
      </c>
      <c r="R72" s="5">
        <f t="shared" si="13"/>
        <v>0</v>
      </c>
      <c r="S72" s="5">
        <f t="shared" si="13"/>
        <v>0</v>
      </c>
      <c r="T72" s="5">
        <f>ROUNDUP(+M72/Paramètres!$B$5/Paramètres!$B$53,0)</f>
        <v>0</v>
      </c>
      <c r="U72" s="6">
        <f>R72+S72+T72</f>
        <v>0</v>
      </c>
      <c r="V72" s="6">
        <f>SUM(V3:V71)</f>
        <v>0</v>
      </c>
      <c r="W72" s="6">
        <f>SUM(W3:W71)</f>
        <v>0</v>
      </c>
      <c r="X72" s="6">
        <f>(T72*Paramètres!B8+T72)</f>
        <v>0</v>
      </c>
      <c r="Y72" s="6">
        <f>SUM(Y3:Y71)</f>
        <v>0</v>
      </c>
      <c r="Z72" s="6">
        <f>SUM(Z3:Z71)</f>
        <v>0</v>
      </c>
      <c r="AA72" s="6">
        <f>SUM(AA3:AA71)</f>
        <v>0</v>
      </c>
      <c r="AB72" s="6">
        <f>T72*Paramètres!B10</f>
        <v>0</v>
      </c>
      <c r="AC72" s="6">
        <f>SUM(AC3:AC71)</f>
        <v>0</v>
      </c>
      <c r="AD72" s="6">
        <f>SUM(AD3:AD71)</f>
        <v>0</v>
      </c>
      <c r="AE72" s="6">
        <f>SUM(AE3:AE71)</f>
        <v>0</v>
      </c>
      <c r="AF72" s="6">
        <f>SUM(AF3:AF71)</f>
        <v>0</v>
      </c>
      <c r="AG72" s="6">
        <f>SUM(AG3:AG71)</f>
        <v>0</v>
      </c>
      <c r="AH72" s="6">
        <f>IF(Q72=0,0,Paramètres!$B$53*2)</f>
        <v>0</v>
      </c>
      <c r="AI72" s="5">
        <f>IF(N72=0,0,Paramètres!$B$53*3)</f>
        <v>0</v>
      </c>
      <c r="AJ72" s="6"/>
      <c r="AK72" s="6"/>
      <c r="AL72" s="6">
        <f>SUM(AL3:AL71)</f>
        <v>0</v>
      </c>
      <c r="AM72" s="6">
        <f>SUM(AM3:AM71)</f>
        <v>0</v>
      </c>
      <c r="AN72" s="6">
        <f>SUM(AN3:AN71)</f>
        <v>0</v>
      </c>
      <c r="AO72" s="6">
        <f>SUM(AO3:AO71)</f>
        <v>0</v>
      </c>
      <c r="AP72" s="6">
        <f>ROUNDUP(AO72/Paramètres!B74,-1)</f>
        <v>0</v>
      </c>
      <c r="AQ72" s="6">
        <f>SUM(AQ3:AQ71)</f>
        <v>0</v>
      </c>
      <c r="AR72" s="6">
        <f>(X72+AB72)*Paramètres!B42*Paramètres!$B$53</f>
        <v>0</v>
      </c>
      <c r="AS72" s="45">
        <f>SUM(AS3:AS71)</f>
        <v>0</v>
      </c>
      <c r="AT72" s="45">
        <f>ROUNDUP(E72*Paramètres!$B$22*Paramètres!$B$25,-1)</f>
        <v>0</v>
      </c>
      <c r="AU72" s="45">
        <f>Paramètres!B51*0</f>
        <v>0</v>
      </c>
      <c r="AV72" s="45">
        <f>ROUNDUP(Q72*Paramètres!$B$52+Paramètres!$B$27*30,-3)*0</f>
        <v>0</v>
      </c>
      <c r="AW72" s="6">
        <f>(A72+Y72+AB72+AC72)*Paramètres!$B$60</f>
        <v>0</v>
      </c>
      <c r="AX72" s="6">
        <f>(A72+X72+Y72+AB72+AC72)*Paramètres!$B$63*Paramètres!$B$66</f>
        <v>0</v>
      </c>
      <c r="AY72" s="6">
        <f>Paramètres!$B$64*Paramètres!$B$66*Paramètres!$B$63*0</f>
        <v>0</v>
      </c>
      <c r="AZ72" s="6">
        <f>Paramètres!$B$64*Paramètres!$B$66*Paramètres!$B$79*0</f>
        <v>0</v>
      </c>
      <c r="BA72" s="6">
        <f>(X72+Y72+AB72+AC72+Paramètres!$B$64)*Paramètres!$B$61*Paramètres!$B$66*0</f>
        <v>0</v>
      </c>
      <c r="BB72" s="45">
        <f>AW72+AX72+AY72+BA72+AZ72</f>
        <v>0</v>
      </c>
      <c r="BC72" s="45">
        <f>A72*Paramètres!$B$69*Paramètres!$B$53</f>
        <v>0</v>
      </c>
      <c r="BD72" s="6">
        <f>AP72*Paramètres!$B$70</f>
        <v>0</v>
      </c>
      <c r="BE72" s="6">
        <f>Paramètres!B76*Paramètres!$B$66*Paramètres!$B$62*0</f>
        <v>0</v>
      </c>
      <c r="BF72" s="6">
        <f>Paramètres!B76*Paramètres!$B$61*0</f>
        <v>0</v>
      </c>
      <c r="BG72" s="45">
        <f>BE72+BF72</f>
        <v>0</v>
      </c>
      <c r="BH72" s="45">
        <f>Paramètres!B77*0</f>
        <v>0</v>
      </c>
      <c r="BI72" s="6">
        <f>AQ72+AS72+AU72+AV72</f>
        <v>0</v>
      </c>
    </row>
    <row r="73" spans="1:6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61" x14ac:dyDescent="0.25">
      <c r="U74" s="41"/>
    </row>
    <row r="79" spans="1:61" x14ac:dyDescent="0.25">
      <c r="V79" s="41"/>
    </row>
  </sheetData>
  <mergeCells count="1">
    <mergeCell ref="G1:I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79"/>
  <sheetViews>
    <sheetView topLeftCell="A55" workbookViewId="0">
      <selection activeCell="AV73" sqref="AV73"/>
    </sheetView>
  </sheetViews>
  <sheetFormatPr defaultColWidth="11.42578125" defaultRowHeight="15" x14ac:dyDescent="0.25"/>
  <cols>
    <col min="1" max="1" width="5.7109375" customWidth="1"/>
    <col min="2" max="2" width="16.85546875" customWidth="1"/>
    <col min="3" max="3" width="10.7109375" customWidth="1"/>
    <col min="4" max="13" width="11.140625" customWidth="1"/>
    <col min="14" max="14" width="11.7109375" customWidth="1"/>
    <col min="15" max="15" width="14.85546875" customWidth="1"/>
    <col min="16" max="16" width="17.42578125" customWidth="1"/>
    <col min="17" max="17" width="11.140625" customWidth="1"/>
    <col min="18" max="18" width="13.7109375" customWidth="1"/>
    <col min="19" max="32" width="11.140625" customWidth="1"/>
    <col min="33" max="36" width="11.5703125" bestFit="1" customWidth="1"/>
    <col min="37" max="42" width="11.5703125" customWidth="1"/>
    <col min="43" max="44" width="14.42578125" customWidth="1"/>
    <col min="45" max="47" width="11.5703125" customWidth="1"/>
    <col min="48" max="48" width="12.85546875" bestFit="1" customWidth="1"/>
    <col min="49" max="60" width="12.85546875" customWidth="1"/>
    <col min="61" max="61" width="12.7109375" bestFit="1" customWidth="1"/>
  </cols>
  <sheetData>
    <row r="1" spans="1:61" ht="39" customHeight="1" x14ac:dyDescent="0.25">
      <c r="B1" s="1"/>
      <c r="C1" s="1"/>
      <c r="D1" s="1"/>
      <c r="E1" s="1"/>
      <c r="F1" s="1"/>
      <c r="G1" s="136" t="s">
        <v>148</v>
      </c>
      <c r="H1" s="136"/>
      <c r="I1" s="136"/>
      <c r="J1" s="1"/>
      <c r="K1" s="1" t="s">
        <v>146</v>
      </c>
      <c r="L1" s="1"/>
      <c r="M1" s="1"/>
      <c r="N1" s="1"/>
      <c r="O1" s="3" t="s">
        <v>48</v>
      </c>
      <c r="P1" s="1"/>
      <c r="Q1" s="1"/>
      <c r="R1" s="1" t="s">
        <v>0</v>
      </c>
      <c r="S1" s="1"/>
      <c r="T1" s="1"/>
      <c r="U1" s="1"/>
      <c r="V1" s="3" t="s">
        <v>63</v>
      </c>
      <c r="W1" s="1"/>
      <c r="X1" s="1"/>
      <c r="Y1" s="1"/>
      <c r="Z1" s="3" t="s">
        <v>64</v>
      </c>
      <c r="AA1" s="1"/>
      <c r="AB1" s="1"/>
      <c r="AC1" s="1"/>
      <c r="AD1" s="3" t="s">
        <v>59</v>
      </c>
      <c r="AE1" s="1"/>
      <c r="AF1" s="1"/>
      <c r="AG1" s="1"/>
      <c r="AH1" s="1"/>
      <c r="AI1" s="1"/>
      <c r="AJ1" s="1"/>
      <c r="AK1" s="3"/>
      <c r="AL1" s="1"/>
      <c r="AM1" s="1"/>
      <c r="AN1" s="1"/>
      <c r="AO1" s="1"/>
      <c r="AP1" s="1"/>
      <c r="AQ1" s="3" t="s">
        <v>62</v>
      </c>
      <c r="AR1" s="3"/>
      <c r="AS1" s="1"/>
      <c r="AT1" s="1"/>
      <c r="AU1" s="3" t="s">
        <v>66</v>
      </c>
      <c r="AW1" t="s">
        <v>123</v>
      </c>
      <c r="BD1" s="9"/>
      <c r="BE1" s="9" t="s">
        <v>137</v>
      </c>
    </row>
    <row r="2" spans="1:61" ht="90" x14ac:dyDescent="0.25">
      <c r="A2" t="s">
        <v>98</v>
      </c>
      <c r="B2" s="1" t="s">
        <v>1</v>
      </c>
      <c r="C2" s="7" t="s">
        <v>46</v>
      </c>
      <c r="D2" s="9" t="s">
        <v>104</v>
      </c>
      <c r="E2" s="9" t="s">
        <v>105</v>
      </c>
      <c r="F2" s="9" t="s">
        <v>145</v>
      </c>
      <c r="G2" s="52" t="s">
        <v>2</v>
      </c>
      <c r="H2" s="52" t="s">
        <v>3</v>
      </c>
      <c r="I2" s="52" t="s">
        <v>144</v>
      </c>
      <c r="J2" s="49" t="s">
        <v>147</v>
      </c>
      <c r="K2" s="48" t="s">
        <v>2</v>
      </c>
      <c r="L2" s="48" t="s">
        <v>3</v>
      </c>
      <c r="M2" s="48" t="s">
        <v>4</v>
      </c>
      <c r="N2" s="9" t="s">
        <v>150</v>
      </c>
      <c r="O2" s="7" t="s">
        <v>49</v>
      </c>
      <c r="P2" s="7" t="s">
        <v>50</v>
      </c>
      <c r="Q2" s="7" t="s">
        <v>51</v>
      </c>
      <c r="R2" s="1" t="s">
        <v>2</v>
      </c>
      <c r="S2" s="1" t="s">
        <v>3</v>
      </c>
      <c r="T2" s="1" t="s">
        <v>4</v>
      </c>
      <c r="U2" s="2" t="s">
        <v>6</v>
      </c>
      <c r="V2" s="1" t="s">
        <v>2</v>
      </c>
      <c r="W2" s="1" t="s">
        <v>3</v>
      </c>
      <c r="X2" s="9" t="s">
        <v>106</v>
      </c>
      <c r="Y2" s="42" t="s">
        <v>121</v>
      </c>
      <c r="Z2" s="1" t="s">
        <v>2</v>
      </c>
      <c r="AA2" s="1" t="s">
        <v>3</v>
      </c>
      <c r="AB2" s="1" t="s">
        <v>4</v>
      </c>
      <c r="AC2" s="42" t="s">
        <v>122</v>
      </c>
      <c r="AD2" s="7" t="s">
        <v>52</v>
      </c>
      <c r="AE2" s="7" t="s">
        <v>53</v>
      </c>
      <c r="AF2" s="7" t="s">
        <v>54</v>
      </c>
      <c r="AG2" s="7" t="s">
        <v>55</v>
      </c>
      <c r="AH2" s="7" t="s">
        <v>56</v>
      </c>
      <c r="AI2" s="7" t="s">
        <v>57</v>
      </c>
      <c r="AJ2" s="7" t="s">
        <v>58</v>
      </c>
      <c r="AK2" s="7" t="s">
        <v>60</v>
      </c>
      <c r="AL2" s="7" t="s">
        <v>61</v>
      </c>
      <c r="AM2" s="9" t="s">
        <v>149</v>
      </c>
      <c r="AN2" s="9" t="s">
        <v>134</v>
      </c>
      <c r="AO2" s="9" t="s">
        <v>135</v>
      </c>
      <c r="AP2" s="9" t="s">
        <v>136</v>
      </c>
      <c r="AQ2" s="9" t="s">
        <v>107</v>
      </c>
      <c r="AR2" s="9" t="s">
        <v>108</v>
      </c>
      <c r="AS2" s="7" t="s">
        <v>65</v>
      </c>
      <c r="AT2" s="9" t="s">
        <v>97</v>
      </c>
      <c r="AU2" s="7" t="s">
        <v>67</v>
      </c>
      <c r="AV2" s="7" t="s">
        <v>68</v>
      </c>
      <c r="AW2" s="9" t="s">
        <v>119</v>
      </c>
      <c r="AX2" s="9" t="s">
        <v>118</v>
      </c>
      <c r="AY2" s="9" t="s">
        <v>120</v>
      </c>
      <c r="AZ2" s="9" t="s">
        <v>143</v>
      </c>
      <c r="BA2" s="9" t="s">
        <v>117</v>
      </c>
      <c r="BB2" s="43" t="s">
        <v>124</v>
      </c>
      <c r="BC2" s="43" t="s">
        <v>125</v>
      </c>
      <c r="BD2" s="9" t="s">
        <v>132</v>
      </c>
      <c r="BE2" s="9" t="s">
        <v>85</v>
      </c>
      <c r="BF2" s="9" t="s">
        <v>110</v>
      </c>
      <c r="BG2" s="43" t="s">
        <v>6</v>
      </c>
      <c r="BH2" s="46" t="s">
        <v>139</v>
      </c>
      <c r="BI2" s="9" t="s">
        <v>69</v>
      </c>
    </row>
    <row r="3" spans="1:61" x14ac:dyDescent="0.25">
      <c r="A3">
        <v>1</v>
      </c>
      <c r="C3" s="1"/>
      <c r="D3" s="1"/>
      <c r="E3" s="1"/>
      <c r="F3" s="47"/>
      <c r="G3" s="53"/>
      <c r="H3" s="53"/>
      <c r="I3" s="53"/>
      <c r="J3" s="50">
        <f>F3*Paramètres!$B$3</f>
        <v>0</v>
      </c>
      <c r="K3" s="56">
        <f>J3*G3</f>
        <v>0</v>
      </c>
      <c r="L3" s="56">
        <f>J3*H3</f>
        <v>0</v>
      </c>
      <c r="M3" s="56">
        <f>J3*I3</f>
        <v>0</v>
      </c>
      <c r="N3" s="3">
        <f>ROUNDUP(J3*Paramètres!$B$19,-1)</f>
        <v>0</v>
      </c>
      <c r="O3" s="1">
        <f>N3</f>
        <v>0</v>
      </c>
      <c r="P3" s="1">
        <f>O3/10</f>
        <v>0</v>
      </c>
      <c r="Q3" s="3">
        <f>ROUNDUP((O3+P3)/100,-1)</f>
        <v>0</v>
      </c>
      <c r="R3" s="47">
        <f>ROUNDUP(+K3/Paramètres!$B$4/Paramètres!$B$53,0)</f>
        <v>0</v>
      </c>
      <c r="S3" s="47">
        <f>ROUNDUP(+L3/Paramètres!$B$6/Paramètres!$B$53,0)</f>
        <v>0</v>
      </c>
      <c r="T3" s="47"/>
      <c r="U3" s="2">
        <f>R3+S3+T3</f>
        <v>0</v>
      </c>
      <c r="V3" s="1">
        <f>R3*Paramètres!$B$7</f>
        <v>0</v>
      </c>
      <c r="W3" s="1">
        <f>S3*Paramètres!$B$9</f>
        <v>0</v>
      </c>
      <c r="X3" s="1"/>
      <c r="Y3" s="2">
        <f>V3+W3+X3</f>
        <v>0</v>
      </c>
      <c r="Z3" s="7">
        <f>R3*Paramètres!$B$10</f>
        <v>0</v>
      </c>
      <c r="AA3" s="7">
        <f>S3*Paramètres!$B$10</f>
        <v>0</v>
      </c>
      <c r="AB3" s="7"/>
      <c r="AC3" s="2">
        <f>Z3+AA3+AB3</f>
        <v>0</v>
      </c>
      <c r="AD3" s="1">
        <f>U3</f>
        <v>0</v>
      </c>
      <c r="AE3" s="1">
        <f>ROUNDUP((U3/200)*2,0)*10</f>
        <v>0</v>
      </c>
      <c r="AF3" s="1">
        <f>IF(B3="",0,Paramètres!$B$53*1.5)</f>
        <v>0</v>
      </c>
      <c r="AG3" s="1">
        <f>IF(C3="",0,Paramètres!$B$53*1.5)</f>
        <v>0</v>
      </c>
      <c r="AH3" s="1"/>
      <c r="AI3" s="1"/>
      <c r="AJ3" s="1"/>
      <c r="AK3" s="1"/>
      <c r="AL3" s="1">
        <f>(U3*Paramètres!$B$53)*3</f>
        <v>0</v>
      </c>
      <c r="AM3" s="1">
        <f>N3</f>
        <v>0</v>
      </c>
      <c r="AN3" s="1">
        <f>U3*Paramètres!$B$75</f>
        <v>0</v>
      </c>
      <c r="AO3" s="1">
        <f>U3*Paramètres!$B$72*Paramètres!$B$73</f>
        <v>0</v>
      </c>
      <c r="AP3" s="1"/>
      <c r="AQ3" s="1">
        <f>(Y3+AC3)*Paramètres!$B$42*Paramètres!$B$53</f>
        <v>0</v>
      </c>
      <c r="AR3" s="1"/>
      <c r="AS3" s="7">
        <f>ROUNDUP(D3*Paramètres!$B$23*Paramètres!$B$26,-1)</f>
        <v>0</v>
      </c>
      <c r="AT3" s="7"/>
      <c r="AU3" s="1"/>
      <c r="AV3" s="8"/>
      <c r="AW3" s="8"/>
      <c r="AX3" s="8"/>
      <c r="AY3" s="8"/>
      <c r="AZ3" s="8"/>
      <c r="BA3" s="8"/>
      <c r="BB3" s="44"/>
      <c r="BC3" s="44"/>
      <c r="BD3" s="8"/>
      <c r="BE3" s="8"/>
      <c r="BF3" s="8"/>
      <c r="BG3" s="44"/>
      <c r="BI3">
        <f>AQ3+AS3</f>
        <v>0</v>
      </c>
    </row>
    <row r="4" spans="1:61" x14ac:dyDescent="0.25">
      <c r="A4">
        <v>2</v>
      </c>
      <c r="C4" s="1"/>
      <c r="D4" s="1"/>
      <c r="E4" s="1"/>
      <c r="F4" s="47"/>
      <c r="G4" s="53"/>
      <c r="H4" s="53"/>
      <c r="I4" s="53"/>
      <c r="J4" s="50">
        <f>F4*Paramètres!$B$3</f>
        <v>0</v>
      </c>
      <c r="K4" s="56">
        <f t="shared" ref="K4:K67" si="0">J4*G4</f>
        <v>0</v>
      </c>
      <c r="L4" s="56">
        <f t="shared" ref="L4:L67" si="1">J4*H4</f>
        <v>0</v>
      </c>
      <c r="M4" s="56">
        <f t="shared" ref="M4:M67" si="2">J4*I4</f>
        <v>0</v>
      </c>
      <c r="N4" s="3">
        <f>ROUNDUP(J4*Paramètres!$B$19,-1)</f>
        <v>0</v>
      </c>
      <c r="O4" s="1">
        <f t="shared" ref="O4:O67" si="3">N4</f>
        <v>0</v>
      </c>
      <c r="P4" s="1">
        <f t="shared" ref="P4:P67" si="4">O4/10</f>
        <v>0</v>
      </c>
      <c r="Q4" s="3">
        <f t="shared" ref="Q4:Q67" si="5">ROUNDUP((O4+P4)/100,-1)</f>
        <v>0</v>
      </c>
      <c r="R4" s="47">
        <f>ROUNDUP(+K4/Paramètres!$B$4/Paramètres!$B$53,0)</f>
        <v>0</v>
      </c>
      <c r="S4" s="47">
        <f>ROUNDUP(+L4/Paramètres!$B$6/Paramètres!$B$53,0)</f>
        <v>0</v>
      </c>
      <c r="T4" s="47"/>
      <c r="U4" s="2">
        <f t="shared" ref="U4:U67" si="6">R4+S4+T4</f>
        <v>0</v>
      </c>
      <c r="V4" s="1">
        <f>R4*Paramètres!$B$7</f>
        <v>0</v>
      </c>
      <c r="W4" s="1">
        <f>S4*Paramètres!$B$9</f>
        <v>0</v>
      </c>
      <c r="X4" s="1"/>
      <c r="Y4" s="2">
        <f t="shared" ref="Y4:Y67" si="7">V4+W4+X4</f>
        <v>0</v>
      </c>
      <c r="Z4" s="7">
        <f>R4*Paramètres!$B$10</f>
        <v>0</v>
      </c>
      <c r="AA4" s="7">
        <f>S4*Paramètres!$B$10</f>
        <v>0</v>
      </c>
      <c r="AB4" s="7"/>
      <c r="AC4" s="2">
        <f t="shared" ref="AC4:AC67" si="8">Z4+AA4+AB4</f>
        <v>0</v>
      </c>
      <c r="AD4" s="1">
        <f>U4</f>
        <v>0</v>
      </c>
      <c r="AE4" s="1">
        <f t="shared" ref="AE4:AE67" si="9">ROUNDUP((U4/200)*2,0)*10</f>
        <v>0</v>
      </c>
      <c r="AF4" s="1">
        <f>IF(B4="",0,Paramètres!$B$53*1.5)</f>
        <v>0</v>
      </c>
      <c r="AG4" s="1">
        <f>IF(C4="",0,Paramètres!$B$53*1.5)</f>
        <v>0</v>
      </c>
      <c r="AH4" s="1"/>
      <c r="AI4" s="1"/>
      <c r="AJ4" s="1"/>
      <c r="AK4" s="1"/>
      <c r="AL4" s="1">
        <f>(U4*Paramètres!$B$53)*3</f>
        <v>0</v>
      </c>
      <c r="AM4" s="1">
        <f t="shared" ref="AM4:AM67" si="10">N4</f>
        <v>0</v>
      </c>
      <c r="AN4" s="1">
        <f>U4*Paramètres!$B$75</f>
        <v>0</v>
      </c>
      <c r="AO4" s="1">
        <f>U4*Paramètres!$B$72*Paramètres!$B$73</f>
        <v>0</v>
      </c>
      <c r="AP4" s="1"/>
      <c r="AQ4" s="1">
        <f>(Y4+AC4)*Paramètres!$B$42*Paramètres!$B$53</f>
        <v>0</v>
      </c>
      <c r="AR4" s="1"/>
      <c r="AS4" s="7">
        <f>ROUNDUP(D4*Paramètres!$B$23*Paramètres!$B$26,-1)</f>
        <v>0</v>
      </c>
      <c r="AT4" s="7"/>
      <c r="AU4" s="1"/>
      <c r="AV4" s="8"/>
      <c r="AW4" s="8"/>
      <c r="AX4" s="8"/>
      <c r="AY4" s="8"/>
      <c r="AZ4" s="8"/>
      <c r="BA4" s="8"/>
      <c r="BB4" s="44"/>
      <c r="BC4" s="44"/>
      <c r="BD4" s="8"/>
      <c r="BE4" s="8"/>
      <c r="BF4" s="8"/>
      <c r="BG4" s="44"/>
      <c r="BI4">
        <f t="shared" ref="BI4:BI67" si="11">AQ4+AS4</f>
        <v>0</v>
      </c>
    </row>
    <row r="5" spans="1:61" x14ac:dyDescent="0.25">
      <c r="A5">
        <v>3</v>
      </c>
      <c r="C5" s="1"/>
      <c r="D5" s="1"/>
      <c r="E5" s="1"/>
      <c r="F5" s="47"/>
      <c r="G5" s="53"/>
      <c r="H5" s="53"/>
      <c r="I5" s="53"/>
      <c r="J5" s="50">
        <f>F5*Paramètres!$B$3</f>
        <v>0</v>
      </c>
      <c r="K5" s="56">
        <f t="shared" si="0"/>
        <v>0</v>
      </c>
      <c r="L5" s="56">
        <f t="shared" si="1"/>
        <v>0</v>
      </c>
      <c r="M5" s="56">
        <f t="shared" si="2"/>
        <v>0</v>
      </c>
      <c r="N5" s="3">
        <f>ROUNDUP(J5*Paramètres!$B$19,-1)</f>
        <v>0</v>
      </c>
      <c r="O5" s="1">
        <f t="shared" si="3"/>
        <v>0</v>
      </c>
      <c r="P5" s="1">
        <f t="shared" si="4"/>
        <v>0</v>
      </c>
      <c r="Q5" s="3">
        <f t="shared" si="5"/>
        <v>0</v>
      </c>
      <c r="R5" s="47">
        <f>ROUNDUP(+K5/Paramètres!$B$4/Paramètres!$B$53,0)</f>
        <v>0</v>
      </c>
      <c r="S5" s="47">
        <f>ROUNDUP(+L5/Paramètres!$B$6/Paramètres!$B$53,0)</f>
        <v>0</v>
      </c>
      <c r="T5" s="47"/>
      <c r="U5" s="2">
        <f t="shared" si="6"/>
        <v>0</v>
      </c>
      <c r="V5" s="1">
        <f>R5*Paramètres!$B$7</f>
        <v>0</v>
      </c>
      <c r="W5" s="1">
        <f>S5*Paramètres!$B$9</f>
        <v>0</v>
      </c>
      <c r="X5" s="1"/>
      <c r="Y5" s="2">
        <f t="shared" si="7"/>
        <v>0</v>
      </c>
      <c r="Z5" s="7">
        <f>R5*Paramètres!$B$10</f>
        <v>0</v>
      </c>
      <c r="AA5" s="7">
        <f>S5*Paramètres!$B$10</f>
        <v>0</v>
      </c>
      <c r="AB5" s="7"/>
      <c r="AC5" s="2">
        <f t="shared" si="8"/>
        <v>0</v>
      </c>
      <c r="AD5" s="1">
        <f t="shared" ref="AD5:AD68" si="12">U5</f>
        <v>0</v>
      </c>
      <c r="AE5" s="1">
        <f t="shared" si="9"/>
        <v>0</v>
      </c>
      <c r="AF5" s="1">
        <f>IF(B5="",0,Paramètres!$B$53*1.5)</f>
        <v>0</v>
      </c>
      <c r="AG5" s="1">
        <f>IF(C5="",0,Paramètres!$B$53*1.5)</f>
        <v>0</v>
      </c>
      <c r="AH5" s="1"/>
      <c r="AI5" s="1"/>
      <c r="AJ5" s="1"/>
      <c r="AK5" s="1"/>
      <c r="AL5" s="1">
        <f>(U5*Paramètres!$B$53)*3</f>
        <v>0</v>
      </c>
      <c r="AM5" s="1">
        <f t="shared" si="10"/>
        <v>0</v>
      </c>
      <c r="AN5" s="1">
        <f>U5*Paramètres!$B$75</f>
        <v>0</v>
      </c>
      <c r="AO5" s="1">
        <f>U5*Paramètres!$B$72*Paramètres!$B$73</f>
        <v>0</v>
      </c>
      <c r="AP5" s="1"/>
      <c r="AQ5" s="1">
        <f>(Y5+AC5)*Paramètres!$B$42*Paramètres!$B$53</f>
        <v>0</v>
      </c>
      <c r="AR5" s="1"/>
      <c r="AS5" s="7">
        <f>ROUNDUP(D5*Paramètres!$B$23*Paramètres!$B$26,-1)</f>
        <v>0</v>
      </c>
      <c r="AT5" s="7"/>
      <c r="AU5" s="1"/>
      <c r="AV5" s="8"/>
      <c r="AW5" s="8"/>
      <c r="AX5" s="8"/>
      <c r="AY5" s="8"/>
      <c r="AZ5" s="8"/>
      <c r="BA5" s="8"/>
      <c r="BB5" s="44"/>
      <c r="BC5" s="44"/>
      <c r="BD5" s="8"/>
      <c r="BE5" s="8"/>
      <c r="BF5" s="8"/>
      <c r="BG5" s="44"/>
      <c r="BI5">
        <f t="shared" si="11"/>
        <v>0</v>
      </c>
    </row>
    <row r="6" spans="1:61" x14ac:dyDescent="0.25">
      <c r="A6">
        <v>4</v>
      </c>
      <c r="C6" s="1"/>
      <c r="D6" s="1"/>
      <c r="E6" s="1"/>
      <c r="F6" s="47"/>
      <c r="G6" s="53"/>
      <c r="H6" s="53"/>
      <c r="I6" s="53"/>
      <c r="J6" s="50">
        <f>F6*Paramètres!$B$3</f>
        <v>0</v>
      </c>
      <c r="K6" s="56">
        <f t="shared" si="0"/>
        <v>0</v>
      </c>
      <c r="L6" s="56">
        <f t="shared" si="1"/>
        <v>0</v>
      </c>
      <c r="M6" s="56">
        <f t="shared" si="2"/>
        <v>0</v>
      </c>
      <c r="N6" s="3">
        <f>ROUNDUP(J6*Paramètres!$B$19,-1)</f>
        <v>0</v>
      </c>
      <c r="O6" s="1">
        <f t="shared" si="3"/>
        <v>0</v>
      </c>
      <c r="P6" s="1">
        <f t="shared" si="4"/>
        <v>0</v>
      </c>
      <c r="Q6" s="3">
        <f t="shared" si="5"/>
        <v>0</v>
      </c>
      <c r="R6" s="47">
        <f>ROUNDUP(+K6/Paramètres!$B$4/Paramètres!$B$53,0)</f>
        <v>0</v>
      </c>
      <c r="S6" s="47">
        <f>ROUNDUP(+L6/Paramètres!$B$6/Paramètres!$B$53,0)</f>
        <v>0</v>
      </c>
      <c r="T6" s="47"/>
      <c r="U6" s="2">
        <f t="shared" si="6"/>
        <v>0</v>
      </c>
      <c r="V6" s="1">
        <f>R6*Paramètres!$B$7</f>
        <v>0</v>
      </c>
      <c r="W6" s="1">
        <f>S6*Paramètres!$B$9</f>
        <v>0</v>
      </c>
      <c r="X6" s="1"/>
      <c r="Y6" s="2">
        <f t="shared" si="7"/>
        <v>0</v>
      </c>
      <c r="Z6" s="7">
        <f>R6*Paramètres!$B$10</f>
        <v>0</v>
      </c>
      <c r="AA6" s="7">
        <f>S6*Paramètres!$B$10</f>
        <v>0</v>
      </c>
      <c r="AB6" s="7"/>
      <c r="AC6" s="2">
        <f t="shared" si="8"/>
        <v>0</v>
      </c>
      <c r="AD6" s="1">
        <f t="shared" si="12"/>
        <v>0</v>
      </c>
      <c r="AE6" s="1">
        <f t="shared" si="9"/>
        <v>0</v>
      </c>
      <c r="AF6" s="1">
        <f>IF(B6="",0,Paramètres!$B$53*1.5)</f>
        <v>0</v>
      </c>
      <c r="AG6" s="1">
        <f>IF(C6="",0,Paramètres!$B$53*1.5)</f>
        <v>0</v>
      </c>
      <c r="AH6" s="1"/>
      <c r="AI6" s="1"/>
      <c r="AJ6" s="1"/>
      <c r="AK6" s="1"/>
      <c r="AL6" s="1">
        <f>(U6*Paramètres!$B$53)*3</f>
        <v>0</v>
      </c>
      <c r="AM6" s="1">
        <f t="shared" si="10"/>
        <v>0</v>
      </c>
      <c r="AN6" s="1">
        <f>U6*Paramètres!$B$75</f>
        <v>0</v>
      </c>
      <c r="AO6" s="1">
        <f>U6*Paramètres!$B$72*Paramètres!$B$73</f>
        <v>0</v>
      </c>
      <c r="AP6" s="1"/>
      <c r="AQ6" s="1">
        <f>(Y6+AC6)*Paramètres!$B$42*Paramètres!$B$53</f>
        <v>0</v>
      </c>
      <c r="AR6" s="1"/>
      <c r="AS6" s="7">
        <f>ROUNDUP(D6*Paramètres!$B$23*Paramètres!$B$26,-1)</f>
        <v>0</v>
      </c>
      <c r="AT6" s="7"/>
      <c r="AU6" s="1"/>
      <c r="AV6" s="8"/>
      <c r="AW6" s="8"/>
      <c r="AX6" s="8"/>
      <c r="AY6" s="8"/>
      <c r="AZ6" s="8"/>
      <c r="BA6" s="8"/>
      <c r="BB6" s="44"/>
      <c r="BC6" s="44"/>
      <c r="BD6" s="8"/>
      <c r="BE6" s="8"/>
      <c r="BF6" s="8"/>
      <c r="BG6" s="44"/>
      <c r="BI6">
        <f t="shared" si="11"/>
        <v>0</v>
      </c>
    </row>
    <row r="7" spans="1:61" x14ac:dyDescent="0.25">
      <c r="A7">
        <v>5</v>
      </c>
      <c r="C7" s="1"/>
      <c r="D7" s="1"/>
      <c r="E7" s="1"/>
      <c r="F7" s="47"/>
      <c r="G7" s="53"/>
      <c r="H7" s="53"/>
      <c r="I7" s="53"/>
      <c r="J7" s="50">
        <f>F7*Paramètres!$B$3</f>
        <v>0</v>
      </c>
      <c r="K7" s="56">
        <f t="shared" si="0"/>
        <v>0</v>
      </c>
      <c r="L7" s="56">
        <f t="shared" si="1"/>
        <v>0</v>
      </c>
      <c r="M7" s="56">
        <f t="shared" si="2"/>
        <v>0</v>
      </c>
      <c r="N7" s="3">
        <f>ROUNDUP(J7*Paramètres!$B$19,-1)</f>
        <v>0</v>
      </c>
      <c r="O7" s="1">
        <f t="shared" si="3"/>
        <v>0</v>
      </c>
      <c r="P7" s="1">
        <f t="shared" si="4"/>
        <v>0</v>
      </c>
      <c r="Q7" s="3">
        <f t="shared" si="5"/>
        <v>0</v>
      </c>
      <c r="R7" s="47">
        <f>ROUNDUP(+K7/Paramètres!$B$4/Paramètres!$B$53,0)</f>
        <v>0</v>
      </c>
      <c r="S7" s="47">
        <f>ROUNDUP(+L7/Paramètres!$B$6/Paramètres!$B$53,0)</f>
        <v>0</v>
      </c>
      <c r="T7" s="47"/>
      <c r="U7" s="2">
        <f t="shared" si="6"/>
        <v>0</v>
      </c>
      <c r="V7" s="1">
        <f>R7*Paramètres!$B$7</f>
        <v>0</v>
      </c>
      <c r="W7" s="1">
        <f>S7*Paramètres!$B$9</f>
        <v>0</v>
      </c>
      <c r="X7" s="1"/>
      <c r="Y7" s="2">
        <f t="shared" si="7"/>
        <v>0</v>
      </c>
      <c r="Z7" s="7">
        <f>R7*Paramètres!$B$10</f>
        <v>0</v>
      </c>
      <c r="AA7" s="7">
        <f>S7*Paramètres!$B$10</f>
        <v>0</v>
      </c>
      <c r="AB7" s="7"/>
      <c r="AC7" s="2">
        <f t="shared" si="8"/>
        <v>0</v>
      </c>
      <c r="AD7" s="1">
        <f t="shared" si="12"/>
        <v>0</v>
      </c>
      <c r="AE7" s="1">
        <f t="shared" si="9"/>
        <v>0</v>
      </c>
      <c r="AF7" s="1">
        <f>IF(B7="",0,Paramètres!$B$53*1.5)</f>
        <v>0</v>
      </c>
      <c r="AG7" s="1">
        <f>IF(C7="",0,Paramètres!$B$53*1.5)</f>
        <v>0</v>
      </c>
      <c r="AH7" s="1"/>
      <c r="AI7" s="1"/>
      <c r="AJ7" s="1"/>
      <c r="AK7" s="1"/>
      <c r="AL7" s="1">
        <f>(U7*Paramètres!$B$53)*3</f>
        <v>0</v>
      </c>
      <c r="AM7" s="1">
        <f t="shared" si="10"/>
        <v>0</v>
      </c>
      <c r="AN7" s="1">
        <f>U7*Paramètres!$B$75</f>
        <v>0</v>
      </c>
      <c r="AO7" s="1">
        <f>U7*Paramètres!$B$72*Paramètres!$B$73</f>
        <v>0</v>
      </c>
      <c r="AP7" s="1"/>
      <c r="AQ7" s="1">
        <f>(Y7+AC7)*Paramètres!$B$42*Paramètres!$B$53</f>
        <v>0</v>
      </c>
      <c r="AR7" s="1"/>
      <c r="AS7" s="7">
        <f>ROUNDUP(D7*Paramètres!$B$23*Paramètres!$B$26,-1)</f>
        <v>0</v>
      </c>
      <c r="AT7" s="7"/>
      <c r="AU7" s="1"/>
      <c r="AV7" s="8"/>
      <c r="AW7" s="8"/>
      <c r="AX7" s="8"/>
      <c r="AY7" s="8"/>
      <c r="AZ7" s="8"/>
      <c r="BA7" s="8"/>
      <c r="BB7" s="44"/>
      <c r="BC7" s="44"/>
      <c r="BD7" s="8"/>
      <c r="BE7" s="8"/>
      <c r="BF7" s="8"/>
      <c r="BG7" s="44"/>
      <c r="BI7">
        <f t="shared" si="11"/>
        <v>0</v>
      </c>
    </row>
    <row r="8" spans="1:61" x14ac:dyDescent="0.25">
      <c r="A8">
        <v>6</v>
      </c>
      <c r="C8" s="1"/>
      <c r="D8" s="1"/>
      <c r="E8" s="1"/>
      <c r="F8" s="47"/>
      <c r="G8" s="53"/>
      <c r="H8" s="53"/>
      <c r="I8" s="53"/>
      <c r="J8" s="50">
        <f>F8*Paramètres!$B$3</f>
        <v>0</v>
      </c>
      <c r="K8" s="56">
        <f t="shared" si="0"/>
        <v>0</v>
      </c>
      <c r="L8" s="56">
        <f t="shared" si="1"/>
        <v>0</v>
      </c>
      <c r="M8" s="56">
        <f t="shared" si="2"/>
        <v>0</v>
      </c>
      <c r="N8" s="3">
        <f>ROUNDUP(J8*Paramètres!$B$19,-1)</f>
        <v>0</v>
      </c>
      <c r="O8" s="1">
        <f t="shared" si="3"/>
        <v>0</v>
      </c>
      <c r="P8" s="1">
        <f t="shared" si="4"/>
        <v>0</v>
      </c>
      <c r="Q8" s="3">
        <f t="shared" si="5"/>
        <v>0</v>
      </c>
      <c r="R8" s="47">
        <f>ROUNDUP(+K8/Paramètres!$B$4/Paramètres!$B$53,0)</f>
        <v>0</v>
      </c>
      <c r="S8" s="47">
        <f>ROUNDUP(+L8/Paramètres!$B$6/Paramètres!$B$53,0)</f>
        <v>0</v>
      </c>
      <c r="T8" s="47"/>
      <c r="U8" s="2">
        <f t="shared" si="6"/>
        <v>0</v>
      </c>
      <c r="V8" s="1">
        <f>R8*Paramètres!$B$7</f>
        <v>0</v>
      </c>
      <c r="W8" s="1">
        <f>S8*Paramètres!$B$9</f>
        <v>0</v>
      </c>
      <c r="X8" s="1"/>
      <c r="Y8" s="2">
        <f t="shared" si="7"/>
        <v>0</v>
      </c>
      <c r="Z8" s="7">
        <f>R8*Paramètres!$B$10</f>
        <v>0</v>
      </c>
      <c r="AA8" s="7">
        <f>S8*Paramètres!$B$10</f>
        <v>0</v>
      </c>
      <c r="AB8" s="7"/>
      <c r="AC8" s="2">
        <f t="shared" si="8"/>
        <v>0</v>
      </c>
      <c r="AD8" s="1">
        <f t="shared" si="12"/>
        <v>0</v>
      </c>
      <c r="AE8" s="1">
        <f t="shared" si="9"/>
        <v>0</v>
      </c>
      <c r="AF8" s="1">
        <f>IF(B8="",0,Paramètres!$B$53*1.5)</f>
        <v>0</v>
      </c>
      <c r="AG8" s="1">
        <f>IF(C8="",0,Paramètres!$B$53*1.5)</f>
        <v>0</v>
      </c>
      <c r="AH8" s="1"/>
      <c r="AI8" s="1"/>
      <c r="AJ8" s="1"/>
      <c r="AK8" s="1"/>
      <c r="AL8" s="1">
        <f>(U8*Paramètres!$B$53)*3</f>
        <v>0</v>
      </c>
      <c r="AM8" s="1">
        <f t="shared" si="10"/>
        <v>0</v>
      </c>
      <c r="AN8" s="1">
        <f>U8*Paramètres!$B$75</f>
        <v>0</v>
      </c>
      <c r="AO8" s="1">
        <f>U8*Paramètres!$B$72*Paramètres!$B$73</f>
        <v>0</v>
      </c>
      <c r="AP8" s="1"/>
      <c r="AQ8" s="1">
        <f>(Y8+AC8)*Paramètres!$B$42*Paramètres!$B$53</f>
        <v>0</v>
      </c>
      <c r="AR8" s="1"/>
      <c r="AS8" s="7">
        <f>ROUNDUP(D8*Paramètres!$B$23*Paramètres!$B$26,-1)</f>
        <v>0</v>
      </c>
      <c r="AT8" s="7"/>
      <c r="AU8" s="1"/>
      <c r="AV8" s="8"/>
      <c r="AW8" s="8"/>
      <c r="AX8" s="8"/>
      <c r="AY8" s="8"/>
      <c r="AZ8" s="8"/>
      <c r="BA8" s="8"/>
      <c r="BB8" s="44"/>
      <c r="BC8" s="44"/>
      <c r="BD8" s="8"/>
      <c r="BE8" s="8"/>
      <c r="BF8" s="8"/>
      <c r="BG8" s="44"/>
      <c r="BI8">
        <f t="shared" si="11"/>
        <v>0</v>
      </c>
    </row>
    <row r="9" spans="1:61" x14ac:dyDescent="0.25">
      <c r="A9">
        <v>7</v>
      </c>
      <c r="C9" s="1"/>
      <c r="D9" s="1"/>
      <c r="E9" s="1"/>
      <c r="F9" s="47"/>
      <c r="G9" s="53"/>
      <c r="H9" s="53"/>
      <c r="I9" s="53"/>
      <c r="J9" s="50">
        <f>F9*Paramètres!$B$3</f>
        <v>0</v>
      </c>
      <c r="K9" s="56">
        <f t="shared" si="0"/>
        <v>0</v>
      </c>
      <c r="L9" s="56">
        <f t="shared" si="1"/>
        <v>0</v>
      </c>
      <c r="M9" s="56">
        <f t="shared" si="2"/>
        <v>0</v>
      </c>
      <c r="N9" s="3">
        <f>ROUNDUP(J9*Paramètres!$B$19,-1)</f>
        <v>0</v>
      </c>
      <c r="O9" s="1">
        <f t="shared" si="3"/>
        <v>0</v>
      </c>
      <c r="P9" s="1">
        <f t="shared" si="4"/>
        <v>0</v>
      </c>
      <c r="Q9" s="3">
        <f t="shared" si="5"/>
        <v>0</v>
      </c>
      <c r="R9" s="47">
        <f>ROUNDUP(+K9/Paramètres!$B$4/Paramètres!$B$53,0)</f>
        <v>0</v>
      </c>
      <c r="S9" s="47">
        <f>ROUNDUP(+L9/Paramètres!$B$6/Paramètres!$B$53,0)</f>
        <v>0</v>
      </c>
      <c r="T9" s="47"/>
      <c r="U9" s="2">
        <f t="shared" si="6"/>
        <v>0</v>
      </c>
      <c r="V9" s="1">
        <f>R9*Paramètres!$B$7</f>
        <v>0</v>
      </c>
      <c r="W9" s="1">
        <f>S9*Paramètres!$B$9</f>
        <v>0</v>
      </c>
      <c r="X9" s="1"/>
      <c r="Y9" s="2">
        <f t="shared" si="7"/>
        <v>0</v>
      </c>
      <c r="Z9" s="7">
        <f>R9*Paramètres!$B$10</f>
        <v>0</v>
      </c>
      <c r="AA9" s="7">
        <f>S9*Paramètres!$B$10</f>
        <v>0</v>
      </c>
      <c r="AB9" s="7"/>
      <c r="AC9" s="2">
        <f t="shared" si="8"/>
        <v>0</v>
      </c>
      <c r="AD9" s="1">
        <f t="shared" si="12"/>
        <v>0</v>
      </c>
      <c r="AE9" s="1">
        <f t="shared" si="9"/>
        <v>0</v>
      </c>
      <c r="AF9" s="1">
        <f>IF(B9="",0,Paramètres!$B$53*1.5)</f>
        <v>0</v>
      </c>
      <c r="AG9" s="1">
        <f>IF(C9="",0,Paramètres!$B$53*1.5)</f>
        <v>0</v>
      </c>
      <c r="AH9" s="1"/>
      <c r="AI9" s="1"/>
      <c r="AJ9" s="1"/>
      <c r="AK9" s="1"/>
      <c r="AL9" s="1">
        <f>(U9*Paramètres!$B$53)*3</f>
        <v>0</v>
      </c>
      <c r="AM9" s="1">
        <f t="shared" si="10"/>
        <v>0</v>
      </c>
      <c r="AN9" s="1">
        <f>U9*Paramètres!$B$75</f>
        <v>0</v>
      </c>
      <c r="AO9" s="1">
        <f>U9*Paramètres!$B$72*Paramètres!$B$73</f>
        <v>0</v>
      </c>
      <c r="AP9" s="1"/>
      <c r="AQ9" s="1">
        <f>(Y9+AC9)*Paramètres!$B$42*Paramètres!$B$53</f>
        <v>0</v>
      </c>
      <c r="AR9" s="1"/>
      <c r="AS9" s="7">
        <f>ROUNDUP(D9*Paramètres!$B$23*Paramètres!$B$26,-1)</f>
        <v>0</v>
      </c>
      <c r="AT9" s="7"/>
      <c r="AU9" s="1"/>
      <c r="AV9" s="8"/>
      <c r="AW9" s="8"/>
      <c r="AX9" s="8"/>
      <c r="AY9" s="8"/>
      <c r="AZ9" s="8"/>
      <c r="BA9" s="8"/>
      <c r="BB9" s="44"/>
      <c r="BC9" s="44"/>
      <c r="BD9" s="8"/>
      <c r="BE9" s="8"/>
      <c r="BF9" s="8"/>
      <c r="BG9" s="44"/>
      <c r="BI9">
        <f t="shared" si="11"/>
        <v>0</v>
      </c>
    </row>
    <row r="10" spans="1:61" x14ac:dyDescent="0.25">
      <c r="A10">
        <v>8</v>
      </c>
      <c r="C10" s="1"/>
      <c r="D10" s="1"/>
      <c r="E10" s="1"/>
      <c r="F10" s="47"/>
      <c r="G10" s="53"/>
      <c r="H10" s="53"/>
      <c r="I10" s="53"/>
      <c r="J10" s="50">
        <f>F10*Paramètres!$B$3</f>
        <v>0</v>
      </c>
      <c r="K10" s="56">
        <f t="shared" si="0"/>
        <v>0</v>
      </c>
      <c r="L10" s="56">
        <f t="shared" si="1"/>
        <v>0</v>
      </c>
      <c r="M10" s="56">
        <f t="shared" si="2"/>
        <v>0</v>
      </c>
      <c r="N10" s="3">
        <f>ROUNDUP(J10*Paramètres!$B$19,-1)</f>
        <v>0</v>
      </c>
      <c r="O10" s="1">
        <f t="shared" si="3"/>
        <v>0</v>
      </c>
      <c r="P10" s="1">
        <f t="shared" si="4"/>
        <v>0</v>
      </c>
      <c r="Q10" s="3">
        <f t="shared" si="5"/>
        <v>0</v>
      </c>
      <c r="R10" s="47">
        <f>ROUNDUP(+K10/Paramètres!$B$4/Paramètres!$B$53,0)</f>
        <v>0</v>
      </c>
      <c r="S10" s="47">
        <f>ROUNDUP(+L10/Paramètres!$B$6/Paramètres!$B$53,0)</f>
        <v>0</v>
      </c>
      <c r="T10" s="47"/>
      <c r="U10" s="2">
        <f t="shared" si="6"/>
        <v>0</v>
      </c>
      <c r="V10" s="1">
        <f>R10*Paramètres!$B$7</f>
        <v>0</v>
      </c>
      <c r="W10" s="1">
        <f>S10*Paramètres!$B$9</f>
        <v>0</v>
      </c>
      <c r="X10" s="1"/>
      <c r="Y10" s="2">
        <f t="shared" si="7"/>
        <v>0</v>
      </c>
      <c r="Z10" s="7">
        <f>R10*Paramètres!$B$10</f>
        <v>0</v>
      </c>
      <c r="AA10" s="7">
        <f>S10*Paramètres!$B$10</f>
        <v>0</v>
      </c>
      <c r="AB10" s="7"/>
      <c r="AC10" s="2">
        <f t="shared" si="8"/>
        <v>0</v>
      </c>
      <c r="AD10" s="1">
        <f t="shared" si="12"/>
        <v>0</v>
      </c>
      <c r="AE10" s="1">
        <f t="shared" si="9"/>
        <v>0</v>
      </c>
      <c r="AF10" s="1">
        <f>IF(B10="",0,Paramètres!$B$53*1.5)</f>
        <v>0</v>
      </c>
      <c r="AG10" s="1">
        <f>IF(C10="",0,Paramètres!$B$53*1.5)</f>
        <v>0</v>
      </c>
      <c r="AH10" s="1"/>
      <c r="AI10" s="1"/>
      <c r="AJ10" s="1"/>
      <c r="AK10" s="1"/>
      <c r="AL10" s="1">
        <f>(U10*Paramètres!$B$53)*3</f>
        <v>0</v>
      </c>
      <c r="AM10" s="1">
        <f t="shared" si="10"/>
        <v>0</v>
      </c>
      <c r="AN10" s="1">
        <f>U10*Paramètres!$B$75</f>
        <v>0</v>
      </c>
      <c r="AO10" s="1">
        <f>U10*Paramètres!$B$72*Paramètres!$B$73</f>
        <v>0</v>
      </c>
      <c r="AP10" s="1"/>
      <c r="AQ10" s="1">
        <f>(Y10+AC10)*Paramètres!$B$42*Paramètres!$B$53</f>
        <v>0</v>
      </c>
      <c r="AR10" s="1"/>
      <c r="AS10" s="7">
        <f>ROUNDUP(D10*Paramètres!$B$23*Paramètres!$B$26,-1)</f>
        <v>0</v>
      </c>
      <c r="AT10" s="7"/>
      <c r="AU10" s="1"/>
      <c r="AV10" s="8"/>
      <c r="AW10" s="8"/>
      <c r="AX10" s="8"/>
      <c r="AY10" s="8"/>
      <c r="AZ10" s="8"/>
      <c r="BA10" s="8"/>
      <c r="BB10" s="44"/>
      <c r="BC10" s="44"/>
      <c r="BD10" s="8"/>
      <c r="BE10" s="8"/>
      <c r="BF10" s="8"/>
      <c r="BG10" s="44"/>
      <c r="BI10">
        <f t="shared" si="11"/>
        <v>0</v>
      </c>
    </row>
    <row r="11" spans="1:61" x14ac:dyDescent="0.25">
      <c r="A11">
        <v>9</v>
      </c>
      <c r="C11" s="1"/>
      <c r="D11" s="1"/>
      <c r="E11" s="1"/>
      <c r="F11" s="47"/>
      <c r="G11" s="53"/>
      <c r="H11" s="53"/>
      <c r="I11" s="53"/>
      <c r="J11" s="50">
        <f>F11*Paramètres!$B$3</f>
        <v>0</v>
      </c>
      <c r="K11" s="56">
        <f t="shared" si="0"/>
        <v>0</v>
      </c>
      <c r="L11" s="56">
        <f t="shared" si="1"/>
        <v>0</v>
      </c>
      <c r="M11" s="56">
        <f t="shared" si="2"/>
        <v>0</v>
      </c>
      <c r="N11" s="3">
        <f>ROUNDUP(J11*Paramètres!$B$19,-1)</f>
        <v>0</v>
      </c>
      <c r="O11" s="1">
        <f t="shared" si="3"/>
        <v>0</v>
      </c>
      <c r="P11" s="1">
        <f t="shared" si="4"/>
        <v>0</v>
      </c>
      <c r="Q11" s="3">
        <f t="shared" si="5"/>
        <v>0</v>
      </c>
      <c r="R11" s="47">
        <f>ROUNDUP(+K11/Paramètres!$B$4/Paramètres!$B$53,0)</f>
        <v>0</v>
      </c>
      <c r="S11" s="47">
        <f>ROUNDUP(+L11/Paramètres!$B$6/Paramètres!$B$53,0)</f>
        <v>0</v>
      </c>
      <c r="T11" s="47"/>
      <c r="U11" s="2">
        <f t="shared" si="6"/>
        <v>0</v>
      </c>
      <c r="V11" s="1">
        <f>R11*Paramètres!$B$7</f>
        <v>0</v>
      </c>
      <c r="W11" s="1">
        <f>S11*Paramètres!$B$9</f>
        <v>0</v>
      </c>
      <c r="X11" s="1"/>
      <c r="Y11" s="2">
        <f t="shared" si="7"/>
        <v>0</v>
      </c>
      <c r="Z11" s="7">
        <f>R11*Paramètres!$B$10</f>
        <v>0</v>
      </c>
      <c r="AA11" s="7">
        <f>S11*Paramètres!$B$10</f>
        <v>0</v>
      </c>
      <c r="AB11" s="7"/>
      <c r="AC11" s="2">
        <f t="shared" si="8"/>
        <v>0</v>
      </c>
      <c r="AD11" s="1">
        <f t="shared" si="12"/>
        <v>0</v>
      </c>
      <c r="AE11" s="1">
        <f t="shared" si="9"/>
        <v>0</v>
      </c>
      <c r="AF11" s="1">
        <f>IF(B11="",0,Paramètres!$B$53*1.5)</f>
        <v>0</v>
      </c>
      <c r="AG11" s="1">
        <f>IF(C11="",0,Paramètres!$B$53*1.5)</f>
        <v>0</v>
      </c>
      <c r="AH11" s="1"/>
      <c r="AI11" s="1"/>
      <c r="AJ11" s="1"/>
      <c r="AK11" s="1"/>
      <c r="AL11" s="1">
        <f>(U11*Paramètres!$B$53)*3</f>
        <v>0</v>
      </c>
      <c r="AM11" s="1">
        <f t="shared" si="10"/>
        <v>0</v>
      </c>
      <c r="AN11" s="1">
        <f>U11*Paramètres!$B$75</f>
        <v>0</v>
      </c>
      <c r="AO11" s="1">
        <f>U11*Paramètres!$B$72*Paramètres!$B$73</f>
        <v>0</v>
      </c>
      <c r="AP11" s="1"/>
      <c r="AQ11" s="1">
        <f>(Y11+AC11)*Paramètres!$B$42*Paramètres!$B$53</f>
        <v>0</v>
      </c>
      <c r="AR11" s="1"/>
      <c r="AS11" s="7">
        <f>ROUNDUP(D11*Paramètres!$B$23*Paramètres!$B$26,-1)</f>
        <v>0</v>
      </c>
      <c r="AT11" s="7"/>
      <c r="AU11" s="1"/>
      <c r="AV11" s="8"/>
      <c r="AW11" s="8"/>
      <c r="AX11" s="8"/>
      <c r="AY11" s="8"/>
      <c r="AZ11" s="8"/>
      <c r="BA11" s="8"/>
      <c r="BB11" s="44"/>
      <c r="BC11" s="44"/>
      <c r="BD11" s="8"/>
      <c r="BE11" s="8"/>
      <c r="BF11" s="8"/>
      <c r="BG11" s="44"/>
      <c r="BI11">
        <f t="shared" si="11"/>
        <v>0</v>
      </c>
    </row>
    <row r="12" spans="1:61" x14ac:dyDescent="0.25">
      <c r="A12">
        <v>10</v>
      </c>
      <c r="C12" s="1"/>
      <c r="D12" s="1"/>
      <c r="E12" s="1"/>
      <c r="F12" s="47"/>
      <c r="G12" s="53"/>
      <c r="H12" s="53"/>
      <c r="I12" s="53"/>
      <c r="J12" s="50">
        <f>F12*Paramètres!$B$3</f>
        <v>0</v>
      </c>
      <c r="K12" s="56">
        <f t="shared" si="0"/>
        <v>0</v>
      </c>
      <c r="L12" s="56">
        <f t="shared" si="1"/>
        <v>0</v>
      </c>
      <c r="M12" s="56">
        <f t="shared" si="2"/>
        <v>0</v>
      </c>
      <c r="N12" s="3">
        <f>ROUNDUP(J12*Paramètres!$B$19,-1)</f>
        <v>0</v>
      </c>
      <c r="O12" s="1">
        <f t="shared" si="3"/>
        <v>0</v>
      </c>
      <c r="P12" s="1">
        <f t="shared" si="4"/>
        <v>0</v>
      </c>
      <c r="Q12" s="3">
        <f t="shared" si="5"/>
        <v>0</v>
      </c>
      <c r="R12" s="47">
        <f>ROUNDUP(+K12/Paramètres!$B$4/Paramètres!$B$53,0)</f>
        <v>0</v>
      </c>
      <c r="S12" s="47">
        <f>ROUNDUP(+L12/Paramètres!$B$6/Paramètres!$B$53,0)</f>
        <v>0</v>
      </c>
      <c r="T12" s="47"/>
      <c r="U12" s="2">
        <f t="shared" si="6"/>
        <v>0</v>
      </c>
      <c r="V12" s="1">
        <f>R12*Paramètres!$B$7</f>
        <v>0</v>
      </c>
      <c r="W12" s="1">
        <f>S12*Paramètres!$B$9</f>
        <v>0</v>
      </c>
      <c r="X12" s="1"/>
      <c r="Y12" s="2">
        <f t="shared" si="7"/>
        <v>0</v>
      </c>
      <c r="Z12" s="7">
        <f>R12*Paramètres!$B$10</f>
        <v>0</v>
      </c>
      <c r="AA12" s="7">
        <f>S12*Paramètres!$B$10</f>
        <v>0</v>
      </c>
      <c r="AB12" s="7"/>
      <c r="AC12" s="2">
        <f t="shared" si="8"/>
        <v>0</v>
      </c>
      <c r="AD12" s="1">
        <f t="shared" si="12"/>
        <v>0</v>
      </c>
      <c r="AE12" s="1">
        <f t="shared" si="9"/>
        <v>0</v>
      </c>
      <c r="AF12" s="1">
        <f>IF(B12="",0,Paramètres!$B$53*1.5)</f>
        <v>0</v>
      </c>
      <c r="AG12" s="1">
        <f>IF(C12="",0,Paramètres!$B$53*1.5)</f>
        <v>0</v>
      </c>
      <c r="AH12" s="1"/>
      <c r="AI12" s="1"/>
      <c r="AJ12" s="1"/>
      <c r="AK12" s="1"/>
      <c r="AL12" s="1">
        <f>(U12*Paramètres!$B$53)*3</f>
        <v>0</v>
      </c>
      <c r="AM12" s="1">
        <f t="shared" si="10"/>
        <v>0</v>
      </c>
      <c r="AN12" s="1">
        <f>U12*Paramètres!$B$75</f>
        <v>0</v>
      </c>
      <c r="AO12" s="1">
        <f>U12*Paramètres!$B$72*Paramètres!$B$73</f>
        <v>0</v>
      </c>
      <c r="AP12" s="1"/>
      <c r="AQ12" s="1">
        <f>(Y12+AC12)*Paramètres!$B$42*Paramètres!$B$53</f>
        <v>0</v>
      </c>
      <c r="AR12" s="1"/>
      <c r="AS12" s="7">
        <f>ROUNDUP(D12*Paramètres!$B$23*Paramètres!$B$26,-1)</f>
        <v>0</v>
      </c>
      <c r="AT12" s="7"/>
      <c r="AU12" s="1"/>
      <c r="AV12" s="8"/>
      <c r="AW12" s="8"/>
      <c r="AX12" s="8"/>
      <c r="AY12" s="8"/>
      <c r="AZ12" s="8"/>
      <c r="BA12" s="8"/>
      <c r="BB12" s="44"/>
      <c r="BC12" s="44"/>
      <c r="BD12" s="8"/>
      <c r="BE12" s="8"/>
      <c r="BF12" s="8"/>
      <c r="BG12" s="44"/>
      <c r="BI12">
        <f t="shared" si="11"/>
        <v>0</v>
      </c>
    </row>
    <row r="13" spans="1:61" x14ac:dyDescent="0.25">
      <c r="A13">
        <v>11</v>
      </c>
      <c r="C13" s="1"/>
      <c r="D13" s="1"/>
      <c r="E13" s="1"/>
      <c r="F13" s="47"/>
      <c r="G13" s="53"/>
      <c r="H13" s="53"/>
      <c r="I13" s="53"/>
      <c r="J13" s="50">
        <f>F13*Paramètres!$B$3</f>
        <v>0</v>
      </c>
      <c r="K13" s="56">
        <f t="shared" si="0"/>
        <v>0</v>
      </c>
      <c r="L13" s="56">
        <f t="shared" si="1"/>
        <v>0</v>
      </c>
      <c r="M13" s="56">
        <f t="shared" si="2"/>
        <v>0</v>
      </c>
      <c r="N13" s="3">
        <f>ROUNDUP(J13*Paramètres!$B$19,-1)</f>
        <v>0</v>
      </c>
      <c r="O13" s="1">
        <f t="shared" si="3"/>
        <v>0</v>
      </c>
      <c r="P13" s="1">
        <f t="shared" si="4"/>
        <v>0</v>
      </c>
      <c r="Q13" s="3">
        <f t="shared" si="5"/>
        <v>0</v>
      </c>
      <c r="R13" s="47">
        <f>ROUNDUP(+K13/Paramètres!$B$4/Paramètres!$B$53,0)</f>
        <v>0</v>
      </c>
      <c r="S13" s="47">
        <f>ROUNDUP(+L13/Paramètres!$B$6/Paramètres!$B$53,0)</f>
        <v>0</v>
      </c>
      <c r="T13" s="47"/>
      <c r="U13" s="2">
        <f t="shared" si="6"/>
        <v>0</v>
      </c>
      <c r="V13" s="1">
        <f>R13*Paramètres!$B$7</f>
        <v>0</v>
      </c>
      <c r="W13" s="1">
        <f>S13*Paramètres!$B$9</f>
        <v>0</v>
      </c>
      <c r="X13" s="1"/>
      <c r="Y13" s="2">
        <f t="shared" si="7"/>
        <v>0</v>
      </c>
      <c r="Z13" s="7">
        <f>R13*Paramètres!$B$10</f>
        <v>0</v>
      </c>
      <c r="AA13" s="7">
        <f>S13*Paramètres!$B$10</f>
        <v>0</v>
      </c>
      <c r="AB13" s="7"/>
      <c r="AC13" s="2">
        <f t="shared" si="8"/>
        <v>0</v>
      </c>
      <c r="AD13" s="1">
        <f t="shared" si="12"/>
        <v>0</v>
      </c>
      <c r="AE13" s="1">
        <f t="shared" si="9"/>
        <v>0</v>
      </c>
      <c r="AF13" s="1">
        <f>IF(B13="",0,Paramètres!$B$53*1.5)</f>
        <v>0</v>
      </c>
      <c r="AG13" s="1">
        <f>IF(C13="",0,Paramètres!$B$53*1.5)</f>
        <v>0</v>
      </c>
      <c r="AH13" s="1"/>
      <c r="AI13" s="1"/>
      <c r="AJ13" s="1"/>
      <c r="AK13" s="1"/>
      <c r="AL13" s="1">
        <f>(U13*Paramètres!$B$53)*3</f>
        <v>0</v>
      </c>
      <c r="AM13" s="1">
        <f t="shared" si="10"/>
        <v>0</v>
      </c>
      <c r="AN13" s="1">
        <f>U13*Paramètres!$B$75</f>
        <v>0</v>
      </c>
      <c r="AO13" s="1">
        <f>U13*Paramètres!$B$72*Paramètres!$B$73</f>
        <v>0</v>
      </c>
      <c r="AP13" s="1"/>
      <c r="AQ13" s="1">
        <f>(Y13+AC13)*Paramètres!$B$42*Paramètres!$B$53</f>
        <v>0</v>
      </c>
      <c r="AR13" s="1"/>
      <c r="AS13" s="7">
        <f>ROUNDUP(D13*Paramètres!$B$23*Paramètres!$B$26,-1)</f>
        <v>0</v>
      </c>
      <c r="AT13" s="7"/>
      <c r="AU13" s="1"/>
      <c r="AV13" s="8"/>
      <c r="AW13" s="8"/>
      <c r="AX13" s="8"/>
      <c r="AY13" s="8"/>
      <c r="AZ13" s="8"/>
      <c r="BA13" s="8"/>
      <c r="BB13" s="44"/>
      <c r="BC13" s="44"/>
      <c r="BD13" s="8"/>
      <c r="BE13" s="8"/>
      <c r="BF13" s="8"/>
      <c r="BG13" s="44"/>
      <c r="BI13">
        <f t="shared" si="11"/>
        <v>0</v>
      </c>
    </row>
    <row r="14" spans="1:61" x14ac:dyDescent="0.25">
      <c r="A14">
        <v>12</v>
      </c>
      <c r="C14" s="1"/>
      <c r="D14" s="1"/>
      <c r="E14" s="1"/>
      <c r="F14" s="47"/>
      <c r="G14" s="53"/>
      <c r="H14" s="53"/>
      <c r="I14" s="53"/>
      <c r="J14" s="50">
        <f>F14*Paramètres!$B$3</f>
        <v>0</v>
      </c>
      <c r="K14" s="56">
        <f t="shared" si="0"/>
        <v>0</v>
      </c>
      <c r="L14" s="56">
        <f t="shared" si="1"/>
        <v>0</v>
      </c>
      <c r="M14" s="56">
        <f t="shared" si="2"/>
        <v>0</v>
      </c>
      <c r="N14" s="3">
        <f>ROUNDUP(J14*Paramètres!$B$19,-1)</f>
        <v>0</v>
      </c>
      <c r="O14" s="1">
        <f t="shared" si="3"/>
        <v>0</v>
      </c>
      <c r="P14" s="1">
        <f t="shared" si="4"/>
        <v>0</v>
      </c>
      <c r="Q14" s="3">
        <f t="shared" si="5"/>
        <v>0</v>
      </c>
      <c r="R14" s="47">
        <f>ROUNDUP(+K14/Paramètres!$B$4/Paramètres!$B$53,0)</f>
        <v>0</v>
      </c>
      <c r="S14" s="47">
        <f>ROUNDUP(+L14/Paramètres!$B$6/Paramètres!$B$53,0)</f>
        <v>0</v>
      </c>
      <c r="T14" s="47"/>
      <c r="U14" s="2">
        <f t="shared" si="6"/>
        <v>0</v>
      </c>
      <c r="V14" s="1">
        <f>R14*Paramètres!$B$7</f>
        <v>0</v>
      </c>
      <c r="W14" s="1">
        <f>S14*Paramètres!$B$9</f>
        <v>0</v>
      </c>
      <c r="X14" s="1"/>
      <c r="Y14" s="2">
        <f t="shared" si="7"/>
        <v>0</v>
      </c>
      <c r="Z14" s="7">
        <f>R14*Paramètres!$B$10</f>
        <v>0</v>
      </c>
      <c r="AA14" s="7">
        <f>S14*Paramètres!$B$10</f>
        <v>0</v>
      </c>
      <c r="AB14" s="7"/>
      <c r="AC14" s="2">
        <f t="shared" si="8"/>
        <v>0</v>
      </c>
      <c r="AD14" s="1">
        <f t="shared" si="12"/>
        <v>0</v>
      </c>
      <c r="AE14" s="1">
        <f t="shared" si="9"/>
        <v>0</v>
      </c>
      <c r="AF14" s="1">
        <f>IF(B14="",0,Paramètres!$B$53*1.5)</f>
        <v>0</v>
      </c>
      <c r="AG14" s="1">
        <f>IF(C14="",0,Paramètres!$B$53*1.5)</f>
        <v>0</v>
      </c>
      <c r="AH14" s="1"/>
      <c r="AI14" s="1"/>
      <c r="AJ14" s="1"/>
      <c r="AK14" s="1"/>
      <c r="AL14" s="1">
        <f>(U14*Paramètres!$B$53)*3</f>
        <v>0</v>
      </c>
      <c r="AM14" s="1">
        <f t="shared" si="10"/>
        <v>0</v>
      </c>
      <c r="AN14" s="1">
        <f>U14*Paramètres!$B$75</f>
        <v>0</v>
      </c>
      <c r="AO14" s="1">
        <f>U14*Paramètres!$B$72*Paramètres!$B$73</f>
        <v>0</v>
      </c>
      <c r="AP14" s="1"/>
      <c r="AQ14" s="1">
        <f>(Y14+AC14)*Paramètres!$B$42*Paramètres!$B$53</f>
        <v>0</v>
      </c>
      <c r="AR14" s="1"/>
      <c r="AS14" s="7">
        <f>ROUNDUP(D14*Paramètres!$B$23*Paramètres!$B$26,-1)</f>
        <v>0</v>
      </c>
      <c r="AT14" s="7"/>
      <c r="AU14" s="1"/>
      <c r="AV14" s="8"/>
      <c r="AW14" s="8"/>
      <c r="AX14" s="8"/>
      <c r="AY14" s="8"/>
      <c r="AZ14" s="8"/>
      <c r="BA14" s="8"/>
      <c r="BB14" s="44"/>
      <c r="BC14" s="44"/>
      <c r="BD14" s="8"/>
      <c r="BE14" s="8"/>
      <c r="BF14" s="8"/>
      <c r="BG14" s="44"/>
      <c r="BI14">
        <f t="shared" si="11"/>
        <v>0</v>
      </c>
    </row>
    <row r="15" spans="1:61" x14ac:dyDescent="0.25">
      <c r="A15">
        <v>13</v>
      </c>
      <c r="C15" s="1"/>
      <c r="D15" s="1"/>
      <c r="E15" s="1"/>
      <c r="F15" s="47"/>
      <c r="G15" s="53"/>
      <c r="H15" s="53"/>
      <c r="I15" s="53"/>
      <c r="J15" s="50">
        <f>F15*Paramètres!$B$3</f>
        <v>0</v>
      </c>
      <c r="K15" s="56">
        <f t="shared" si="0"/>
        <v>0</v>
      </c>
      <c r="L15" s="56">
        <f t="shared" si="1"/>
        <v>0</v>
      </c>
      <c r="M15" s="56">
        <f t="shared" si="2"/>
        <v>0</v>
      </c>
      <c r="N15" s="3">
        <f>ROUNDUP(J15*Paramètres!$B$19,-1)</f>
        <v>0</v>
      </c>
      <c r="O15" s="1">
        <f t="shared" si="3"/>
        <v>0</v>
      </c>
      <c r="P15" s="1">
        <f t="shared" si="4"/>
        <v>0</v>
      </c>
      <c r="Q15" s="3">
        <f t="shared" si="5"/>
        <v>0</v>
      </c>
      <c r="R15" s="47">
        <f>ROUNDUP(+K15/Paramètres!$B$4/Paramètres!$B$53,0)</f>
        <v>0</v>
      </c>
      <c r="S15" s="47">
        <f>ROUNDUP(+L15/Paramètres!$B$6/Paramètres!$B$53,0)</f>
        <v>0</v>
      </c>
      <c r="T15" s="47"/>
      <c r="U15" s="2">
        <f t="shared" si="6"/>
        <v>0</v>
      </c>
      <c r="V15" s="1">
        <f>R15*Paramètres!$B$7</f>
        <v>0</v>
      </c>
      <c r="W15" s="1">
        <f>S15*Paramètres!$B$9</f>
        <v>0</v>
      </c>
      <c r="X15" s="1"/>
      <c r="Y15" s="2">
        <f t="shared" si="7"/>
        <v>0</v>
      </c>
      <c r="Z15" s="7">
        <f>R15*Paramètres!$B$10</f>
        <v>0</v>
      </c>
      <c r="AA15" s="7">
        <f>S15*Paramètres!$B$10</f>
        <v>0</v>
      </c>
      <c r="AB15" s="7"/>
      <c r="AC15" s="2">
        <f t="shared" si="8"/>
        <v>0</v>
      </c>
      <c r="AD15" s="1">
        <f t="shared" si="12"/>
        <v>0</v>
      </c>
      <c r="AE15" s="1">
        <f t="shared" si="9"/>
        <v>0</v>
      </c>
      <c r="AF15" s="1">
        <f>IF(B15="",0,Paramètres!$B$53*1.5)</f>
        <v>0</v>
      </c>
      <c r="AG15" s="1">
        <f>IF(C15="",0,Paramètres!$B$53*1.5)</f>
        <v>0</v>
      </c>
      <c r="AH15" s="1"/>
      <c r="AI15" s="1"/>
      <c r="AJ15" s="1"/>
      <c r="AK15" s="1"/>
      <c r="AL15" s="1">
        <f>(U15*Paramètres!$B$53)*3</f>
        <v>0</v>
      </c>
      <c r="AM15" s="1">
        <f t="shared" si="10"/>
        <v>0</v>
      </c>
      <c r="AN15" s="1">
        <f>U15*Paramètres!$B$75</f>
        <v>0</v>
      </c>
      <c r="AO15" s="1">
        <f>U15*Paramètres!$B$72*Paramètres!$B$73</f>
        <v>0</v>
      </c>
      <c r="AP15" s="1"/>
      <c r="AQ15" s="1">
        <f>(Y15+AC15)*Paramètres!$B$42*Paramètres!$B$53</f>
        <v>0</v>
      </c>
      <c r="AR15" s="1"/>
      <c r="AS15" s="7">
        <f>ROUNDUP(D15*Paramètres!$B$23*Paramètres!$B$26,-1)</f>
        <v>0</v>
      </c>
      <c r="AT15" s="7"/>
      <c r="AU15" s="1"/>
      <c r="AV15" s="8"/>
      <c r="AW15" s="8"/>
      <c r="AX15" s="8"/>
      <c r="AY15" s="8"/>
      <c r="AZ15" s="8"/>
      <c r="BA15" s="8"/>
      <c r="BB15" s="44"/>
      <c r="BC15" s="44"/>
      <c r="BD15" s="8"/>
      <c r="BE15" s="8"/>
      <c r="BF15" s="8"/>
      <c r="BG15" s="44"/>
      <c r="BI15">
        <f t="shared" si="11"/>
        <v>0</v>
      </c>
    </row>
    <row r="16" spans="1:61" x14ac:dyDescent="0.25">
      <c r="A16">
        <v>14</v>
      </c>
      <c r="C16" s="1"/>
      <c r="D16" s="1"/>
      <c r="E16" s="1"/>
      <c r="F16" s="47"/>
      <c r="G16" s="53"/>
      <c r="H16" s="53"/>
      <c r="I16" s="53"/>
      <c r="J16" s="50">
        <f>F16*Paramètres!$B$3</f>
        <v>0</v>
      </c>
      <c r="K16" s="56">
        <f t="shared" si="0"/>
        <v>0</v>
      </c>
      <c r="L16" s="56">
        <f t="shared" si="1"/>
        <v>0</v>
      </c>
      <c r="M16" s="56">
        <f t="shared" si="2"/>
        <v>0</v>
      </c>
      <c r="N16" s="3">
        <f>ROUNDUP(J16*Paramètres!$B$19,-1)</f>
        <v>0</v>
      </c>
      <c r="O16" s="1">
        <f t="shared" si="3"/>
        <v>0</v>
      </c>
      <c r="P16" s="1">
        <f t="shared" si="4"/>
        <v>0</v>
      </c>
      <c r="Q16" s="3">
        <f t="shared" si="5"/>
        <v>0</v>
      </c>
      <c r="R16" s="47">
        <f>ROUNDUP(+K16/Paramètres!$B$4/Paramètres!$B$53,0)</f>
        <v>0</v>
      </c>
      <c r="S16" s="47">
        <f>ROUNDUP(+L16/Paramètres!$B$6/Paramètres!$B$53,0)</f>
        <v>0</v>
      </c>
      <c r="T16" s="47"/>
      <c r="U16" s="2">
        <f t="shared" si="6"/>
        <v>0</v>
      </c>
      <c r="V16" s="1">
        <f>R16*Paramètres!$B$7</f>
        <v>0</v>
      </c>
      <c r="W16" s="1">
        <f>S16*Paramètres!$B$9</f>
        <v>0</v>
      </c>
      <c r="X16" s="1"/>
      <c r="Y16" s="2">
        <f t="shared" si="7"/>
        <v>0</v>
      </c>
      <c r="Z16" s="7">
        <f>R16*Paramètres!$B$10</f>
        <v>0</v>
      </c>
      <c r="AA16" s="7">
        <f>S16*Paramètres!$B$10</f>
        <v>0</v>
      </c>
      <c r="AB16" s="7"/>
      <c r="AC16" s="2">
        <f t="shared" si="8"/>
        <v>0</v>
      </c>
      <c r="AD16" s="1">
        <f t="shared" si="12"/>
        <v>0</v>
      </c>
      <c r="AE16" s="1">
        <f t="shared" si="9"/>
        <v>0</v>
      </c>
      <c r="AF16" s="1">
        <f>IF(B16="",0,Paramètres!$B$53*1.5)</f>
        <v>0</v>
      </c>
      <c r="AG16" s="1">
        <f>IF(C16="",0,Paramètres!$B$53*1.5)</f>
        <v>0</v>
      </c>
      <c r="AH16" s="1"/>
      <c r="AI16" s="1"/>
      <c r="AJ16" s="1"/>
      <c r="AK16" s="1"/>
      <c r="AL16" s="1">
        <f>(U16*Paramètres!$B$53)*3</f>
        <v>0</v>
      </c>
      <c r="AM16" s="1">
        <f t="shared" si="10"/>
        <v>0</v>
      </c>
      <c r="AN16" s="1">
        <f>U16*Paramètres!$B$75</f>
        <v>0</v>
      </c>
      <c r="AO16" s="1">
        <f>U16*Paramètres!$B$72*Paramètres!$B$73</f>
        <v>0</v>
      </c>
      <c r="AP16" s="1"/>
      <c r="AQ16" s="1">
        <f>(Y16+AC16)*Paramètres!$B$42*Paramètres!$B$53</f>
        <v>0</v>
      </c>
      <c r="AR16" s="1"/>
      <c r="AS16" s="7">
        <f>ROUNDUP(D16*Paramètres!$B$23*Paramètres!$B$26,-1)</f>
        <v>0</v>
      </c>
      <c r="AT16" s="7"/>
      <c r="AU16" s="1"/>
      <c r="AV16" s="8"/>
      <c r="AW16" s="8"/>
      <c r="AX16" s="8"/>
      <c r="AY16" s="8"/>
      <c r="AZ16" s="8"/>
      <c r="BA16" s="8"/>
      <c r="BB16" s="44"/>
      <c r="BC16" s="44"/>
      <c r="BD16" s="8"/>
      <c r="BE16" s="8"/>
      <c r="BF16" s="8"/>
      <c r="BG16" s="44"/>
      <c r="BI16">
        <f t="shared" si="11"/>
        <v>0</v>
      </c>
    </row>
    <row r="17" spans="1:61" x14ac:dyDescent="0.25">
      <c r="A17">
        <v>15</v>
      </c>
      <c r="C17" s="1"/>
      <c r="D17" s="1"/>
      <c r="E17" s="1"/>
      <c r="F17" s="47"/>
      <c r="G17" s="53"/>
      <c r="H17" s="53"/>
      <c r="I17" s="53"/>
      <c r="J17" s="50">
        <f>F17*Paramètres!$B$3</f>
        <v>0</v>
      </c>
      <c r="K17" s="56">
        <f t="shared" si="0"/>
        <v>0</v>
      </c>
      <c r="L17" s="56">
        <f t="shared" si="1"/>
        <v>0</v>
      </c>
      <c r="M17" s="56">
        <f t="shared" si="2"/>
        <v>0</v>
      </c>
      <c r="N17" s="3">
        <f>ROUNDUP(J17*Paramètres!$B$19,-1)</f>
        <v>0</v>
      </c>
      <c r="O17" s="1">
        <f t="shared" si="3"/>
        <v>0</v>
      </c>
      <c r="P17" s="1">
        <f t="shared" si="4"/>
        <v>0</v>
      </c>
      <c r="Q17" s="3">
        <f t="shared" si="5"/>
        <v>0</v>
      </c>
      <c r="R17" s="47">
        <f>ROUNDUP(+K17/Paramètres!$B$4/Paramètres!$B$53,0)</f>
        <v>0</v>
      </c>
      <c r="S17" s="47">
        <f>ROUNDUP(+L17/Paramètres!$B$6/Paramètres!$B$53,0)</f>
        <v>0</v>
      </c>
      <c r="T17" s="47"/>
      <c r="U17" s="2">
        <f t="shared" si="6"/>
        <v>0</v>
      </c>
      <c r="V17" s="1">
        <f>R17*Paramètres!$B$7</f>
        <v>0</v>
      </c>
      <c r="W17" s="1">
        <f>S17*Paramètres!$B$9</f>
        <v>0</v>
      </c>
      <c r="X17" s="1"/>
      <c r="Y17" s="2">
        <f t="shared" si="7"/>
        <v>0</v>
      </c>
      <c r="Z17" s="7">
        <f>R17*Paramètres!$B$10</f>
        <v>0</v>
      </c>
      <c r="AA17" s="7">
        <f>S17*Paramètres!$B$10</f>
        <v>0</v>
      </c>
      <c r="AB17" s="7"/>
      <c r="AC17" s="2">
        <f t="shared" si="8"/>
        <v>0</v>
      </c>
      <c r="AD17" s="1">
        <f t="shared" si="12"/>
        <v>0</v>
      </c>
      <c r="AE17" s="1">
        <f t="shared" si="9"/>
        <v>0</v>
      </c>
      <c r="AF17" s="1">
        <f>IF(B17="",0,Paramètres!$B$53*1.5)</f>
        <v>0</v>
      </c>
      <c r="AG17" s="1">
        <f>IF(C17="",0,Paramètres!$B$53*1.5)</f>
        <v>0</v>
      </c>
      <c r="AH17" s="1"/>
      <c r="AI17" s="1"/>
      <c r="AJ17" s="1"/>
      <c r="AK17" s="1"/>
      <c r="AL17" s="1">
        <f>(U17*Paramètres!$B$53)*3</f>
        <v>0</v>
      </c>
      <c r="AM17" s="1">
        <f t="shared" si="10"/>
        <v>0</v>
      </c>
      <c r="AN17" s="1">
        <f>U17*Paramètres!$B$75</f>
        <v>0</v>
      </c>
      <c r="AO17" s="1">
        <f>U17*Paramètres!$B$72*Paramètres!$B$73</f>
        <v>0</v>
      </c>
      <c r="AP17" s="1"/>
      <c r="AQ17" s="1">
        <f>(Y17+AC17)*Paramètres!$B$42*Paramètres!$B$53</f>
        <v>0</v>
      </c>
      <c r="AR17" s="1"/>
      <c r="AS17" s="7">
        <f>ROUNDUP(D17*Paramètres!$B$23*Paramètres!$B$26,-1)</f>
        <v>0</v>
      </c>
      <c r="AT17" s="7"/>
      <c r="AU17" s="1"/>
      <c r="AV17" s="8"/>
      <c r="AW17" s="8"/>
      <c r="AX17" s="8"/>
      <c r="AY17" s="8"/>
      <c r="AZ17" s="8"/>
      <c r="BA17" s="8"/>
      <c r="BB17" s="44"/>
      <c r="BC17" s="44"/>
      <c r="BD17" s="8"/>
      <c r="BE17" s="8"/>
      <c r="BF17" s="8"/>
      <c r="BG17" s="44"/>
      <c r="BI17">
        <f t="shared" si="11"/>
        <v>0</v>
      </c>
    </row>
    <row r="18" spans="1:61" x14ac:dyDescent="0.25">
      <c r="A18">
        <v>16</v>
      </c>
      <c r="C18" s="1"/>
      <c r="D18" s="1"/>
      <c r="E18" s="1"/>
      <c r="F18" s="47"/>
      <c r="G18" s="53"/>
      <c r="H18" s="53"/>
      <c r="I18" s="53"/>
      <c r="J18" s="50">
        <f>F18*Paramètres!$B$3</f>
        <v>0</v>
      </c>
      <c r="K18" s="56">
        <f t="shared" si="0"/>
        <v>0</v>
      </c>
      <c r="L18" s="56">
        <f t="shared" si="1"/>
        <v>0</v>
      </c>
      <c r="M18" s="56">
        <f t="shared" si="2"/>
        <v>0</v>
      </c>
      <c r="N18" s="3">
        <f>ROUNDUP(J18*Paramètres!$B$19,-1)</f>
        <v>0</v>
      </c>
      <c r="O18" s="1">
        <f t="shared" si="3"/>
        <v>0</v>
      </c>
      <c r="P18" s="1">
        <f t="shared" si="4"/>
        <v>0</v>
      </c>
      <c r="Q18" s="3">
        <f t="shared" si="5"/>
        <v>0</v>
      </c>
      <c r="R18" s="47">
        <f>ROUNDUP(+K18/Paramètres!$B$4/Paramètres!$B$53,0)</f>
        <v>0</v>
      </c>
      <c r="S18" s="47">
        <f>ROUNDUP(+L18/Paramètres!$B$6/Paramètres!$B$53,0)</f>
        <v>0</v>
      </c>
      <c r="T18" s="47"/>
      <c r="U18" s="2">
        <f t="shared" si="6"/>
        <v>0</v>
      </c>
      <c r="V18" s="1">
        <f>R18*Paramètres!$B$7</f>
        <v>0</v>
      </c>
      <c r="W18" s="1">
        <f>S18*Paramètres!$B$9</f>
        <v>0</v>
      </c>
      <c r="X18" s="1"/>
      <c r="Y18" s="2">
        <f t="shared" si="7"/>
        <v>0</v>
      </c>
      <c r="Z18" s="7">
        <f>R18*Paramètres!$B$10</f>
        <v>0</v>
      </c>
      <c r="AA18" s="7">
        <f>S18*Paramètres!$B$10</f>
        <v>0</v>
      </c>
      <c r="AB18" s="7"/>
      <c r="AC18" s="2">
        <f t="shared" si="8"/>
        <v>0</v>
      </c>
      <c r="AD18" s="1">
        <f t="shared" si="12"/>
        <v>0</v>
      </c>
      <c r="AE18" s="1">
        <f t="shared" si="9"/>
        <v>0</v>
      </c>
      <c r="AF18" s="1">
        <f>IF(B18="",0,Paramètres!$B$53*1.5)</f>
        <v>0</v>
      </c>
      <c r="AG18" s="1">
        <f>IF(C18="",0,Paramètres!$B$53*1.5)</f>
        <v>0</v>
      </c>
      <c r="AH18" s="1"/>
      <c r="AI18" s="1"/>
      <c r="AJ18" s="1"/>
      <c r="AK18" s="1"/>
      <c r="AL18" s="1">
        <f>(U18*Paramètres!$B$53)*3</f>
        <v>0</v>
      </c>
      <c r="AM18" s="1">
        <f t="shared" si="10"/>
        <v>0</v>
      </c>
      <c r="AN18" s="1">
        <f>U18*Paramètres!$B$75</f>
        <v>0</v>
      </c>
      <c r="AO18" s="1">
        <f>U18*Paramètres!$B$72*Paramètres!$B$73</f>
        <v>0</v>
      </c>
      <c r="AP18" s="1"/>
      <c r="AQ18" s="1">
        <f>(Y18+AC18)*Paramètres!$B$42*Paramètres!$B$53</f>
        <v>0</v>
      </c>
      <c r="AR18" s="1"/>
      <c r="AS18" s="7">
        <f>ROUNDUP(D18*Paramètres!$B$23*Paramètres!$B$26,-1)</f>
        <v>0</v>
      </c>
      <c r="AT18" s="7"/>
      <c r="AU18" s="1"/>
      <c r="AV18" s="8"/>
      <c r="AW18" s="8"/>
      <c r="AX18" s="8"/>
      <c r="AY18" s="8"/>
      <c r="AZ18" s="8"/>
      <c r="BA18" s="8"/>
      <c r="BB18" s="44"/>
      <c r="BC18" s="44"/>
      <c r="BD18" s="8"/>
      <c r="BE18" s="8"/>
      <c r="BF18" s="8"/>
      <c r="BG18" s="44"/>
      <c r="BI18">
        <f t="shared" si="11"/>
        <v>0</v>
      </c>
    </row>
    <row r="19" spans="1:61" x14ac:dyDescent="0.25">
      <c r="A19">
        <v>17</v>
      </c>
      <c r="C19" s="1"/>
      <c r="D19" s="1"/>
      <c r="E19" s="1"/>
      <c r="F19" s="47"/>
      <c r="G19" s="53"/>
      <c r="H19" s="53"/>
      <c r="I19" s="53"/>
      <c r="J19" s="50">
        <f>F19*Paramètres!$B$3</f>
        <v>0</v>
      </c>
      <c r="K19" s="56">
        <f t="shared" si="0"/>
        <v>0</v>
      </c>
      <c r="L19" s="56">
        <f t="shared" si="1"/>
        <v>0</v>
      </c>
      <c r="M19" s="56">
        <f t="shared" si="2"/>
        <v>0</v>
      </c>
      <c r="N19" s="3">
        <f>ROUNDUP(J19*Paramètres!$B$19,-1)</f>
        <v>0</v>
      </c>
      <c r="O19" s="1">
        <f t="shared" si="3"/>
        <v>0</v>
      </c>
      <c r="P19" s="1">
        <f t="shared" si="4"/>
        <v>0</v>
      </c>
      <c r="Q19" s="3">
        <f t="shared" si="5"/>
        <v>0</v>
      </c>
      <c r="R19" s="47">
        <f>ROUNDUP(+K19/Paramètres!$B$4/Paramètres!$B$53,0)</f>
        <v>0</v>
      </c>
      <c r="S19" s="47">
        <f>ROUNDUP(+L19/Paramètres!$B$6/Paramètres!$B$53,0)</f>
        <v>0</v>
      </c>
      <c r="T19" s="47"/>
      <c r="U19" s="2">
        <f t="shared" si="6"/>
        <v>0</v>
      </c>
      <c r="V19" s="1">
        <f>R19*Paramètres!$B$7</f>
        <v>0</v>
      </c>
      <c r="W19" s="1">
        <f>S19*Paramètres!$B$9</f>
        <v>0</v>
      </c>
      <c r="X19" s="1"/>
      <c r="Y19" s="2">
        <f t="shared" si="7"/>
        <v>0</v>
      </c>
      <c r="Z19" s="7">
        <f>R19*Paramètres!$B$10</f>
        <v>0</v>
      </c>
      <c r="AA19" s="7">
        <f>S19*Paramètres!$B$10</f>
        <v>0</v>
      </c>
      <c r="AB19" s="7"/>
      <c r="AC19" s="2">
        <f t="shared" si="8"/>
        <v>0</v>
      </c>
      <c r="AD19" s="1">
        <f t="shared" si="12"/>
        <v>0</v>
      </c>
      <c r="AE19" s="1">
        <f t="shared" si="9"/>
        <v>0</v>
      </c>
      <c r="AF19" s="1">
        <f>IF(B19="",0,Paramètres!$B$53*1.5)</f>
        <v>0</v>
      </c>
      <c r="AG19" s="1">
        <f>IF(C19="",0,Paramètres!$B$53*1.5)</f>
        <v>0</v>
      </c>
      <c r="AH19" s="1"/>
      <c r="AI19" s="1"/>
      <c r="AJ19" s="1"/>
      <c r="AK19" s="1"/>
      <c r="AL19" s="1">
        <f>(U19*Paramètres!$B$53)*3</f>
        <v>0</v>
      </c>
      <c r="AM19" s="1">
        <f t="shared" si="10"/>
        <v>0</v>
      </c>
      <c r="AN19" s="1">
        <f>U19*Paramètres!$B$75</f>
        <v>0</v>
      </c>
      <c r="AO19" s="1">
        <f>U19*Paramètres!$B$72*Paramètres!$B$73</f>
        <v>0</v>
      </c>
      <c r="AP19" s="1"/>
      <c r="AQ19" s="1">
        <f>(Y19+AC19)*Paramètres!$B$42*Paramètres!$B$53</f>
        <v>0</v>
      </c>
      <c r="AR19" s="1"/>
      <c r="AS19" s="7">
        <f>ROUNDUP(D19*Paramètres!$B$23*Paramètres!$B$26,-1)</f>
        <v>0</v>
      </c>
      <c r="AT19" s="7"/>
      <c r="AU19" s="1"/>
      <c r="AV19" s="8"/>
      <c r="AW19" s="8"/>
      <c r="AX19" s="8"/>
      <c r="AY19" s="8"/>
      <c r="AZ19" s="8"/>
      <c r="BA19" s="8"/>
      <c r="BB19" s="44"/>
      <c r="BC19" s="44"/>
      <c r="BD19" s="8"/>
      <c r="BE19" s="8"/>
      <c r="BF19" s="8"/>
      <c r="BG19" s="44"/>
      <c r="BI19">
        <f t="shared" si="11"/>
        <v>0</v>
      </c>
    </row>
    <row r="20" spans="1:61" x14ac:dyDescent="0.25">
      <c r="A20">
        <v>18</v>
      </c>
      <c r="C20" s="1"/>
      <c r="D20" s="1"/>
      <c r="E20" s="1"/>
      <c r="F20" s="47"/>
      <c r="G20" s="53"/>
      <c r="H20" s="53"/>
      <c r="I20" s="53"/>
      <c r="J20" s="50">
        <f>F20*Paramètres!$B$3</f>
        <v>0</v>
      </c>
      <c r="K20" s="56">
        <f t="shared" si="0"/>
        <v>0</v>
      </c>
      <c r="L20" s="56">
        <f t="shared" si="1"/>
        <v>0</v>
      </c>
      <c r="M20" s="56">
        <f t="shared" si="2"/>
        <v>0</v>
      </c>
      <c r="N20" s="3">
        <f>ROUNDUP(J20*Paramètres!$B$19,-1)</f>
        <v>0</v>
      </c>
      <c r="O20" s="1">
        <f t="shared" si="3"/>
        <v>0</v>
      </c>
      <c r="P20" s="1">
        <f t="shared" si="4"/>
        <v>0</v>
      </c>
      <c r="Q20" s="3">
        <f t="shared" si="5"/>
        <v>0</v>
      </c>
      <c r="R20" s="47">
        <f>ROUNDUP(+K20/Paramètres!$B$4/Paramètres!$B$53,0)</f>
        <v>0</v>
      </c>
      <c r="S20" s="47">
        <f>ROUNDUP(+L20/Paramètres!$B$6/Paramètres!$B$53,0)</f>
        <v>0</v>
      </c>
      <c r="T20" s="47"/>
      <c r="U20" s="2">
        <f t="shared" si="6"/>
        <v>0</v>
      </c>
      <c r="V20" s="1">
        <f>R20*Paramètres!$B$7</f>
        <v>0</v>
      </c>
      <c r="W20" s="1">
        <f>S20*Paramètres!$B$9</f>
        <v>0</v>
      </c>
      <c r="X20" s="1"/>
      <c r="Y20" s="2">
        <f t="shared" si="7"/>
        <v>0</v>
      </c>
      <c r="Z20" s="7">
        <f>R20*Paramètres!$B$10</f>
        <v>0</v>
      </c>
      <c r="AA20" s="7">
        <f>S20*Paramètres!$B$10</f>
        <v>0</v>
      </c>
      <c r="AB20" s="7"/>
      <c r="AC20" s="2">
        <f t="shared" si="8"/>
        <v>0</v>
      </c>
      <c r="AD20" s="1">
        <f t="shared" si="12"/>
        <v>0</v>
      </c>
      <c r="AE20" s="1">
        <f t="shared" si="9"/>
        <v>0</v>
      </c>
      <c r="AF20" s="1">
        <f>IF(B20="",0,Paramètres!$B$53*1.5)</f>
        <v>0</v>
      </c>
      <c r="AG20" s="1">
        <f>IF(C20="",0,Paramètres!$B$53*1.5)</f>
        <v>0</v>
      </c>
      <c r="AH20" s="1"/>
      <c r="AI20" s="1"/>
      <c r="AJ20" s="1"/>
      <c r="AK20" s="1"/>
      <c r="AL20" s="1">
        <f>(U20*Paramètres!$B$53)*3</f>
        <v>0</v>
      </c>
      <c r="AM20" s="1">
        <f t="shared" si="10"/>
        <v>0</v>
      </c>
      <c r="AN20" s="1">
        <f>U20*Paramètres!$B$75</f>
        <v>0</v>
      </c>
      <c r="AO20" s="1">
        <f>U20*Paramètres!$B$72*Paramètres!$B$73</f>
        <v>0</v>
      </c>
      <c r="AP20" s="1"/>
      <c r="AQ20" s="1">
        <f>(Y20+AC20)*Paramètres!$B$42*Paramètres!$B$53</f>
        <v>0</v>
      </c>
      <c r="AR20" s="1"/>
      <c r="AS20" s="7">
        <f>ROUNDUP(D20*Paramètres!$B$23*Paramètres!$B$26,-1)</f>
        <v>0</v>
      </c>
      <c r="AT20" s="7"/>
      <c r="AU20" s="1"/>
      <c r="AV20" s="8"/>
      <c r="AW20" s="8"/>
      <c r="AX20" s="8"/>
      <c r="AY20" s="8"/>
      <c r="AZ20" s="8"/>
      <c r="BA20" s="8"/>
      <c r="BB20" s="44"/>
      <c r="BC20" s="44"/>
      <c r="BD20" s="8"/>
      <c r="BE20" s="8"/>
      <c r="BF20" s="8"/>
      <c r="BG20" s="44"/>
      <c r="BI20">
        <f t="shared" si="11"/>
        <v>0</v>
      </c>
    </row>
    <row r="21" spans="1:61" x14ac:dyDescent="0.25">
      <c r="A21">
        <v>19</v>
      </c>
      <c r="C21" s="1"/>
      <c r="D21" s="1"/>
      <c r="E21" s="1"/>
      <c r="F21" s="47"/>
      <c r="G21" s="53"/>
      <c r="H21" s="53"/>
      <c r="I21" s="53"/>
      <c r="J21" s="50">
        <f>F21*Paramètres!$B$3</f>
        <v>0</v>
      </c>
      <c r="K21" s="56">
        <f t="shared" si="0"/>
        <v>0</v>
      </c>
      <c r="L21" s="56">
        <f t="shared" si="1"/>
        <v>0</v>
      </c>
      <c r="M21" s="56">
        <f t="shared" si="2"/>
        <v>0</v>
      </c>
      <c r="N21" s="3">
        <f>ROUNDUP(J21*Paramètres!$B$19,-1)</f>
        <v>0</v>
      </c>
      <c r="O21" s="1">
        <f t="shared" si="3"/>
        <v>0</v>
      </c>
      <c r="P21" s="1">
        <f t="shared" si="4"/>
        <v>0</v>
      </c>
      <c r="Q21" s="3">
        <f t="shared" si="5"/>
        <v>0</v>
      </c>
      <c r="R21" s="47">
        <f>ROUNDUP(+K21/Paramètres!$B$4/Paramètres!$B$53,0)</f>
        <v>0</v>
      </c>
      <c r="S21" s="47">
        <f>ROUNDUP(+L21/Paramètres!$B$6/Paramètres!$B$53,0)</f>
        <v>0</v>
      </c>
      <c r="T21" s="47"/>
      <c r="U21" s="2">
        <f t="shared" si="6"/>
        <v>0</v>
      </c>
      <c r="V21" s="1">
        <f>R21*Paramètres!$B$7</f>
        <v>0</v>
      </c>
      <c r="W21" s="1">
        <f>S21*Paramètres!$B$9</f>
        <v>0</v>
      </c>
      <c r="X21" s="1"/>
      <c r="Y21" s="2">
        <f t="shared" si="7"/>
        <v>0</v>
      </c>
      <c r="Z21" s="7">
        <f>R21*Paramètres!$B$10</f>
        <v>0</v>
      </c>
      <c r="AA21" s="7">
        <f>S21*Paramètres!$B$10</f>
        <v>0</v>
      </c>
      <c r="AB21" s="7"/>
      <c r="AC21" s="2">
        <f t="shared" si="8"/>
        <v>0</v>
      </c>
      <c r="AD21" s="1">
        <f t="shared" si="12"/>
        <v>0</v>
      </c>
      <c r="AE21" s="1">
        <f t="shared" si="9"/>
        <v>0</v>
      </c>
      <c r="AF21" s="1">
        <f>IF(B21="",0,Paramètres!$B$53*1.5)</f>
        <v>0</v>
      </c>
      <c r="AG21" s="1">
        <f>IF(C21="",0,Paramètres!$B$53*1.5)</f>
        <v>0</v>
      </c>
      <c r="AH21" s="1"/>
      <c r="AI21" s="1"/>
      <c r="AJ21" s="1"/>
      <c r="AK21" s="1"/>
      <c r="AL21" s="1">
        <f>(U21*Paramètres!$B$53)*3</f>
        <v>0</v>
      </c>
      <c r="AM21" s="1">
        <f t="shared" si="10"/>
        <v>0</v>
      </c>
      <c r="AN21" s="1">
        <f>U21*Paramètres!$B$75</f>
        <v>0</v>
      </c>
      <c r="AO21" s="1">
        <f>U21*Paramètres!$B$72*Paramètres!$B$73</f>
        <v>0</v>
      </c>
      <c r="AP21" s="1"/>
      <c r="AQ21" s="1">
        <f>(Y21+AC21)*Paramètres!$B$42*Paramètres!$B$53</f>
        <v>0</v>
      </c>
      <c r="AR21" s="1"/>
      <c r="AS21" s="7">
        <f>ROUNDUP(D21*Paramètres!$B$23*Paramètres!$B$26,-1)</f>
        <v>0</v>
      </c>
      <c r="AT21" s="7"/>
      <c r="AU21" s="1"/>
      <c r="AV21" s="8"/>
      <c r="AW21" s="8"/>
      <c r="AX21" s="8"/>
      <c r="AY21" s="8"/>
      <c r="AZ21" s="8"/>
      <c r="BA21" s="8"/>
      <c r="BB21" s="44"/>
      <c r="BC21" s="44"/>
      <c r="BD21" s="8"/>
      <c r="BE21" s="8"/>
      <c r="BF21" s="8"/>
      <c r="BG21" s="44"/>
      <c r="BI21">
        <f t="shared" si="11"/>
        <v>0</v>
      </c>
    </row>
    <row r="22" spans="1:61" x14ac:dyDescent="0.25">
      <c r="A22">
        <v>20</v>
      </c>
      <c r="C22" s="1"/>
      <c r="D22" s="1"/>
      <c r="E22" s="1"/>
      <c r="F22" s="47"/>
      <c r="G22" s="53"/>
      <c r="H22" s="53"/>
      <c r="I22" s="53"/>
      <c r="J22" s="50">
        <f>F22*Paramètres!$B$3</f>
        <v>0</v>
      </c>
      <c r="K22" s="56">
        <f t="shared" si="0"/>
        <v>0</v>
      </c>
      <c r="L22" s="56">
        <f t="shared" si="1"/>
        <v>0</v>
      </c>
      <c r="M22" s="56">
        <f t="shared" si="2"/>
        <v>0</v>
      </c>
      <c r="N22" s="3">
        <f>ROUNDUP(J22*Paramètres!$B$19,-1)</f>
        <v>0</v>
      </c>
      <c r="O22" s="1">
        <f t="shared" si="3"/>
        <v>0</v>
      </c>
      <c r="P22" s="1">
        <f t="shared" si="4"/>
        <v>0</v>
      </c>
      <c r="Q22" s="3">
        <f t="shared" si="5"/>
        <v>0</v>
      </c>
      <c r="R22" s="47">
        <f>ROUNDUP(+K22/Paramètres!$B$4/Paramètres!$B$53,0)</f>
        <v>0</v>
      </c>
      <c r="S22" s="47">
        <f>ROUNDUP(+L22/Paramètres!$B$6/Paramètres!$B$53,0)</f>
        <v>0</v>
      </c>
      <c r="T22" s="47"/>
      <c r="U22" s="2">
        <f t="shared" si="6"/>
        <v>0</v>
      </c>
      <c r="V22" s="1">
        <f>R22*Paramètres!$B$7</f>
        <v>0</v>
      </c>
      <c r="W22" s="1">
        <f>S22*Paramètres!$B$9</f>
        <v>0</v>
      </c>
      <c r="X22" s="1"/>
      <c r="Y22" s="2">
        <f t="shared" si="7"/>
        <v>0</v>
      </c>
      <c r="Z22" s="7">
        <f>R22*Paramètres!$B$10</f>
        <v>0</v>
      </c>
      <c r="AA22" s="7">
        <f>S22*Paramètres!$B$10</f>
        <v>0</v>
      </c>
      <c r="AB22" s="7"/>
      <c r="AC22" s="2">
        <f t="shared" si="8"/>
        <v>0</v>
      </c>
      <c r="AD22" s="1">
        <f t="shared" si="12"/>
        <v>0</v>
      </c>
      <c r="AE22" s="1">
        <f t="shared" si="9"/>
        <v>0</v>
      </c>
      <c r="AF22" s="1">
        <f>IF(B22="",0,Paramètres!$B$53*1.5)</f>
        <v>0</v>
      </c>
      <c r="AG22" s="1">
        <f>IF(C22="",0,Paramètres!$B$53*1.5)</f>
        <v>0</v>
      </c>
      <c r="AH22" s="1"/>
      <c r="AI22" s="1"/>
      <c r="AJ22" s="1"/>
      <c r="AK22" s="1"/>
      <c r="AL22" s="1">
        <f>(U22*Paramètres!$B$53)*3</f>
        <v>0</v>
      </c>
      <c r="AM22" s="1">
        <f t="shared" si="10"/>
        <v>0</v>
      </c>
      <c r="AN22" s="1">
        <f>U22*Paramètres!$B$75</f>
        <v>0</v>
      </c>
      <c r="AO22" s="1">
        <f>U22*Paramètres!$B$72*Paramètres!$B$73</f>
        <v>0</v>
      </c>
      <c r="AP22" s="1"/>
      <c r="AQ22" s="1">
        <f>(Y22+AC22)*Paramètres!$B$42*Paramètres!$B$53</f>
        <v>0</v>
      </c>
      <c r="AR22" s="1"/>
      <c r="AS22" s="7">
        <f>ROUNDUP(D22*Paramètres!$B$23*Paramètres!$B$26,-1)</f>
        <v>0</v>
      </c>
      <c r="AT22" s="7"/>
      <c r="AU22" s="1"/>
      <c r="AV22" s="8"/>
      <c r="AW22" s="8"/>
      <c r="AX22" s="8"/>
      <c r="AY22" s="8"/>
      <c r="AZ22" s="8"/>
      <c r="BA22" s="8"/>
      <c r="BB22" s="44"/>
      <c r="BC22" s="44"/>
      <c r="BD22" s="8"/>
      <c r="BE22" s="8"/>
      <c r="BF22" s="8"/>
      <c r="BG22" s="44"/>
      <c r="BI22">
        <f t="shared" si="11"/>
        <v>0</v>
      </c>
    </row>
    <row r="23" spans="1:61" x14ac:dyDescent="0.25">
      <c r="A23">
        <v>21</v>
      </c>
      <c r="C23" s="1"/>
      <c r="D23" s="1"/>
      <c r="E23" s="1"/>
      <c r="F23" s="47"/>
      <c r="G23" s="53"/>
      <c r="H23" s="53"/>
      <c r="I23" s="53"/>
      <c r="J23" s="50">
        <f>F23*Paramètres!$B$3</f>
        <v>0</v>
      </c>
      <c r="K23" s="56">
        <f t="shared" si="0"/>
        <v>0</v>
      </c>
      <c r="L23" s="56">
        <f t="shared" si="1"/>
        <v>0</v>
      </c>
      <c r="M23" s="56">
        <f t="shared" si="2"/>
        <v>0</v>
      </c>
      <c r="N23" s="3">
        <f>ROUNDUP(J23*Paramètres!$B$19,-1)</f>
        <v>0</v>
      </c>
      <c r="O23" s="1">
        <f t="shared" si="3"/>
        <v>0</v>
      </c>
      <c r="P23" s="1">
        <f t="shared" si="4"/>
        <v>0</v>
      </c>
      <c r="Q23" s="3">
        <f t="shared" si="5"/>
        <v>0</v>
      </c>
      <c r="R23" s="47">
        <f>ROUNDUP(+K23/Paramètres!$B$4/Paramètres!$B$53,0)</f>
        <v>0</v>
      </c>
      <c r="S23" s="47">
        <f>ROUNDUP(+L23/Paramètres!$B$6/Paramètres!$B$53,0)</f>
        <v>0</v>
      </c>
      <c r="T23" s="47"/>
      <c r="U23" s="2">
        <f t="shared" si="6"/>
        <v>0</v>
      </c>
      <c r="V23" s="1">
        <f>R23*Paramètres!$B$7</f>
        <v>0</v>
      </c>
      <c r="W23" s="1">
        <f>S23*Paramètres!$B$9</f>
        <v>0</v>
      </c>
      <c r="X23" s="1"/>
      <c r="Y23" s="2">
        <f t="shared" si="7"/>
        <v>0</v>
      </c>
      <c r="Z23" s="7">
        <f>R23*Paramètres!$B$10</f>
        <v>0</v>
      </c>
      <c r="AA23" s="7">
        <f>S23*Paramètres!$B$10</f>
        <v>0</v>
      </c>
      <c r="AB23" s="7"/>
      <c r="AC23" s="2">
        <f t="shared" si="8"/>
        <v>0</v>
      </c>
      <c r="AD23" s="1">
        <f t="shared" si="12"/>
        <v>0</v>
      </c>
      <c r="AE23" s="1">
        <f t="shared" si="9"/>
        <v>0</v>
      </c>
      <c r="AF23" s="1">
        <f>IF(B23="",0,Paramètres!$B$53*1.5)</f>
        <v>0</v>
      </c>
      <c r="AG23" s="1">
        <f>IF(C23="",0,Paramètres!$B$53*1.5)</f>
        <v>0</v>
      </c>
      <c r="AH23" s="1"/>
      <c r="AI23" s="1"/>
      <c r="AJ23" s="1"/>
      <c r="AK23" s="1"/>
      <c r="AL23" s="1">
        <f>(U23*Paramètres!$B$53)*3</f>
        <v>0</v>
      </c>
      <c r="AM23" s="1">
        <f t="shared" si="10"/>
        <v>0</v>
      </c>
      <c r="AN23" s="1">
        <f>U23*Paramètres!$B$75</f>
        <v>0</v>
      </c>
      <c r="AO23" s="1">
        <f>U23*Paramètres!$B$72*Paramètres!$B$73</f>
        <v>0</v>
      </c>
      <c r="AP23" s="1"/>
      <c r="AQ23" s="1">
        <f>(Y23+AC23)*Paramètres!$B$42*Paramètres!$B$53</f>
        <v>0</v>
      </c>
      <c r="AR23" s="1"/>
      <c r="AS23" s="7">
        <f>ROUNDUP(D23*Paramètres!$B$23*Paramètres!$B$26,-1)</f>
        <v>0</v>
      </c>
      <c r="AT23" s="7"/>
      <c r="AU23" s="1"/>
      <c r="AV23" s="8"/>
      <c r="AW23" s="8"/>
      <c r="AX23" s="8"/>
      <c r="AY23" s="8"/>
      <c r="AZ23" s="8"/>
      <c r="BA23" s="8"/>
      <c r="BB23" s="44"/>
      <c r="BC23" s="44"/>
      <c r="BD23" s="8"/>
      <c r="BE23" s="8"/>
      <c r="BF23" s="8"/>
      <c r="BG23" s="44"/>
      <c r="BI23">
        <f t="shared" si="11"/>
        <v>0</v>
      </c>
    </row>
    <row r="24" spans="1:61" x14ac:dyDescent="0.25">
      <c r="A24">
        <v>22</v>
      </c>
      <c r="C24" s="1"/>
      <c r="D24" s="1"/>
      <c r="E24" s="1"/>
      <c r="F24" s="47"/>
      <c r="G24" s="53"/>
      <c r="H24" s="53"/>
      <c r="I24" s="53"/>
      <c r="J24" s="50">
        <f>F24*Paramètres!$B$3</f>
        <v>0</v>
      </c>
      <c r="K24" s="56">
        <f t="shared" si="0"/>
        <v>0</v>
      </c>
      <c r="L24" s="56">
        <f t="shared" si="1"/>
        <v>0</v>
      </c>
      <c r="M24" s="56">
        <f t="shared" si="2"/>
        <v>0</v>
      </c>
      <c r="N24" s="3">
        <f>ROUNDUP(J24*Paramètres!$B$19,-1)</f>
        <v>0</v>
      </c>
      <c r="O24" s="1">
        <f t="shared" si="3"/>
        <v>0</v>
      </c>
      <c r="P24" s="1">
        <f t="shared" si="4"/>
        <v>0</v>
      </c>
      <c r="Q24" s="3">
        <f t="shared" si="5"/>
        <v>0</v>
      </c>
      <c r="R24" s="47">
        <f>ROUNDUP(+K24/Paramètres!$B$4/Paramètres!$B$53,0)</f>
        <v>0</v>
      </c>
      <c r="S24" s="47">
        <f>ROUNDUP(+L24/Paramètres!$B$6/Paramètres!$B$53,0)</f>
        <v>0</v>
      </c>
      <c r="T24" s="47"/>
      <c r="U24" s="2">
        <f t="shared" si="6"/>
        <v>0</v>
      </c>
      <c r="V24" s="1">
        <f>R24*Paramètres!$B$7</f>
        <v>0</v>
      </c>
      <c r="W24" s="1">
        <f>S24*Paramètres!$B$9</f>
        <v>0</v>
      </c>
      <c r="X24" s="1"/>
      <c r="Y24" s="2">
        <f t="shared" si="7"/>
        <v>0</v>
      </c>
      <c r="Z24" s="7">
        <f>R24*Paramètres!$B$10</f>
        <v>0</v>
      </c>
      <c r="AA24" s="7">
        <f>S24*Paramètres!$B$10</f>
        <v>0</v>
      </c>
      <c r="AB24" s="7"/>
      <c r="AC24" s="2">
        <f t="shared" si="8"/>
        <v>0</v>
      </c>
      <c r="AD24" s="1">
        <f t="shared" si="12"/>
        <v>0</v>
      </c>
      <c r="AE24" s="1">
        <f t="shared" si="9"/>
        <v>0</v>
      </c>
      <c r="AF24" s="1">
        <f>IF(B24="",0,Paramètres!$B$53*1.5)</f>
        <v>0</v>
      </c>
      <c r="AG24" s="1">
        <f>IF(C24="",0,Paramètres!$B$53*1.5)</f>
        <v>0</v>
      </c>
      <c r="AH24" s="1"/>
      <c r="AI24" s="1"/>
      <c r="AJ24" s="1"/>
      <c r="AK24" s="1"/>
      <c r="AL24" s="1">
        <f>(U24*Paramètres!$B$53)*3</f>
        <v>0</v>
      </c>
      <c r="AM24" s="1">
        <f t="shared" si="10"/>
        <v>0</v>
      </c>
      <c r="AN24" s="1">
        <f>U24*Paramètres!$B$75</f>
        <v>0</v>
      </c>
      <c r="AO24" s="1">
        <f>U24*Paramètres!$B$72*Paramètres!$B$73</f>
        <v>0</v>
      </c>
      <c r="AP24" s="1"/>
      <c r="AQ24" s="1">
        <f>(Y24+AC24)*Paramètres!$B$42*Paramètres!$B$53</f>
        <v>0</v>
      </c>
      <c r="AR24" s="1"/>
      <c r="AS24" s="7">
        <f>ROUNDUP(D24*Paramètres!$B$23*Paramètres!$B$26,-1)</f>
        <v>0</v>
      </c>
      <c r="AT24" s="7"/>
      <c r="AU24" s="1"/>
      <c r="AV24" s="8"/>
      <c r="AW24" s="8"/>
      <c r="AX24" s="8"/>
      <c r="AY24" s="8"/>
      <c r="AZ24" s="8"/>
      <c r="BA24" s="8"/>
      <c r="BB24" s="44"/>
      <c r="BC24" s="44"/>
      <c r="BD24" s="8"/>
      <c r="BE24" s="8"/>
      <c r="BF24" s="8"/>
      <c r="BG24" s="44"/>
      <c r="BI24">
        <f t="shared" si="11"/>
        <v>0</v>
      </c>
    </row>
    <row r="25" spans="1:61" x14ac:dyDescent="0.25">
      <c r="A25">
        <v>23</v>
      </c>
      <c r="B25" s="1"/>
      <c r="C25" s="1"/>
      <c r="D25" s="1"/>
      <c r="E25" s="1"/>
      <c r="F25" s="47"/>
      <c r="G25" s="53"/>
      <c r="H25" s="53"/>
      <c r="I25" s="53"/>
      <c r="J25" s="50">
        <f>F25*Paramètres!$B$3</f>
        <v>0</v>
      </c>
      <c r="K25" s="56">
        <f t="shared" si="0"/>
        <v>0</v>
      </c>
      <c r="L25" s="56">
        <f t="shared" si="1"/>
        <v>0</v>
      </c>
      <c r="M25" s="56">
        <f t="shared" si="2"/>
        <v>0</v>
      </c>
      <c r="N25" s="3">
        <f>ROUNDUP(J25*Paramètres!$B$19,-1)</f>
        <v>0</v>
      </c>
      <c r="O25" s="1">
        <f t="shared" si="3"/>
        <v>0</v>
      </c>
      <c r="P25" s="1">
        <f t="shared" si="4"/>
        <v>0</v>
      </c>
      <c r="Q25" s="3">
        <f t="shared" si="5"/>
        <v>0</v>
      </c>
      <c r="R25" s="47">
        <f>ROUNDUP(+K25/Paramètres!$B$4/Paramètres!$B$53,0)</f>
        <v>0</v>
      </c>
      <c r="S25" s="47">
        <f>ROUNDUP(+L25/Paramètres!$B$6/Paramètres!$B$53,0)</f>
        <v>0</v>
      </c>
      <c r="T25" s="47"/>
      <c r="U25" s="2">
        <f t="shared" si="6"/>
        <v>0</v>
      </c>
      <c r="V25" s="1">
        <f>R25*Paramètres!$B$7</f>
        <v>0</v>
      </c>
      <c r="W25" s="1">
        <f>S25*Paramètres!$B$9</f>
        <v>0</v>
      </c>
      <c r="X25" s="1"/>
      <c r="Y25" s="2">
        <f t="shared" si="7"/>
        <v>0</v>
      </c>
      <c r="Z25" s="7">
        <f>R25*Paramètres!$B$10</f>
        <v>0</v>
      </c>
      <c r="AA25" s="7">
        <f>S25*Paramètres!$B$10</f>
        <v>0</v>
      </c>
      <c r="AB25" s="7"/>
      <c r="AC25" s="2">
        <f t="shared" si="8"/>
        <v>0</v>
      </c>
      <c r="AD25" s="1">
        <f t="shared" si="12"/>
        <v>0</v>
      </c>
      <c r="AE25" s="1">
        <f t="shared" si="9"/>
        <v>0</v>
      </c>
      <c r="AF25" s="1">
        <f>IF(B25="",0,Paramètres!$B$53*1.5)</f>
        <v>0</v>
      </c>
      <c r="AG25" s="1">
        <f>IF(C25="",0,Paramètres!$B$53*1.5)</f>
        <v>0</v>
      </c>
      <c r="AH25" s="1"/>
      <c r="AI25" s="1"/>
      <c r="AJ25" s="1"/>
      <c r="AK25" s="1"/>
      <c r="AL25" s="1">
        <f>(U25*Paramètres!$B$53)*3</f>
        <v>0</v>
      </c>
      <c r="AM25" s="1">
        <f t="shared" si="10"/>
        <v>0</v>
      </c>
      <c r="AN25" s="1">
        <f>U25*Paramètres!$B$75</f>
        <v>0</v>
      </c>
      <c r="AO25" s="1">
        <f>U25*Paramètres!$B$72*Paramètres!$B$73</f>
        <v>0</v>
      </c>
      <c r="AP25" s="1"/>
      <c r="AQ25" s="1">
        <f>(Y25+AC25)*Paramètres!$B$42*Paramètres!$B$53</f>
        <v>0</v>
      </c>
      <c r="AR25" s="1"/>
      <c r="AS25" s="7">
        <f>ROUNDUP(D25*Paramètres!$B$23*Paramètres!$B$26,-1)</f>
        <v>0</v>
      </c>
      <c r="AT25" s="7"/>
      <c r="AU25" s="1"/>
      <c r="AV25" s="8"/>
      <c r="AW25" s="8"/>
      <c r="AX25" s="8"/>
      <c r="AY25" s="8"/>
      <c r="AZ25" s="8"/>
      <c r="BA25" s="8"/>
      <c r="BB25" s="44"/>
      <c r="BC25" s="44"/>
      <c r="BD25" s="8"/>
      <c r="BE25" s="8"/>
      <c r="BF25" s="8"/>
      <c r="BG25" s="44"/>
      <c r="BI25">
        <f t="shared" si="11"/>
        <v>0</v>
      </c>
    </row>
    <row r="26" spans="1:61" x14ac:dyDescent="0.25">
      <c r="A26">
        <v>24</v>
      </c>
      <c r="B26" s="1"/>
      <c r="C26" s="1"/>
      <c r="D26" s="1"/>
      <c r="E26" s="1"/>
      <c r="F26" s="47"/>
      <c r="G26" s="53"/>
      <c r="H26" s="53"/>
      <c r="I26" s="53"/>
      <c r="J26" s="50">
        <f>F26*Paramètres!$B$3</f>
        <v>0</v>
      </c>
      <c r="K26" s="56">
        <f t="shared" si="0"/>
        <v>0</v>
      </c>
      <c r="L26" s="56">
        <f t="shared" si="1"/>
        <v>0</v>
      </c>
      <c r="M26" s="56">
        <f t="shared" si="2"/>
        <v>0</v>
      </c>
      <c r="N26" s="3">
        <f>ROUNDUP(J26*Paramètres!$B$19,-1)</f>
        <v>0</v>
      </c>
      <c r="O26" s="1">
        <f t="shared" si="3"/>
        <v>0</v>
      </c>
      <c r="P26" s="1">
        <f t="shared" si="4"/>
        <v>0</v>
      </c>
      <c r="Q26" s="3">
        <f t="shared" si="5"/>
        <v>0</v>
      </c>
      <c r="R26" s="47">
        <f>ROUNDUP(+K26/Paramètres!$B$4/Paramètres!$B$53,0)</f>
        <v>0</v>
      </c>
      <c r="S26" s="47">
        <f>ROUNDUP(+L26/Paramètres!$B$6/Paramètres!$B$53,0)</f>
        <v>0</v>
      </c>
      <c r="T26" s="47"/>
      <c r="U26" s="2">
        <f t="shared" si="6"/>
        <v>0</v>
      </c>
      <c r="V26" s="1">
        <f>R26*Paramètres!$B$7</f>
        <v>0</v>
      </c>
      <c r="W26" s="1">
        <f>S26*Paramètres!$B$9</f>
        <v>0</v>
      </c>
      <c r="X26" s="1"/>
      <c r="Y26" s="2">
        <f t="shared" si="7"/>
        <v>0</v>
      </c>
      <c r="Z26" s="7">
        <f>R26*Paramètres!$B$10</f>
        <v>0</v>
      </c>
      <c r="AA26" s="7">
        <f>S26*Paramètres!$B$10</f>
        <v>0</v>
      </c>
      <c r="AB26" s="7"/>
      <c r="AC26" s="2">
        <f t="shared" si="8"/>
        <v>0</v>
      </c>
      <c r="AD26" s="1">
        <f t="shared" si="12"/>
        <v>0</v>
      </c>
      <c r="AE26" s="1">
        <f t="shared" si="9"/>
        <v>0</v>
      </c>
      <c r="AF26" s="1">
        <f>IF(B26="",0,Paramètres!$B$53*1.5)</f>
        <v>0</v>
      </c>
      <c r="AG26" s="1">
        <f>IF(C26="",0,Paramètres!$B$53*1.5)</f>
        <v>0</v>
      </c>
      <c r="AH26" s="1"/>
      <c r="AI26" s="1"/>
      <c r="AJ26" s="1"/>
      <c r="AK26" s="1"/>
      <c r="AL26" s="1">
        <f>(U26*Paramètres!$B$53)*3</f>
        <v>0</v>
      </c>
      <c r="AM26" s="1">
        <f t="shared" si="10"/>
        <v>0</v>
      </c>
      <c r="AN26" s="1">
        <f>U26*Paramètres!$B$75</f>
        <v>0</v>
      </c>
      <c r="AO26" s="1">
        <f>U26*Paramètres!$B$72*Paramètres!$B$73</f>
        <v>0</v>
      </c>
      <c r="AP26" s="1"/>
      <c r="AQ26" s="1">
        <f>(Y26+AC26)*Paramètres!$B$42*Paramètres!$B$53</f>
        <v>0</v>
      </c>
      <c r="AR26" s="1"/>
      <c r="AS26" s="7">
        <f>ROUNDUP(D26*Paramètres!$B$23*Paramètres!$B$26,-1)</f>
        <v>0</v>
      </c>
      <c r="AT26" s="7"/>
      <c r="AU26" s="1"/>
      <c r="AV26" s="8"/>
      <c r="AW26" s="8"/>
      <c r="AX26" s="8"/>
      <c r="AY26" s="8"/>
      <c r="AZ26" s="8"/>
      <c r="BA26" s="8"/>
      <c r="BB26" s="44"/>
      <c r="BC26" s="44"/>
      <c r="BD26" s="8"/>
      <c r="BE26" s="8"/>
      <c r="BF26" s="8"/>
      <c r="BG26" s="44"/>
      <c r="BI26">
        <f t="shared" si="11"/>
        <v>0</v>
      </c>
    </row>
    <row r="27" spans="1:61" x14ac:dyDescent="0.25">
      <c r="A27">
        <v>25</v>
      </c>
      <c r="B27" s="1"/>
      <c r="C27" s="1"/>
      <c r="D27" s="1"/>
      <c r="E27" s="1"/>
      <c r="F27" s="47"/>
      <c r="G27" s="53"/>
      <c r="H27" s="53"/>
      <c r="I27" s="53"/>
      <c r="J27" s="50">
        <f>F27*Paramètres!$B$3</f>
        <v>0</v>
      </c>
      <c r="K27" s="56">
        <f t="shared" si="0"/>
        <v>0</v>
      </c>
      <c r="L27" s="56">
        <f t="shared" si="1"/>
        <v>0</v>
      </c>
      <c r="M27" s="56">
        <f t="shared" si="2"/>
        <v>0</v>
      </c>
      <c r="N27" s="3">
        <f>ROUNDUP(J27*Paramètres!$B$19,-1)</f>
        <v>0</v>
      </c>
      <c r="O27" s="1">
        <f t="shared" si="3"/>
        <v>0</v>
      </c>
      <c r="P27" s="1">
        <f t="shared" si="4"/>
        <v>0</v>
      </c>
      <c r="Q27" s="3">
        <f t="shared" si="5"/>
        <v>0</v>
      </c>
      <c r="R27" s="47">
        <f>ROUNDUP(+K27/Paramètres!$B$4/Paramètres!$B$53,0)</f>
        <v>0</v>
      </c>
      <c r="S27" s="47">
        <f>ROUNDUP(+L27/Paramètres!$B$6/Paramètres!$B$53,0)</f>
        <v>0</v>
      </c>
      <c r="T27" s="47"/>
      <c r="U27" s="2">
        <f t="shared" si="6"/>
        <v>0</v>
      </c>
      <c r="V27" s="1">
        <f>R27*Paramètres!$B$7</f>
        <v>0</v>
      </c>
      <c r="W27" s="1">
        <f>S27*Paramètres!$B$9</f>
        <v>0</v>
      </c>
      <c r="X27" s="1"/>
      <c r="Y27" s="2">
        <f t="shared" si="7"/>
        <v>0</v>
      </c>
      <c r="Z27" s="7">
        <f>R27*Paramètres!$B$10</f>
        <v>0</v>
      </c>
      <c r="AA27" s="7">
        <f>S27*Paramètres!$B$10</f>
        <v>0</v>
      </c>
      <c r="AB27" s="7"/>
      <c r="AC27" s="2">
        <f t="shared" si="8"/>
        <v>0</v>
      </c>
      <c r="AD27" s="1">
        <f t="shared" si="12"/>
        <v>0</v>
      </c>
      <c r="AE27" s="1">
        <f t="shared" si="9"/>
        <v>0</v>
      </c>
      <c r="AF27" s="1">
        <f>IF(B27="",0,Paramètres!$B$53*1.5)</f>
        <v>0</v>
      </c>
      <c r="AG27" s="1">
        <f>IF(C27="",0,Paramètres!$B$53*1.5)</f>
        <v>0</v>
      </c>
      <c r="AH27" s="1"/>
      <c r="AI27" s="1"/>
      <c r="AJ27" s="1"/>
      <c r="AK27" s="1"/>
      <c r="AL27" s="1">
        <f>(U27*Paramètres!$B$53)*3</f>
        <v>0</v>
      </c>
      <c r="AM27" s="1">
        <f t="shared" si="10"/>
        <v>0</v>
      </c>
      <c r="AN27" s="1">
        <f>U27*Paramètres!$B$75</f>
        <v>0</v>
      </c>
      <c r="AO27" s="1">
        <f>U27*Paramètres!$B$72*Paramètres!$B$73</f>
        <v>0</v>
      </c>
      <c r="AP27" s="1"/>
      <c r="AQ27" s="1">
        <f>(Y27+AC27)*Paramètres!$B$42*Paramètres!$B$53</f>
        <v>0</v>
      </c>
      <c r="AR27" s="1"/>
      <c r="AS27" s="7">
        <f>ROUNDUP(D27*Paramètres!$B$23*Paramètres!$B$26,-1)</f>
        <v>0</v>
      </c>
      <c r="AT27" s="7"/>
      <c r="AU27" s="1"/>
      <c r="AV27" s="8"/>
      <c r="AW27" s="8"/>
      <c r="AX27" s="8"/>
      <c r="AY27" s="8"/>
      <c r="AZ27" s="8"/>
      <c r="BA27" s="8"/>
      <c r="BB27" s="44"/>
      <c r="BC27" s="44"/>
      <c r="BD27" s="8"/>
      <c r="BE27" s="8"/>
      <c r="BF27" s="8"/>
      <c r="BG27" s="44"/>
      <c r="BI27">
        <f t="shared" si="11"/>
        <v>0</v>
      </c>
    </row>
    <row r="28" spans="1:61" x14ac:dyDescent="0.25">
      <c r="A28">
        <v>26</v>
      </c>
      <c r="B28" s="1"/>
      <c r="C28" s="1"/>
      <c r="D28" s="1"/>
      <c r="E28" s="1"/>
      <c r="F28" s="47"/>
      <c r="G28" s="53"/>
      <c r="H28" s="53"/>
      <c r="I28" s="53"/>
      <c r="J28" s="50">
        <f>F28*Paramètres!$B$3</f>
        <v>0</v>
      </c>
      <c r="K28" s="56">
        <f t="shared" si="0"/>
        <v>0</v>
      </c>
      <c r="L28" s="56">
        <f t="shared" si="1"/>
        <v>0</v>
      </c>
      <c r="M28" s="56">
        <f t="shared" si="2"/>
        <v>0</v>
      </c>
      <c r="N28" s="3">
        <f>ROUNDUP(J28*Paramètres!$B$19,-1)</f>
        <v>0</v>
      </c>
      <c r="O28" s="1">
        <f t="shared" si="3"/>
        <v>0</v>
      </c>
      <c r="P28" s="1">
        <f t="shared" si="4"/>
        <v>0</v>
      </c>
      <c r="Q28" s="3">
        <f t="shared" si="5"/>
        <v>0</v>
      </c>
      <c r="R28" s="47">
        <f>ROUNDUP(+K28/Paramètres!$B$4/Paramètres!$B$53,0)</f>
        <v>0</v>
      </c>
      <c r="S28" s="47">
        <f>ROUNDUP(+L28/Paramètres!$B$6/Paramètres!$B$53,0)</f>
        <v>0</v>
      </c>
      <c r="T28" s="47"/>
      <c r="U28" s="2">
        <f t="shared" si="6"/>
        <v>0</v>
      </c>
      <c r="V28" s="1">
        <f>R28*Paramètres!$B$7</f>
        <v>0</v>
      </c>
      <c r="W28" s="1">
        <f>S28*Paramètres!$B$9</f>
        <v>0</v>
      </c>
      <c r="X28" s="1"/>
      <c r="Y28" s="2">
        <f t="shared" si="7"/>
        <v>0</v>
      </c>
      <c r="Z28" s="7">
        <f>R28*Paramètres!$B$10</f>
        <v>0</v>
      </c>
      <c r="AA28" s="7">
        <f>S28*Paramètres!$B$10</f>
        <v>0</v>
      </c>
      <c r="AB28" s="7"/>
      <c r="AC28" s="2">
        <f t="shared" si="8"/>
        <v>0</v>
      </c>
      <c r="AD28" s="1">
        <f t="shared" si="12"/>
        <v>0</v>
      </c>
      <c r="AE28" s="1">
        <f t="shared" si="9"/>
        <v>0</v>
      </c>
      <c r="AF28" s="1">
        <f>IF(B28="",0,Paramètres!$B$53*1.5)</f>
        <v>0</v>
      </c>
      <c r="AG28" s="1">
        <f>IF(C28="",0,Paramètres!$B$53*1.5)</f>
        <v>0</v>
      </c>
      <c r="AH28" s="1"/>
      <c r="AI28" s="1"/>
      <c r="AJ28" s="1"/>
      <c r="AK28" s="1"/>
      <c r="AL28" s="1">
        <f>(U28*Paramètres!$B$53)*3</f>
        <v>0</v>
      </c>
      <c r="AM28" s="1">
        <f t="shared" si="10"/>
        <v>0</v>
      </c>
      <c r="AN28" s="1">
        <f>U28*Paramètres!$B$75</f>
        <v>0</v>
      </c>
      <c r="AO28" s="1">
        <f>U28*Paramètres!$B$72*Paramètres!$B$73</f>
        <v>0</v>
      </c>
      <c r="AP28" s="1"/>
      <c r="AQ28" s="1">
        <f>(Y28+AC28)*Paramètres!$B$42*Paramètres!$B$53</f>
        <v>0</v>
      </c>
      <c r="AR28" s="1"/>
      <c r="AS28" s="7">
        <f>ROUNDUP(D28*Paramètres!$B$23*Paramètres!$B$26,-1)</f>
        <v>0</v>
      </c>
      <c r="AT28" s="7"/>
      <c r="AU28" s="1"/>
      <c r="AV28" s="8"/>
      <c r="AW28" s="8"/>
      <c r="AX28" s="8"/>
      <c r="AY28" s="8"/>
      <c r="AZ28" s="8"/>
      <c r="BA28" s="8"/>
      <c r="BB28" s="44"/>
      <c r="BC28" s="44"/>
      <c r="BD28" s="8"/>
      <c r="BE28" s="8"/>
      <c r="BF28" s="8"/>
      <c r="BG28" s="44"/>
      <c r="BI28">
        <f t="shared" si="11"/>
        <v>0</v>
      </c>
    </row>
    <row r="29" spans="1:61" x14ac:dyDescent="0.25">
      <c r="A29">
        <v>27</v>
      </c>
      <c r="B29" s="1"/>
      <c r="C29" s="1"/>
      <c r="D29" s="1"/>
      <c r="E29" s="1"/>
      <c r="F29" s="1"/>
      <c r="G29" s="53"/>
      <c r="H29" s="53"/>
      <c r="I29" s="53"/>
      <c r="J29" s="50">
        <f>F29*Paramètres!$B$3</f>
        <v>0</v>
      </c>
      <c r="K29" s="56">
        <f t="shared" si="0"/>
        <v>0</v>
      </c>
      <c r="L29" s="56">
        <f t="shared" si="1"/>
        <v>0</v>
      </c>
      <c r="M29" s="56">
        <f t="shared" si="2"/>
        <v>0</v>
      </c>
      <c r="N29" s="3">
        <f>ROUNDUP(J29*Paramètres!$B$19,-1)</f>
        <v>0</v>
      </c>
      <c r="O29" s="1">
        <f t="shared" si="3"/>
        <v>0</v>
      </c>
      <c r="P29" s="1">
        <f t="shared" si="4"/>
        <v>0</v>
      </c>
      <c r="Q29" s="3">
        <f t="shared" si="5"/>
        <v>0</v>
      </c>
      <c r="R29" s="47">
        <f>ROUNDUP(+K29/Paramètres!$B$4/Paramètres!$B$53,0)</f>
        <v>0</v>
      </c>
      <c r="S29" s="47">
        <f>ROUNDUP(+L29/Paramètres!$B$6/Paramètres!$B$53,0)</f>
        <v>0</v>
      </c>
      <c r="T29" s="47"/>
      <c r="U29" s="2">
        <f t="shared" si="6"/>
        <v>0</v>
      </c>
      <c r="V29" s="1">
        <f>R29*Paramètres!$B$7</f>
        <v>0</v>
      </c>
      <c r="W29" s="1">
        <f>S29*Paramètres!$B$9</f>
        <v>0</v>
      </c>
      <c r="X29" s="1"/>
      <c r="Y29" s="2">
        <f t="shared" si="7"/>
        <v>0</v>
      </c>
      <c r="Z29" s="7">
        <f>R29*Paramètres!$B$10</f>
        <v>0</v>
      </c>
      <c r="AA29" s="7">
        <f>S29*Paramètres!$B$10</f>
        <v>0</v>
      </c>
      <c r="AB29" s="7"/>
      <c r="AC29" s="2">
        <f t="shared" si="8"/>
        <v>0</v>
      </c>
      <c r="AD29" s="1">
        <f t="shared" si="12"/>
        <v>0</v>
      </c>
      <c r="AE29" s="1">
        <f t="shared" si="9"/>
        <v>0</v>
      </c>
      <c r="AF29" s="1">
        <f>IF(B29="",0,Paramètres!$B$53*1.5)</f>
        <v>0</v>
      </c>
      <c r="AG29" s="1">
        <f>IF(C29="",0,Paramètres!$B$53*1.5)</f>
        <v>0</v>
      </c>
      <c r="AH29" s="1"/>
      <c r="AI29" s="1"/>
      <c r="AJ29" s="1"/>
      <c r="AK29" s="1"/>
      <c r="AL29" s="1">
        <f>(U29*Paramètres!$B$53)*3</f>
        <v>0</v>
      </c>
      <c r="AM29" s="1">
        <f t="shared" si="10"/>
        <v>0</v>
      </c>
      <c r="AN29" s="1">
        <f>U29*Paramètres!$B$75</f>
        <v>0</v>
      </c>
      <c r="AO29" s="1">
        <f>U29*Paramètres!$B$72*Paramètres!$B$73</f>
        <v>0</v>
      </c>
      <c r="AP29" s="1"/>
      <c r="AQ29" s="1">
        <f>(Y29+AC29)*Paramètres!$B$42*Paramètres!$B$53</f>
        <v>0</v>
      </c>
      <c r="AR29" s="1"/>
      <c r="AS29" s="7">
        <f>ROUNDUP(D29*Paramètres!$B$23*Paramètres!$B$26,-1)</f>
        <v>0</v>
      </c>
      <c r="AT29" s="7"/>
      <c r="AU29" s="1"/>
      <c r="AV29" s="8"/>
      <c r="AW29" s="8"/>
      <c r="AX29" s="8"/>
      <c r="AY29" s="8"/>
      <c r="AZ29" s="8"/>
      <c r="BA29" s="8"/>
      <c r="BB29" s="44"/>
      <c r="BC29" s="44"/>
      <c r="BD29" s="8"/>
      <c r="BE29" s="8"/>
      <c r="BF29" s="8"/>
      <c r="BG29" s="44"/>
      <c r="BI29">
        <f t="shared" si="11"/>
        <v>0</v>
      </c>
    </row>
    <row r="30" spans="1:61" x14ac:dyDescent="0.25">
      <c r="A30">
        <v>28</v>
      </c>
      <c r="B30" s="1"/>
      <c r="C30" s="1"/>
      <c r="D30" s="1"/>
      <c r="E30" s="1"/>
      <c r="F30" s="1"/>
      <c r="G30" s="53"/>
      <c r="H30" s="53"/>
      <c r="I30" s="53"/>
      <c r="J30" s="50">
        <f>F30*Paramètres!$B$3</f>
        <v>0</v>
      </c>
      <c r="K30" s="56">
        <f t="shared" si="0"/>
        <v>0</v>
      </c>
      <c r="L30" s="56">
        <f t="shared" si="1"/>
        <v>0</v>
      </c>
      <c r="M30" s="56">
        <f t="shared" si="2"/>
        <v>0</v>
      </c>
      <c r="N30" s="3">
        <f>ROUNDUP(J30*Paramètres!$B$19,-1)</f>
        <v>0</v>
      </c>
      <c r="O30" s="1">
        <f t="shared" si="3"/>
        <v>0</v>
      </c>
      <c r="P30" s="1">
        <f t="shared" si="4"/>
        <v>0</v>
      </c>
      <c r="Q30" s="3">
        <f t="shared" si="5"/>
        <v>0</v>
      </c>
      <c r="R30" s="47">
        <f>ROUNDUP(+K30/Paramètres!$B$4/Paramètres!$B$53,0)</f>
        <v>0</v>
      </c>
      <c r="S30" s="47">
        <f>ROUNDUP(+L30/Paramètres!$B$6/Paramètres!$B$53,0)</f>
        <v>0</v>
      </c>
      <c r="T30" s="47"/>
      <c r="U30" s="2">
        <f t="shared" si="6"/>
        <v>0</v>
      </c>
      <c r="V30" s="1">
        <f>R30*Paramètres!$B$7</f>
        <v>0</v>
      </c>
      <c r="W30" s="1">
        <f>S30*Paramètres!$B$9</f>
        <v>0</v>
      </c>
      <c r="X30" s="1"/>
      <c r="Y30" s="2">
        <f t="shared" si="7"/>
        <v>0</v>
      </c>
      <c r="Z30" s="7">
        <f>R30*Paramètres!$B$10</f>
        <v>0</v>
      </c>
      <c r="AA30" s="7">
        <f>S30*Paramètres!$B$10</f>
        <v>0</v>
      </c>
      <c r="AB30" s="7"/>
      <c r="AC30" s="2">
        <f t="shared" si="8"/>
        <v>0</v>
      </c>
      <c r="AD30" s="1">
        <f t="shared" si="12"/>
        <v>0</v>
      </c>
      <c r="AE30" s="1">
        <f t="shared" si="9"/>
        <v>0</v>
      </c>
      <c r="AF30" s="1">
        <f>IF(B30="",0,Paramètres!$B$53*1.5)</f>
        <v>0</v>
      </c>
      <c r="AG30" s="1">
        <f>IF(C30="",0,Paramètres!$B$53*1.5)</f>
        <v>0</v>
      </c>
      <c r="AH30" s="1"/>
      <c r="AI30" s="1"/>
      <c r="AJ30" s="1"/>
      <c r="AK30" s="1"/>
      <c r="AL30" s="1">
        <f>(U30*Paramètres!$B$53)*3</f>
        <v>0</v>
      </c>
      <c r="AM30" s="1">
        <f t="shared" si="10"/>
        <v>0</v>
      </c>
      <c r="AN30" s="1">
        <f>U30*Paramètres!$B$75</f>
        <v>0</v>
      </c>
      <c r="AO30" s="1">
        <f>U30*Paramètres!$B$72*Paramètres!$B$73</f>
        <v>0</v>
      </c>
      <c r="AP30" s="1"/>
      <c r="AQ30" s="1">
        <f>(Y30+AC30)*Paramètres!$B$42*Paramètres!$B$53</f>
        <v>0</v>
      </c>
      <c r="AR30" s="1"/>
      <c r="AS30" s="7">
        <f>ROUNDUP(D30*Paramètres!$B$23*Paramètres!$B$26,-1)</f>
        <v>0</v>
      </c>
      <c r="AT30" s="7"/>
      <c r="AU30" s="1"/>
      <c r="AV30" s="8"/>
      <c r="AW30" s="8"/>
      <c r="AX30" s="8"/>
      <c r="AY30" s="8"/>
      <c r="AZ30" s="8"/>
      <c r="BA30" s="8"/>
      <c r="BB30" s="44"/>
      <c r="BC30" s="44"/>
      <c r="BD30" s="8"/>
      <c r="BE30" s="8"/>
      <c r="BF30" s="8"/>
      <c r="BG30" s="44"/>
      <c r="BI30">
        <f t="shared" si="11"/>
        <v>0</v>
      </c>
    </row>
    <row r="31" spans="1:61" x14ac:dyDescent="0.25">
      <c r="A31">
        <v>29</v>
      </c>
      <c r="B31" s="1"/>
      <c r="C31" s="1"/>
      <c r="D31" s="1"/>
      <c r="E31" s="1"/>
      <c r="F31" s="1"/>
      <c r="G31" s="53"/>
      <c r="H31" s="53"/>
      <c r="I31" s="53"/>
      <c r="J31" s="50">
        <f>F31*Paramètres!$B$3</f>
        <v>0</v>
      </c>
      <c r="K31" s="56">
        <f t="shared" si="0"/>
        <v>0</v>
      </c>
      <c r="L31" s="56">
        <f t="shared" si="1"/>
        <v>0</v>
      </c>
      <c r="M31" s="56">
        <f t="shared" si="2"/>
        <v>0</v>
      </c>
      <c r="N31" s="3">
        <f>ROUNDUP(J31*Paramètres!$B$19,-1)</f>
        <v>0</v>
      </c>
      <c r="O31" s="1">
        <f t="shared" si="3"/>
        <v>0</v>
      </c>
      <c r="P31" s="1">
        <f t="shared" si="4"/>
        <v>0</v>
      </c>
      <c r="Q31" s="3">
        <f t="shared" si="5"/>
        <v>0</v>
      </c>
      <c r="R31" s="47">
        <f>ROUNDUP(+K31/Paramètres!$B$4/Paramètres!$B$53,0)</f>
        <v>0</v>
      </c>
      <c r="S31" s="47">
        <f>ROUNDUP(+L31/Paramètres!$B$6/Paramètres!$B$53,0)</f>
        <v>0</v>
      </c>
      <c r="T31" s="47"/>
      <c r="U31" s="2">
        <f t="shared" si="6"/>
        <v>0</v>
      </c>
      <c r="V31" s="1">
        <f>R31*Paramètres!$B$7</f>
        <v>0</v>
      </c>
      <c r="W31" s="1">
        <f>S31*Paramètres!$B$9</f>
        <v>0</v>
      </c>
      <c r="X31" s="1"/>
      <c r="Y31" s="2">
        <f t="shared" si="7"/>
        <v>0</v>
      </c>
      <c r="Z31" s="7">
        <f>R31*Paramètres!$B$10</f>
        <v>0</v>
      </c>
      <c r="AA31" s="7">
        <f>S31*Paramètres!$B$10</f>
        <v>0</v>
      </c>
      <c r="AB31" s="7"/>
      <c r="AC31" s="2">
        <f t="shared" si="8"/>
        <v>0</v>
      </c>
      <c r="AD31" s="1">
        <f t="shared" si="12"/>
        <v>0</v>
      </c>
      <c r="AE31" s="1">
        <f t="shared" si="9"/>
        <v>0</v>
      </c>
      <c r="AF31" s="1">
        <f>IF(B31="",0,Paramètres!$B$53*1.5)</f>
        <v>0</v>
      </c>
      <c r="AG31" s="1">
        <f>IF(C31="",0,Paramètres!$B$53*1.5)</f>
        <v>0</v>
      </c>
      <c r="AH31" s="1"/>
      <c r="AI31" s="1"/>
      <c r="AJ31" s="1"/>
      <c r="AK31" s="1"/>
      <c r="AL31" s="1">
        <f>(U31*Paramètres!$B$53)*3</f>
        <v>0</v>
      </c>
      <c r="AM31" s="1">
        <f t="shared" si="10"/>
        <v>0</v>
      </c>
      <c r="AN31" s="1">
        <f>U31*Paramètres!$B$75</f>
        <v>0</v>
      </c>
      <c r="AO31" s="1">
        <f>U31*Paramètres!$B$72*Paramètres!$B$73</f>
        <v>0</v>
      </c>
      <c r="AP31" s="1"/>
      <c r="AQ31" s="1">
        <f>(Y31+AC31)*Paramètres!$B$42*Paramètres!$B$53</f>
        <v>0</v>
      </c>
      <c r="AR31" s="1"/>
      <c r="AS31" s="7">
        <f>ROUNDUP(D31*Paramètres!$B$23*Paramètres!$B$26,-1)</f>
        <v>0</v>
      </c>
      <c r="AT31" s="7"/>
      <c r="AU31" s="1"/>
      <c r="AV31" s="8"/>
      <c r="AW31" s="8"/>
      <c r="AX31" s="8"/>
      <c r="AY31" s="8"/>
      <c r="AZ31" s="8"/>
      <c r="BA31" s="8"/>
      <c r="BB31" s="44"/>
      <c r="BC31" s="44"/>
      <c r="BD31" s="8"/>
      <c r="BE31" s="8"/>
      <c r="BF31" s="8"/>
      <c r="BG31" s="44"/>
      <c r="BI31">
        <f t="shared" si="11"/>
        <v>0</v>
      </c>
    </row>
    <row r="32" spans="1:61" x14ac:dyDescent="0.25">
      <c r="A32">
        <v>30</v>
      </c>
      <c r="B32" s="1"/>
      <c r="C32" s="1"/>
      <c r="F32" s="1"/>
      <c r="G32" s="53"/>
      <c r="H32" s="53"/>
      <c r="I32" s="53"/>
      <c r="J32" s="50">
        <f>F32*Paramètres!$B$3</f>
        <v>0</v>
      </c>
      <c r="K32" s="56">
        <f t="shared" si="0"/>
        <v>0</v>
      </c>
      <c r="L32" s="56">
        <f t="shared" si="1"/>
        <v>0</v>
      </c>
      <c r="M32" s="56">
        <f t="shared" si="2"/>
        <v>0</v>
      </c>
      <c r="N32" s="3">
        <f>ROUNDUP(J32*Paramètres!$B$19,-1)</f>
        <v>0</v>
      </c>
      <c r="O32" s="1">
        <f t="shared" si="3"/>
        <v>0</v>
      </c>
      <c r="P32" s="1">
        <f t="shared" si="4"/>
        <v>0</v>
      </c>
      <c r="Q32" s="3">
        <f t="shared" si="5"/>
        <v>0</v>
      </c>
      <c r="R32" s="47">
        <f>ROUNDUP(+K32/Paramètres!$B$4/Paramètres!$B$53,0)</f>
        <v>0</v>
      </c>
      <c r="S32" s="47">
        <f>ROUNDUP(+L32/Paramètres!$B$6/Paramètres!$B$53,0)</f>
        <v>0</v>
      </c>
      <c r="T32" s="47"/>
      <c r="U32" s="2">
        <f t="shared" si="6"/>
        <v>0</v>
      </c>
      <c r="V32" s="1">
        <f>R32*Paramètres!$B$7</f>
        <v>0</v>
      </c>
      <c r="W32" s="1">
        <f>S32*Paramètres!$B$9</f>
        <v>0</v>
      </c>
      <c r="X32" s="1"/>
      <c r="Y32" s="2">
        <f t="shared" si="7"/>
        <v>0</v>
      </c>
      <c r="Z32" s="7">
        <f>R32*Paramètres!$B$10</f>
        <v>0</v>
      </c>
      <c r="AA32" s="7">
        <f>S32*Paramètres!$B$10</f>
        <v>0</v>
      </c>
      <c r="AB32" s="7"/>
      <c r="AC32" s="2">
        <f t="shared" si="8"/>
        <v>0</v>
      </c>
      <c r="AD32" s="1">
        <f t="shared" si="12"/>
        <v>0</v>
      </c>
      <c r="AE32" s="1">
        <f t="shared" si="9"/>
        <v>0</v>
      </c>
      <c r="AF32" s="1">
        <f>IF(B32="",0,Paramètres!$B$53*1.5)</f>
        <v>0</v>
      </c>
      <c r="AG32" s="1">
        <f>IF(C32="",0,Paramètres!$B$53*1.5)</f>
        <v>0</v>
      </c>
      <c r="AH32" s="1"/>
      <c r="AI32" s="1"/>
      <c r="AJ32" s="1"/>
      <c r="AK32" s="1"/>
      <c r="AL32" s="1">
        <f>(U32*Paramètres!$B$53)*3</f>
        <v>0</v>
      </c>
      <c r="AM32" s="1">
        <f t="shared" si="10"/>
        <v>0</v>
      </c>
      <c r="AN32" s="1">
        <f>U32*Paramètres!$B$75</f>
        <v>0</v>
      </c>
      <c r="AO32" s="1">
        <f>U32*Paramètres!$B$72*Paramètres!$B$73</f>
        <v>0</v>
      </c>
      <c r="AP32" s="1"/>
      <c r="AQ32" s="1">
        <f>(Y32+AC32)*Paramètres!$B$42*Paramètres!$B$53</f>
        <v>0</v>
      </c>
      <c r="AR32" s="1"/>
      <c r="AS32" s="7">
        <f>ROUNDUP(D32*Paramètres!$B$23*Paramètres!$B$26,-1)</f>
        <v>0</v>
      </c>
      <c r="AT32" s="7"/>
      <c r="AU32" s="1"/>
      <c r="AV32" s="8"/>
      <c r="AW32" s="8"/>
      <c r="AX32" s="8"/>
      <c r="AY32" s="8"/>
      <c r="AZ32" s="8"/>
      <c r="BA32" s="8"/>
      <c r="BB32" s="44"/>
      <c r="BC32" s="44"/>
      <c r="BD32" s="8"/>
      <c r="BE32" s="8"/>
      <c r="BF32" s="8"/>
      <c r="BG32" s="44"/>
      <c r="BI32">
        <f t="shared" si="11"/>
        <v>0</v>
      </c>
    </row>
    <row r="33" spans="1:61" x14ac:dyDescent="0.25">
      <c r="A33">
        <v>31</v>
      </c>
      <c r="B33" s="1"/>
      <c r="C33" s="1"/>
      <c r="F33" s="1"/>
      <c r="G33" s="53"/>
      <c r="H33" s="53"/>
      <c r="I33" s="53"/>
      <c r="J33" s="50">
        <f>F33*Paramètres!$B$3</f>
        <v>0</v>
      </c>
      <c r="K33" s="56">
        <f t="shared" si="0"/>
        <v>0</v>
      </c>
      <c r="L33" s="56">
        <f t="shared" si="1"/>
        <v>0</v>
      </c>
      <c r="M33" s="56">
        <f t="shared" si="2"/>
        <v>0</v>
      </c>
      <c r="N33" s="3">
        <f>ROUNDUP(J33*Paramètres!$B$19,-1)</f>
        <v>0</v>
      </c>
      <c r="O33" s="1">
        <f t="shared" si="3"/>
        <v>0</v>
      </c>
      <c r="P33" s="1">
        <f t="shared" si="4"/>
        <v>0</v>
      </c>
      <c r="Q33" s="3">
        <f t="shared" si="5"/>
        <v>0</v>
      </c>
      <c r="R33" s="47">
        <f>ROUNDUP(+K33/Paramètres!$B$4/Paramètres!$B$53,0)</f>
        <v>0</v>
      </c>
      <c r="S33" s="47">
        <f>ROUNDUP(+L33/Paramètres!$B$6/Paramètres!$B$53,0)</f>
        <v>0</v>
      </c>
      <c r="T33" s="47"/>
      <c r="U33" s="2">
        <f t="shared" si="6"/>
        <v>0</v>
      </c>
      <c r="V33" s="1">
        <f>R33*Paramètres!$B$7</f>
        <v>0</v>
      </c>
      <c r="W33" s="1">
        <f>S33*Paramètres!$B$9</f>
        <v>0</v>
      </c>
      <c r="X33" s="1"/>
      <c r="Y33" s="2">
        <f t="shared" si="7"/>
        <v>0</v>
      </c>
      <c r="Z33" s="7">
        <f>R33*Paramètres!$B$10</f>
        <v>0</v>
      </c>
      <c r="AA33" s="7">
        <f>S33*Paramètres!$B$10</f>
        <v>0</v>
      </c>
      <c r="AB33" s="7"/>
      <c r="AC33" s="2">
        <f t="shared" si="8"/>
        <v>0</v>
      </c>
      <c r="AD33" s="1">
        <f t="shared" si="12"/>
        <v>0</v>
      </c>
      <c r="AE33" s="1">
        <f t="shared" si="9"/>
        <v>0</v>
      </c>
      <c r="AF33" s="1">
        <f>IF(B33="",0,Paramètres!$B$53*1.5)</f>
        <v>0</v>
      </c>
      <c r="AG33" s="1">
        <f>IF(C33="",0,Paramètres!$B$53*1.5)</f>
        <v>0</v>
      </c>
      <c r="AH33" s="1"/>
      <c r="AI33" s="1"/>
      <c r="AJ33" s="1"/>
      <c r="AK33" s="1"/>
      <c r="AL33" s="1">
        <f>(U33*Paramètres!$B$53)*3</f>
        <v>0</v>
      </c>
      <c r="AM33" s="1">
        <f t="shared" si="10"/>
        <v>0</v>
      </c>
      <c r="AN33" s="1">
        <f>U33*Paramètres!$B$75</f>
        <v>0</v>
      </c>
      <c r="AO33" s="1">
        <f>U33*Paramètres!$B$72*Paramètres!$B$73</f>
        <v>0</v>
      </c>
      <c r="AP33" s="1"/>
      <c r="AQ33" s="1">
        <f>(Y33+AC33)*Paramètres!$B$42*Paramètres!$B$53</f>
        <v>0</v>
      </c>
      <c r="AR33" s="1"/>
      <c r="AS33" s="7">
        <f>ROUNDUP(D33*Paramètres!$B$23*Paramètres!$B$26,-1)</f>
        <v>0</v>
      </c>
      <c r="AT33" s="7"/>
      <c r="AU33" s="1"/>
      <c r="AV33" s="8"/>
      <c r="AW33" s="8"/>
      <c r="AX33" s="8"/>
      <c r="AY33" s="8"/>
      <c r="AZ33" s="8"/>
      <c r="BA33" s="8"/>
      <c r="BB33" s="44"/>
      <c r="BC33" s="44"/>
      <c r="BD33" s="8"/>
      <c r="BE33" s="8"/>
      <c r="BF33" s="8"/>
      <c r="BG33" s="44"/>
      <c r="BI33">
        <f t="shared" si="11"/>
        <v>0</v>
      </c>
    </row>
    <row r="34" spans="1:61" x14ac:dyDescent="0.25">
      <c r="A34">
        <v>32</v>
      </c>
      <c r="B34" s="1"/>
      <c r="C34" s="1"/>
      <c r="F34" s="1"/>
      <c r="G34" s="53"/>
      <c r="H34" s="53"/>
      <c r="I34" s="53"/>
      <c r="J34" s="50">
        <f>F34*Paramètres!$B$3</f>
        <v>0</v>
      </c>
      <c r="K34" s="56">
        <f t="shared" si="0"/>
        <v>0</v>
      </c>
      <c r="L34" s="56">
        <f t="shared" si="1"/>
        <v>0</v>
      </c>
      <c r="M34" s="56">
        <f t="shared" si="2"/>
        <v>0</v>
      </c>
      <c r="N34" s="3">
        <f>ROUNDUP(J34*Paramètres!$B$19,-1)</f>
        <v>0</v>
      </c>
      <c r="O34" s="1">
        <f t="shared" si="3"/>
        <v>0</v>
      </c>
      <c r="P34" s="1">
        <f t="shared" si="4"/>
        <v>0</v>
      </c>
      <c r="Q34" s="3">
        <f t="shared" si="5"/>
        <v>0</v>
      </c>
      <c r="R34" s="47">
        <f>ROUNDUP(+K34/Paramètres!$B$4/Paramètres!$B$53,0)</f>
        <v>0</v>
      </c>
      <c r="S34" s="47">
        <f>ROUNDUP(+L34/Paramètres!$B$6/Paramètres!$B$53,0)</f>
        <v>0</v>
      </c>
      <c r="T34" s="47"/>
      <c r="U34" s="2">
        <f t="shared" si="6"/>
        <v>0</v>
      </c>
      <c r="V34" s="1">
        <f>R34*Paramètres!$B$7</f>
        <v>0</v>
      </c>
      <c r="W34" s="1">
        <f>S34*Paramètres!$B$9</f>
        <v>0</v>
      </c>
      <c r="X34" s="1"/>
      <c r="Y34" s="2">
        <f t="shared" si="7"/>
        <v>0</v>
      </c>
      <c r="Z34" s="7">
        <f>R34*Paramètres!$B$10</f>
        <v>0</v>
      </c>
      <c r="AA34" s="7">
        <f>S34*Paramètres!$B$10</f>
        <v>0</v>
      </c>
      <c r="AB34" s="7"/>
      <c r="AC34" s="2">
        <f t="shared" si="8"/>
        <v>0</v>
      </c>
      <c r="AD34" s="1">
        <f t="shared" si="12"/>
        <v>0</v>
      </c>
      <c r="AE34" s="1">
        <f t="shared" si="9"/>
        <v>0</v>
      </c>
      <c r="AF34" s="1">
        <f>IF(B34="",0,Paramètres!$B$53*1.5)</f>
        <v>0</v>
      </c>
      <c r="AG34" s="1">
        <f>IF(C34="",0,Paramètres!$B$53*1.5)</f>
        <v>0</v>
      </c>
      <c r="AH34" s="1"/>
      <c r="AI34" s="1"/>
      <c r="AJ34" s="1"/>
      <c r="AK34" s="1"/>
      <c r="AL34" s="1">
        <f>(U34*Paramètres!$B$53)*3</f>
        <v>0</v>
      </c>
      <c r="AM34" s="1">
        <f t="shared" si="10"/>
        <v>0</v>
      </c>
      <c r="AN34" s="1">
        <f>U34*Paramètres!$B$75</f>
        <v>0</v>
      </c>
      <c r="AO34" s="1">
        <f>U34*Paramètres!$B$72*Paramètres!$B$73</f>
        <v>0</v>
      </c>
      <c r="AP34" s="1"/>
      <c r="AQ34" s="1">
        <f>(Y34+AC34)*Paramètres!$B$42*Paramètres!$B$53</f>
        <v>0</v>
      </c>
      <c r="AR34" s="1"/>
      <c r="AS34" s="7">
        <f>ROUNDUP(D34*Paramètres!$B$23*Paramètres!$B$26,-1)</f>
        <v>0</v>
      </c>
      <c r="AT34" s="7"/>
      <c r="AU34" s="1"/>
      <c r="AV34" s="8"/>
      <c r="AW34" s="8"/>
      <c r="AX34" s="8"/>
      <c r="AY34" s="8"/>
      <c r="AZ34" s="8"/>
      <c r="BA34" s="8"/>
      <c r="BB34" s="44"/>
      <c r="BC34" s="44"/>
      <c r="BD34" s="8"/>
      <c r="BE34" s="8"/>
      <c r="BF34" s="8"/>
      <c r="BG34" s="44"/>
      <c r="BI34">
        <f t="shared" si="11"/>
        <v>0</v>
      </c>
    </row>
    <row r="35" spans="1:61" x14ac:dyDescent="0.25">
      <c r="A35">
        <v>33</v>
      </c>
      <c r="B35" s="1"/>
      <c r="C35" s="1"/>
      <c r="F35" s="1"/>
      <c r="G35" s="53"/>
      <c r="H35" s="53"/>
      <c r="I35" s="53"/>
      <c r="J35" s="50">
        <f>F35*Paramètres!$B$3</f>
        <v>0</v>
      </c>
      <c r="K35" s="56">
        <f t="shared" si="0"/>
        <v>0</v>
      </c>
      <c r="L35" s="56">
        <f t="shared" si="1"/>
        <v>0</v>
      </c>
      <c r="M35" s="56">
        <f t="shared" si="2"/>
        <v>0</v>
      </c>
      <c r="N35" s="3">
        <f>ROUNDUP(J35*Paramètres!$B$19,-1)</f>
        <v>0</v>
      </c>
      <c r="O35" s="1">
        <f t="shared" si="3"/>
        <v>0</v>
      </c>
      <c r="P35" s="1">
        <f t="shared" si="4"/>
        <v>0</v>
      </c>
      <c r="Q35" s="3">
        <f t="shared" si="5"/>
        <v>0</v>
      </c>
      <c r="R35" s="47">
        <f>ROUNDUP(+K35/Paramètres!$B$4/Paramètres!$B$53,0)</f>
        <v>0</v>
      </c>
      <c r="S35" s="47">
        <f>ROUNDUP(+L35/Paramètres!$B$6/Paramètres!$B$53,0)</f>
        <v>0</v>
      </c>
      <c r="T35" s="47"/>
      <c r="U35" s="2">
        <f t="shared" si="6"/>
        <v>0</v>
      </c>
      <c r="V35" s="1">
        <f>R35*Paramètres!$B$7</f>
        <v>0</v>
      </c>
      <c r="W35" s="1">
        <f>S35*Paramètres!$B$9</f>
        <v>0</v>
      </c>
      <c r="X35" s="1"/>
      <c r="Y35" s="2">
        <f t="shared" si="7"/>
        <v>0</v>
      </c>
      <c r="Z35" s="7">
        <f>R35*Paramètres!$B$10</f>
        <v>0</v>
      </c>
      <c r="AA35" s="7">
        <f>S35*Paramètres!$B$10</f>
        <v>0</v>
      </c>
      <c r="AB35" s="7"/>
      <c r="AC35" s="2">
        <f t="shared" si="8"/>
        <v>0</v>
      </c>
      <c r="AD35" s="1">
        <f t="shared" si="12"/>
        <v>0</v>
      </c>
      <c r="AE35" s="1">
        <f t="shared" si="9"/>
        <v>0</v>
      </c>
      <c r="AF35" s="1">
        <f>IF(B35="",0,Paramètres!$B$53*1.5)</f>
        <v>0</v>
      </c>
      <c r="AG35" s="1">
        <f>IF(C35="",0,Paramètres!$B$53*1.5)</f>
        <v>0</v>
      </c>
      <c r="AH35" s="1"/>
      <c r="AI35" s="1"/>
      <c r="AJ35" s="1"/>
      <c r="AK35" s="1"/>
      <c r="AL35" s="1">
        <f>(U35*Paramètres!$B$53)*3</f>
        <v>0</v>
      </c>
      <c r="AM35" s="1">
        <f t="shared" si="10"/>
        <v>0</v>
      </c>
      <c r="AN35" s="1">
        <f>U35*Paramètres!$B$75</f>
        <v>0</v>
      </c>
      <c r="AO35" s="1">
        <f>U35*Paramètres!$B$72*Paramètres!$B$73</f>
        <v>0</v>
      </c>
      <c r="AP35" s="1"/>
      <c r="AQ35" s="1">
        <f>(Y35+AC35)*Paramètres!$B$42*Paramètres!$B$53</f>
        <v>0</v>
      </c>
      <c r="AR35" s="1"/>
      <c r="AS35" s="7">
        <f>ROUNDUP(D35*Paramètres!$B$23*Paramètres!$B$26,-1)</f>
        <v>0</v>
      </c>
      <c r="AT35" s="7"/>
      <c r="AU35" s="1"/>
      <c r="AV35" s="8"/>
      <c r="AW35" s="8"/>
      <c r="AX35" s="8"/>
      <c r="AY35" s="8"/>
      <c r="AZ35" s="8"/>
      <c r="BA35" s="8"/>
      <c r="BB35" s="44"/>
      <c r="BC35" s="44"/>
      <c r="BD35" s="8"/>
      <c r="BE35" s="8"/>
      <c r="BF35" s="8"/>
      <c r="BG35" s="44"/>
      <c r="BI35">
        <f t="shared" si="11"/>
        <v>0</v>
      </c>
    </row>
    <row r="36" spans="1:61" x14ac:dyDescent="0.25">
      <c r="A36">
        <v>34</v>
      </c>
      <c r="B36" s="1"/>
      <c r="C36" s="1"/>
      <c r="F36" s="1"/>
      <c r="G36" s="53"/>
      <c r="H36" s="53"/>
      <c r="I36" s="53"/>
      <c r="J36" s="50">
        <f>F36*Paramètres!$B$3</f>
        <v>0</v>
      </c>
      <c r="K36" s="56">
        <f t="shared" si="0"/>
        <v>0</v>
      </c>
      <c r="L36" s="56">
        <f t="shared" si="1"/>
        <v>0</v>
      </c>
      <c r="M36" s="56">
        <f t="shared" si="2"/>
        <v>0</v>
      </c>
      <c r="N36" s="3">
        <f>ROUNDUP(J36*Paramètres!$B$19,-1)</f>
        <v>0</v>
      </c>
      <c r="O36" s="1">
        <f t="shared" si="3"/>
        <v>0</v>
      </c>
      <c r="P36" s="1">
        <f t="shared" si="4"/>
        <v>0</v>
      </c>
      <c r="Q36" s="3">
        <f t="shared" si="5"/>
        <v>0</v>
      </c>
      <c r="R36" s="47">
        <f>ROUNDUP(+K36/Paramètres!$B$4/Paramètres!$B$53,0)</f>
        <v>0</v>
      </c>
      <c r="S36" s="47">
        <f>ROUNDUP(+L36/Paramètres!$B$6/Paramètres!$B$53,0)</f>
        <v>0</v>
      </c>
      <c r="T36" s="47"/>
      <c r="U36" s="2">
        <f t="shared" si="6"/>
        <v>0</v>
      </c>
      <c r="V36" s="1">
        <f>R36*Paramètres!$B$7</f>
        <v>0</v>
      </c>
      <c r="W36" s="1">
        <f>S36*Paramètres!$B$9</f>
        <v>0</v>
      </c>
      <c r="X36" s="1"/>
      <c r="Y36" s="2">
        <f t="shared" si="7"/>
        <v>0</v>
      </c>
      <c r="Z36" s="7">
        <f>R36*Paramètres!$B$10</f>
        <v>0</v>
      </c>
      <c r="AA36" s="7">
        <f>S36*Paramètres!$B$10</f>
        <v>0</v>
      </c>
      <c r="AB36" s="7"/>
      <c r="AC36" s="2">
        <f t="shared" si="8"/>
        <v>0</v>
      </c>
      <c r="AD36" s="1">
        <f t="shared" si="12"/>
        <v>0</v>
      </c>
      <c r="AE36" s="1">
        <f t="shared" si="9"/>
        <v>0</v>
      </c>
      <c r="AF36" s="1">
        <f>IF(B36="",0,Paramètres!$B$53*1.5)</f>
        <v>0</v>
      </c>
      <c r="AG36" s="1">
        <f>IF(C36="",0,Paramètres!$B$53*1.5)</f>
        <v>0</v>
      </c>
      <c r="AH36" s="1"/>
      <c r="AI36" s="1"/>
      <c r="AJ36" s="1"/>
      <c r="AK36" s="1"/>
      <c r="AL36" s="1">
        <f>(U36*Paramètres!$B$53)*3</f>
        <v>0</v>
      </c>
      <c r="AM36" s="1">
        <f t="shared" si="10"/>
        <v>0</v>
      </c>
      <c r="AN36" s="1">
        <f>U36*Paramètres!$B$75</f>
        <v>0</v>
      </c>
      <c r="AO36" s="1">
        <f>U36*Paramètres!$B$72*Paramètres!$B$73</f>
        <v>0</v>
      </c>
      <c r="AP36" s="1"/>
      <c r="AQ36" s="1">
        <f>(Y36+AC36)*Paramètres!$B$42*Paramètres!$B$53</f>
        <v>0</v>
      </c>
      <c r="AR36" s="1"/>
      <c r="AS36" s="7">
        <f>ROUNDUP(D36*Paramètres!$B$23*Paramètres!$B$26,-1)</f>
        <v>0</v>
      </c>
      <c r="AT36" s="7"/>
      <c r="AU36" s="1"/>
      <c r="AV36" s="8"/>
      <c r="AW36" s="8"/>
      <c r="AX36" s="8"/>
      <c r="AY36" s="8"/>
      <c r="AZ36" s="8"/>
      <c r="BA36" s="8"/>
      <c r="BB36" s="44"/>
      <c r="BC36" s="44"/>
      <c r="BD36" s="8"/>
      <c r="BE36" s="8"/>
      <c r="BF36" s="8"/>
      <c r="BG36" s="44"/>
      <c r="BI36">
        <f t="shared" si="11"/>
        <v>0</v>
      </c>
    </row>
    <row r="37" spans="1:61" x14ac:dyDescent="0.25">
      <c r="A37">
        <v>35</v>
      </c>
      <c r="B37" s="1"/>
      <c r="C37" s="1"/>
      <c r="F37" s="1"/>
      <c r="G37" s="53"/>
      <c r="H37" s="53"/>
      <c r="I37" s="53"/>
      <c r="J37" s="50">
        <f>F37*Paramètres!$B$3</f>
        <v>0</v>
      </c>
      <c r="K37" s="56">
        <f t="shared" si="0"/>
        <v>0</v>
      </c>
      <c r="L37" s="56">
        <f t="shared" si="1"/>
        <v>0</v>
      </c>
      <c r="M37" s="56">
        <f t="shared" si="2"/>
        <v>0</v>
      </c>
      <c r="N37" s="3">
        <f>ROUNDUP(J37*Paramètres!$B$19,-1)</f>
        <v>0</v>
      </c>
      <c r="O37" s="1">
        <f t="shared" si="3"/>
        <v>0</v>
      </c>
      <c r="P37" s="1">
        <f t="shared" si="4"/>
        <v>0</v>
      </c>
      <c r="Q37" s="3">
        <f t="shared" si="5"/>
        <v>0</v>
      </c>
      <c r="R37" s="47">
        <f>ROUNDUP(+K37/Paramètres!$B$4/Paramètres!$B$53,0)</f>
        <v>0</v>
      </c>
      <c r="S37" s="47">
        <f>ROUNDUP(+L37/Paramètres!$B$6/Paramètres!$B$53,0)</f>
        <v>0</v>
      </c>
      <c r="T37" s="47"/>
      <c r="U37" s="2">
        <f t="shared" si="6"/>
        <v>0</v>
      </c>
      <c r="V37" s="1">
        <f>R37*Paramètres!$B$7</f>
        <v>0</v>
      </c>
      <c r="W37" s="1">
        <f>S37*Paramètres!$B$9</f>
        <v>0</v>
      </c>
      <c r="X37" s="1"/>
      <c r="Y37" s="2">
        <f t="shared" si="7"/>
        <v>0</v>
      </c>
      <c r="Z37" s="7">
        <f>R37*Paramètres!$B$10</f>
        <v>0</v>
      </c>
      <c r="AA37" s="7">
        <f>S37*Paramètres!$B$10</f>
        <v>0</v>
      </c>
      <c r="AB37" s="7"/>
      <c r="AC37" s="2">
        <f t="shared" si="8"/>
        <v>0</v>
      </c>
      <c r="AD37" s="1">
        <f t="shared" si="12"/>
        <v>0</v>
      </c>
      <c r="AE37" s="1">
        <f t="shared" si="9"/>
        <v>0</v>
      </c>
      <c r="AF37" s="1">
        <f>IF(B37="",0,Paramètres!$B$53*1.5)</f>
        <v>0</v>
      </c>
      <c r="AG37" s="1">
        <f>IF(C37="",0,Paramètres!$B$53*1.5)</f>
        <v>0</v>
      </c>
      <c r="AH37" s="1"/>
      <c r="AI37" s="1"/>
      <c r="AJ37" s="1"/>
      <c r="AK37" s="1"/>
      <c r="AL37" s="1">
        <f>(U37*Paramètres!$B$53)*3</f>
        <v>0</v>
      </c>
      <c r="AM37" s="1">
        <f t="shared" si="10"/>
        <v>0</v>
      </c>
      <c r="AN37" s="1">
        <f>U37*Paramètres!$B$75</f>
        <v>0</v>
      </c>
      <c r="AO37" s="1">
        <f>U37*Paramètres!$B$72*Paramètres!$B$73</f>
        <v>0</v>
      </c>
      <c r="AP37" s="1"/>
      <c r="AQ37" s="1">
        <f>(Y37+AC37)*Paramètres!$B$42*Paramètres!$B$53</f>
        <v>0</v>
      </c>
      <c r="AR37" s="1"/>
      <c r="AS37" s="7">
        <f>ROUNDUP(D37*Paramètres!$B$23*Paramètres!$B$26,-1)</f>
        <v>0</v>
      </c>
      <c r="AT37" s="7"/>
      <c r="AU37" s="1"/>
      <c r="AV37" s="8"/>
      <c r="AW37" s="8"/>
      <c r="AX37" s="8"/>
      <c r="AY37" s="8"/>
      <c r="AZ37" s="8"/>
      <c r="BA37" s="8"/>
      <c r="BB37" s="44"/>
      <c r="BC37" s="44"/>
      <c r="BD37" s="8"/>
      <c r="BE37" s="8"/>
      <c r="BF37" s="8"/>
      <c r="BG37" s="44"/>
      <c r="BI37">
        <f t="shared" si="11"/>
        <v>0</v>
      </c>
    </row>
    <row r="38" spans="1:61" x14ac:dyDescent="0.25">
      <c r="A38">
        <v>36</v>
      </c>
      <c r="B38" s="1"/>
      <c r="C38" s="1"/>
      <c r="D38" s="1"/>
      <c r="E38" s="1"/>
      <c r="F38" s="1"/>
      <c r="G38" s="53"/>
      <c r="H38" s="53"/>
      <c r="I38" s="54"/>
      <c r="J38" s="50">
        <f>F38*Paramètres!$B$3</f>
        <v>0</v>
      </c>
      <c r="K38" s="56">
        <f t="shared" si="0"/>
        <v>0</v>
      </c>
      <c r="L38" s="56">
        <f t="shared" si="1"/>
        <v>0</v>
      </c>
      <c r="M38" s="56">
        <f t="shared" si="2"/>
        <v>0</v>
      </c>
      <c r="N38" s="3">
        <f>ROUNDUP(J38*Paramètres!$B$19,-1)</f>
        <v>0</v>
      </c>
      <c r="O38" s="1">
        <f t="shared" si="3"/>
        <v>0</v>
      </c>
      <c r="P38" s="1">
        <f t="shared" si="4"/>
        <v>0</v>
      </c>
      <c r="Q38" s="3">
        <f t="shared" si="5"/>
        <v>0</v>
      </c>
      <c r="R38" s="47">
        <f>ROUNDUP(+K38/Paramètres!$B$4/Paramètres!$B$53,0)</f>
        <v>0</v>
      </c>
      <c r="S38" s="47">
        <f>ROUNDUP(+L38/Paramètres!$B$6/Paramètres!$B$53,0)</f>
        <v>0</v>
      </c>
      <c r="T38" s="47"/>
      <c r="U38" s="2">
        <f t="shared" si="6"/>
        <v>0</v>
      </c>
      <c r="V38" s="1">
        <f>R38*Paramètres!$B$7</f>
        <v>0</v>
      </c>
      <c r="W38" s="1">
        <f>S38*Paramètres!$B$9</f>
        <v>0</v>
      </c>
      <c r="X38" s="1"/>
      <c r="Y38" s="2">
        <f t="shared" si="7"/>
        <v>0</v>
      </c>
      <c r="Z38" s="7">
        <f>R38*Paramètres!$B$10</f>
        <v>0</v>
      </c>
      <c r="AA38" s="7">
        <f>S38*Paramètres!$B$10</f>
        <v>0</v>
      </c>
      <c r="AB38" s="7"/>
      <c r="AC38" s="2">
        <f t="shared" si="8"/>
        <v>0</v>
      </c>
      <c r="AD38" s="1">
        <f t="shared" si="12"/>
        <v>0</v>
      </c>
      <c r="AE38" s="1">
        <f t="shared" si="9"/>
        <v>0</v>
      </c>
      <c r="AF38" s="1">
        <f>IF(B38="",0,Paramètres!$B$53*1.5)</f>
        <v>0</v>
      </c>
      <c r="AG38" s="1">
        <f>IF(C38="",0,Paramètres!$B$53*1.5)</f>
        <v>0</v>
      </c>
      <c r="AH38" s="1"/>
      <c r="AI38" s="1"/>
      <c r="AJ38" s="1"/>
      <c r="AK38" s="1"/>
      <c r="AL38" s="1">
        <f>(U38*Paramètres!$B$53)*3</f>
        <v>0</v>
      </c>
      <c r="AM38" s="1">
        <f t="shared" si="10"/>
        <v>0</v>
      </c>
      <c r="AN38" s="1">
        <f>U38*Paramètres!$B$75</f>
        <v>0</v>
      </c>
      <c r="AO38" s="1">
        <f>U38*Paramètres!$B$72*Paramètres!$B$73</f>
        <v>0</v>
      </c>
      <c r="AP38" s="1"/>
      <c r="AQ38" s="1">
        <f>(Y38+AC38)*Paramètres!$B$42*Paramètres!$B$53</f>
        <v>0</v>
      </c>
      <c r="AR38" s="1"/>
      <c r="AS38" s="7">
        <f>ROUNDUP(D38*Paramètres!$B$23*Paramètres!$B$26,-1)</f>
        <v>0</v>
      </c>
      <c r="AT38" s="7"/>
      <c r="AU38" s="1"/>
      <c r="AV38" s="8"/>
      <c r="AW38" s="8"/>
      <c r="AX38" s="8"/>
      <c r="AY38" s="8"/>
      <c r="AZ38" s="8"/>
      <c r="BA38" s="8"/>
      <c r="BB38" s="44"/>
      <c r="BC38" s="44"/>
      <c r="BD38" s="8"/>
      <c r="BE38" s="8"/>
      <c r="BF38" s="8"/>
      <c r="BG38" s="44"/>
      <c r="BI38">
        <f t="shared" si="11"/>
        <v>0</v>
      </c>
    </row>
    <row r="39" spans="1:61" x14ac:dyDescent="0.25">
      <c r="A39">
        <v>37</v>
      </c>
      <c r="B39" s="1"/>
      <c r="C39" s="1"/>
      <c r="D39" s="1"/>
      <c r="E39" s="1"/>
      <c r="F39" s="1"/>
      <c r="G39" s="53"/>
      <c r="H39" s="53"/>
      <c r="I39" s="54"/>
      <c r="J39" s="50">
        <f>F39*Paramètres!$B$3</f>
        <v>0</v>
      </c>
      <c r="K39" s="56">
        <f t="shared" si="0"/>
        <v>0</v>
      </c>
      <c r="L39" s="56">
        <f t="shared" si="1"/>
        <v>0</v>
      </c>
      <c r="M39" s="56">
        <f t="shared" si="2"/>
        <v>0</v>
      </c>
      <c r="N39" s="3">
        <f>ROUNDUP(J39*Paramètres!$B$19,-1)</f>
        <v>0</v>
      </c>
      <c r="O39" s="1">
        <f t="shared" si="3"/>
        <v>0</v>
      </c>
      <c r="P39" s="1">
        <f t="shared" si="4"/>
        <v>0</v>
      </c>
      <c r="Q39" s="3">
        <f t="shared" si="5"/>
        <v>0</v>
      </c>
      <c r="R39" s="47">
        <f>ROUNDUP(+K39/Paramètres!$B$4/Paramètres!$B$53,0)</f>
        <v>0</v>
      </c>
      <c r="S39" s="47">
        <f>ROUNDUP(+L39/Paramètres!$B$6/Paramètres!$B$53,0)</f>
        <v>0</v>
      </c>
      <c r="T39" s="47"/>
      <c r="U39" s="2">
        <f t="shared" si="6"/>
        <v>0</v>
      </c>
      <c r="V39" s="1">
        <f>R39*Paramètres!$B$7</f>
        <v>0</v>
      </c>
      <c r="W39" s="1">
        <f>S39*Paramètres!$B$9</f>
        <v>0</v>
      </c>
      <c r="X39" s="1"/>
      <c r="Y39" s="2">
        <f t="shared" si="7"/>
        <v>0</v>
      </c>
      <c r="Z39" s="7">
        <f>R39*Paramètres!$B$10</f>
        <v>0</v>
      </c>
      <c r="AA39" s="7">
        <f>S39*Paramètres!$B$10</f>
        <v>0</v>
      </c>
      <c r="AB39" s="7"/>
      <c r="AC39" s="2">
        <f t="shared" si="8"/>
        <v>0</v>
      </c>
      <c r="AD39" s="1">
        <f t="shared" si="12"/>
        <v>0</v>
      </c>
      <c r="AE39" s="1">
        <f t="shared" si="9"/>
        <v>0</v>
      </c>
      <c r="AF39" s="1">
        <f>IF(B39="",0,Paramètres!$B$53*1.5)</f>
        <v>0</v>
      </c>
      <c r="AG39" s="1">
        <f>IF(C39="",0,Paramètres!$B$53*1.5)</f>
        <v>0</v>
      </c>
      <c r="AH39" s="1"/>
      <c r="AI39" s="1"/>
      <c r="AJ39" s="1"/>
      <c r="AK39" s="1"/>
      <c r="AL39" s="1">
        <f>(U39*Paramètres!$B$53)*3</f>
        <v>0</v>
      </c>
      <c r="AM39" s="1">
        <f t="shared" si="10"/>
        <v>0</v>
      </c>
      <c r="AN39" s="1">
        <f>U39*Paramètres!$B$75</f>
        <v>0</v>
      </c>
      <c r="AO39" s="1">
        <f>U39*Paramètres!$B$72*Paramètres!$B$73</f>
        <v>0</v>
      </c>
      <c r="AP39" s="1"/>
      <c r="AQ39" s="1">
        <f>(Y39+AC39)*Paramètres!$B$42*Paramètres!$B$53</f>
        <v>0</v>
      </c>
      <c r="AR39" s="1"/>
      <c r="AS39" s="7">
        <f>ROUNDUP(D39*Paramètres!$B$23*Paramètres!$B$26,-1)</f>
        <v>0</v>
      </c>
      <c r="AT39" s="7"/>
      <c r="AU39" s="1"/>
      <c r="AV39" s="8"/>
      <c r="AW39" s="8"/>
      <c r="AX39" s="8"/>
      <c r="AY39" s="8"/>
      <c r="AZ39" s="8"/>
      <c r="BA39" s="8"/>
      <c r="BB39" s="44"/>
      <c r="BC39" s="44"/>
      <c r="BD39" s="8"/>
      <c r="BE39" s="8"/>
      <c r="BF39" s="8"/>
      <c r="BG39" s="44"/>
      <c r="BI39">
        <f t="shared" si="11"/>
        <v>0</v>
      </c>
    </row>
    <row r="40" spans="1:61" x14ac:dyDescent="0.25">
      <c r="A40">
        <v>38</v>
      </c>
      <c r="B40" s="1"/>
      <c r="C40" s="1"/>
      <c r="D40" s="1"/>
      <c r="E40" s="1"/>
      <c r="F40" s="1"/>
      <c r="G40" s="53"/>
      <c r="H40" s="53"/>
      <c r="I40" s="54"/>
      <c r="J40" s="50">
        <f>F40*Paramètres!$B$3</f>
        <v>0</v>
      </c>
      <c r="K40" s="56">
        <f t="shared" si="0"/>
        <v>0</v>
      </c>
      <c r="L40" s="56">
        <f t="shared" si="1"/>
        <v>0</v>
      </c>
      <c r="M40" s="56">
        <f t="shared" si="2"/>
        <v>0</v>
      </c>
      <c r="N40" s="3">
        <f>ROUNDUP(J40*Paramètres!$B$19,-1)</f>
        <v>0</v>
      </c>
      <c r="O40" s="1">
        <f t="shared" si="3"/>
        <v>0</v>
      </c>
      <c r="P40" s="1">
        <f t="shared" si="4"/>
        <v>0</v>
      </c>
      <c r="Q40" s="3">
        <f t="shared" si="5"/>
        <v>0</v>
      </c>
      <c r="R40" s="47">
        <f>ROUNDUP(+K40/Paramètres!$B$4/Paramètres!$B$53,0)</f>
        <v>0</v>
      </c>
      <c r="S40" s="47">
        <f>ROUNDUP(+L40/Paramètres!$B$6/Paramètres!$B$53,0)</f>
        <v>0</v>
      </c>
      <c r="T40" s="47"/>
      <c r="U40" s="2">
        <f t="shared" si="6"/>
        <v>0</v>
      </c>
      <c r="V40" s="1">
        <f>R40*Paramètres!$B$7</f>
        <v>0</v>
      </c>
      <c r="W40" s="1">
        <f>S40*Paramètres!$B$9</f>
        <v>0</v>
      </c>
      <c r="X40" s="1"/>
      <c r="Y40" s="2">
        <f t="shared" si="7"/>
        <v>0</v>
      </c>
      <c r="Z40" s="7">
        <f>R40*Paramètres!$B$10</f>
        <v>0</v>
      </c>
      <c r="AA40" s="7">
        <f>S40*Paramètres!$B$10</f>
        <v>0</v>
      </c>
      <c r="AB40" s="7"/>
      <c r="AC40" s="2">
        <f t="shared" si="8"/>
        <v>0</v>
      </c>
      <c r="AD40" s="1">
        <f t="shared" si="12"/>
        <v>0</v>
      </c>
      <c r="AE40" s="1">
        <f t="shared" si="9"/>
        <v>0</v>
      </c>
      <c r="AF40" s="1">
        <f>IF(B40="",0,Paramètres!$B$53*1.5)</f>
        <v>0</v>
      </c>
      <c r="AG40" s="1">
        <f>IF(C40="",0,Paramètres!$B$53*1.5)</f>
        <v>0</v>
      </c>
      <c r="AH40" s="1"/>
      <c r="AI40" s="1"/>
      <c r="AJ40" s="1"/>
      <c r="AK40" s="1"/>
      <c r="AL40" s="1">
        <f>(U40*Paramètres!$B$53)*3</f>
        <v>0</v>
      </c>
      <c r="AM40" s="1">
        <f t="shared" si="10"/>
        <v>0</v>
      </c>
      <c r="AN40" s="1">
        <f>U40*Paramètres!$B$75</f>
        <v>0</v>
      </c>
      <c r="AO40" s="1">
        <f>U40*Paramètres!$B$72*Paramètres!$B$73</f>
        <v>0</v>
      </c>
      <c r="AP40" s="1"/>
      <c r="AQ40" s="1">
        <f>(Y40+AC40)*Paramètres!$B$42*Paramètres!$B$53</f>
        <v>0</v>
      </c>
      <c r="AR40" s="1"/>
      <c r="AS40" s="7">
        <f>ROUNDUP(D40*Paramètres!$B$23*Paramètres!$B$26,-1)</f>
        <v>0</v>
      </c>
      <c r="AT40" s="7"/>
      <c r="AU40" s="1"/>
      <c r="AV40" s="8"/>
      <c r="AW40" s="8"/>
      <c r="AX40" s="8"/>
      <c r="AY40" s="8"/>
      <c r="AZ40" s="8"/>
      <c r="BA40" s="8"/>
      <c r="BB40" s="44"/>
      <c r="BC40" s="44"/>
      <c r="BD40" s="8"/>
      <c r="BE40" s="8"/>
      <c r="BF40" s="8"/>
      <c r="BG40" s="44"/>
      <c r="BI40">
        <f t="shared" si="11"/>
        <v>0</v>
      </c>
    </row>
    <row r="41" spans="1:61" x14ac:dyDescent="0.25">
      <c r="A41">
        <v>39</v>
      </c>
      <c r="B41" s="1"/>
      <c r="C41" s="1"/>
      <c r="D41" s="1"/>
      <c r="E41" s="1"/>
      <c r="F41" s="1"/>
      <c r="G41" s="53"/>
      <c r="H41" s="53"/>
      <c r="I41" s="54"/>
      <c r="J41" s="50">
        <f>F41*Paramètres!$B$3</f>
        <v>0</v>
      </c>
      <c r="K41" s="56">
        <f t="shared" si="0"/>
        <v>0</v>
      </c>
      <c r="L41" s="56">
        <f t="shared" si="1"/>
        <v>0</v>
      </c>
      <c r="M41" s="56">
        <f t="shared" si="2"/>
        <v>0</v>
      </c>
      <c r="N41" s="3">
        <f>ROUNDUP(J41*Paramètres!$B$19,-1)</f>
        <v>0</v>
      </c>
      <c r="O41" s="1">
        <f t="shared" si="3"/>
        <v>0</v>
      </c>
      <c r="P41" s="1">
        <f t="shared" si="4"/>
        <v>0</v>
      </c>
      <c r="Q41" s="3">
        <f t="shared" si="5"/>
        <v>0</v>
      </c>
      <c r="R41" s="47">
        <f>ROUNDUP(+K41/Paramètres!$B$4/Paramètres!$B$53,0)</f>
        <v>0</v>
      </c>
      <c r="S41" s="47">
        <f>ROUNDUP(+L41/Paramètres!$B$6/Paramètres!$B$53,0)</f>
        <v>0</v>
      </c>
      <c r="T41" s="47"/>
      <c r="U41" s="2">
        <f t="shared" si="6"/>
        <v>0</v>
      </c>
      <c r="V41" s="1">
        <f>R41*Paramètres!$B$7</f>
        <v>0</v>
      </c>
      <c r="W41" s="1">
        <f>S41*Paramètres!$B$9</f>
        <v>0</v>
      </c>
      <c r="X41" s="1"/>
      <c r="Y41" s="2">
        <f t="shared" si="7"/>
        <v>0</v>
      </c>
      <c r="Z41" s="7">
        <f>R41*Paramètres!$B$10</f>
        <v>0</v>
      </c>
      <c r="AA41" s="7">
        <f>S41*Paramètres!$B$10</f>
        <v>0</v>
      </c>
      <c r="AB41" s="7"/>
      <c r="AC41" s="2">
        <f t="shared" si="8"/>
        <v>0</v>
      </c>
      <c r="AD41" s="1">
        <f t="shared" si="12"/>
        <v>0</v>
      </c>
      <c r="AE41" s="1">
        <f t="shared" si="9"/>
        <v>0</v>
      </c>
      <c r="AF41" s="1">
        <f>IF(B41="",0,Paramètres!$B$53*1.5)</f>
        <v>0</v>
      </c>
      <c r="AG41" s="1">
        <f>IF(C41="",0,Paramètres!$B$53*1.5)</f>
        <v>0</v>
      </c>
      <c r="AH41" s="1"/>
      <c r="AI41" s="1"/>
      <c r="AJ41" s="1"/>
      <c r="AK41" s="1"/>
      <c r="AL41" s="1">
        <f>(U41*Paramètres!$B$53)*3</f>
        <v>0</v>
      </c>
      <c r="AM41" s="1">
        <f t="shared" si="10"/>
        <v>0</v>
      </c>
      <c r="AN41" s="1">
        <f>U41*Paramètres!$B$75</f>
        <v>0</v>
      </c>
      <c r="AO41" s="1">
        <f>U41*Paramètres!$B$72*Paramètres!$B$73</f>
        <v>0</v>
      </c>
      <c r="AP41" s="1"/>
      <c r="AQ41" s="1">
        <f>(Y41+AC41)*Paramètres!$B$42*Paramètres!$B$53</f>
        <v>0</v>
      </c>
      <c r="AR41" s="1"/>
      <c r="AS41" s="7">
        <f>ROUNDUP(D41*Paramètres!$B$23*Paramètres!$B$26,-1)</f>
        <v>0</v>
      </c>
      <c r="AT41" s="7"/>
      <c r="AU41" s="1"/>
      <c r="AV41" s="8"/>
      <c r="AW41" s="8"/>
      <c r="AX41" s="8"/>
      <c r="AY41" s="8"/>
      <c r="AZ41" s="8"/>
      <c r="BA41" s="8"/>
      <c r="BB41" s="44"/>
      <c r="BC41" s="44"/>
      <c r="BD41" s="8"/>
      <c r="BE41" s="8"/>
      <c r="BF41" s="8"/>
      <c r="BG41" s="44"/>
      <c r="BI41">
        <f t="shared" si="11"/>
        <v>0</v>
      </c>
    </row>
    <row r="42" spans="1:61" x14ac:dyDescent="0.25">
      <c r="A42">
        <v>40</v>
      </c>
      <c r="B42" s="1"/>
      <c r="C42" s="1"/>
      <c r="D42" s="1"/>
      <c r="E42" s="1"/>
      <c r="F42" s="1"/>
      <c r="G42" s="53"/>
      <c r="H42" s="53"/>
      <c r="I42" s="54"/>
      <c r="J42" s="50">
        <f>F42*Paramètres!$B$3</f>
        <v>0</v>
      </c>
      <c r="K42" s="56">
        <f t="shared" si="0"/>
        <v>0</v>
      </c>
      <c r="L42" s="56">
        <f t="shared" si="1"/>
        <v>0</v>
      </c>
      <c r="M42" s="56">
        <f t="shared" si="2"/>
        <v>0</v>
      </c>
      <c r="N42" s="3">
        <f>ROUNDUP(J42*Paramètres!$B$19,-1)</f>
        <v>0</v>
      </c>
      <c r="O42" s="1">
        <f t="shared" si="3"/>
        <v>0</v>
      </c>
      <c r="P42" s="1">
        <f t="shared" si="4"/>
        <v>0</v>
      </c>
      <c r="Q42" s="3">
        <f t="shared" si="5"/>
        <v>0</v>
      </c>
      <c r="R42" s="47">
        <f>ROUNDUP(+K42/Paramètres!$B$4/Paramètres!$B$53,0)</f>
        <v>0</v>
      </c>
      <c r="S42" s="47">
        <f>ROUNDUP(+L42/Paramètres!$B$6/Paramètres!$B$53,0)</f>
        <v>0</v>
      </c>
      <c r="T42" s="47"/>
      <c r="U42" s="2">
        <f t="shared" si="6"/>
        <v>0</v>
      </c>
      <c r="V42" s="1">
        <f>R42*Paramètres!$B$7</f>
        <v>0</v>
      </c>
      <c r="W42" s="1">
        <f>S42*Paramètres!$B$9</f>
        <v>0</v>
      </c>
      <c r="X42" s="1"/>
      <c r="Y42" s="2">
        <f t="shared" si="7"/>
        <v>0</v>
      </c>
      <c r="Z42" s="7">
        <f>R42*Paramètres!$B$10</f>
        <v>0</v>
      </c>
      <c r="AA42" s="7">
        <f>S42*Paramètres!$B$10</f>
        <v>0</v>
      </c>
      <c r="AB42" s="7"/>
      <c r="AC42" s="2">
        <f t="shared" si="8"/>
        <v>0</v>
      </c>
      <c r="AD42" s="1">
        <f t="shared" si="12"/>
        <v>0</v>
      </c>
      <c r="AE42" s="1">
        <f t="shared" si="9"/>
        <v>0</v>
      </c>
      <c r="AF42" s="1">
        <f>IF(B42="",0,Paramètres!$B$53*1.5)</f>
        <v>0</v>
      </c>
      <c r="AG42" s="1">
        <f>IF(C42="",0,Paramètres!$B$53*1.5)</f>
        <v>0</v>
      </c>
      <c r="AH42" s="1"/>
      <c r="AI42" s="1"/>
      <c r="AJ42" s="1"/>
      <c r="AK42" s="1"/>
      <c r="AL42" s="1">
        <f>(U42*Paramètres!$B$53)*3</f>
        <v>0</v>
      </c>
      <c r="AM42" s="1">
        <f t="shared" si="10"/>
        <v>0</v>
      </c>
      <c r="AN42" s="1">
        <f>U42*Paramètres!$B$75</f>
        <v>0</v>
      </c>
      <c r="AO42" s="1">
        <f>U42*Paramètres!$B$72*Paramètres!$B$73</f>
        <v>0</v>
      </c>
      <c r="AP42" s="1"/>
      <c r="AQ42" s="1">
        <f>(Y42+AC42)*Paramètres!$B$42*Paramètres!$B$53</f>
        <v>0</v>
      </c>
      <c r="AR42" s="1"/>
      <c r="AS42" s="7">
        <f>ROUNDUP(D42*Paramètres!$B$23*Paramètres!$B$26,-1)</f>
        <v>0</v>
      </c>
      <c r="AT42" s="7"/>
      <c r="AU42" s="1"/>
      <c r="AV42" s="8"/>
      <c r="AW42" s="8"/>
      <c r="AX42" s="8"/>
      <c r="AY42" s="8"/>
      <c r="AZ42" s="8"/>
      <c r="BA42" s="8"/>
      <c r="BB42" s="44"/>
      <c r="BC42" s="44"/>
      <c r="BD42" s="8"/>
      <c r="BE42" s="8"/>
      <c r="BF42" s="8"/>
      <c r="BG42" s="44"/>
      <c r="BI42">
        <f t="shared" si="11"/>
        <v>0</v>
      </c>
    </row>
    <row r="43" spans="1:61" x14ac:dyDescent="0.25">
      <c r="A43">
        <v>41</v>
      </c>
      <c r="B43" s="1"/>
      <c r="C43" s="1"/>
      <c r="D43" s="1"/>
      <c r="E43" s="1"/>
      <c r="F43" s="1"/>
      <c r="G43" s="53"/>
      <c r="H43" s="53"/>
      <c r="I43" s="54"/>
      <c r="J43" s="50">
        <f>F43*Paramètres!$B$3</f>
        <v>0</v>
      </c>
      <c r="K43" s="56">
        <f t="shared" si="0"/>
        <v>0</v>
      </c>
      <c r="L43" s="56">
        <f t="shared" si="1"/>
        <v>0</v>
      </c>
      <c r="M43" s="56">
        <f t="shared" si="2"/>
        <v>0</v>
      </c>
      <c r="N43" s="3">
        <f>ROUNDUP(J43*Paramètres!$B$19,-1)</f>
        <v>0</v>
      </c>
      <c r="O43" s="1">
        <f t="shared" si="3"/>
        <v>0</v>
      </c>
      <c r="P43" s="1">
        <f t="shared" si="4"/>
        <v>0</v>
      </c>
      <c r="Q43" s="3">
        <f t="shared" si="5"/>
        <v>0</v>
      </c>
      <c r="R43" s="47">
        <f>ROUNDUP(+K43/Paramètres!$B$4/Paramètres!$B$53,0)</f>
        <v>0</v>
      </c>
      <c r="S43" s="47">
        <f>ROUNDUP(+L43/Paramètres!$B$6/Paramètres!$B$53,0)</f>
        <v>0</v>
      </c>
      <c r="T43" s="47"/>
      <c r="U43" s="2">
        <f t="shared" si="6"/>
        <v>0</v>
      </c>
      <c r="V43" s="1">
        <f>R43*Paramètres!$B$7</f>
        <v>0</v>
      </c>
      <c r="W43" s="1">
        <f>S43*Paramètres!$B$9</f>
        <v>0</v>
      </c>
      <c r="X43" s="1"/>
      <c r="Y43" s="2">
        <f t="shared" si="7"/>
        <v>0</v>
      </c>
      <c r="Z43" s="7">
        <f>R43*Paramètres!$B$10</f>
        <v>0</v>
      </c>
      <c r="AA43" s="7">
        <f>S43*Paramètres!$B$10</f>
        <v>0</v>
      </c>
      <c r="AB43" s="7"/>
      <c r="AC43" s="2">
        <f t="shared" si="8"/>
        <v>0</v>
      </c>
      <c r="AD43" s="1">
        <f t="shared" si="12"/>
        <v>0</v>
      </c>
      <c r="AE43" s="1">
        <f t="shared" si="9"/>
        <v>0</v>
      </c>
      <c r="AF43" s="1">
        <f>IF(B43="",0,Paramètres!$B$53*1.5)</f>
        <v>0</v>
      </c>
      <c r="AG43" s="1">
        <f>IF(C43="",0,Paramètres!$B$53*1.5)</f>
        <v>0</v>
      </c>
      <c r="AH43" s="1"/>
      <c r="AI43" s="1"/>
      <c r="AJ43" s="1"/>
      <c r="AK43" s="1"/>
      <c r="AL43" s="1">
        <f>(U43*Paramètres!$B$53)*3</f>
        <v>0</v>
      </c>
      <c r="AM43" s="1">
        <f t="shared" si="10"/>
        <v>0</v>
      </c>
      <c r="AN43" s="1">
        <f>U43*Paramètres!$B$75</f>
        <v>0</v>
      </c>
      <c r="AO43" s="1">
        <f>U43*Paramètres!$B$72*Paramètres!$B$73</f>
        <v>0</v>
      </c>
      <c r="AP43" s="1"/>
      <c r="AQ43" s="1">
        <f>(Y43+AC43)*Paramètres!$B$42*Paramètres!$B$53</f>
        <v>0</v>
      </c>
      <c r="AR43" s="1"/>
      <c r="AS43" s="7">
        <f>ROUNDUP(D43*Paramètres!$B$23*Paramètres!$B$26,-1)</f>
        <v>0</v>
      </c>
      <c r="AT43" s="7"/>
      <c r="AU43" s="1"/>
      <c r="AV43" s="8"/>
      <c r="AW43" s="8"/>
      <c r="AX43" s="8"/>
      <c r="AY43" s="8"/>
      <c r="AZ43" s="8"/>
      <c r="BA43" s="8"/>
      <c r="BB43" s="44"/>
      <c r="BC43" s="44"/>
      <c r="BD43" s="8"/>
      <c r="BE43" s="8"/>
      <c r="BF43" s="8"/>
      <c r="BG43" s="44"/>
      <c r="BI43">
        <f t="shared" si="11"/>
        <v>0</v>
      </c>
    </row>
    <row r="44" spans="1:61" x14ac:dyDescent="0.25">
      <c r="A44">
        <v>42</v>
      </c>
      <c r="B44" s="1"/>
      <c r="C44" s="1"/>
      <c r="D44" s="1"/>
      <c r="E44" s="1"/>
      <c r="F44" s="1"/>
      <c r="G44" s="53"/>
      <c r="H44" s="53"/>
      <c r="I44" s="54"/>
      <c r="J44" s="50">
        <f>F44*Paramètres!$B$3</f>
        <v>0</v>
      </c>
      <c r="K44" s="56">
        <f t="shared" si="0"/>
        <v>0</v>
      </c>
      <c r="L44" s="56">
        <f t="shared" si="1"/>
        <v>0</v>
      </c>
      <c r="M44" s="56">
        <f t="shared" si="2"/>
        <v>0</v>
      </c>
      <c r="N44" s="3">
        <f>ROUNDUP(J44*Paramètres!$B$19,-1)</f>
        <v>0</v>
      </c>
      <c r="O44" s="1">
        <f t="shared" si="3"/>
        <v>0</v>
      </c>
      <c r="P44" s="1">
        <f t="shared" si="4"/>
        <v>0</v>
      </c>
      <c r="Q44" s="3">
        <f t="shared" si="5"/>
        <v>0</v>
      </c>
      <c r="R44" s="47">
        <f>ROUNDUP(+K44/Paramètres!$B$4/Paramètres!$B$53,0)</f>
        <v>0</v>
      </c>
      <c r="S44" s="47">
        <f>ROUNDUP(+L44/Paramètres!$B$6/Paramètres!$B$53,0)</f>
        <v>0</v>
      </c>
      <c r="T44" s="47"/>
      <c r="U44" s="2">
        <f t="shared" si="6"/>
        <v>0</v>
      </c>
      <c r="V44" s="1">
        <f>R44*Paramètres!$B$7</f>
        <v>0</v>
      </c>
      <c r="W44" s="1">
        <f>S44*Paramètres!$B$9</f>
        <v>0</v>
      </c>
      <c r="X44" s="1"/>
      <c r="Y44" s="2">
        <f t="shared" si="7"/>
        <v>0</v>
      </c>
      <c r="Z44" s="7">
        <f>R44*Paramètres!$B$10</f>
        <v>0</v>
      </c>
      <c r="AA44" s="7">
        <f>S44*Paramètres!$B$10</f>
        <v>0</v>
      </c>
      <c r="AB44" s="7"/>
      <c r="AC44" s="2">
        <f t="shared" si="8"/>
        <v>0</v>
      </c>
      <c r="AD44" s="1">
        <f t="shared" si="12"/>
        <v>0</v>
      </c>
      <c r="AE44" s="1">
        <f t="shared" si="9"/>
        <v>0</v>
      </c>
      <c r="AF44" s="1">
        <f>IF(B44="",0,Paramètres!$B$53*1.5)</f>
        <v>0</v>
      </c>
      <c r="AG44" s="1">
        <f>IF(C44="",0,Paramètres!$B$53*1.5)</f>
        <v>0</v>
      </c>
      <c r="AH44" s="1"/>
      <c r="AI44" s="1"/>
      <c r="AJ44" s="1"/>
      <c r="AK44" s="1"/>
      <c r="AL44" s="1">
        <f>(U44*Paramètres!$B$53)*3</f>
        <v>0</v>
      </c>
      <c r="AM44" s="1">
        <f t="shared" si="10"/>
        <v>0</v>
      </c>
      <c r="AN44" s="1">
        <f>U44*Paramètres!$B$75</f>
        <v>0</v>
      </c>
      <c r="AO44" s="1">
        <f>U44*Paramètres!$B$72*Paramètres!$B$73</f>
        <v>0</v>
      </c>
      <c r="AP44" s="1"/>
      <c r="AQ44" s="1">
        <f>(Y44+AC44)*Paramètres!$B$42*Paramètres!$B$53</f>
        <v>0</v>
      </c>
      <c r="AR44" s="1"/>
      <c r="AS44" s="7">
        <f>ROUNDUP(D44*Paramètres!$B$23*Paramètres!$B$26,-1)</f>
        <v>0</v>
      </c>
      <c r="AT44" s="7"/>
      <c r="AU44" s="1"/>
      <c r="AV44" s="8"/>
      <c r="AW44" s="8"/>
      <c r="AX44" s="8"/>
      <c r="AY44" s="8"/>
      <c r="AZ44" s="8"/>
      <c r="BA44" s="8"/>
      <c r="BB44" s="44"/>
      <c r="BC44" s="44"/>
      <c r="BD44" s="8"/>
      <c r="BE44" s="8"/>
      <c r="BF44" s="8"/>
      <c r="BG44" s="44"/>
      <c r="BI44">
        <f t="shared" si="11"/>
        <v>0</v>
      </c>
    </row>
    <row r="45" spans="1:61" x14ac:dyDescent="0.25">
      <c r="A45">
        <v>43</v>
      </c>
      <c r="B45" s="1"/>
      <c r="C45" s="1"/>
      <c r="D45" s="1"/>
      <c r="E45" s="1"/>
      <c r="F45" s="1"/>
      <c r="G45" s="53"/>
      <c r="H45" s="53"/>
      <c r="I45" s="54"/>
      <c r="J45" s="50">
        <f>F45*Paramètres!$B$3</f>
        <v>0</v>
      </c>
      <c r="K45" s="56">
        <f t="shared" si="0"/>
        <v>0</v>
      </c>
      <c r="L45" s="56">
        <f t="shared" si="1"/>
        <v>0</v>
      </c>
      <c r="M45" s="56">
        <f t="shared" si="2"/>
        <v>0</v>
      </c>
      <c r="N45" s="3">
        <f>ROUNDUP(J45*Paramètres!$B$19,-1)</f>
        <v>0</v>
      </c>
      <c r="O45" s="1">
        <f t="shared" si="3"/>
        <v>0</v>
      </c>
      <c r="P45" s="1">
        <f t="shared" si="4"/>
        <v>0</v>
      </c>
      <c r="Q45" s="3">
        <f t="shared" si="5"/>
        <v>0</v>
      </c>
      <c r="R45" s="47">
        <f>ROUNDUP(+K45/Paramètres!$B$4/Paramètres!$B$53,0)</f>
        <v>0</v>
      </c>
      <c r="S45" s="47">
        <f>ROUNDUP(+L45/Paramètres!$B$6/Paramètres!$B$53,0)</f>
        <v>0</v>
      </c>
      <c r="T45" s="47"/>
      <c r="U45" s="2">
        <f t="shared" si="6"/>
        <v>0</v>
      </c>
      <c r="V45" s="1">
        <f>R45*Paramètres!$B$7</f>
        <v>0</v>
      </c>
      <c r="W45" s="1">
        <f>S45*Paramètres!$B$9</f>
        <v>0</v>
      </c>
      <c r="X45" s="1"/>
      <c r="Y45" s="2">
        <f t="shared" si="7"/>
        <v>0</v>
      </c>
      <c r="Z45" s="7">
        <f>R45*Paramètres!$B$10</f>
        <v>0</v>
      </c>
      <c r="AA45" s="7">
        <f>S45*Paramètres!$B$10</f>
        <v>0</v>
      </c>
      <c r="AB45" s="7"/>
      <c r="AC45" s="2">
        <f t="shared" si="8"/>
        <v>0</v>
      </c>
      <c r="AD45" s="1">
        <f t="shared" si="12"/>
        <v>0</v>
      </c>
      <c r="AE45" s="1">
        <f t="shared" si="9"/>
        <v>0</v>
      </c>
      <c r="AF45" s="1">
        <f>IF(B45="",0,Paramètres!$B$53*1.5)</f>
        <v>0</v>
      </c>
      <c r="AG45" s="1">
        <f>IF(C45="",0,Paramètres!$B$53*1.5)</f>
        <v>0</v>
      </c>
      <c r="AH45" s="1"/>
      <c r="AI45" s="1"/>
      <c r="AJ45" s="1"/>
      <c r="AK45" s="1"/>
      <c r="AL45" s="1">
        <f>(U45*Paramètres!$B$53)*3</f>
        <v>0</v>
      </c>
      <c r="AM45" s="1">
        <f t="shared" si="10"/>
        <v>0</v>
      </c>
      <c r="AN45" s="1">
        <f>U45*Paramètres!$B$75</f>
        <v>0</v>
      </c>
      <c r="AO45" s="1">
        <f>U45*Paramètres!$B$72*Paramètres!$B$73</f>
        <v>0</v>
      </c>
      <c r="AP45" s="1"/>
      <c r="AQ45" s="1">
        <f>(Y45+AC45)*Paramètres!$B$42*Paramètres!$B$53</f>
        <v>0</v>
      </c>
      <c r="AR45" s="1"/>
      <c r="AS45" s="7">
        <f>ROUNDUP(D45*Paramètres!$B$23*Paramètres!$B$26,-1)</f>
        <v>0</v>
      </c>
      <c r="AT45" s="7"/>
      <c r="AU45" s="1"/>
      <c r="AV45" s="8"/>
      <c r="AW45" s="8"/>
      <c r="AX45" s="8"/>
      <c r="AY45" s="8"/>
      <c r="AZ45" s="8"/>
      <c r="BA45" s="8"/>
      <c r="BB45" s="44"/>
      <c r="BC45" s="44"/>
      <c r="BD45" s="8"/>
      <c r="BE45" s="8"/>
      <c r="BF45" s="8"/>
      <c r="BG45" s="44"/>
      <c r="BI45">
        <f t="shared" si="11"/>
        <v>0</v>
      </c>
    </row>
    <row r="46" spans="1:61" x14ac:dyDescent="0.25">
      <c r="A46">
        <v>44</v>
      </c>
      <c r="B46" s="1"/>
      <c r="C46" s="1"/>
      <c r="D46" s="1"/>
      <c r="E46" s="1"/>
      <c r="F46" s="1"/>
      <c r="G46" s="53"/>
      <c r="H46" s="53"/>
      <c r="I46" s="54"/>
      <c r="J46" s="50">
        <f>F46*Paramètres!$B$3</f>
        <v>0</v>
      </c>
      <c r="K46" s="56">
        <f t="shared" si="0"/>
        <v>0</v>
      </c>
      <c r="L46" s="56">
        <f t="shared" si="1"/>
        <v>0</v>
      </c>
      <c r="M46" s="56">
        <f t="shared" si="2"/>
        <v>0</v>
      </c>
      <c r="N46" s="3">
        <f>ROUNDUP(J46*Paramètres!$B$19,-1)</f>
        <v>0</v>
      </c>
      <c r="O46" s="1">
        <f t="shared" si="3"/>
        <v>0</v>
      </c>
      <c r="P46" s="1">
        <f t="shared" si="4"/>
        <v>0</v>
      </c>
      <c r="Q46" s="3">
        <f t="shared" si="5"/>
        <v>0</v>
      </c>
      <c r="R46" s="47">
        <f>ROUNDUP(+K46/Paramètres!$B$4/Paramètres!$B$53,0)</f>
        <v>0</v>
      </c>
      <c r="S46" s="47">
        <f>ROUNDUP(+L46/Paramètres!$B$6/Paramètres!$B$53,0)</f>
        <v>0</v>
      </c>
      <c r="T46" s="47"/>
      <c r="U46" s="2">
        <f t="shared" si="6"/>
        <v>0</v>
      </c>
      <c r="V46" s="1">
        <f>R46*Paramètres!$B$7</f>
        <v>0</v>
      </c>
      <c r="W46" s="1">
        <f>S46*Paramètres!$B$9</f>
        <v>0</v>
      </c>
      <c r="X46" s="1"/>
      <c r="Y46" s="2">
        <f t="shared" si="7"/>
        <v>0</v>
      </c>
      <c r="Z46" s="7">
        <f>R46*Paramètres!$B$10</f>
        <v>0</v>
      </c>
      <c r="AA46" s="7">
        <f>S46*Paramètres!$B$10</f>
        <v>0</v>
      </c>
      <c r="AB46" s="7"/>
      <c r="AC46" s="2">
        <f t="shared" si="8"/>
        <v>0</v>
      </c>
      <c r="AD46" s="1">
        <f t="shared" si="12"/>
        <v>0</v>
      </c>
      <c r="AE46" s="1">
        <f t="shared" si="9"/>
        <v>0</v>
      </c>
      <c r="AF46" s="1">
        <f>IF(B46="",0,Paramètres!$B$53*1.5)</f>
        <v>0</v>
      </c>
      <c r="AG46" s="1">
        <f>IF(C46="",0,Paramètres!$B$53*1.5)</f>
        <v>0</v>
      </c>
      <c r="AH46" s="1"/>
      <c r="AI46" s="1"/>
      <c r="AJ46" s="1"/>
      <c r="AK46" s="1"/>
      <c r="AL46" s="1">
        <f>(U46*Paramètres!$B$53)*3</f>
        <v>0</v>
      </c>
      <c r="AM46" s="1">
        <f t="shared" si="10"/>
        <v>0</v>
      </c>
      <c r="AN46" s="1">
        <f>U46*Paramètres!$B$75</f>
        <v>0</v>
      </c>
      <c r="AO46" s="1">
        <f>U46*Paramètres!$B$72*Paramètres!$B$73</f>
        <v>0</v>
      </c>
      <c r="AP46" s="1"/>
      <c r="AQ46" s="1">
        <f>(Y46+AC46)*Paramètres!$B$42*Paramètres!$B$53</f>
        <v>0</v>
      </c>
      <c r="AR46" s="1"/>
      <c r="AS46" s="7">
        <f>ROUNDUP(D46*Paramètres!$B$23*Paramètres!$B$26,-1)</f>
        <v>0</v>
      </c>
      <c r="AT46" s="7"/>
      <c r="AU46" s="1"/>
      <c r="AV46" s="8"/>
      <c r="AW46" s="8"/>
      <c r="AX46" s="8"/>
      <c r="AY46" s="8"/>
      <c r="AZ46" s="8"/>
      <c r="BA46" s="8"/>
      <c r="BB46" s="44"/>
      <c r="BC46" s="44"/>
      <c r="BD46" s="8"/>
      <c r="BE46" s="8"/>
      <c r="BF46" s="8"/>
      <c r="BG46" s="44"/>
      <c r="BI46">
        <f t="shared" si="11"/>
        <v>0</v>
      </c>
    </row>
    <row r="47" spans="1:61" x14ac:dyDescent="0.25">
      <c r="A47">
        <v>45</v>
      </c>
      <c r="B47" s="1"/>
      <c r="C47" s="1"/>
      <c r="D47" s="1"/>
      <c r="E47" s="1"/>
      <c r="F47" s="1"/>
      <c r="G47" s="53"/>
      <c r="H47" s="53"/>
      <c r="I47" s="54"/>
      <c r="J47" s="50">
        <f>F47*Paramètres!$B$3</f>
        <v>0</v>
      </c>
      <c r="K47" s="56">
        <f t="shared" si="0"/>
        <v>0</v>
      </c>
      <c r="L47" s="56">
        <f t="shared" si="1"/>
        <v>0</v>
      </c>
      <c r="M47" s="56">
        <f t="shared" si="2"/>
        <v>0</v>
      </c>
      <c r="N47" s="3">
        <f>ROUNDUP(J47*Paramètres!$B$19,-1)</f>
        <v>0</v>
      </c>
      <c r="O47" s="1">
        <f t="shared" si="3"/>
        <v>0</v>
      </c>
      <c r="P47" s="1">
        <f t="shared" si="4"/>
        <v>0</v>
      </c>
      <c r="Q47" s="3">
        <f t="shared" si="5"/>
        <v>0</v>
      </c>
      <c r="R47" s="47">
        <f>ROUNDUP(+K47/Paramètres!$B$4/Paramètres!$B$53,0)</f>
        <v>0</v>
      </c>
      <c r="S47" s="47">
        <f>ROUNDUP(+L47/Paramètres!$B$6/Paramètres!$B$53,0)</f>
        <v>0</v>
      </c>
      <c r="T47" s="47"/>
      <c r="U47" s="2">
        <f t="shared" si="6"/>
        <v>0</v>
      </c>
      <c r="V47" s="1">
        <f>R47*Paramètres!$B$7</f>
        <v>0</v>
      </c>
      <c r="W47" s="1">
        <f>S47*Paramètres!$B$9</f>
        <v>0</v>
      </c>
      <c r="X47" s="1"/>
      <c r="Y47" s="2">
        <f t="shared" si="7"/>
        <v>0</v>
      </c>
      <c r="Z47" s="7">
        <f>R47*Paramètres!$B$10</f>
        <v>0</v>
      </c>
      <c r="AA47" s="7">
        <f>S47*Paramètres!$B$10</f>
        <v>0</v>
      </c>
      <c r="AB47" s="7"/>
      <c r="AC47" s="2">
        <f t="shared" si="8"/>
        <v>0</v>
      </c>
      <c r="AD47" s="1">
        <f t="shared" si="12"/>
        <v>0</v>
      </c>
      <c r="AE47" s="1">
        <f t="shared" si="9"/>
        <v>0</v>
      </c>
      <c r="AF47" s="1">
        <f>IF(B47="",0,Paramètres!$B$53*1.5)</f>
        <v>0</v>
      </c>
      <c r="AG47" s="1">
        <f>IF(C47="",0,Paramètres!$B$53*1.5)</f>
        <v>0</v>
      </c>
      <c r="AH47" s="1"/>
      <c r="AI47" s="1"/>
      <c r="AJ47" s="1"/>
      <c r="AK47" s="1"/>
      <c r="AL47" s="1">
        <f>(U47*Paramètres!$B$53)*3</f>
        <v>0</v>
      </c>
      <c r="AM47" s="1">
        <f t="shared" si="10"/>
        <v>0</v>
      </c>
      <c r="AN47" s="1">
        <f>U47*Paramètres!$B$75</f>
        <v>0</v>
      </c>
      <c r="AO47" s="1">
        <f>U47*Paramètres!$B$72*Paramètres!$B$73</f>
        <v>0</v>
      </c>
      <c r="AP47" s="1"/>
      <c r="AQ47" s="1">
        <f>(Y47+AC47)*Paramètres!$B$42*Paramètres!$B$53</f>
        <v>0</v>
      </c>
      <c r="AR47" s="1"/>
      <c r="AS47" s="7">
        <f>ROUNDUP(D47*Paramètres!$B$23*Paramètres!$B$26,-1)</f>
        <v>0</v>
      </c>
      <c r="AT47" s="7"/>
      <c r="AU47" s="1"/>
      <c r="AV47" s="8"/>
      <c r="AW47" s="8"/>
      <c r="AX47" s="8"/>
      <c r="AY47" s="8"/>
      <c r="AZ47" s="8"/>
      <c r="BA47" s="8"/>
      <c r="BB47" s="44"/>
      <c r="BC47" s="44"/>
      <c r="BD47" s="8"/>
      <c r="BE47" s="8"/>
      <c r="BF47" s="8"/>
      <c r="BG47" s="44"/>
      <c r="BI47">
        <f t="shared" si="11"/>
        <v>0</v>
      </c>
    </row>
    <row r="48" spans="1:61" x14ac:dyDescent="0.25">
      <c r="A48">
        <v>46</v>
      </c>
      <c r="B48" s="1"/>
      <c r="C48" s="1"/>
      <c r="D48" s="1"/>
      <c r="E48" s="1"/>
      <c r="F48" s="1"/>
      <c r="G48" s="53"/>
      <c r="H48" s="53"/>
      <c r="I48" s="54"/>
      <c r="J48" s="50">
        <f>F48*Paramètres!$B$3</f>
        <v>0</v>
      </c>
      <c r="K48" s="56">
        <f t="shared" si="0"/>
        <v>0</v>
      </c>
      <c r="L48" s="56">
        <f t="shared" si="1"/>
        <v>0</v>
      </c>
      <c r="M48" s="56">
        <f t="shared" si="2"/>
        <v>0</v>
      </c>
      <c r="N48" s="3">
        <f>ROUNDUP(J48*Paramètres!$B$19,-1)</f>
        <v>0</v>
      </c>
      <c r="O48" s="1">
        <f t="shared" si="3"/>
        <v>0</v>
      </c>
      <c r="P48" s="1">
        <f t="shared" si="4"/>
        <v>0</v>
      </c>
      <c r="Q48" s="3">
        <f t="shared" si="5"/>
        <v>0</v>
      </c>
      <c r="R48" s="47">
        <f>ROUNDUP(+K48/Paramètres!$B$4/Paramètres!$B$53,0)</f>
        <v>0</v>
      </c>
      <c r="S48" s="47">
        <f>ROUNDUP(+L48/Paramètres!$B$6/Paramètres!$B$53,0)</f>
        <v>0</v>
      </c>
      <c r="T48" s="47"/>
      <c r="U48" s="2">
        <f t="shared" si="6"/>
        <v>0</v>
      </c>
      <c r="V48" s="1">
        <f>R48*Paramètres!$B$7</f>
        <v>0</v>
      </c>
      <c r="W48" s="1">
        <f>S48*Paramètres!$B$9</f>
        <v>0</v>
      </c>
      <c r="X48" s="1"/>
      <c r="Y48" s="2">
        <f t="shared" si="7"/>
        <v>0</v>
      </c>
      <c r="Z48" s="7">
        <f>R48*Paramètres!$B$10</f>
        <v>0</v>
      </c>
      <c r="AA48" s="7">
        <f>S48*Paramètres!$B$10</f>
        <v>0</v>
      </c>
      <c r="AB48" s="7"/>
      <c r="AC48" s="2">
        <f t="shared" si="8"/>
        <v>0</v>
      </c>
      <c r="AD48" s="1">
        <f t="shared" si="12"/>
        <v>0</v>
      </c>
      <c r="AE48" s="1">
        <f t="shared" si="9"/>
        <v>0</v>
      </c>
      <c r="AF48" s="1">
        <f>IF(B48="",0,Paramètres!$B$53*1.5)</f>
        <v>0</v>
      </c>
      <c r="AG48" s="1">
        <f>IF(C48="",0,Paramètres!$B$53*1.5)</f>
        <v>0</v>
      </c>
      <c r="AH48" s="1"/>
      <c r="AI48" s="1"/>
      <c r="AJ48" s="1"/>
      <c r="AK48" s="1"/>
      <c r="AL48" s="1">
        <f>(U48*Paramètres!$B$53)*3</f>
        <v>0</v>
      </c>
      <c r="AM48" s="1">
        <f t="shared" si="10"/>
        <v>0</v>
      </c>
      <c r="AN48" s="1">
        <f>U48*Paramètres!$B$75</f>
        <v>0</v>
      </c>
      <c r="AO48" s="1">
        <f>U48*Paramètres!$B$72*Paramètres!$B$73</f>
        <v>0</v>
      </c>
      <c r="AP48" s="1"/>
      <c r="AQ48" s="1">
        <f>(Y48+AC48)*Paramètres!$B$42*Paramètres!$B$53</f>
        <v>0</v>
      </c>
      <c r="AR48" s="1"/>
      <c r="AS48" s="7">
        <f>ROUNDUP(D48*Paramètres!$B$23*Paramètres!$B$26,-1)</f>
        <v>0</v>
      </c>
      <c r="AT48" s="7"/>
      <c r="AU48" s="1"/>
      <c r="AV48" s="8"/>
      <c r="AW48" s="8"/>
      <c r="AX48" s="8"/>
      <c r="AY48" s="8"/>
      <c r="AZ48" s="8"/>
      <c r="BA48" s="8"/>
      <c r="BB48" s="44"/>
      <c r="BC48" s="44"/>
      <c r="BD48" s="8"/>
      <c r="BE48" s="8"/>
      <c r="BF48" s="8"/>
      <c r="BG48" s="44"/>
      <c r="BI48">
        <f t="shared" si="11"/>
        <v>0</v>
      </c>
    </row>
    <row r="49" spans="1:61" x14ac:dyDescent="0.25">
      <c r="A49">
        <v>47</v>
      </c>
      <c r="B49" s="1"/>
      <c r="C49" s="1"/>
      <c r="D49" s="1"/>
      <c r="E49" s="1"/>
      <c r="F49" s="1"/>
      <c r="G49" s="53"/>
      <c r="H49" s="53"/>
      <c r="I49" s="54"/>
      <c r="J49" s="50">
        <f>F49*Paramètres!$B$3</f>
        <v>0</v>
      </c>
      <c r="K49" s="56">
        <f t="shared" si="0"/>
        <v>0</v>
      </c>
      <c r="L49" s="56">
        <f t="shared" si="1"/>
        <v>0</v>
      </c>
      <c r="M49" s="56">
        <f t="shared" si="2"/>
        <v>0</v>
      </c>
      <c r="N49" s="3">
        <f>ROUNDUP(J49*Paramètres!$B$19,-1)</f>
        <v>0</v>
      </c>
      <c r="O49" s="1">
        <f t="shared" si="3"/>
        <v>0</v>
      </c>
      <c r="P49" s="1">
        <f t="shared" si="4"/>
        <v>0</v>
      </c>
      <c r="Q49" s="3">
        <f t="shared" si="5"/>
        <v>0</v>
      </c>
      <c r="R49" s="47">
        <f>ROUNDUP(+K49/Paramètres!$B$4/Paramètres!$B$53,0)</f>
        <v>0</v>
      </c>
      <c r="S49" s="47">
        <f>ROUNDUP(+L49/Paramètres!$B$6/Paramètres!$B$53,0)</f>
        <v>0</v>
      </c>
      <c r="T49" s="47"/>
      <c r="U49" s="2">
        <f t="shared" si="6"/>
        <v>0</v>
      </c>
      <c r="V49" s="1">
        <f>R49*Paramètres!$B$7</f>
        <v>0</v>
      </c>
      <c r="W49" s="1">
        <f>S49*Paramètres!$B$9</f>
        <v>0</v>
      </c>
      <c r="X49" s="1"/>
      <c r="Y49" s="2">
        <f t="shared" si="7"/>
        <v>0</v>
      </c>
      <c r="Z49" s="7">
        <f>R49*Paramètres!$B$10</f>
        <v>0</v>
      </c>
      <c r="AA49" s="7">
        <f>S49*Paramètres!$B$10</f>
        <v>0</v>
      </c>
      <c r="AB49" s="7"/>
      <c r="AC49" s="2">
        <f t="shared" si="8"/>
        <v>0</v>
      </c>
      <c r="AD49" s="1">
        <f t="shared" si="12"/>
        <v>0</v>
      </c>
      <c r="AE49" s="1">
        <f t="shared" si="9"/>
        <v>0</v>
      </c>
      <c r="AF49" s="1">
        <f>IF(B49="",0,Paramètres!$B$53*1.5)</f>
        <v>0</v>
      </c>
      <c r="AG49" s="1">
        <f>IF(C49="",0,Paramètres!$B$53*1.5)</f>
        <v>0</v>
      </c>
      <c r="AH49" s="1"/>
      <c r="AI49" s="1"/>
      <c r="AJ49" s="1"/>
      <c r="AK49" s="1"/>
      <c r="AL49" s="1">
        <f>(U49*Paramètres!$B$53)*3</f>
        <v>0</v>
      </c>
      <c r="AM49" s="1">
        <f t="shared" si="10"/>
        <v>0</v>
      </c>
      <c r="AN49" s="1">
        <f>U49*Paramètres!$B$75</f>
        <v>0</v>
      </c>
      <c r="AO49" s="1">
        <f>U49*Paramètres!$B$72*Paramètres!$B$73</f>
        <v>0</v>
      </c>
      <c r="AP49" s="1"/>
      <c r="AQ49" s="1">
        <f>(Y49+AC49)*Paramètres!$B$42*Paramètres!$B$53</f>
        <v>0</v>
      </c>
      <c r="AR49" s="1"/>
      <c r="AS49" s="7">
        <f>ROUNDUP(D49*Paramètres!$B$23*Paramètres!$B$26,-1)</f>
        <v>0</v>
      </c>
      <c r="AT49" s="7"/>
      <c r="AU49" s="1"/>
      <c r="AV49" s="8"/>
      <c r="AW49" s="8"/>
      <c r="AX49" s="8"/>
      <c r="AY49" s="8"/>
      <c r="AZ49" s="8"/>
      <c r="BA49" s="8"/>
      <c r="BB49" s="44"/>
      <c r="BC49" s="44"/>
      <c r="BD49" s="8"/>
      <c r="BE49" s="8"/>
      <c r="BF49" s="8"/>
      <c r="BG49" s="44"/>
      <c r="BI49">
        <f t="shared" si="11"/>
        <v>0</v>
      </c>
    </row>
    <row r="50" spans="1:61" x14ac:dyDescent="0.25">
      <c r="A50">
        <v>48</v>
      </c>
      <c r="B50" s="1"/>
      <c r="C50" s="1"/>
      <c r="D50" s="1"/>
      <c r="E50" s="1"/>
      <c r="F50" s="1"/>
      <c r="G50" s="53"/>
      <c r="H50" s="53"/>
      <c r="I50" s="54"/>
      <c r="J50" s="50">
        <f>F50*Paramètres!$B$3</f>
        <v>0</v>
      </c>
      <c r="K50" s="56">
        <f t="shared" si="0"/>
        <v>0</v>
      </c>
      <c r="L50" s="56">
        <f t="shared" si="1"/>
        <v>0</v>
      </c>
      <c r="M50" s="56">
        <f t="shared" si="2"/>
        <v>0</v>
      </c>
      <c r="N50" s="3">
        <f>ROUNDUP(J50*Paramètres!$B$19,-1)</f>
        <v>0</v>
      </c>
      <c r="O50" s="1">
        <f t="shared" si="3"/>
        <v>0</v>
      </c>
      <c r="P50" s="1">
        <f t="shared" si="4"/>
        <v>0</v>
      </c>
      <c r="Q50" s="3">
        <f t="shared" si="5"/>
        <v>0</v>
      </c>
      <c r="R50" s="47">
        <f>ROUNDUP(+K50/Paramètres!$B$4/Paramètres!$B$53,0)</f>
        <v>0</v>
      </c>
      <c r="S50" s="47">
        <f>ROUNDUP(+L50/Paramètres!$B$6/Paramètres!$B$53,0)</f>
        <v>0</v>
      </c>
      <c r="T50" s="47"/>
      <c r="U50" s="2">
        <f t="shared" si="6"/>
        <v>0</v>
      </c>
      <c r="V50" s="1">
        <f>R50*Paramètres!$B$7</f>
        <v>0</v>
      </c>
      <c r="W50" s="1">
        <f>S50*Paramètres!$B$9</f>
        <v>0</v>
      </c>
      <c r="X50" s="1"/>
      <c r="Y50" s="2">
        <f t="shared" si="7"/>
        <v>0</v>
      </c>
      <c r="Z50" s="7">
        <f>R50*Paramètres!$B$10</f>
        <v>0</v>
      </c>
      <c r="AA50" s="7">
        <f>S50*Paramètres!$B$10</f>
        <v>0</v>
      </c>
      <c r="AB50" s="7"/>
      <c r="AC50" s="2">
        <f t="shared" si="8"/>
        <v>0</v>
      </c>
      <c r="AD50" s="1">
        <f t="shared" si="12"/>
        <v>0</v>
      </c>
      <c r="AE50" s="1">
        <f t="shared" si="9"/>
        <v>0</v>
      </c>
      <c r="AF50" s="1">
        <f>IF(B50="",0,Paramètres!$B$53*1.5)</f>
        <v>0</v>
      </c>
      <c r="AG50" s="1">
        <f>IF(C50="",0,Paramètres!$B$53*1.5)</f>
        <v>0</v>
      </c>
      <c r="AH50" s="1"/>
      <c r="AI50" s="1"/>
      <c r="AJ50" s="1"/>
      <c r="AK50" s="1"/>
      <c r="AL50" s="1">
        <f>(U50*Paramètres!$B$53)*3</f>
        <v>0</v>
      </c>
      <c r="AM50" s="1">
        <f t="shared" si="10"/>
        <v>0</v>
      </c>
      <c r="AN50" s="1">
        <f>U50*Paramètres!$B$75</f>
        <v>0</v>
      </c>
      <c r="AO50" s="1">
        <f>U50*Paramètres!$B$72*Paramètres!$B$73</f>
        <v>0</v>
      </c>
      <c r="AP50" s="1"/>
      <c r="AQ50" s="1">
        <f>(Y50+AC50)*Paramètres!$B$42*Paramètres!$B$53</f>
        <v>0</v>
      </c>
      <c r="AR50" s="1"/>
      <c r="AS50" s="7">
        <f>ROUNDUP(D50*Paramètres!$B$23*Paramètres!$B$26,-1)</f>
        <v>0</v>
      </c>
      <c r="AT50" s="7"/>
      <c r="AU50" s="1"/>
      <c r="AV50" s="8"/>
      <c r="AW50" s="8"/>
      <c r="AX50" s="8"/>
      <c r="AY50" s="8"/>
      <c r="AZ50" s="8"/>
      <c r="BA50" s="8"/>
      <c r="BB50" s="44"/>
      <c r="BC50" s="44"/>
      <c r="BD50" s="8"/>
      <c r="BE50" s="8"/>
      <c r="BF50" s="8"/>
      <c r="BG50" s="44"/>
      <c r="BI50">
        <f t="shared" si="11"/>
        <v>0</v>
      </c>
    </row>
    <row r="51" spans="1:61" x14ac:dyDescent="0.25">
      <c r="A51">
        <v>49</v>
      </c>
      <c r="B51" s="1"/>
      <c r="C51" s="1"/>
      <c r="D51" s="1"/>
      <c r="E51" s="1"/>
      <c r="F51" s="1"/>
      <c r="G51" s="53"/>
      <c r="H51" s="53"/>
      <c r="I51" s="54"/>
      <c r="J51" s="50">
        <f>F51*Paramètres!$B$3</f>
        <v>0</v>
      </c>
      <c r="K51" s="56">
        <f t="shared" si="0"/>
        <v>0</v>
      </c>
      <c r="L51" s="56">
        <f t="shared" si="1"/>
        <v>0</v>
      </c>
      <c r="M51" s="56">
        <f t="shared" si="2"/>
        <v>0</v>
      </c>
      <c r="N51" s="3">
        <f>ROUNDUP(J51*Paramètres!$B$19,-1)</f>
        <v>0</v>
      </c>
      <c r="O51" s="1">
        <f t="shared" si="3"/>
        <v>0</v>
      </c>
      <c r="P51" s="1">
        <f t="shared" si="4"/>
        <v>0</v>
      </c>
      <c r="Q51" s="3">
        <f t="shared" si="5"/>
        <v>0</v>
      </c>
      <c r="R51" s="47">
        <f>ROUNDUP(+K51/Paramètres!$B$4/Paramètres!$B$53,0)</f>
        <v>0</v>
      </c>
      <c r="S51" s="47">
        <f>ROUNDUP(+L51/Paramètres!$B$6/Paramètres!$B$53,0)</f>
        <v>0</v>
      </c>
      <c r="T51" s="47"/>
      <c r="U51" s="2">
        <f t="shared" si="6"/>
        <v>0</v>
      </c>
      <c r="V51" s="1">
        <f>R51*Paramètres!$B$7</f>
        <v>0</v>
      </c>
      <c r="W51" s="1">
        <f>S51*Paramètres!$B$9</f>
        <v>0</v>
      </c>
      <c r="X51" s="1"/>
      <c r="Y51" s="2">
        <f t="shared" si="7"/>
        <v>0</v>
      </c>
      <c r="Z51" s="7">
        <f>R51*Paramètres!$B$10</f>
        <v>0</v>
      </c>
      <c r="AA51" s="7">
        <f>S51*Paramètres!$B$10</f>
        <v>0</v>
      </c>
      <c r="AB51" s="7"/>
      <c r="AC51" s="2">
        <f t="shared" si="8"/>
        <v>0</v>
      </c>
      <c r="AD51" s="1">
        <f t="shared" si="12"/>
        <v>0</v>
      </c>
      <c r="AE51" s="1">
        <f t="shared" si="9"/>
        <v>0</v>
      </c>
      <c r="AF51" s="1">
        <f>IF(B51="",0,Paramètres!$B$53*1.5)</f>
        <v>0</v>
      </c>
      <c r="AG51" s="1">
        <f>IF(C51="",0,Paramètres!$B$53*1.5)</f>
        <v>0</v>
      </c>
      <c r="AH51" s="1"/>
      <c r="AI51" s="1"/>
      <c r="AJ51" s="1"/>
      <c r="AK51" s="1"/>
      <c r="AL51" s="1">
        <f>(U51*Paramètres!$B$53)*3</f>
        <v>0</v>
      </c>
      <c r="AM51" s="1">
        <f t="shared" si="10"/>
        <v>0</v>
      </c>
      <c r="AN51" s="1">
        <f>U51*Paramètres!$B$75</f>
        <v>0</v>
      </c>
      <c r="AO51" s="1">
        <f>U51*Paramètres!$B$72*Paramètres!$B$73</f>
        <v>0</v>
      </c>
      <c r="AP51" s="1"/>
      <c r="AQ51" s="1">
        <f>(Y51+AC51)*Paramètres!$B$42*Paramètres!$B$53</f>
        <v>0</v>
      </c>
      <c r="AR51" s="1"/>
      <c r="AS51" s="7">
        <f>ROUNDUP(D51*Paramètres!$B$23*Paramètres!$B$26,-1)</f>
        <v>0</v>
      </c>
      <c r="AT51" s="7"/>
      <c r="AU51" s="1"/>
      <c r="AV51" s="8"/>
      <c r="AW51" s="8"/>
      <c r="AX51" s="8"/>
      <c r="AY51" s="8"/>
      <c r="AZ51" s="8"/>
      <c r="BA51" s="8"/>
      <c r="BB51" s="44"/>
      <c r="BC51" s="44"/>
      <c r="BD51" s="8"/>
      <c r="BE51" s="8"/>
      <c r="BF51" s="8"/>
      <c r="BG51" s="44"/>
      <c r="BI51">
        <f t="shared" si="11"/>
        <v>0</v>
      </c>
    </row>
    <row r="52" spans="1:61" x14ac:dyDescent="0.25">
      <c r="A52">
        <v>50</v>
      </c>
      <c r="B52" s="1"/>
      <c r="C52" s="1"/>
      <c r="D52" s="1"/>
      <c r="E52" s="1"/>
      <c r="F52" s="1"/>
      <c r="G52" s="53"/>
      <c r="H52" s="53"/>
      <c r="I52" s="54"/>
      <c r="J52" s="50">
        <f>F52*Paramètres!$B$3</f>
        <v>0</v>
      </c>
      <c r="K52" s="56">
        <f t="shared" si="0"/>
        <v>0</v>
      </c>
      <c r="L52" s="56">
        <f t="shared" si="1"/>
        <v>0</v>
      </c>
      <c r="M52" s="56">
        <f t="shared" si="2"/>
        <v>0</v>
      </c>
      <c r="N52" s="3">
        <f>ROUNDUP(J52*Paramètres!$B$19,-1)</f>
        <v>0</v>
      </c>
      <c r="O52" s="1">
        <f t="shared" si="3"/>
        <v>0</v>
      </c>
      <c r="P52" s="1">
        <f t="shared" si="4"/>
        <v>0</v>
      </c>
      <c r="Q52" s="3">
        <f t="shared" si="5"/>
        <v>0</v>
      </c>
      <c r="R52" s="47">
        <f>ROUNDUP(+K52/Paramètres!$B$4/Paramètres!$B$53,0)</f>
        <v>0</v>
      </c>
      <c r="S52" s="47">
        <f>ROUNDUP(+L52/Paramètres!$B$6/Paramètres!$B$53,0)</f>
        <v>0</v>
      </c>
      <c r="T52" s="47"/>
      <c r="U52" s="2">
        <f t="shared" si="6"/>
        <v>0</v>
      </c>
      <c r="V52" s="1">
        <f>R52*Paramètres!$B$7</f>
        <v>0</v>
      </c>
      <c r="W52" s="1">
        <f>S52*Paramètres!$B$9</f>
        <v>0</v>
      </c>
      <c r="X52" s="1"/>
      <c r="Y52" s="2">
        <f t="shared" si="7"/>
        <v>0</v>
      </c>
      <c r="Z52" s="7">
        <f>R52*Paramètres!$B$10</f>
        <v>0</v>
      </c>
      <c r="AA52" s="7">
        <f>S52*Paramètres!$B$10</f>
        <v>0</v>
      </c>
      <c r="AB52" s="7"/>
      <c r="AC52" s="2">
        <f t="shared" si="8"/>
        <v>0</v>
      </c>
      <c r="AD52" s="1">
        <f t="shared" si="12"/>
        <v>0</v>
      </c>
      <c r="AE52" s="1">
        <f t="shared" si="9"/>
        <v>0</v>
      </c>
      <c r="AF52" s="1">
        <f>IF(B52="",0,Paramètres!$B$53*1.5)</f>
        <v>0</v>
      </c>
      <c r="AG52" s="1">
        <f>IF(C52="",0,Paramètres!$B$53*1.5)</f>
        <v>0</v>
      </c>
      <c r="AH52" s="1"/>
      <c r="AI52" s="1"/>
      <c r="AJ52" s="1"/>
      <c r="AK52" s="1"/>
      <c r="AL52" s="1">
        <f>(U52*Paramètres!$B$53)*3</f>
        <v>0</v>
      </c>
      <c r="AM52" s="1">
        <f t="shared" si="10"/>
        <v>0</v>
      </c>
      <c r="AN52" s="1">
        <f>U52*Paramètres!$B$75</f>
        <v>0</v>
      </c>
      <c r="AO52" s="1">
        <f>U52*Paramètres!$B$72*Paramètres!$B$73</f>
        <v>0</v>
      </c>
      <c r="AP52" s="1"/>
      <c r="AQ52" s="1">
        <f>(Y52+AC52)*Paramètres!$B$42*Paramètres!$B$53</f>
        <v>0</v>
      </c>
      <c r="AR52" s="1"/>
      <c r="AS52" s="7">
        <f>ROUNDUP(D52*Paramètres!$B$23*Paramètres!$B$26,-1)</f>
        <v>0</v>
      </c>
      <c r="AT52" s="7"/>
      <c r="AU52" s="1"/>
      <c r="AV52" s="8"/>
      <c r="AW52" s="8"/>
      <c r="AX52" s="8"/>
      <c r="AY52" s="8"/>
      <c r="AZ52" s="8"/>
      <c r="BA52" s="8"/>
      <c r="BB52" s="44"/>
      <c r="BC52" s="44"/>
      <c r="BD52" s="8"/>
      <c r="BE52" s="8"/>
      <c r="BF52" s="8"/>
      <c r="BG52" s="44"/>
      <c r="BI52">
        <f t="shared" si="11"/>
        <v>0</v>
      </c>
    </row>
    <row r="53" spans="1:61" x14ac:dyDescent="0.25">
      <c r="A53">
        <v>51</v>
      </c>
      <c r="B53" s="1"/>
      <c r="C53" s="1"/>
      <c r="D53" s="1"/>
      <c r="E53" s="1"/>
      <c r="F53" s="1"/>
      <c r="G53" s="53"/>
      <c r="H53" s="53"/>
      <c r="I53" s="54"/>
      <c r="J53" s="50">
        <f>F53*Paramètres!$B$3</f>
        <v>0</v>
      </c>
      <c r="K53" s="56">
        <f t="shared" si="0"/>
        <v>0</v>
      </c>
      <c r="L53" s="56">
        <f t="shared" si="1"/>
        <v>0</v>
      </c>
      <c r="M53" s="56">
        <f t="shared" si="2"/>
        <v>0</v>
      </c>
      <c r="N53" s="3">
        <f>ROUNDUP(J53*Paramètres!$B$19,-1)</f>
        <v>0</v>
      </c>
      <c r="O53" s="1">
        <f t="shared" si="3"/>
        <v>0</v>
      </c>
      <c r="P53" s="1">
        <f t="shared" si="4"/>
        <v>0</v>
      </c>
      <c r="Q53" s="3">
        <f t="shared" si="5"/>
        <v>0</v>
      </c>
      <c r="R53" s="47">
        <f>ROUNDUP(+K53/Paramètres!$B$4/Paramètres!$B$53,0)</f>
        <v>0</v>
      </c>
      <c r="S53" s="47">
        <f>ROUNDUP(+L53/Paramètres!$B$6/Paramètres!$B$53,0)</f>
        <v>0</v>
      </c>
      <c r="T53" s="47"/>
      <c r="U53" s="2">
        <f t="shared" si="6"/>
        <v>0</v>
      </c>
      <c r="V53" s="1">
        <f>R53*Paramètres!$B$7</f>
        <v>0</v>
      </c>
      <c r="W53" s="1">
        <f>S53*Paramètres!$B$9</f>
        <v>0</v>
      </c>
      <c r="X53" s="1"/>
      <c r="Y53" s="2">
        <f t="shared" si="7"/>
        <v>0</v>
      </c>
      <c r="Z53" s="7">
        <f>R53*Paramètres!$B$10</f>
        <v>0</v>
      </c>
      <c r="AA53" s="7">
        <f>S53*Paramètres!$B$10</f>
        <v>0</v>
      </c>
      <c r="AB53" s="7"/>
      <c r="AC53" s="2">
        <f t="shared" si="8"/>
        <v>0</v>
      </c>
      <c r="AD53" s="1">
        <f t="shared" si="12"/>
        <v>0</v>
      </c>
      <c r="AE53" s="1">
        <f t="shared" si="9"/>
        <v>0</v>
      </c>
      <c r="AF53" s="1">
        <f>IF(B53="",0,Paramètres!$B$53*1.5)</f>
        <v>0</v>
      </c>
      <c r="AG53" s="1">
        <f>IF(C53="",0,Paramètres!$B$53*1.5)</f>
        <v>0</v>
      </c>
      <c r="AH53" s="1"/>
      <c r="AI53" s="1"/>
      <c r="AJ53" s="1"/>
      <c r="AK53" s="1"/>
      <c r="AL53" s="1">
        <f>(U53*Paramètres!$B$53)*3</f>
        <v>0</v>
      </c>
      <c r="AM53" s="1">
        <f t="shared" si="10"/>
        <v>0</v>
      </c>
      <c r="AN53" s="1">
        <f>U53*Paramètres!$B$75</f>
        <v>0</v>
      </c>
      <c r="AO53" s="1">
        <f>U53*Paramètres!$B$72*Paramètres!$B$73</f>
        <v>0</v>
      </c>
      <c r="AP53" s="1"/>
      <c r="AQ53" s="1">
        <f>(Y53+AC53)*Paramètres!$B$42*Paramètres!$B$53</f>
        <v>0</v>
      </c>
      <c r="AR53" s="1"/>
      <c r="AS53" s="7">
        <f>ROUNDUP(D53*Paramètres!$B$23*Paramètres!$B$26,-1)</f>
        <v>0</v>
      </c>
      <c r="AT53" s="7"/>
      <c r="AU53" s="1"/>
      <c r="AV53" s="8"/>
      <c r="AW53" s="8"/>
      <c r="AX53" s="8"/>
      <c r="AY53" s="8"/>
      <c r="AZ53" s="8"/>
      <c r="BA53" s="8"/>
      <c r="BB53" s="44"/>
      <c r="BC53" s="44"/>
      <c r="BD53" s="8"/>
      <c r="BE53" s="8"/>
      <c r="BF53" s="8"/>
      <c r="BG53" s="44"/>
      <c r="BI53">
        <f t="shared" si="11"/>
        <v>0</v>
      </c>
    </row>
    <row r="54" spans="1:61" x14ac:dyDescent="0.25">
      <c r="B54" s="1"/>
      <c r="C54" s="1"/>
      <c r="D54" s="1"/>
      <c r="E54" s="1"/>
      <c r="F54" s="1"/>
      <c r="G54" s="54"/>
      <c r="H54" s="54"/>
      <c r="I54" s="54"/>
      <c r="J54" s="50">
        <f>F54*Paramètres!$B$3</f>
        <v>0</v>
      </c>
      <c r="K54" s="56">
        <f t="shared" si="0"/>
        <v>0</v>
      </c>
      <c r="L54" s="56">
        <f t="shared" si="1"/>
        <v>0</v>
      </c>
      <c r="M54" s="56">
        <f t="shared" si="2"/>
        <v>0</v>
      </c>
      <c r="N54" s="3">
        <f>ROUNDUP(J54*Paramètres!$B$19,-1)</f>
        <v>0</v>
      </c>
      <c r="O54" s="1">
        <f t="shared" si="3"/>
        <v>0</v>
      </c>
      <c r="P54" s="1">
        <f t="shared" si="4"/>
        <v>0</v>
      </c>
      <c r="Q54" s="3">
        <f t="shared" si="5"/>
        <v>0</v>
      </c>
      <c r="R54" s="47">
        <f>ROUNDUP(+K54/Paramètres!$B$4/Paramètres!$B$53,0)</f>
        <v>0</v>
      </c>
      <c r="S54" s="47">
        <f>ROUNDUP(+L54/Paramètres!$B$6/Paramètres!$B$53,0)</f>
        <v>0</v>
      </c>
      <c r="T54" s="47"/>
      <c r="U54" s="2">
        <f t="shared" si="6"/>
        <v>0</v>
      </c>
      <c r="V54" s="1">
        <f>R54*Paramètres!$B$7</f>
        <v>0</v>
      </c>
      <c r="W54" s="1">
        <f>S54*Paramètres!$B$9</f>
        <v>0</v>
      </c>
      <c r="X54" s="1"/>
      <c r="Y54" s="2">
        <f t="shared" si="7"/>
        <v>0</v>
      </c>
      <c r="Z54" s="7">
        <f>R54*Paramètres!$B$10</f>
        <v>0</v>
      </c>
      <c r="AA54" s="7">
        <f>S54*Paramètres!$B$10</f>
        <v>0</v>
      </c>
      <c r="AB54" s="7"/>
      <c r="AC54" s="2">
        <f t="shared" si="8"/>
        <v>0</v>
      </c>
      <c r="AD54" s="1">
        <f t="shared" si="12"/>
        <v>0</v>
      </c>
      <c r="AE54" s="1">
        <f t="shared" si="9"/>
        <v>0</v>
      </c>
      <c r="AF54" s="1">
        <f>IF(B54="",0,Paramètres!$B$53*1.5)</f>
        <v>0</v>
      </c>
      <c r="AG54" s="1">
        <f>IF(C54="",0,Paramètres!$B$53*1.5)</f>
        <v>0</v>
      </c>
      <c r="AH54" s="1"/>
      <c r="AI54" s="1"/>
      <c r="AJ54" s="1"/>
      <c r="AK54" s="1"/>
      <c r="AL54" s="1">
        <f>(U54*Paramètres!$B$53)*3</f>
        <v>0</v>
      </c>
      <c r="AM54" s="1">
        <f t="shared" si="10"/>
        <v>0</v>
      </c>
      <c r="AN54" s="1">
        <f>U54*Paramètres!$B$75</f>
        <v>0</v>
      </c>
      <c r="AO54" s="1">
        <f>U54*Paramètres!$B$72*Paramètres!$B$73</f>
        <v>0</v>
      </c>
      <c r="AP54" s="1"/>
      <c r="AQ54" s="1">
        <f>(Y54+AC54)*Paramètres!$B$42*Paramètres!$B$53</f>
        <v>0</v>
      </c>
      <c r="AR54" s="1"/>
      <c r="AS54" s="7">
        <f>ROUNDUP(D54*Paramètres!$B$23*Paramètres!$B$26,-1)</f>
        <v>0</v>
      </c>
      <c r="AT54" s="7"/>
      <c r="AU54" s="1"/>
      <c r="AV54" s="8"/>
      <c r="AW54" s="8"/>
      <c r="AX54" s="8"/>
      <c r="AY54" s="8"/>
      <c r="AZ54" s="8"/>
      <c r="BA54" s="8"/>
      <c r="BB54" s="44"/>
      <c r="BC54" s="44"/>
      <c r="BD54" s="8"/>
      <c r="BE54" s="8"/>
      <c r="BF54" s="8"/>
      <c r="BG54" s="44"/>
      <c r="BI54">
        <f t="shared" si="11"/>
        <v>0</v>
      </c>
    </row>
    <row r="55" spans="1:61" x14ac:dyDescent="0.25">
      <c r="B55" s="1"/>
      <c r="C55" s="1"/>
      <c r="D55" s="1"/>
      <c r="E55" s="1"/>
      <c r="F55" s="1"/>
      <c r="G55" s="54"/>
      <c r="H55" s="54"/>
      <c r="I55" s="54"/>
      <c r="J55" s="50">
        <f>F55*Paramètres!$B$3</f>
        <v>0</v>
      </c>
      <c r="K55" s="56">
        <f t="shared" si="0"/>
        <v>0</v>
      </c>
      <c r="L55" s="56">
        <f t="shared" si="1"/>
        <v>0</v>
      </c>
      <c r="M55" s="56">
        <f t="shared" si="2"/>
        <v>0</v>
      </c>
      <c r="N55" s="3">
        <f>ROUNDUP(J55*Paramètres!$B$19,-1)</f>
        <v>0</v>
      </c>
      <c r="O55" s="1">
        <f t="shared" si="3"/>
        <v>0</v>
      </c>
      <c r="P55" s="1">
        <f t="shared" si="4"/>
        <v>0</v>
      </c>
      <c r="Q55" s="3">
        <f t="shared" si="5"/>
        <v>0</v>
      </c>
      <c r="R55" s="47">
        <f>ROUNDUP(+K55/Paramètres!$B$4/Paramètres!$B$53,0)</f>
        <v>0</v>
      </c>
      <c r="S55" s="47">
        <f>ROUNDUP(+L55/Paramètres!$B$6/Paramètres!$B$53,0)</f>
        <v>0</v>
      </c>
      <c r="T55" s="47"/>
      <c r="U55" s="2">
        <f t="shared" si="6"/>
        <v>0</v>
      </c>
      <c r="V55" s="1">
        <f>R55*Paramètres!$B$7</f>
        <v>0</v>
      </c>
      <c r="W55" s="1">
        <f>S55*Paramètres!$B$9</f>
        <v>0</v>
      </c>
      <c r="X55" s="1"/>
      <c r="Y55" s="2">
        <f t="shared" si="7"/>
        <v>0</v>
      </c>
      <c r="Z55" s="7">
        <f>R55*Paramètres!$B$10</f>
        <v>0</v>
      </c>
      <c r="AA55" s="7">
        <f>S55*Paramètres!$B$10</f>
        <v>0</v>
      </c>
      <c r="AB55" s="7"/>
      <c r="AC55" s="2">
        <f t="shared" si="8"/>
        <v>0</v>
      </c>
      <c r="AD55" s="1">
        <f t="shared" si="12"/>
        <v>0</v>
      </c>
      <c r="AE55" s="1">
        <f t="shared" si="9"/>
        <v>0</v>
      </c>
      <c r="AF55" s="1">
        <f>IF(B55="",0,Paramètres!$B$53*1.5)</f>
        <v>0</v>
      </c>
      <c r="AG55" s="1">
        <f>IF(C55="",0,Paramètres!$B$53*1.5)</f>
        <v>0</v>
      </c>
      <c r="AH55" s="1"/>
      <c r="AI55" s="1"/>
      <c r="AJ55" s="1"/>
      <c r="AK55" s="1"/>
      <c r="AL55" s="1">
        <f>(U55*Paramètres!$B$53)*3</f>
        <v>0</v>
      </c>
      <c r="AM55" s="1">
        <f t="shared" si="10"/>
        <v>0</v>
      </c>
      <c r="AN55" s="1">
        <f>U55*Paramètres!$B$75</f>
        <v>0</v>
      </c>
      <c r="AO55" s="1">
        <f>U55*Paramètres!$B$72*Paramètres!$B$73</f>
        <v>0</v>
      </c>
      <c r="AP55" s="1"/>
      <c r="AQ55" s="1">
        <f>(Y55+AC55)*Paramètres!$B$42*Paramètres!$B$53</f>
        <v>0</v>
      </c>
      <c r="AR55" s="1"/>
      <c r="AS55" s="7">
        <f>ROUNDUP(D55*Paramètres!$B$23*Paramètres!$B$26,-1)</f>
        <v>0</v>
      </c>
      <c r="AT55" s="7"/>
      <c r="AU55" s="1"/>
      <c r="AV55" s="8"/>
      <c r="AW55" s="8"/>
      <c r="AX55" s="8"/>
      <c r="AY55" s="8"/>
      <c r="AZ55" s="8"/>
      <c r="BA55" s="8"/>
      <c r="BB55" s="44"/>
      <c r="BC55" s="44"/>
      <c r="BD55" s="8"/>
      <c r="BE55" s="8"/>
      <c r="BF55" s="8"/>
      <c r="BG55" s="44"/>
      <c r="BI55">
        <f t="shared" si="11"/>
        <v>0</v>
      </c>
    </row>
    <row r="56" spans="1:61" x14ac:dyDescent="0.25">
      <c r="B56" s="1"/>
      <c r="C56" s="1"/>
      <c r="D56" s="1"/>
      <c r="E56" s="1"/>
      <c r="F56" s="1"/>
      <c r="G56" s="54"/>
      <c r="H56" s="54"/>
      <c r="I56" s="54"/>
      <c r="J56" s="50">
        <f>F56*Paramètres!$B$3</f>
        <v>0</v>
      </c>
      <c r="K56" s="56">
        <f t="shared" si="0"/>
        <v>0</v>
      </c>
      <c r="L56" s="56">
        <f t="shared" si="1"/>
        <v>0</v>
      </c>
      <c r="M56" s="56">
        <f t="shared" si="2"/>
        <v>0</v>
      </c>
      <c r="N56" s="3">
        <f>ROUNDUP(J56*Paramètres!$B$19,-1)</f>
        <v>0</v>
      </c>
      <c r="O56" s="1">
        <f t="shared" si="3"/>
        <v>0</v>
      </c>
      <c r="P56" s="1">
        <f t="shared" si="4"/>
        <v>0</v>
      </c>
      <c r="Q56" s="3">
        <f t="shared" si="5"/>
        <v>0</v>
      </c>
      <c r="R56" s="47">
        <f>ROUNDUP(+K56/Paramètres!$B$4/Paramètres!$B$53,0)</f>
        <v>0</v>
      </c>
      <c r="S56" s="47">
        <f>ROUNDUP(+L56/Paramètres!$B$6/Paramètres!$B$53,0)</f>
        <v>0</v>
      </c>
      <c r="T56" s="47"/>
      <c r="U56" s="2">
        <f t="shared" si="6"/>
        <v>0</v>
      </c>
      <c r="V56" s="1">
        <f>R56*Paramètres!$B$7</f>
        <v>0</v>
      </c>
      <c r="W56" s="1">
        <f>S56*Paramètres!$B$9</f>
        <v>0</v>
      </c>
      <c r="X56" s="1"/>
      <c r="Y56" s="2">
        <f t="shared" si="7"/>
        <v>0</v>
      </c>
      <c r="Z56" s="7">
        <f>R56*Paramètres!$B$10</f>
        <v>0</v>
      </c>
      <c r="AA56" s="7">
        <f>S56*Paramètres!$B$10</f>
        <v>0</v>
      </c>
      <c r="AB56" s="7"/>
      <c r="AC56" s="2">
        <f t="shared" si="8"/>
        <v>0</v>
      </c>
      <c r="AD56" s="1">
        <f t="shared" si="12"/>
        <v>0</v>
      </c>
      <c r="AE56" s="1">
        <f t="shared" si="9"/>
        <v>0</v>
      </c>
      <c r="AF56" s="1">
        <f>IF(B56="",0,Paramètres!$B$53*1.5)</f>
        <v>0</v>
      </c>
      <c r="AG56" s="1">
        <f>IF(C56="",0,Paramètres!$B$53*1.5)</f>
        <v>0</v>
      </c>
      <c r="AH56" s="1"/>
      <c r="AI56" s="1"/>
      <c r="AJ56" s="1"/>
      <c r="AK56" s="1"/>
      <c r="AL56" s="1">
        <f>(U56*Paramètres!$B$53)*3</f>
        <v>0</v>
      </c>
      <c r="AM56" s="1">
        <f t="shared" si="10"/>
        <v>0</v>
      </c>
      <c r="AN56" s="1">
        <f>U56*Paramètres!$B$75</f>
        <v>0</v>
      </c>
      <c r="AO56" s="1">
        <f>U56*Paramètres!$B$72*Paramètres!$B$73</f>
        <v>0</v>
      </c>
      <c r="AP56" s="1"/>
      <c r="AQ56" s="1">
        <f>(Y56+AC56)*Paramètres!$B$42*Paramètres!$B$53</f>
        <v>0</v>
      </c>
      <c r="AR56" s="1"/>
      <c r="AS56" s="7">
        <f>ROUNDUP(D56*Paramètres!$B$23*Paramètres!$B$26,-1)</f>
        <v>0</v>
      </c>
      <c r="AT56" s="7"/>
      <c r="AU56" s="1"/>
      <c r="AV56" s="8"/>
      <c r="AW56" s="8"/>
      <c r="AX56" s="8"/>
      <c r="AY56" s="8"/>
      <c r="AZ56" s="8"/>
      <c r="BA56" s="8"/>
      <c r="BB56" s="44"/>
      <c r="BC56" s="44"/>
      <c r="BD56" s="8"/>
      <c r="BE56" s="8"/>
      <c r="BF56" s="8"/>
      <c r="BG56" s="44"/>
      <c r="BI56">
        <f t="shared" si="11"/>
        <v>0</v>
      </c>
    </row>
    <row r="57" spans="1:61" x14ac:dyDescent="0.25">
      <c r="B57" s="1"/>
      <c r="C57" s="1"/>
      <c r="D57" s="1"/>
      <c r="E57" s="1"/>
      <c r="F57" s="1"/>
      <c r="G57" s="54"/>
      <c r="H57" s="54"/>
      <c r="I57" s="54"/>
      <c r="J57" s="50">
        <f>F57*Paramètres!$B$3</f>
        <v>0</v>
      </c>
      <c r="K57" s="56">
        <f t="shared" si="0"/>
        <v>0</v>
      </c>
      <c r="L57" s="56">
        <f t="shared" si="1"/>
        <v>0</v>
      </c>
      <c r="M57" s="56">
        <f t="shared" si="2"/>
        <v>0</v>
      </c>
      <c r="N57" s="3">
        <f>ROUNDUP(J57*Paramètres!$B$19,-1)</f>
        <v>0</v>
      </c>
      <c r="O57" s="1">
        <f t="shared" si="3"/>
        <v>0</v>
      </c>
      <c r="P57" s="1">
        <f t="shared" si="4"/>
        <v>0</v>
      </c>
      <c r="Q57" s="3">
        <f t="shared" si="5"/>
        <v>0</v>
      </c>
      <c r="R57" s="47">
        <f>ROUNDUP(+K57/Paramètres!$B$4/Paramètres!$B$53,0)</f>
        <v>0</v>
      </c>
      <c r="S57" s="47">
        <f>ROUNDUP(+L57/Paramètres!$B$6/Paramètres!$B$53,0)</f>
        <v>0</v>
      </c>
      <c r="T57" s="47"/>
      <c r="U57" s="2">
        <f t="shared" si="6"/>
        <v>0</v>
      </c>
      <c r="V57" s="1">
        <f>R57*Paramètres!$B$7</f>
        <v>0</v>
      </c>
      <c r="W57" s="1">
        <f>S57*Paramètres!$B$9</f>
        <v>0</v>
      </c>
      <c r="X57" s="1"/>
      <c r="Y57" s="2">
        <f t="shared" si="7"/>
        <v>0</v>
      </c>
      <c r="Z57" s="7">
        <f>R57*Paramètres!$B$10</f>
        <v>0</v>
      </c>
      <c r="AA57" s="7">
        <f>S57*Paramètres!$B$10</f>
        <v>0</v>
      </c>
      <c r="AB57" s="7"/>
      <c r="AC57" s="2">
        <f t="shared" si="8"/>
        <v>0</v>
      </c>
      <c r="AD57" s="1">
        <f t="shared" si="12"/>
        <v>0</v>
      </c>
      <c r="AE57" s="1">
        <f t="shared" si="9"/>
        <v>0</v>
      </c>
      <c r="AF57" s="1">
        <f>IF(B57="",0,Paramètres!$B$53*1.5)</f>
        <v>0</v>
      </c>
      <c r="AG57" s="1">
        <f>IF(C57="",0,Paramètres!$B$53*1.5)</f>
        <v>0</v>
      </c>
      <c r="AH57" s="1"/>
      <c r="AI57" s="1"/>
      <c r="AJ57" s="1"/>
      <c r="AK57" s="1"/>
      <c r="AL57" s="1">
        <f>(U57*Paramètres!$B$53)*3</f>
        <v>0</v>
      </c>
      <c r="AM57" s="1">
        <f t="shared" si="10"/>
        <v>0</v>
      </c>
      <c r="AN57" s="1">
        <f>U57*Paramètres!$B$75</f>
        <v>0</v>
      </c>
      <c r="AO57" s="1">
        <f>U57*Paramètres!$B$72*Paramètres!$B$73</f>
        <v>0</v>
      </c>
      <c r="AP57" s="1"/>
      <c r="AQ57" s="1">
        <f>(Y57+AC57)*Paramètres!$B$42*Paramètres!$B$53</f>
        <v>0</v>
      </c>
      <c r="AR57" s="1"/>
      <c r="AS57" s="7">
        <f>ROUNDUP(D57*Paramètres!$B$23*Paramètres!$B$26,-1)</f>
        <v>0</v>
      </c>
      <c r="AT57" s="7"/>
      <c r="AU57" s="1"/>
      <c r="AV57" s="8"/>
      <c r="AW57" s="8"/>
      <c r="AX57" s="8"/>
      <c r="AY57" s="8"/>
      <c r="AZ57" s="8"/>
      <c r="BA57" s="8"/>
      <c r="BB57" s="44"/>
      <c r="BC57" s="44"/>
      <c r="BD57" s="8"/>
      <c r="BE57" s="8"/>
      <c r="BF57" s="8"/>
      <c r="BG57" s="44"/>
      <c r="BI57">
        <f t="shared" si="11"/>
        <v>0</v>
      </c>
    </row>
    <row r="58" spans="1:61" x14ac:dyDescent="0.25">
      <c r="B58" s="1"/>
      <c r="C58" s="1"/>
      <c r="D58" s="1"/>
      <c r="E58" s="1"/>
      <c r="F58" s="1"/>
      <c r="G58" s="54"/>
      <c r="H58" s="54"/>
      <c r="I58" s="54"/>
      <c r="J58" s="50">
        <f>F58*Paramètres!$B$3</f>
        <v>0</v>
      </c>
      <c r="K58" s="56">
        <f t="shared" si="0"/>
        <v>0</v>
      </c>
      <c r="L58" s="56">
        <f t="shared" si="1"/>
        <v>0</v>
      </c>
      <c r="M58" s="56">
        <f t="shared" si="2"/>
        <v>0</v>
      </c>
      <c r="N58" s="3">
        <f>ROUNDUP(J58*Paramètres!$B$19,-1)</f>
        <v>0</v>
      </c>
      <c r="O58" s="1">
        <f t="shared" si="3"/>
        <v>0</v>
      </c>
      <c r="P58" s="1">
        <f t="shared" si="4"/>
        <v>0</v>
      </c>
      <c r="Q58" s="3">
        <f t="shared" si="5"/>
        <v>0</v>
      </c>
      <c r="R58" s="47">
        <f>ROUNDUP(+K58/Paramètres!$B$4/Paramètres!$B$53,0)</f>
        <v>0</v>
      </c>
      <c r="S58" s="47">
        <f>ROUNDUP(+L58/Paramètres!$B$6/Paramètres!$B$53,0)</f>
        <v>0</v>
      </c>
      <c r="T58" s="47"/>
      <c r="U58" s="2">
        <f t="shared" si="6"/>
        <v>0</v>
      </c>
      <c r="V58" s="1">
        <f>R58*Paramètres!$B$7</f>
        <v>0</v>
      </c>
      <c r="W58" s="1">
        <f>S58*Paramètres!$B$9</f>
        <v>0</v>
      </c>
      <c r="X58" s="1"/>
      <c r="Y58" s="2">
        <f t="shared" si="7"/>
        <v>0</v>
      </c>
      <c r="Z58" s="7">
        <f>R58*Paramètres!$B$10</f>
        <v>0</v>
      </c>
      <c r="AA58" s="7">
        <f>S58*Paramètres!$B$10</f>
        <v>0</v>
      </c>
      <c r="AB58" s="7"/>
      <c r="AC58" s="2">
        <f t="shared" si="8"/>
        <v>0</v>
      </c>
      <c r="AD58" s="1">
        <f t="shared" si="12"/>
        <v>0</v>
      </c>
      <c r="AE58" s="1">
        <f t="shared" si="9"/>
        <v>0</v>
      </c>
      <c r="AF58" s="1">
        <f>IF(B58="",0,Paramètres!$B$53*1.5)</f>
        <v>0</v>
      </c>
      <c r="AG58" s="1">
        <f>IF(C58="",0,Paramètres!$B$53*1.5)</f>
        <v>0</v>
      </c>
      <c r="AH58" s="1"/>
      <c r="AI58" s="1"/>
      <c r="AJ58" s="1"/>
      <c r="AK58" s="1"/>
      <c r="AL58" s="1">
        <f>(U58*Paramètres!$B$53)*3</f>
        <v>0</v>
      </c>
      <c r="AM58" s="1">
        <f t="shared" si="10"/>
        <v>0</v>
      </c>
      <c r="AN58" s="1">
        <f>U58*Paramètres!$B$75</f>
        <v>0</v>
      </c>
      <c r="AO58" s="1">
        <f>U58*Paramètres!$B$72*Paramètres!$B$73</f>
        <v>0</v>
      </c>
      <c r="AP58" s="1"/>
      <c r="AQ58" s="1">
        <f>(Y58+AC58)*Paramètres!$B$42*Paramètres!$B$53</f>
        <v>0</v>
      </c>
      <c r="AR58" s="1"/>
      <c r="AS58" s="7">
        <f>ROUNDUP(D58*Paramètres!$B$23*Paramètres!$B$26,-1)</f>
        <v>0</v>
      </c>
      <c r="AT58" s="7"/>
      <c r="AU58" s="1"/>
      <c r="AV58" s="8"/>
      <c r="AW58" s="8"/>
      <c r="AX58" s="8"/>
      <c r="AY58" s="8"/>
      <c r="AZ58" s="8"/>
      <c r="BA58" s="8"/>
      <c r="BB58" s="44"/>
      <c r="BC58" s="44"/>
      <c r="BD58" s="8"/>
      <c r="BE58" s="8"/>
      <c r="BF58" s="8"/>
      <c r="BG58" s="44"/>
      <c r="BI58">
        <f t="shared" si="11"/>
        <v>0</v>
      </c>
    </row>
    <row r="59" spans="1:61" x14ac:dyDescent="0.25">
      <c r="B59" s="1"/>
      <c r="C59" s="1"/>
      <c r="D59" s="1"/>
      <c r="E59" s="1"/>
      <c r="F59" s="1"/>
      <c r="G59" s="54"/>
      <c r="H59" s="54"/>
      <c r="I59" s="54"/>
      <c r="J59" s="50">
        <f>F59*Paramètres!$B$3</f>
        <v>0</v>
      </c>
      <c r="K59" s="56">
        <f t="shared" si="0"/>
        <v>0</v>
      </c>
      <c r="L59" s="56">
        <f t="shared" si="1"/>
        <v>0</v>
      </c>
      <c r="M59" s="56">
        <f t="shared" si="2"/>
        <v>0</v>
      </c>
      <c r="N59" s="3">
        <f>ROUNDUP(J59*Paramètres!$B$19,-1)</f>
        <v>0</v>
      </c>
      <c r="O59" s="1">
        <f t="shared" si="3"/>
        <v>0</v>
      </c>
      <c r="P59" s="1">
        <f t="shared" si="4"/>
        <v>0</v>
      </c>
      <c r="Q59" s="3">
        <f t="shared" si="5"/>
        <v>0</v>
      </c>
      <c r="R59" s="47">
        <f>ROUNDUP(+K59/Paramètres!$B$4/Paramètres!$B$53,0)</f>
        <v>0</v>
      </c>
      <c r="S59" s="47">
        <f>ROUNDUP(+L59/Paramètres!$B$6/Paramètres!$B$53,0)</f>
        <v>0</v>
      </c>
      <c r="T59" s="47"/>
      <c r="U59" s="2">
        <f t="shared" si="6"/>
        <v>0</v>
      </c>
      <c r="V59" s="1">
        <f>R59*Paramètres!$B$7</f>
        <v>0</v>
      </c>
      <c r="W59" s="1">
        <f>S59*Paramètres!$B$9</f>
        <v>0</v>
      </c>
      <c r="X59" s="1"/>
      <c r="Y59" s="2">
        <f t="shared" si="7"/>
        <v>0</v>
      </c>
      <c r="Z59" s="7">
        <f>R59*Paramètres!$B$10</f>
        <v>0</v>
      </c>
      <c r="AA59" s="7">
        <f>S59*Paramètres!$B$10</f>
        <v>0</v>
      </c>
      <c r="AB59" s="7"/>
      <c r="AC59" s="2">
        <f t="shared" si="8"/>
        <v>0</v>
      </c>
      <c r="AD59" s="1">
        <f t="shared" si="12"/>
        <v>0</v>
      </c>
      <c r="AE59" s="1">
        <f t="shared" si="9"/>
        <v>0</v>
      </c>
      <c r="AF59" s="1">
        <f>IF(B59="",0,Paramètres!$B$53*1.5)</f>
        <v>0</v>
      </c>
      <c r="AG59" s="1">
        <f>IF(C59="",0,Paramètres!$B$53*1.5)</f>
        <v>0</v>
      </c>
      <c r="AH59" s="1"/>
      <c r="AI59" s="1"/>
      <c r="AJ59" s="1"/>
      <c r="AK59" s="1"/>
      <c r="AL59" s="1">
        <f>(U59*Paramètres!$B$53)*3</f>
        <v>0</v>
      </c>
      <c r="AM59" s="1">
        <f t="shared" si="10"/>
        <v>0</v>
      </c>
      <c r="AN59" s="1">
        <f>U59*Paramètres!$B$75</f>
        <v>0</v>
      </c>
      <c r="AO59" s="1">
        <f>U59*Paramètres!$B$72*Paramètres!$B$73</f>
        <v>0</v>
      </c>
      <c r="AP59" s="1"/>
      <c r="AQ59" s="1">
        <f>(Y59+AC59)*Paramètres!$B$42*Paramètres!$B$53</f>
        <v>0</v>
      </c>
      <c r="AR59" s="1"/>
      <c r="AS59" s="7">
        <f>ROUNDUP(D59*Paramètres!$B$23*Paramètres!$B$26,-1)</f>
        <v>0</v>
      </c>
      <c r="AT59" s="7"/>
      <c r="AU59" s="1"/>
      <c r="AV59" s="8"/>
      <c r="AW59" s="8"/>
      <c r="AX59" s="8"/>
      <c r="AY59" s="8"/>
      <c r="AZ59" s="8"/>
      <c r="BA59" s="8"/>
      <c r="BB59" s="44"/>
      <c r="BC59" s="44"/>
      <c r="BD59" s="8"/>
      <c r="BE59" s="8"/>
      <c r="BF59" s="8"/>
      <c r="BG59" s="44"/>
      <c r="BI59">
        <f t="shared" si="11"/>
        <v>0</v>
      </c>
    </row>
    <row r="60" spans="1:61" x14ac:dyDescent="0.25">
      <c r="B60" s="1"/>
      <c r="C60" s="1"/>
      <c r="D60" s="1"/>
      <c r="E60" s="1"/>
      <c r="F60" s="1"/>
      <c r="G60" s="54"/>
      <c r="H60" s="54"/>
      <c r="I60" s="54"/>
      <c r="J60" s="50">
        <f>F60*Paramètres!$B$3</f>
        <v>0</v>
      </c>
      <c r="K60" s="56">
        <f t="shared" si="0"/>
        <v>0</v>
      </c>
      <c r="L60" s="56">
        <f t="shared" si="1"/>
        <v>0</v>
      </c>
      <c r="M60" s="56">
        <f t="shared" si="2"/>
        <v>0</v>
      </c>
      <c r="N60" s="3">
        <f>ROUNDUP(J60*Paramètres!$B$19,-1)</f>
        <v>0</v>
      </c>
      <c r="O60" s="1">
        <f t="shared" si="3"/>
        <v>0</v>
      </c>
      <c r="P60" s="1">
        <f t="shared" si="4"/>
        <v>0</v>
      </c>
      <c r="Q60" s="3">
        <f t="shared" si="5"/>
        <v>0</v>
      </c>
      <c r="R60" s="47">
        <f>ROUNDUP(+K60/Paramètres!$B$4/Paramètres!$B$53,0)</f>
        <v>0</v>
      </c>
      <c r="S60" s="47">
        <f>ROUNDUP(+L60/Paramètres!$B$6/Paramètres!$B$53,0)</f>
        <v>0</v>
      </c>
      <c r="T60" s="47"/>
      <c r="U60" s="2">
        <f t="shared" si="6"/>
        <v>0</v>
      </c>
      <c r="V60" s="1">
        <f>R60*Paramètres!$B$7</f>
        <v>0</v>
      </c>
      <c r="W60" s="1">
        <f>S60*Paramètres!$B$9</f>
        <v>0</v>
      </c>
      <c r="X60" s="1"/>
      <c r="Y60" s="2">
        <f t="shared" si="7"/>
        <v>0</v>
      </c>
      <c r="Z60" s="7">
        <f>R60*Paramètres!$B$10</f>
        <v>0</v>
      </c>
      <c r="AA60" s="7">
        <f>S60*Paramètres!$B$10</f>
        <v>0</v>
      </c>
      <c r="AB60" s="7"/>
      <c r="AC60" s="2">
        <f t="shared" si="8"/>
        <v>0</v>
      </c>
      <c r="AD60" s="1">
        <f t="shared" si="12"/>
        <v>0</v>
      </c>
      <c r="AE60" s="1">
        <f t="shared" si="9"/>
        <v>0</v>
      </c>
      <c r="AF60" s="1">
        <f>IF(B60="",0,Paramètres!$B$53*1.5)</f>
        <v>0</v>
      </c>
      <c r="AG60" s="1">
        <f>IF(C60="",0,Paramètres!$B$53*1.5)</f>
        <v>0</v>
      </c>
      <c r="AH60" s="1"/>
      <c r="AI60" s="1"/>
      <c r="AJ60" s="1"/>
      <c r="AK60" s="1"/>
      <c r="AL60" s="1">
        <f>(U60*Paramètres!$B$53)*3</f>
        <v>0</v>
      </c>
      <c r="AM60" s="1">
        <f t="shared" si="10"/>
        <v>0</v>
      </c>
      <c r="AN60" s="1">
        <f>U60*Paramètres!$B$75</f>
        <v>0</v>
      </c>
      <c r="AO60" s="1">
        <f>U60*Paramètres!$B$72*Paramètres!$B$73</f>
        <v>0</v>
      </c>
      <c r="AP60" s="1"/>
      <c r="AQ60" s="1">
        <f>(Y60+AC60)*Paramètres!$B$42*Paramètres!$B$53</f>
        <v>0</v>
      </c>
      <c r="AR60" s="1"/>
      <c r="AS60" s="7">
        <f>ROUNDUP(D60*Paramètres!$B$23*Paramètres!$B$26,-1)</f>
        <v>0</v>
      </c>
      <c r="AT60" s="7"/>
      <c r="AU60" s="1"/>
      <c r="AV60" s="8"/>
      <c r="AW60" s="8"/>
      <c r="AX60" s="8"/>
      <c r="AY60" s="8"/>
      <c r="AZ60" s="8"/>
      <c r="BA60" s="8"/>
      <c r="BB60" s="44"/>
      <c r="BC60" s="44"/>
      <c r="BD60" s="8"/>
      <c r="BE60" s="8"/>
      <c r="BF60" s="8"/>
      <c r="BG60" s="44"/>
      <c r="BI60">
        <f t="shared" si="11"/>
        <v>0</v>
      </c>
    </row>
    <row r="61" spans="1:61" x14ac:dyDescent="0.25">
      <c r="B61" s="1"/>
      <c r="C61" s="1"/>
      <c r="D61" s="1"/>
      <c r="E61" s="1"/>
      <c r="F61" s="1"/>
      <c r="G61" s="54"/>
      <c r="H61" s="54"/>
      <c r="I61" s="54"/>
      <c r="J61" s="50">
        <f>F61*Paramètres!$B$3</f>
        <v>0</v>
      </c>
      <c r="K61" s="56">
        <f t="shared" si="0"/>
        <v>0</v>
      </c>
      <c r="L61" s="56">
        <f t="shared" si="1"/>
        <v>0</v>
      </c>
      <c r="M61" s="56">
        <f t="shared" si="2"/>
        <v>0</v>
      </c>
      <c r="N61" s="3">
        <f>ROUNDUP(J61*Paramètres!$B$19,-1)</f>
        <v>0</v>
      </c>
      <c r="O61" s="1">
        <f t="shared" si="3"/>
        <v>0</v>
      </c>
      <c r="P61" s="1">
        <f t="shared" si="4"/>
        <v>0</v>
      </c>
      <c r="Q61" s="3">
        <f t="shared" si="5"/>
        <v>0</v>
      </c>
      <c r="R61" s="47">
        <f>ROUNDUP(+K61/Paramètres!$B$4/Paramètres!$B$53,0)</f>
        <v>0</v>
      </c>
      <c r="S61" s="47">
        <f>ROUNDUP(+L61/Paramètres!$B$6/Paramètres!$B$53,0)</f>
        <v>0</v>
      </c>
      <c r="T61" s="47"/>
      <c r="U61" s="2">
        <f t="shared" si="6"/>
        <v>0</v>
      </c>
      <c r="V61" s="1">
        <f>R61*Paramètres!$B$7</f>
        <v>0</v>
      </c>
      <c r="W61" s="1">
        <f>S61*Paramètres!$B$9</f>
        <v>0</v>
      </c>
      <c r="X61" s="1"/>
      <c r="Y61" s="2">
        <f t="shared" si="7"/>
        <v>0</v>
      </c>
      <c r="Z61" s="7">
        <f>R61*Paramètres!$B$10</f>
        <v>0</v>
      </c>
      <c r="AA61" s="7">
        <f>S61*Paramètres!$B$10</f>
        <v>0</v>
      </c>
      <c r="AB61" s="7"/>
      <c r="AC61" s="2">
        <f t="shared" si="8"/>
        <v>0</v>
      </c>
      <c r="AD61" s="1">
        <f t="shared" si="12"/>
        <v>0</v>
      </c>
      <c r="AE61" s="1">
        <f t="shared" si="9"/>
        <v>0</v>
      </c>
      <c r="AF61" s="1">
        <f>IF(B61="",0,Paramètres!$B$53*1.5)</f>
        <v>0</v>
      </c>
      <c r="AG61" s="1">
        <f>IF(C61="",0,Paramètres!$B$53*1.5)</f>
        <v>0</v>
      </c>
      <c r="AH61" s="1"/>
      <c r="AI61" s="1"/>
      <c r="AJ61" s="1"/>
      <c r="AK61" s="1"/>
      <c r="AL61" s="1">
        <f>(U61*Paramètres!$B$53)*3</f>
        <v>0</v>
      </c>
      <c r="AM61" s="1">
        <f t="shared" si="10"/>
        <v>0</v>
      </c>
      <c r="AN61" s="1">
        <f>U61*Paramètres!$B$75</f>
        <v>0</v>
      </c>
      <c r="AO61" s="1">
        <f>U61*Paramètres!$B$72*Paramètres!$B$73</f>
        <v>0</v>
      </c>
      <c r="AP61" s="1"/>
      <c r="AQ61" s="1">
        <f>(Y61+AC61)*Paramètres!$B$42*Paramètres!$B$53</f>
        <v>0</v>
      </c>
      <c r="AR61" s="1"/>
      <c r="AS61" s="7">
        <f>ROUNDUP(D61*Paramètres!$B$23*Paramètres!$B$26,-1)</f>
        <v>0</v>
      </c>
      <c r="AT61" s="7"/>
      <c r="AU61" s="1"/>
      <c r="AV61" s="8"/>
      <c r="AW61" s="8"/>
      <c r="AX61" s="8"/>
      <c r="AY61" s="8"/>
      <c r="AZ61" s="8"/>
      <c r="BA61" s="8"/>
      <c r="BB61" s="44"/>
      <c r="BC61" s="44"/>
      <c r="BD61" s="8"/>
      <c r="BE61" s="8"/>
      <c r="BF61" s="8"/>
      <c r="BG61" s="44"/>
      <c r="BI61">
        <f t="shared" si="11"/>
        <v>0</v>
      </c>
    </row>
    <row r="62" spans="1:61" x14ac:dyDescent="0.25">
      <c r="B62" s="1"/>
      <c r="C62" s="1"/>
      <c r="D62" s="1"/>
      <c r="E62" s="1"/>
      <c r="F62" s="1"/>
      <c r="G62" s="54"/>
      <c r="H62" s="54"/>
      <c r="I62" s="54"/>
      <c r="J62" s="50">
        <f>F62*Paramètres!$B$3</f>
        <v>0</v>
      </c>
      <c r="K62" s="56">
        <f t="shared" si="0"/>
        <v>0</v>
      </c>
      <c r="L62" s="56">
        <f t="shared" si="1"/>
        <v>0</v>
      </c>
      <c r="M62" s="56">
        <f t="shared" si="2"/>
        <v>0</v>
      </c>
      <c r="N62" s="3">
        <f>ROUNDUP(J62*Paramètres!$B$19,-1)</f>
        <v>0</v>
      </c>
      <c r="O62" s="1">
        <f t="shared" si="3"/>
        <v>0</v>
      </c>
      <c r="P62" s="1">
        <f t="shared" si="4"/>
        <v>0</v>
      </c>
      <c r="Q62" s="3">
        <f t="shared" si="5"/>
        <v>0</v>
      </c>
      <c r="R62" s="47">
        <f>ROUNDUP(+K62/Paramètres!$B$4/Paramètres!$B$53,0)</f>
        <v>0</v>
      </c>
      <c r="S62" s="47">
        <f>ROUNDUP(+L62/Paramètres!$B$6/Paramètres!$B$53,0)</f>
        <v>0</v>
      </c>
      <c r="T62" s="47"/>
      <c r="U62" s="2">
        <f t="shared" si="6"/>
        <v>0</v>
      </c>
      <c r="V62" s="1">
        <f>R62*Paramètres!$B$7</f>
        <v>0</v>
      </c>
      <c r="W62" s="1">
        <f>S62*Paramètres!$B$9</f>
        <v>0</v>
      </c>
      <c r="X62" s="1"/>
      <c r="Y62" s="2">
        <f t="shared" si="7"/>
        <v>0</v>
      </c>
      <c r="Z62" s="7">
        <f>R62*Paramètres!$B$10</f>
        <v>0</v>
      </c>
      <c r="AA62" s="7">
        <f>S62*Paramètres!$B$10</f>
        <v>0</v>
      </c>
      <c r="AB62" s="7"/>
      <c r="AC62" s="2">
        <f t="shared" si="8"/>
        <v>0</v>
      </c>
      <c r="AD62" s="1">
        <f t="shared" si="12"/>
        <v>0</v>
      </c>
      <c r="AE62" s="1">
        <f t="shared" si="9"/>
        <v>0</v>
      </c>
      <c r="AF62" s="1">
        <f>IF(B62="",0,Paramètres!$B$53*1.5)</f>
        <v>0</v>
      </c>
      <c r="AG62" s="1">
        <f>IF(C62="",0,Paramètres!$B$53*1.5)</f>
        <v>0</v>
      </c>
      <c r="AH62" s="1"/>
      <c r="AI62" s="1"/>
      <c r="AJ62" s="1"/>
      <c r="AK62" s="1"/>
      <c r="AL62" s="1">
        <f>(U62*Paramètres!$B$53)*3</f>
        <v>0</v>
      </c>
      <c r="AM62" s="1">
        <f t="shared" si="10"/>
        <v>0</v>
      </c>
      <c r="AN62" s="1">
        <f>U62*Paramètres!$B$75</f>
        <v>0</v>
      </c>
      <c r="AO62" s="1">
        <f>U62*Paramètres!$B$72*Paramètres!$B$73</f>
        <v>0</v>
      </c>
      <c r="AP62" s="1"/>
      <c r="AQ62" s="1">
        <f>(Y62+AC62)*Paramètres!$B$42*Paramètres!$B$53</f>
        <v>0</v>
      </c>
      <c r="AR62" s="1"/>
      <c r="AS62" s="7">
        <f>ROUNDUP(D62*Paramètres!$B$23*Paramètres!$B$26,-1)</f>
        <v>0</v>
      </c>
      <c r="AT62" s="7"/>
      <c r="AU62" s="1"/>
      <c r="AV62" s="8"/>
      <c r="AW62" s="8"/>
      <c r="AX62" s="8"/>
      <c r="AY62" s="8"/>
      <c r="AZ62" s="8"/>
      <c r="BA62" s="8"/>
      <c r="BB62" s="44"/>
      <c r="BC62" s="44"/>
      <c r="BD62" s="8"/>
      <c r="BE62" s="8"/>
      <c r="BF62" s="8"/>
      <c r="BG62" s="44"/>
      <c r="BI62">
        <f t="shared" si="11"/>
        <v>0</v>
      </c>
    </row>
    <row r="63" spans="1:61" x14ac:dyDescent="0.25">
      <c r="B63" s="1"/>
      <c r="C63" s="1"/>
      <c r="D63" s="1"/>
      <c r="E63" s="1"/>
      <c r="F63" s="1"/>
      <c r="G63" s="54"/>
      <c r="H63" s="54"/>
      <c r="I63" s="54"/>
      <c r="J63" s="50">
        <f>F63*Paramètres!$B$3</f>
        <v>0</v>
      </c>
      <c r="K63" s="56">
        <f t="shared" si="0"/>
        <v>0</v>
      </c>
      <c r="L63" s="56">
        <f t="shared" si="1"/>
        <v>0</v>
      </c>
      <c r="M63" s="56">
        <f t="shared" si="2"/>
        <v>0</v>
      </c>
      <c r="N63" s="3">
        <f>ROUNDUP(J63*Paramètres!$B$19,-1)</f>
        <v>0</v>
      </c>
      <c r="O63" s="1">
        <f t="shared" si="3"/>
        <v>0</v>
      </c>
      <c r="P63" s="1">
        <f t="shared" si="4"/>
        <v>0</v>
      </c>
      <c r="Q63" s="3">
        <f t="shared" si="5"/>
        <v>0</v>
      </c>
      <c r="R63" s="47">
        <f>ROUNDUP(+K63/Paramètres!$B$4/Paramètres!$B$53,0)</f>
        <v>0</v>
      </c>
      <c r="S63" s="47">
        <f>ROUNDUP(+L63/Paramètres!$B$6/Paramètres!$B$53,0)</f>
        <v>0</v>
      </c>
      <c r="T63" s="47"/>
      <c r="U63" s="2">
        <f t="shared" si="6"/>
        <v>0</v>
      </c>
      <c r="V63" s="1">
        <f>R63*Paramètres!$B$7</f>
        <v>0</v>
      </c>
      <c r="W63" s="1">
        <f>S63*Paramètres!$B$9</f>
        <v>0</v>
      </c>
      <c r="X63" s="1"/>
      <c r="Y63" s="2">
        <f t="shared" si="7"/>
        <v>0</v>
      </c>
      <c r="Z63" s="7">
        <f>R63*Paramètres!$B$10</f>
        <v>0</v>
      </c>
      <c r="AA63" s="7">
        <f>S63*Paramètres!$B$10</f>
        <v>0</v>
      </c>
      <c r="AB63" s="7"/>
      <c r="AC63" s="2">
        <f t="shared" si="8"/>
        <v>0</v>
      </c>
      <c r="AD63" s="1">
        <f t="shared" si="12"/>
        <v>0</v>
      </c>
      <c r="AE63" s="1">
        <f t="shared" si="9"/>
        <v>0</v>
      </c>
      <c r="AF63" s="1">
        <f>IF(B63="",0,Paramètres!$B$53*1.5)</f>
        <v>0</v>
      </c>
      <c r="AG63" s="1">
        <f>IF(C63="",0,Paramètres!$B$53*1.5)</f>
        <v>0</v>
      </c>
      <c r="AH63" s="1"/>
      <c r="AI63" s="1"/>
      <c r="AJ63" s="1"/>
      <c r="AK63" s="1"/>
      <c r="AL63" s="1">
        <f>(U63*Paramètres!$B$53)*3</f>
        <v>0</v>
      </c>
      <c r="AM63" s="1">
        <f t="shared" si="10"/>
        <v>0</v>
      </c>
      <c r="AN63" s="1">
        <f>U63*Paramètres!$B$75</f>
        <v>0</v>
      </c>
      <c r="AO63" s="1">
        <f>U63*Paramètres!$B$72*Paramètres!$B$73</f>
        <v>0</v>
      </c>
      <c r="AP63" s="1"/>
      <c r="AQ63" s="1">
        <f>(Y63+AC63)*Paramètres!$B$42*Paramètres!$B$53</f>
        <v>0</v>
      </c>
      <c r="AR63" s="1"/>
      <c r="AS63" s="7">
        <f>ROUNDUP(D63*Paramètres!$B$23*Paramètres!$B$26,-1)</f>
        <v>0</v>
      </c>
      <c r="AT63" s="7"/>
      <c r="AU63" s="1"/>
      <c r="AV63" s="8"/>
      <c r="AW63" s="8"/>
      <c r="AX63" s="8"/>
      <c r="AY63" s="8"/>
      <c r="AZ63" s="8"/>
      <c r="BA63" s="8"/>
      <c r="BB63" s="44"/>
      <c r="BC63" s="44"/>
      <c r="BD63" s="8"/>
      <c r="BE63" s="8"/>
      <c r="BF63" s="8"/>
      <c r="BG63" s="44"/>
      <c r="BI63">
        <f t="shared" si="11"/>
        <v>0</v>
      </c>
    </row>
    <row r="64" spans="1:61" x14ac:dyDescent="0.25">
      <c r="B64" s="1"/>
      <c r="C64" s="1"/>
      <c r="D64" s="1"/>
      <c r="E64" s="1"/>
      <c r="F64" s="1"/>
      <c r="G64" s="54"/>
      <c r="H64" s="54"/>
      <c r="I64" s="54"/>
      <c r="J64" s="50">
        <f>F64*Paramètres!$B$3</f>
        <v>0</v>
      </c>
      <c r="K64" s="56">
        <f t="shared" si="0"/>
        <v>0</v>
      </c>
      <c r="L64" s="56">
        <f t="shared" si="1"/>
        <v>0</v>
      </c>
      <c r="M64" s="56">
        <f t="shared" si="2"/>
        <v>0</v>
      </c>
      <c r="N64" s="3">
        <f>ROUNDUP(J64*Paramètres!$B$19,-1)</f>
        <v>0</v>
      </c>
      <c r="O64" s="1">
        <f t="shared" si="3"/>
        <v>0</v>
      </c>
      <c r="P64" s="1">
        <f t="shared" si="4"/>
        <v>0</v>
      </c>
      <c r="Q64" s="3">
        <f t="shared" si="5"/>
        <v>0</v>
      </c>
      <c r="R64" s="47">
        <f>ROUNDUP(+K64/Paramètres!$B$4/Paramètres!$B$53,0)</f>
        <v>0</v>
      </c>
      <c r="S64" s="47">
        <f>ROUNDUP(+L64/Paramètres!$B$6/Paramètres!$B$53,0)</f>
        <v>0</v>
      </c>
      <c r="T64" s="47"/>
      <c r="U64" s="2">
        <f t="shared" si="6"/>
        <v>0</v>
      </c>
      <c r="V64" s="1">
        <f>R64*Paramètres!$B$7</f>
        <v>0</v>
      </c>
      <c r="W64" s="1">
        <f>S64*Paramètres!$B$9</f>
        <v>0</v>
      </c>
      <c r="X64" s="1"/>
      <c r="Y64" s="2">
        <f t="shared" si="7"/>
        <v>0</v>
      </c>
      <c r="Z64" s="7">
        <f>R64*Paramètres!$B$10</f>
        <v>0</v>
      </c>
      <c r="AA64" s="7">
        <f>S64*Paramètres!$B$10</f>
        <v>0</v>
      </c>
      <c r="AB64" s="7"/>
      <c r="AC64" s="2">
        <f t="shared" si="8"/>
        <v>0</v>
      </c>
      <c r="AD64" s="1">
        <f t="shared" si="12"/>
        <v>0</v>
      </c>
      <c r="AE64" s="1">
        <f t="shared" si="9"/>
        <v>0</v>
      </c>
      <c r="AF64" s="1">
        <f>IF(B64="",0,Paramètres!$B$53*1.5)</f>
        <v>0</v>
      </c>
      <c r="AG64" s="1">
        <f>IF(C64="",0,Paramètres!$B$53*1.5)</f>
        <v>0</v>
      </c>
      <c r="AH64" s="1"/>
      <c r="AI64" s="1"/>
      <c r="AJ64" s="1"/>
      <c r="AK64" s="1"/>
      <c r="AL64" s="1">
        <f>(U64*Paramètres!$B$53)*3</f>
        <v>0</v>
      </c>
      <c r="AM64" s="1">
        <f t="shared" si="10"/>
        <v>0</v>
      </c>
      <c r="AN64" s="1">
        <f>U64*Paramètres!$B$75</f>
        <v>0</v>
      </c>
      <c r="AO64" s="1">
        <f>U64*Paramètres!$B$72*Paramètres!$B$73</f>
        <v>0</v>
      </c>
      <c r="AP64" s="1"/>
      <c r="AQ64" s="1">
        <f>(Y64+AC64)*Paramètres!$B$42*Paramètres!$B$53</f>
        <v>0</v>
      </c>
      <c r="AR64" s="1"/>
      <c r="AS64" s="7">
        <f>ROUNDUP(D64*Paramètres!$B$23*Paramètres!$B$26,-1)</f>
        <v>0</v>
      </c>
      <c r="AT64" s="7"/>
      <c r="AU64" s="1"/>
      <c r="AV64" s="8"/>
      <c r="AW64" s="8"/>
      <c r="AX64" s="8"/>
      <c r="AY64" s="8"/>
      <c r="AZ64" s="8"/>
      <c r="BA64" s="8"/>
      <c r="BB64" s="44"/>
      <c r="BC64" s="44"/>
      <c r="BD64" s="8"/>
      <c r="BE64" s="8"/>
      <c r="BF64" s="8"/>
      <c r="BG64" s="44"/>
      <c r="BI64">
        <f t="shared" si="11"/>
        <v>0</v>
      </c>
    </row>
    <row r="65" spans="1:61" x14ac:dyDescent="0.25">
      <c r="B65" s="1"/>
      <c r="C65" s="1"/>
      <c r="D65" s="1"/>
      <c r="E65" s="1"/>
      <c r="F65" s="1"/>
      <c r="G65" s="54"/>
      <c r="H65" s="54"/>
      <c r="I65" s="54"/>
      <c r="J65" s="50">
        <f>F65*Paramètres!$B$3</f>
        <v>0</v>
      </c>
      <c r="K65" s="56">
        <f t="shared" si="0"/>
        <v>0</v>
      </c>
      <c r="L65" s="56">
        <f t="shared" si="1"/>
        <v>0</v>
      </c>
      <c r="M65" s="56">
        <f t="shared" si="2"/>
        <v>0</v>
      </c>
      <c r="N65" s="3">
        <f>ROUNDUP(J65*Paramètres!$B$19,-1)</f>
        <v>0</v>
      </c>
      <c r="O65" s="1">
        <f t="shared" si="3"/>
        <v>0</v>
      </c>
      <c r="P65" s="1">
        <f t="shared" si="4"/>
        <v>0</v>
      </c>
      <c r="Q65" s="3">
        <f t="shared" si="5"/>
        <v>0</v>
      </c>
      <c r="R65" s="47">
        <f>ROUNDUP(+K65/Paramètres!$B$4/Paramètres!$B$53,0)</f>
        <v>0</v>
      </c>
      <c r="S65" s="47">
        <f>ROUNDUP(+L65/Paramètres!$B$6/Paramètres!$B$53,0)</f>
        <v>0</v>
      </c>
      <c r="T65" s="47"/>
      <c r="U65" s="2">
        <f t="shared" si="6"/>
        <v>0</v>
      </c>
      <c r="V65" s="1">
        <f>R65*Paramètres!$B$7</f>
        <v>0</v>
      </c>
      <c r="W65" s="1">
        <f>S65*Paramètres!$B$9</f>
        <v>0</v>
      </c>
      <c r="X65" s="1"/>
      <c r="Y65" s="2">
        <f t="shared" si="7"/>
        <v>0</v>
      </c>
      <c r="Z65" s="7">
        <f>R65*Paramètres!$B$10</f>
        <v>0</v>
      </c>
      <c r="AA65" s="7">
        <f>S65*Paramètres!$B$10</f>
        <v>0</v>
      </c>
      <c r="AB65" s="7"/>
      <c r="AC65" s="2">
        <f t="shared" si="8"/>
        <v>0</v>
      </c>
      <c r="AD65" s="1">
        <f t="shared" si="12"/>
        <v>0</v>
      </c>
      <c r="AE65" s="1">
        <f t="shared" si="9"/>
        <v>0</v>
      </c>
      <c r="AF65" s="1">
        <f>IF(B65="",0,Paramètres!$B$53*1.5)</f>
        <v>0</v>
      </c>
      <c r="AG65" s="1">
        <f>IF(C65="",0,Paramètres!$B$53*1.5)</f>
        <v>0</v>
      </c>
      <c r="AH65" s="1"/>
      <c r="AI65" s="1"/>
      <c r="AJ65" s="1"/>
      <c r="AK65" s="1"/>
      <c r="AL65" s="1">
        <f>(U65*Paramètres!$B$53)*3</f>
        <v>0</v>
      </c>
      <c r="AM65" s="1">
        <f t="shared" si="10"/>
        <v>0</v>
      </c>
      <c r="AN65" s="1">
        <f>U65*Paramètres!$B$75</f>
        <v>0</v>
      </c>
      <c r="AO65" s="1">
        <f>U65*Paramètres!$B$72*Paramètres!$B$73</f>
        <v>0</v>
      </c>
      <c r="AP65" s="1"/>
      <c r="AQ65" s="1">
        <f>(Y65+AC65)*Paramètres!$B$42*Paramètres!$B$53</f>
        <v>0</v>
      </c>
      <c r="AR65" s="1"/>
      <c r="AS65" s="7">
        <f>ROUNDUP(D65*Paramètres!$B$23*Paramètres!$B$26,-1)</f>
        <v>0</v>
      </c>
      <c r="AT65" s="7"/>
      <c r="AU65" s="1"/>
      <c r="AV65" s="8"/>
      <c r="AW65" s="8"/>
      <c r="AX65" s="8"/>
      <c r="AY65" s="8"/>
      <c r="AZ65" s="8"/>
      <c r="BA65" s="8"/>
      <c r="BB65" s="44"/>
      <c r="BC65" s="44"/>
      <c r="BD65" s="8"/>
      <c r="BE65" s="8"/>
      <c r="BF65" s="8"/>
      <c r="BG65" s="44"/>
      <c r="BI65">
        <f t="shared" si="11"/>
        <v>0</v>
      </c>
    </row>
    <row r="66" spans="1:61" x14ac:dyDescent="0.25">
      <c r="B66" s="1"/>
      <c r="C66" s="1"/>
      <c r="D66" s="1"/>
      <c r="E66" s="1"/>
      <c r="F66" s="1"/>
      <c r="G66" s="54"/>
      <c r="H66" s="54"/>
      <c r="I66" s="54"/>
      <c r="J66" s="50">
        <f>F66*Paramètres!$B$3</f>
        <v>0</v>
      </c>
      <c r="K66" s="56">
        <f t="shared" si="0"/>
        <v>0</v>
      </c>
      <c r="L66" s="56">
        <f t="shared" si="1"/>
        <v>0</v>
      </c>
      <c r="M66" s="56">
        <f t="shared" si="2"/>
        <v>0</v>
      </c>
      <c r="N66" s="3">
        <f>ROUNDUP(J66*Paramètres!$B$19,-1)</f>
        <v>0</v>
      </c>
      <c r="O66" s="1">
        <f t="shared" si="3"/>
        <v>0</v>
      </c>
      <c r="P66" s="1">
        <f t="shared" si="4"/>
        <v>0</v>
      </c>
      <c r="Q66" s="3">
        <f t="shared" si="5"/>
        <v>0</v>
      </c>
      <c r="R66" s="47">
        <f>ROUNDUP(+K66/Paramètres!$B$4/Paramètres!$B$53,0)</f>
        <v>0</v>
      </c>
      <c r="S66" s="47">
        <f>ROUNDUP(+L66/Paramètres!$B$6/Paramètres!$B$53,0)</f>
        <v>0</v>
      </c>
      <c r="T66" s="47"/>
      <c r="U66" s="2">
        <f t="shared" si="6"/>
        <v>0</v>
      </c>
      <c r="V66" s="1">
        <f>R66*Paramètres!$B$7</f>
        <v>0</v>
      </c>
      <c r="W66" s="1">
        <f>S66*Paramètres!$B$9</f>
        <v>0</v>
      </c>
      <c r="X66" s="1"/>
      <c r="Y66" s="2">
        <f t="shared" si="7"/>
        <v>0</v>
      </c>
      <c r="Z66" s="7">
        <f>R66*Paramètres!$B$10</f>
        <v>0</v>
      </c>
      <c r="AA66" s="7">
        <f>S66*Paramètres!$B$10</f>
        <v>0</v>
      </c>
      <c r="AB66" s="7"/>
      <c r="AC66" s="2">
        <f t="shared" si="8"/>
        <v>0</v>
      </c>
      <c r="AD66" s="1">
        <f t="shared" si="12"/>
        <v>0</v>
      </c>
      <c r="AE66" s="1">
        <f t="shared" si="9"/>
        <v>0</v>
      </c>
      <c r="AF66" s="1">
        <f>IF(B66="",0,Paramètres!$B$53*1.5)</f>
        <v>0</v>
      </c>
      <c r="AG66" s="1">
        <f>IF(C66="",0,Paramètres!$B$53*1.5)</f>
        <v>0</v>
      </c>
      <c r="AH66" s="1"/>
      <c r="AI66" s="1"/>
      <c r="AJ66" s="1"/>
      <c r="AK66" s="1"/>
      <c r="AL66" s="1">
        <f>(U66*Paramètres!$B$53)*3</f>
        <v>0</v>
      </c>
      <c r="AM66" s="1">
        <f t="shared" si="10"/>
        <v>0</v>
      </c>
      <c r="AN66" s="1">
        <f>U66*Paramètres!$B$75</f>
        <v>0</v>
      </c>
      <c r="AO66" s="1">
        <f>U66*Paramètres!$B$72*Paramètres!$B$73</f>
        <v>0</v>
      </c>
      <c r="AP66" s="1"/>
      <c r="AQ66" s="1">
        <f>(Y66+AC66)*Paramètres!$B$42*Paramètres!$B$53</f>
        <v>0</v>
      </c>
      <c r="AR66" s="1"/>
      <c r="AS66" s="7">
        <f>ROUNDUP(D66*Paramètres!$B$23*Paramètres!$B$26,-1)</f>
        <v>0</v>
      </c>
      <c r="AT66" s="7"/>
      <c r="AU66" s="1"/>
      <c r="AV66" s="8"/>
      <c r="AW66" s="8"/>
      <c r="AX66" s="8"/>
      <c r="AY66" s="8"/>
      <c r="AZ66" s="8"/>
      <c r="BA66" s="8"/>
      <c r="BB66" s="44"/>
      <c r="BC66" s="44"/>
      <c r="BD66" s="8"/>
      <c r="BE66" s="8"/>
      <c r="BF66" s="8"/>
      <c r="BG66" s="44"/>
      <c r="BI66">
        <f t="shared" si="11"/>
        <v>0</v>
      </c>
    </row>
    <row r="67" spans="1:61" x14ac:dyDescent="0.25">
      <c r="B67" s="1"/>
      <c r="C67" s="1"/>
      <c r="D67" s="1"/>
      <c r="E67" s="1"/>
      <c r="F67" s="1"/>
      <c r="G67" s="54"/>
      <c r="H67" s="54"/>
      <c r="I67" s="54"/>
      <c r="J67" s="50">
        <f>F67*Paramètres!$B$3</f>
        <v>0</v>
      </c>
      <c r="K67" s="56">
        <f t="shared" si="0"/>
        <v>0</v>
      </c>
      <c r="L67" s="56">
        <f t="shared" si="1"/>
        <v>0</v>
      </c>
      <c r="M67" s="56">
        <f t="shared" si="2"/>
        <v>0</v>
      </c>
      <c r="N67" s="3">
        <f>ROUNDUP(J67*Paramètres!$B$19,-1)</f>
        <v>0</v>
      </c>
      <c r="O67" s="1">
        <f t="shared" si="3"/>
        <v>0</v>
      </c>
      <c r="P67" s="1">
        <f t="shared" si="4"/>
        <v>0</v>
      </c>
      <c r="Q67" s="3">
        <f t="shared" si="5"/>
        <v>0</v>
      </c>
      <c r="R67" s="47">
        <f>ROUNDUP(+K67/Paramètres!$B$4/Paramètres!$B$53,0)</f>
        <v>0</v>
      </c>
      <c r="S67" s="47">
        <f>ROUNDUP(+L67/Paramètres!$B$6/Paramètres!$B$53,0)</f>
        <v>0</v>
      </c>
      <c r="T67" s="47"/>
      <c r="U67" s="2">
        <f t="shared" si="6"/>
        <v>0</v>
      </c>
      <c r="V67" s="1">
        <f>R67*Paramètres!$B$7</f>
        <v>0</v>
      </c>
      <c r="W67" s="1">
        <f>S67*Paramètres!$B$9</f>
        <v>0</v>
      </c>
      <c r="X67" s="1"/>
      <c r="Y67" s="2">
        <f t="shared" si="7"/>
        <v>0</v>
      </c>
      <c r="Z67" s="7">
        <f>R67*Paramètres!$B$10</f>
        <v>0</v>
      </c>
      <c r="AA67" s="7">
        <f>S67*Paramètres!$B$10</f>
        <v>0</v>
      </c>
      <c r="AB67" s="7"/>
      <c r="AC67" s="2">
        <f t="shared" si="8"/>
        <v>0</v>
      </c>
      <c r="AD67" s="1">
        <f t="shared" si="12"/>
        <v>0</v>
      </c>
      <c r="AE67" s="1">
        <f t="shared" si="9"/>
        <v>0</v>
      </c>
      <c r="AF67" s="1">
        <f>IF(B67="",0,Paramètres!$B$53*1.5)</f>
        <v>0</v>
      </c>
      <c r="AG67" s="1">
        <f>IF(C67="",0,Paramètres!$B$53*1.5)</f>
        <v>0</v>
      </c>
      <c r="AH67" s="1"/>
      <c r="AI67" s="1"/>
      <c r="AJ67" s="1"/>
      <c r="AK67" s="1"/>
      <c r="AL67" s="1">
        <f>(U67*Paramètres!$B$53)*3</f>
        <v>0</v>
      </c>
      <c r="AM67" s="1">
        <f t="shared" si="10"/>
        <v>0</v>
      </c>
      <c r="AN67" s="1">
        <f>U67*Paramètres!$B$75</f>
        <v>0</v>
      </c>
      <c r="AO67" s="1">
        <f>U67*Paramètres!$B$72*Paramètres!$B$73</f>
        <v>0</v>
      </c>
      <c r="AP67" s="1"/>
      <c r="AQ67" s="1">
        <f>(Y67+AC67)*Paramètres!$B$42*Paramètres!$B$53</f>
        <v>0</v>
      </c>
      <c r="AR67" s="1"/>
      <c r="AS67" s="7">
        <f>ROUNDUP(D67*Paramètres!$B$23*Paramètres!$B$26,-1)</f>
        <v>0</v>
      </c>
      <c r="AT67" s="7"/>
      <c r="AU67" s="1"/>
      <c r="AV67" s="8"/>
      <c r="AW67" s="8"/>
      <c r="AX67" s="8"/>
      <c r="AY67" s="8"/>
      <c r="AZ67" s="8"/>
      <c r="BA67" s="8"/>
      <c r="BB67" s="44"/>
      <c r="BC67" s="44"/>
      <c r="BD67" s="8"/>
      <c r="BE67" s="8"/>
      <c r="BF67" s="8"/>
      <c r="BG67" s="44"/>
      <c r="BI67">
        <f t="shared" si="11"/>
        <v>0</v>
      </c>
    </row>
    <row r="68" spans="1:61" x14ac:dyDescent="0.25">
      <c r="B68" s="1"/>
      <c r="C68" s="1"/>
      <c r="D68" s="1"/>
      <c r="E68" s="1"/>
      <c r="F68" s="1"/>
      <c r="G68" s="54"/>
      <c r="H68" s="54"/>
      <c r="I68" s="54"/>
      <c r="J68" s="50">
        <f>F68*Paramètres!$B$3</f>
        <v>0</v>
      </c>
      <c r="K68" s="56">
        <f>J68*G68</f>
        <v>0</v>
      </c>
      <c r="L68" s="56">
        <f>J68*H68</f>
        <v>0</v>
      </c>
      <c r="M68" s="56">
        <f>J68*I68</f>
        <v>0</v>
      </c>
      <c r="N68" s="3">
        <f>ROUNDUP(J68*Paramètres!$B$19,-1)</f>
        <v>0</v>
      </c>
      <c r="O68" s="1">
        <f>N68</f>
        <v>0</v>
      </c>
      <c r="P68" s="1">
        <f>O68/10</f>
        <v>0</v>
      </c>
      <c r="Q68" s="3">
        <f>ROUNDUP((O68+P68)/100,-1)</f>
        <v>0</v>
      </c>
      <c r="R68" s="47">
        <f>ROUNDUP(+K68/Paramètres!$B$4/Paramètres!$B$53,0)</f>
        <v>0</v>
      </c>
      <c r="S68" s="47">
        <f>ROUNDUP(+L68/Paramètres!$B$6/Paramètres!$B$53,0)</f>
        <v>0</v>
      </c>
      <c r="T68" s="47"/>
      <c r="U68" s="2">
        <f>R68+S68+T68</f>
        <v>0</v>
      </c>
      <c r="V68" s="1">
        <f>R68*Paramètres!$B$7</f>
        <v>0</v>
      </c>
      <c r="W68" s="1">
        <f>S68*Paramètres!$B$9</f>
        <v>0</v>
      </c>
      <c r="X68" s="1"/>
      <c r="Y68" s="2">
        <f>V68+W68+X68</f>
        <v>0</v>
      </c>
      <c r="Z68" s="7">
        <f>R68*Paramètres!$B$10</f>
        <v>0</v>
      </c>
      <c r="AA68" s="7">
        <f>S68*Paramètres!$B$10</f>
        <v>0</v>
      </c>
      <c r="AB68" s="7"/>
      <c r="AC68" s="2">
        <f>Z68+AA68+AB68</f>
        <v>0</v>
      </c>
      <c r="AD68" s="1">
        <f t="shared" si="12"/>
        <v>0</v>
      </c>
      <c r="AE68" s="1">
        <f>ROUNDUP((U68/200)*2,0)*10</f>
        <v>0</v>
      </c>
      <c r="AF68" s="1">
        <f>IF(B68="",0,Paramètres!$B$53*1.5)</f>
        <v>0</v>
      </c>
      <c r="AG68" s="1">
        <f>IF(C68="",0,Paramètres!$B$53*1.5)</f>
        <v>0</v>
      </c>
      <c r="AH68" s="1"/>
      <c r="AI68" s="1"/>
      <c r="AJ68" s="1"/>
      <c r="AK68" s="1"/>
      <c r="AL68" s="1">
        <f>(U68*Paramètres!$B$53)*3</f>
        <v>0</v>
      </c>
      <c r="AM68" s="1">
        <f>N68</f>
        <v>0</v>
      </c>
      <c r="AN68" s="1">
        <f>U68*Paramètres!$B$75</f>
        <v>0</v>
      </c>
      <c r="AO68" s="1">
        <f>U68*Paramètres!$B$72*Paramètres!$B$73</f>
        <v>0</v>
      </c>
      <c r="AP68" s="1"/>
      <c r="AQ68" s="1">
        <f>(Y68+AC68)*Paramètres!$B$42*Paramètres!$B$53</f>
        <v>0</v>
      </c>
      <c r="AR68" s="1"/>
      <c r="AS68" s="7">
        <f>ROUNDUP(D68*Paramètres!$B$23*Paramètres!$B$26,-1)</f>
        <v>0</v>
      </c>
      <c r="AT68" s="7"/>
      <c r="AU68" s="1"/>
      <c r="AV68" s="8"/>
      <c r="AW68" s="8"/>
      <c r="AX68" s="8"/>
      <c r="AY68" s="8"/>
      <c r="AZ68" s="8"/>
      <c r="BA68" s="8"/>
      <c r="BB68" s="44"/>
      <c r="BC68" s="44"/>
      <c r="BD68" s="8"/>
      <c r="BE68" s="8"/>
      <c r="BF68" s="8"/>
      <c r="BG68" s="44"/>
      <c r="BI68">
        <f>AQ68+AS68</f>
        <v>0</v>
      </c>
    </row>
    <row r="69" spans="1:61" x14ac:dyDescent="0.25">
      <c r="B69" s="1"/>
      <c r="C69" s="1"/>
      <c r="D69" s="1"/>
      <c r="E69" s="1"/>
      <c r="F69" s="1"/>
      <c r="G69" s="54"/>
      <c r="H69" s="54"/>
      <c r="I69" s="54"/>
      <c r="J69" s="50">
        <f>F69*Paramètres!$B$3</f>
        <v>0</v>
      </c>
      <c r="K69" s="56">
        <f>J69*G69</f>
        <v>0</v>
      </c>
      <c r="L69" s="56">
        <f>J69*H69</f>
        <v>0</v>
      </c>
      <c r="M69" s="56">
        <f>J69*I69</f>
        <v>0</v>
      </c>
      <c r="N69" s="3">
        <f>ROUNDUP(J69*Paramètres!$B$19,-1)</f>
        <v>0</v>
      </c>
      <c r="O69" s="1">
        <f>N69</f>
        <v>0</v>
      </c>
      <c r="P69" s="1">
        <f>O69/10</f>
        <v>0</v>
      </c>
      <c r="Q69" s="3">
        <f>ROUNDUP((O69+P69)/100,-1)</f>
        <v>0</v>
      </c>
      <c r="R69" s="47">
        <f>ROUNDUP(+K69/Paramètres!$B$4/Paramètres!$B$53,0)</f>
        <v>0</v>
      </c>
      <c r="S69" s="47">
        <f>ROUNDUP(+L69/Paramètres!$B$6/Paramètres!$B$53,0)</f>
        <v>0</v>
      </c>
      <c r="T69" s="47"/>
      <c r="U69" s="2">
        <f>R69+S69+T69</f>
        <v>0</v>
      </c>
      <c r="V69" s="1">
        <f>R69*Paramètres!$B$7</f>
        <v>0</v>
      </c>
      <c r="W69" s="1">
        <f>S69*Paramètres!$B$9</f>
        <v>0</v>
      </c>
      <c r="X69" s="1"/>
      <c r="Y69" s="2">
        <f>V69+W69+X69</f>
        <v>0</v>
      </c>
      <c r="Z69" s="7">
        <f>R69*Paramètres!$B$10</f>
        <v>0</v>
      </c>
      <c r="AA69" s="7">
        <f>S69*Paramètres!$B$10</f>
        <v>0</v>
      </c>
      <c r="AB69" s="7"/>
      <c r="AC69" s="2">
        <f>Z69+AA69+AB69</f>
        <v>0</v>
      </c>
      <c r="AD69" s="1">
        <f>U69</f>
        <v>0</v>
      </c>
      <c r="AE69" s="1">
        <f>ROUNDUP((U69/200)*2,0)*10</f>
        <v>0</v>
      </c>
      <c r="AF69" s="1">
        <f>IF(B69="",0,Paramètres!$B$53*1.5)</f>
        <v>0</v>
      </c>
      <c r="AG69" s="1">
        <f>IF(C69="",0,Paramètres!$B$53*1.5)</f>
        <v>0</v>
      </c>
      <c r="AH69" s="1"/>
      <c r="AI69" s="1"/>
      <c r="AJ69" s="1"/>
      <c r="AK69" s="1"/>
      <c r="AL69" s="1">
        <f>(U69*Paramètres!$B$53)*3</f>
        <v>0</v>
      </c>
      <c r="AM69" s="1">
        <f>N69</f>
        <v>0</v>
      </c>
      <c r="AN69" s="1">
        <f>U69*Paramètres!$B$75</f>
        <v>0</v>
      </c>
      <c r="AO69" s="1">
        <f>U69*Paramètres!$B$72*Paramètres!$B$73</f>
        <v>0</v>
      </c>
      <c r="AP69" s="1"/>
      <c r="AQ69" s="1">
        <f>(Y69+AC69)*Paramètres!$B$42*Paramètres!$B$53</f>
        <v>0</v>
      </c>
      <c r="AR69" s="1"/>
      <c r="AS69" s="7">
        <f>ROUNDUP(D69*Paramètres!$B$23*Paramètres!$B$26,-1)</f>
        <v>0</v>
      </c>
      <c r="AT69" s="7"/>
      <c r="AU69" s="1"/>
      <c r="AV69" s="8"/>
      <c r="AW69" s="8"/>
      <c r="AX69" s="8"/>
      <c r="AY69" s="8"/>
      <c r="AZ69" s="8"/>
      <c r="BA69" s="8"/>
      <c r="BB69" s="44"/>
      <c r="BC69" s="44"/>
      <c r="BD69" s="8"/>
      <c r="BE69" s="8"/>
      <c r="BF69" s="8"/>
      <c r="BG69" s="44"/>
      <c r="BI69">
        <f>AQ69+AS69</f>
        <v>0</v>
      </c>
    </row>
    <row r="70" spans="1:61" x14ac:dyDescent="0.25">
      <c r="B70" s="1"/>
      <c r="C70" s="1"/>
      <c r="D70" s="1"/>
      <c r="E70" s="1"/>
      <c r="F70" s="1"/>
      <c r="G70" s="54"/>
      <c r="H70" s="54"/>
      <c r="I70" s="54"/>
      <c r="J70" s="50">
        <f>F70*Paramètres!$B$3</f>
        <v>0</v>
      </c>
      <c r="K70" s="56">
        <f>J70*G70</f>
        <v>0</v>
      </c>
      <c r="L70" s="56">
        <f>J70*H70</f>
        <v>0</v>
      </c>
      <c r="M70" s="56">
        <f>J70*I70</f>
        <v>0</v>
      </c>
      <c r="N70" s="3">
        <f>ROUNDUP(J70*Paramètres!$B$19,-1)</f>
        <v>0</v>
      </c>
      <c r="O70" s="1">
        <f>N70</f>
        <v>0</v>
      </c>
      <c r="P70" s="1">
        <f>O70/10</f>
        <v>0</v>
      </c>
      <c r="Q70" s="3">
        <f>ROUNDUP((O70+P70)/100,-1)</f>
        <v>0</v>
      </c>
      <c r="R70" s="47">
        <f>ROUNDUP(+K70/Paramètres!$B$4/Paramètres!$B$53,0)</f>
        <v>0</v>
      </c>
      <c r="S70" s="47">
        <f>ROUNDUP(+L70/Paramètres!$B$6/Paramètres!$B$53,0)</f>
        <v>0</v>
      </c>
      <c r="T70" s="47"/>
      <c r="U70" s="2">
        <f>R70+S70+T70</f>
        <v>0</v>
      </c>
      <c r="V70" s="1">
        <f>R70*Paramètres!$B$7</f>
        <v>0</v>
      </c>
      <c r="W70" s="1">
        <f>S70*Paramètres!$B$9</f>
        <v>0</v>
      </c>
      <c r="X70" s="1"/>
      <c r="Y70" s="2">
        <f>V70+W70+X70</f>
        <v>0</v>
      </c>
      <c r="Z70" s="7">
        <f>R70*Paramètres!$B$10</f>
        <v>0</v>
      </c>
      <c r="AA70" s="7">
        <f>S70*Paramètres!$B$10</f>
        <v>0</v>
      </c>
      <c r="AB70" s="7"/>
      <c r="AC70" s="2">
        <f>Z70+AA70+AB70</f>
        <v>0</v>
      </c>
      <c r="AD70" s="1">
        <f>U70</f>
        <v>0</v>
      </c>
      <c r="AE70" s="1">
        <f>ROUNDUP((U70/200)*2,0)*10</f>
        <v>0</v>
      </c>
      <c r="AF70" s="1">
        <f>IF(B70="",0,Paramètres!$B$53*1.5)</f>
        <v>0</v>
      </c>
      <c r="AG70" s="1">
        <f>IF(C70="",0,Paramètres!$B$53*1.5)</f>
        <v>0</v>
      </c>
      <c r="AH70" s="1"/>
      <c r="AI70" s="1"/>
      <c r="AJ70" s="1"/>
      <c r="AK70" s="1"/>
      <c r="AL70" s="1">
        <f>(U70*Paramètres!$B$53)*3</f>
        <v>0</v>
      </c>
      <c r="AM70" s="1">
        <f>N70</f>
        <v>0</v>
      </c>
      <c r="AN70" s="1">
        <f>U70*Paramètres!$B$75</f>
        <v>0</v>
      </c>
      <c r="AO70" s="1">
        <f>U70*Paramètres!$B$72*Paramètres!$B$73</f>
        <v>0</v>
      </c>
      <c r="AP70" s="1"/>
      <c r="AQ70" s="1">
        <f>(Y70+AC70)*Paramètres!$B$42*Paramètres!$B$53</f>
        <v>0</v>
      </c>
      <c r="AR70" s="1"/>
      <c r="AS70" s="7">
        <f>ROUNDUP(D70*Paramètres!$B$23*Paramètres!$B$26,-1)</f>
        <v>0</v>
      </c>
      <c r="AT70" s="7"/>
      <c r="AU70" s="1"/>
      <c r="AV70" s="8"/>
      <c r="AW70" s="8"/>
      <c r="AX70" s="8"/>
      <c r="AY70" s="8"/>
      <c r="AZ70" s="8"/>
      <c r="BA70" s="8"/>
      <c r="BB70" s="44"/>
      <c r="BC70" s="44"/>
      <c r="BD70" s="8"/>
      <c r="BE70" s="8"/>
      <c r="BF70" s="8"/>
      <c r="BG70" s="44"/>
      <c r="BI70">
        <f>AQ70+AS70</f>
        <v>0</v>
      </c>
    </row>
    <row r="71" spans="1:61" x14ac:dyDescent="0.25">
      <c r="B71" s="1"/>
      <c r="C71" s="1"/>
      <c r="D71" s="1"/>
      <c r="E71" s="1"/>
      <c r="F71" s="1"/>
      <c r="G71" s="54"/>
      <c r="H71" s="54"/>
      <c r="I71" s="54"/>
      <c r="J71" s="50">
        <f>F71*Paramètres!$B$3</f>
        <v>0</v>
      </c>
      <c r="K71" s="56">
        <f>J71*G71</f>
        <v>0</v>
      </c>
      <c r="L71" s="56">
        <f>J71*H71</f>
        <v>0</v>
      </c>
      <c r="M71" s="56">
        <f>J71*I71</f>
        <v>0</v>
      </c>
      <c r="N71" s="3">
        <f>ROUNDUP(J71*Paramètres!$B$19,-1)</f>
        <v>0</v>
      </c>
      <c r="O71" s="1">
        <f>N71</f>
        <v>0</v>
      </c>
      <c r="P71" s="1">
        <f>O71/10</f>
        <v>0</v>
      </c>
      <c r="Q71" s="3">
        <f>ROUNDUP((O71+P71)/100,-1)</f>
        <v>0</v>
      </c>
      <c r="R71" s="47">
        <f>ROUNDUP(+K71/Paramètres!$B$4/Paramètres!$B$53,0)</f>
        <v>0</v>
      </c>
      <c r="S71" s="47">
        <f>ROUNDUP(+L71/Paramètres!$B$6/Paramètres!$B$53,0)</f>
        <v>0</v>
      </c>
      <c r="T71" s="47"/>
      <c r="U71" s="2">
        <f>R71+S71+T71</f>
        <v>0</v>
      </c>
      <c r="V71" s="1">
        <f>R71*Paramètres!$B$7</f>
        <v>0</v>
      </c>
      <c r="W71" s="1">
        <f>S71*Paramètres!$B$9</f>
        <v>0</v>
      </c>
      <c r="X71" s="1"/>
      <c r="Y71" s="2">
        <f>V71+W71+X71</f>
        <v>0</v>
      </c>
      <c r="Z71" s="7">
        <f>R71*Paramètres!$B$10</f>
        <v>0</v>
      </c>
      <c r="AA71" s="7">
        <f>S71*Paramètres!$B$10</f>
        <v>0</v>
      </c>
      <c r="AB71" s="7"/>
      <c r="AC71" s="2">
        <f>Z71+AA71+AB71</f>
        <v>0</v>
      </c>
      <c r="AD71" s="1">
        <f>U71</f>
        <v>0</v>
      </c>
      <c r="AE71" s="1">
        <f>ROUNDUP((U71/200)*2,0)*10</f>
        <v>0</v>
      </c>
      <c r="AF71" s="1">
        <f>IF(B71="",0,Paramètres!$B$53*1.5)</f>
        <v>0</v>
      </c>
      <c r="AG71" s="1">
        <f>IF(C71="",0,Paramètres!$B$53*1.5)</f>
        <v>0</v>
      </c>
      <c r="AH71" s="1"/>
      <c r="AI71" s="1"/>
      <c r="AJ71" s="1"/>
      <c r="AK71" s="1"/>
      <c r="AL71" s="1">
        <f>(U71*Paramètres!$B$53)*3</f>
        <v>0</v>
      </c>
      <c r="AM71" s="1">
        <f>N71</f>
        <v>0</v>
      </c>
      <c r="AN71" s="1">
        <f>U71*Paramètres!$B$75</f>
        <v>0</v>
      </c>
      <c r="AO71" s="1">
        <f>U71*Paramètres!$B$72*Paramètres!$B$73</f>
        <v>0</v>
      </c>
      <c r="AP71" s="1"/>
      <c r="AQ71" s="1">
        <f>(Y71+AC71)*Paramètres!$B$42*Paramètres!$B$53</f>
        <v>0</v>
      </c>
      <c r="AR71" s="1"/>
      <c r="AS71" s="7">
        <f>ROUNDUP(D71*Paramètres!$B$23*Paramètres!$B$26,-1)</f>
        <v>0</v>
      </c>
      <c r="AT71" s="7"/>
      <c r="AU71" s="1"/>
      <c r="AV71" s="8"/>
      <c r="AW71" s="8"/>
      <c r="AX71" s="8"/>
      <c r="AY71" s="8"/>
      <c r="AZ71" s="8"/>
      <c r="BA71" s="8"/>
      <c r="BB71" s="44"/>
      <c r="BC71" s="44"/>
      <c r="BD71" s="8"/>
      <c r="BE71" s="8"/>
      <c r="BF71" s="8"/>
      <c r="BG71" s="44"/>
      <c r="BI71">
        <f>AQ71+AS71</f>
        <v>0</v>
      </c>
    </row>
    <row r="72" spans="1:61" x14ac:dyDescent="0.25">
      <c r="A72" s="5">
        <v>0</v>
      </c>
      <c r="B72" s="5" t="s">
        <v>5</v>
      </c>
      <c r="C72" s="5">
        <f>SUM(C3:C71)</f>
        <v>0</v>
      </c>
      <c r="D72" s="5">
        <f t="shared" ref="D72:S72" si="13">SUM(D3:D71)</f>
        <v>0</v>
      </c>
      <c r="E72" s="5">
        <f t="shared" si="13"/>
        <v>0</v>
      </c>
      <c r="F72" s="5"/>
      <c r="G72" s="55"/>
      <c r="H72" s="55"/>
      <c r="I72" s="55"/>
      <c r="J72" s="51">
        <f>SUM(J3:J71)</f>
        <v>0</v>
      </c>
      <c r="K72" s="57">
        <f t="shared" si="13"/>
        <v>0</v>
      </c>
      <c r="L72" s="57">
        <f t="shared" si="13"/>
        <v>0</v>
      </c>
      <c r="M72" s="57">
        <f t="shared" si="13"/>
        <v>0</v>
      </c>
      <c r="N72" s="5">
        <f t="shared" si="13"/>
        <v>0</v>
      </c>
      <c r="O72" s="5">
        <f t="shared" si="13"/>
        <v>0</v>
      </c>
      <c r="P72" s="5">
        <f t="shared" si="13"/>
        <v>0</v>
      </c>
      <c r="Q72" s="5">
        <f t="shared" si="13"/>
        <v>0</v>
      </c>
      <c r="R72" s="5">
        <f t="shared" si="13"/>
        <v>0</v>
      </c>
      <c r="S72" s="5">
        <f t="shared" si="13"/>
        <v>0</v>
      </c>
      <c r="T72" s="5">
        <f>ROUNDUP(+M72/Paramètres!$B$5/Paramètres!$B$53,0)</f>
        <v>0</v>
      </c>
      <c r="U72" s="6">
        <f>R72+S72+T72</f>
        <v>0</v>
      </c>
      <c r="V72" s="6">
        <f>SUM(V3:V71)</f>
        <v>0</v>
      </c>
      <c r="W72" s="6">
        <f>SUM(W3:W71)</f>
        <v>0</v>
      </c>
      <c r="X72" s="6">
        <f>(T72*Paramètres!B8+T72)</f>
        <v>0</v>
      </c>
      <c r="Y72" s="6">
        <f>SUM(Y3:Y71)</f>
        <v>0</v>
      </c>
      <c r="Z72" s="6">
        <f>SUM(Z3:Z71)</f>
        <v>0</v>
      </c>
      <c r="AA72" s="6">
        <f>SUM(AA3:AA71)</f>
        <v>0</v>
      </c>
      <c r="AB72" s="6">
        <f>T72*Paramètres!B10</f>
        <v>0</v>
      </c>
      <c r="AC72" s="6">
        <f>SUM(AC3:AC71)</f>
        <v>0</v>
      </c>
      <c r="AD72" s="6">
        <f>SUM(AD3:AD71)</f>
        <v>0</v>
      </c>
      <c r="AE72" s="6">
        <f>SUM(AE3:AE71)</f>
        <v>0</v>
      </c>
      <c r="AF72" s="6">
        <f>SUM(AF3:AF71)</f>
        <v>0</v>
      </c>
      <c r="AG72" s="6">
        <f>SUM(AG3:AG71)</f>
        <v>0</v>
      </c>
      <c r="AH72" s="6">
        <f>IF(Q72=0,0,Paramètres!$B$53*2)</f>
        <v>0</v>
      </c>
      <c r="AI72" s="5">
        <f>IF(N72=0,0,Paramètres!$B$53*3)</f>
        <v>0</v>
      </c>
      <c r="AJ72" s="6"/>
      <c r="AK72" s="6"/>
      <c r="AL72" s="6">
        <f>SUM(AL3:AL71)</f>
        <v>0</v>
      </c>
      <c r="AM72" s="6">
        <f>SUM(AM3:AM71)</f>
        <v>0</v>
      </c>
      <c r="AN72" s="6">
        <f>SUM(AN3:AN71)</f>
        <v>0</v>
      </c>
      <c r="AO72" s="6">
        <f>SUM(AO3:AO71)</f>
        <v>0</v>
      </c>
      <c r="AP72" s="6">
        <f>ROUNDUP(AO72/Paramètres!B74,-1)</f>
        <v>0</v>
      </c>
      <c r="AQ72" s="6">
        <f>SUM(AQ3:AQ71)</f>
        <v>0</v>
      </c>
      <c r="AR72" s="6">
        <f>(X72+AB72)*Paramètres!B42*Paramètres!$B$53</f>
        <v>0</v>
      </c>
      <c r="AS72" s="45">
        <f>SUM(AS3:AS71)</f>
        <v>0</v>
      </c>
      <c r="AT72" s="45">
        <f>ROUNDUP(E72*Paramètres!$B$22*Paramètres!$B$25,-1)</f>
        <v>0</v>
      </c>
      <c r="AU72" s="45">
        <f>Paramètres!B51*0</f>
        <v>0</v>
      </c>
      <c r="AV72" s="45">
        <f>ROUNDUP(Q72*Paramètres!$B$52+Paramètres!$B$27*30,-3)*0</f>
        <v>0</v>
      </c>
      <c r="AW72" s="6">
        <f>(A72+Y72+AB72+AC72)*Paramètres!$B$60</f>
        <v>0</v>
      </c>
      <c r="AX72" s="6">
        <f>(A72+X72+Y72+AB72+AC72)*Paramètres!$B$63*Paramètres!$B$66</f>
        <v>0</v>
      </c>
      <c r="AY72" s="6">
        <f>Paramètres!$B$64*Paramètres!$B$66*Paramètres!$B$63*0</f>
        <v>0</v>
      </c>
      <c r="AZ72" s="6">
        <f>Paramètres!$B$64*Paramètres!$B$66*Paramètres!$B$79*0</f>
        <v>0</v>
      </c>
      <c r="BA72" s="6">
        <f>(X72+Y72+AB72+AC72+Paramètres!$B$64)*Paramètres!$B$61*Paramètres!$B$66*0</f>
        <v>0</v>
      </c>
      <c r="BB72" s="45">
        <f>AW72+AX72+AY72+BA72+AZ72</f>
        <v>0</v>
      </c>
      <c r="BC72" s="45">
        <f>A72*Paramètres!$B$69*Paramètres!$B$53</f>
        <v>0</v>
      </c>
      <c r="BD72" s="6">
        <f>AP72*Paramètres!$B$70</f>
        <v>0</v>
      </c>
      <c r="BE72" s="6">
        <f>Paramètres!B76*Paramètres!$B$66*Paramètres!$B$62*0</f>
        <v>0</v>
      </c>
      <c r="BF72" s="6">
        <f>Paramètres!B76*Paramètres!$B$61*0</f>
        <v>0</v>
      </c>
      <c r="BG72" s="45">
        <f>BE72+BF72</f>
        <v>0</v>
      </c>
      <c r="BH72" s="45">
        <f>Paramètres!B77*0</f>
        <v>0</v>
      </c>
      <c r="BI72" s="6">
        <f>AQ72+AS72+AU72+AV72</f>
        <v>0</v>
      </c>
    </row>
    <row r="73" spans="1:6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61" x14ac:dyDescent="0.25">
      <c r="U74" s="41"/>
    </row>
    <row r="79" spans="1:61" x14ac:dyDescent="0.25">
      <c r="V79" s="41"/>
    </row>
  </sheetData>
  <mergeCells count="1">
    <mergeCell ref="G1:I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I79"/>
  <sheetViews>
    <sheetView topLeftCell="A56" workbookViewId="0">
      <selection activeCell="AV73" sqref="AV73"/>
    </sheetView>
  </sheetViews>
  <sheetFormatPr defaultColWidth="11.42578125" defaultRowHeight="15" x14ac:dyDescent="0.25"/>
  <cols>
    <col min="1" max="1" width="5.7109375" customWidth="1"/>
    <col min="2" max="2" width="16.85546875" customWidth="1"/>
    <col min="3" max="3" width="10.7109375" customWidth="1"/>
    <col min="4" max="13" width="11.140625" customWidth="1"/>
    <col min="14" max="14" width="11.7109375" customWidth="1"/>
    <col min="15" max="15" width="14.85546875" customWidth="1"/>
    <col min="16" max="16" width="17.42578125" customWidth="1"/>
    <col min="17" max="17" width="11.140625" customWidth="1"/>
    <col min="18" max="18" width="13.7109375" customWidth="1"/>
    <col min="19" max="32" width="11.140625" customWidth="1"/>
    <col min="33" max="36" width="11.5703125" bestFit="1" customWidth="1"/>
    <col min="37" max="42" width="11.5703125" customWidth="1"/>
    <col min="43" max="44" width="14.42578125" customWidth="1"/>
    <col min="45" max="47" width="11.5703125" customWidth="1"/>
    <col min="48" max="48" width="12.85546875" bestFit="1" customWidth="1"/>
    <col min="49" max="60" width="12.85546875" customWidth="1"/>
    <col min="61" max="61" width="12.7109375" bestFit="1" customWidth="1"/>
  </cols>
  <sheetData>
    <row r="1" spans="1:61" ht="39" customHeight="1" x14ac:dyDescent="0.25">
      <c r="B1" s="1"/>
      <c r="C1" s="1"/>
      <c r="D1" s="1"/>
      <c r="E1" s="1"/>
      <c r="F1" s="1"/>
      <c r="G1" s="136" t="s">
        <v>148</v>
      </c>
      <c r="H1" s="136"/>
      <c r="I1" s="136"/>
      <c r="J1" s="1"/>
      <c r="K1" s="1" t="s">
        <v>146</v>
      </c>
      <c r="L1" s="1"/>
      <c r="M1" s="1"/>
      <c r="N1" s="1"/>
      <c r="O1" s="3" t="s">
        <v>48</v>
      </c>
      <c r="P1" s="1"/>
      <c r="Q1" s="1"/>
      <c r="R1" s="1" t="s">
        <v>0</v>
      </c>
      <c r="S1" s="1"/>
      <c r="T1" s="1"/>
      <c r="U1" s="1"/>
      <c r="V1" s="3" t="s">
        <v>63</v>
      </c>
      <c r="W1" s="1"/>
      <c r="X1" s="1"/>
      <c r="Y1" s="1"/>
      <c r="Z1" s="3" t="s">
        <v>64</v>
      </c>
      <c r="AA1" s="1"/>
      <c r="AB1" s="1"/>
      <c r="AC1" s="1"/>
      <c r="AD1" s="3" t="s">
        <v>59</v>
      </c>
      <c r="AE1" s="1"/>
      <c r="AF1" s="1"/>
      <c r="AG1" s="1"/>
      <c r="AH1" s="1"/>
      <c r="AI1" s="1"/>
      <c r="AJ1" s="1"/>
      <c r="AK1" s="3"/>
      <c r="AL1" s="1"/>
      <c r="AM1" s="1"/>
      <c r="AN1" s="1"/>
      <c r="AO1" s="1"/>
      <c r="AP1" s="1"/>
      <c r="AQ1" s="3" t="s">
        <v>62</v>
      </c>
      <c r="AR1" s="3"/>
      <c r="AS1" s="1"/>
      <c r="AT1" s="1"/>
      <c r="AU1" s="3" t="s">
        <v>66</v>
      </c>
      <c r="AW1" t="s">
        <v>123</v>
      </c>
      <c r="BD1" s="9"/>
      <c r="BE1" s="9" t="s">
        <v>137</v>
      </c>
    </row>
    <row r="2" spans="1:61" ht="90" x14ac:dyDescent="0.25">
      <c r="A2" t="s">
        <v>98</v>
      </c>
      <c r="B2" s="1" t="s">
        <v>1</v>
      </c>
      <c r="C2" s="7" t="s">
        <v>46</v>
      </c>
      <c r="D2" s="9" t="s">
        <v>104</v>
      </c>
      <c r="E2" s="9" t="s">
        <v>105</v>
      </c>
      <c r="F2" s="9" t="s">
        <v>145</v>
      </c>
      <c r="G2" s="52" t="s">
        <v>2</v>
      </c>
      <c r="H2" s="52" t="s">
        <v>3</v>
      </c>
      <c r="I2" s="52" t="s">
        <v>144</v>
      </c>
      <c r="J2" s="49" t="s">
        <v>147</v>
      </c>
      <c r="K2" s="48" t="s">
        <v>2</v>
      </c>
      <c r="L2" s="48" t="s">
        <v>3</v>
      </c>
      <c r="M2" s="48" t="s">
        <v>4</v>
      </c>
      <c r="N2" s="9" t="s">
        <v>150</v>
      </c>
      <c r="O2" s="7" t="s">
        <v>49</v>
      </c>
      <c r="P2" s="7" t="s">
        <v>50</v>
      </c>
      <c r="Q2" s="7" t="s">
        <v>51</v>
      </c>
      <c r="R2" s="1" t="s">
        <v>2</v>
      </c>
      <c r="S2" s="1" t="s">
        <v>3</v>
      </c>
      <c r="T2" s="1" t="s">
        <v>4</v>
      </c>
      <c r="U2" s="2" t="s">
        <v>6</v>
      </c>
      <c r="V2" s="1" t="s">
        <v>2</v>
      </c>
      <c r="W2" s="1" t="s">
        <v>3</v>
      </c>
      <c r="X2" s="9" t="s">
        <v>106</v>
      </c>
      <c r="Y2" s="42" t="s">
        <v>121</v>
      </c>
      <c r="Z2" s="1" t="s">
        <v>2</v>
      </c>
      <c r="AA2" s="1" t="s">
        <v>3</v>
      </c>
      <c r="AB2" s="1" t="s">
        <v>4</v>
      </c>
      <c r="AC2" s="42" t="s">
        <v>122</v>
      </c>
      <c r="AD2" s="7" t="s">
        <v>52</v>
      </c>
      <c r="AE2" s="7" t="s">
        <v>53</v>
      </c>
      <c r="AF2" s="7" t="s">
        <v>54</v>
      </c>
      <c r="AG2" s="7" t="s">
        <v>55</v>
      </c>
      <c r="AH2" s="7" t="s">
        <v>56</v>
      </c>
      <c r="AI2" s="7" t="s">
        <v>57</v>
      </c>
      <c r="AJ2" s="7" t="s">
        <v>58</v>
      </c>
      <c r="AK2" s="7" t="s">
        <v>60</v>
      </c>
      <c r="AL2" s="7" t="s">
        <v>61</v>
      </c>
      <c r="AM2" s="9" t="s">
        <v>149</v>
      </c>
      <c r="AN2" s="9" t="s">
        <v>134</v>
      </c>
      <c r="AO2" s="9" t="s">
        <v>135</v>
      </c>
      <c r="AP2" s="9" t="s">
        <v>136</v>
      </c>
      <c r="AQ2" s="9" t="s">
        <v>107</v>
      </c>
      <c r="AR2" s="9" t="s">
        <v>108</v>
      </c>
      <c r="AS2" s="7" t="s">
        <v>65</v>
      </c>
      <c r="AT2" s="9" t="s">
        <v>97</v>
      </c>
      <c r="AU2" s="7" t="s">
        <v>67</v>
      </c>
      <c r="AV2" s="7" t="s">
        <v>68</v>
      </c>
      <c r="AW2" s="9" t="s">
        <v>119</v>
      </c>
      <c r="AX2" s="9" t="s">
        <v>118</v>
      </c>
      <c r="AY2" s="9" t="s">
        <v>120</v>
      </c>
      <c r="AZ2" s="9" t="s">
        <v>143</v>
      </c>
      <c r="BA2" s="9" t="s">
        <v>117</v>
      </c>
      <c r="BB2" s="43" t="s">
        <v>124</v>
      </c>
      <c r="BC2" s="43" t="s">
        <v>125</v>
      </c>
      <c r="BD2" s="9" t="s">
        <v>132</v>
      </c>
      <c r="BE2" s="9" t="s">
        <v>85</v>
      </c>
      <c r="BF2" s="9" t="s">
        <v>110</v>
      </c>
      <c r="BG2" s="43" t="s">
        <v>6</v>
      </c>
      <c r="BH2" s="46" t="s">
        <v>139</v>
      </c>
      <c r="BI2" s="9" t="s">
        <v>69</v>
      </c>
    </row>
    <row r="3" spans="1:61" x14ac:dyDescent="0.25">
      <c r="A3">
        <v>1</v>
      </c>
      <c r="C3" s="1"/>
      <c r="D3" s="1"/>
      <c r="E3" s="1"/>
      <c r="F3" s="47"/>
      <c r="G3" s="53"/>
      <c r="H3" s="53"/>
      <c r="I3" s="53"/>
      <c r="J3" s="50">
        <f>F3*Paramètres!$B$3</f>
        <v>0</v>
      </c>
      <c r="K3" s="56">
        <f>J3*G3</f>
        <v>0</v>
      </c>
      <c r="L3" s="56">
        <f>J3*H3</f>
        <v>0</v>
      </c>
      <c r="M3" s="56">
        <f>J3*I3</f>
        <v>0</v>
      </c>
      <c r="N3" s="3">
        <f>ROUNDUP(J3*Paramètres!$B$19,-1)</f>
        <v>0</v>
      </c>
      <c r="O3" s="1">
        <f>N3</f>
        <v>0</v>
      </c>
      <c r="P3" s="1">
        <f>O3/10</f>
        <v>0</v>
      </c>
      <c r="Q3" s="3">
        <f>ROUNDUP((O3+P3)/100,-1)</f>
        <v>0</v>
      </c>
      <c r="R3" s="47">
        <f>ROUNDUP(+K3/Paramètres!$B$4/Paramètres!$B$53,0)</f>
        <v>0</v>
      </c>
      <c r="S3" s="47">
        <f>ROUNDUP(+L3/Paramètres!$B$6/Paramètres!$B$53,0)</f>
        <v>0</v>
      </c>
      <c r="T3" s="47"/>
      <c r="U3" s="2">
        <f>R3+S3+T3</f>
        <v>0</v>
      </c>
      <c r="V3" s="1">
        <f>R3*Paramètres!$B$7</f>
        <v>0</v>
      </c>
      <c r="W3" s="1">
        <f>S3*Paramètres!$B$9</f>
        <v>0</v>
      </c>
      <c r="X3" s="1"/>
      <c r="Y3" s="2">
        <f>V3+W3+X3</f>
        <v>0</v>
      </c>
      <c r="Z3" s="7">
        <f>R3*Paramètres!$B$10</f>
        <v>0</v>
      </c>
      <c r="AA3" s="7">
        <f>S3*Paramètres!$B$10</f>
        <v>0</v>
      </c>
      <c r="AB3" s="7"/>
      <c r="AC3" s="2">
        <f>Z3+AA3+AB3</f>
        <v>0</v>
      </c>
      <c r="AD3" s="1">
        <f>U3</f>
        <v>0</v>
      </c>
      <c r="AE3" s="1">
        <f>ROUNDUP((U3/200)*2,0)*10</f>
        <v>0</v>
      </c>
      <c r="AF3" s="1">
        <f>IF(B3="",0,Paramètres!$B$53*1.5)</f>
        <v>0</v>
      </c>
      <c r="AG3" s="1">
        <f>IF(C3="",0,Paramètres!$B$53*1.5)</f>
        <v>0</v>
      </c>
      <c r="AH3" s="1"/>
      <c r="AI3" s="1"/>
      <c r="AJ3" s="1"/>
      <c r="AK3" s="1"/>
      <c r="AL3" s="1">
        <f>(U3*Paramètres!$B$53)*3</f>
        <v>0</v>
      </c>
      <c r="AM3" s="1">
        <f>N3</f>
        <v>0</v>
      </c>
      <c r="AN3" s="1">
        <f>U3*Paramètres!$B$75</f>
        <v>0</v>
      </c>
      <c r="AO3" s="1">
        <f>U3*Paramètres!$B$72*Paramètres!$B$73</f>
        <v>0</v>
      </c>
      <c r="AP3" s="1"/>
      <c r="AQ3" s="1">
        <f>(Y3+AC3)*Paramètres!$B$42*Paramètres!$B$53</f>
        <v>0</v>
      </c>
      <c r="AR3" s="1"/>
      <c r="AS3" s="7">
        <f>ROUNDUP(D3*Paramètres!$B$23*Paramètres!$B$26,-1)</f>
        <v>0</v>
      </c>
      <c r="AT3" s="7"/>
      <c r="AU3" s="1"/>
      <c r="AV3" s="8"/>
      <c r="AW3" s="8"/>
      <c r="AX3" s="8"/>
      <c r="AY3" s="8"/>
      <c r="AZ3" s="8"/>
      <c r="BA3" s="8"/>
      <c r="BB3" s="44"/>
      <c r="BC3" s="44"/>
      <c r="BD3" s="8"/>
      <c r="BE3" s="8"/>
      <c r="BF3" s="8"/>
      <c r="BG3" s="44"/>
      <c r="BI3">
        <f>AQ3+AS3</f>
        <v>0</v>
      </c>
    </row>
    <row r="4" spans="1:61" x14ac:dyDescent="0.25">
      <c r="A4">
        <v>2</v>
      </c>
      <c r="C4" s="1"/>
      <c r="D4" s="1"/>
      <c r="E4" s="1"/>
      <c r="F4" s="47"/>
      <c r="G4" s="53"/>
      <c r="H4" s="53"/>
      <c r="I4" s="53"/>
      <c r="J4" s="50">
        <f>F4*Paramètres!$B$3</f>
        <v>0</v>
      </c>
      <c r="K4" s="56">
        <f t="shared" ref="K4:K67" si="0">J4*G4</f>
        <v>0</v>
      </c>
      <c r="L4" s="56">
        <f t="shared" ref="L4:L67" si="1">J4*H4</f>
        <v>0</v>
      </c>
      <c r="M4" s="56">
        <f t="shared" ref="M4:M67" si="2">J4*I4</f>
        <v>0</v>
      </c>
      <c r="N4" s="3">
        <f>ROUNDUP(J4*Paramètres!$B$19,-1)</f>
        <v>0</v>
      </c>
      <c r="O4" s="1">
        <f t="shared" ref="O4:O67" si="3">N4</f>
        <v>0</v>
      </c>
      <c r="P4" s="1">
        <f t="shared" ref="P4:P67" si="4">O4/10</f>
        <v>0</v>
      </c>
      <c r="Q4" s="3">
        <f t="shared" ref="Q4:Q67" si="5">ROUNDUP((O4+P4)/100,-1)</f>
        <v>0</v>
      </c>
      <c r="R4" s="47">
        <f>ROUNDUP(+K4/Paramètres!$B$4/Paramètres!$B$53,0)</f>
        <v>0</v>
      </c>
      <c r="S4" s="47">
        <f>ROUNDUP(+L4/Paramètres!$B$6/Paramètres!$B$53,0)</f>
        <v>0</v>
      </c>
      <c r="T4" s="47"/>
      <c r="U4" s="2">
        <f t="shared" ref="U4:U67" si="6">R4+S4+T4</f>
        <v>0</v>
      </c>
      <c r="V4" s="1">
        <f>R4*Paramètres!$B$7</f>
        <v>0</v>
      </c>
      <c r="W4" s="1">
        <f>S4*Paramètres!$B$9</f>
        <v>0</v>
      </c>
      <c r="X4" s="1"/>
      <c r="Y4" s="2">
        <f t="shared" ref="Y4:Y67" si="7">V4+W4+X4</f>
        <v>0</v>
      </c>
      <c r="Z4" s="7">
        <f>R4*Paramètres!$B$10</f>
        <v>0</v>
      </c>
      <c r="AA4" s="7">
        <f>S4*Paramètres!$B$10</f>
        <v>0</v>
      </c>
      <c r="AB4" s="7"/>
      <c r="AC4" s="2">
        <f t="shared" ref="AC4:AC67" si="8">Z4+AA4+AB4</f>
        <v>0</v>
      </c>
      <c r="AD4" s="1">
        <f>U4</f>
        <v>0</v>
      </c>
      <c r="AE4" s="1">
        <f t="shared" ref="AE4:AE67" si="9">ROUNDUP((U4/200)*2,0)*10</f>
        <v>0</v>
      </c>
      <c r="AF4" s="1">
        <f>IF(B4="",0,Paramètres!$B$53*1.5)</f>
        <v>0</v>
      </c>
      <c r="AG4" s="1">
        <f>IF(C4="",0,Paramètres!$B$53*1.5)</f>
        <v>0</v>
      </c>
      <c r="AH4" s="1"/>
      <c r="AI4" s="1"/>
      <c r="AJ4" s="1"/>
      <c r="AK4" s="1"/>
      <c r="AL4" s="1">
        <f>(U4*Paramètres!$B$53)*3</f>
        <v>0</v>
      </c>
      <c r="AM4" s="1">
        <f t="shared" ref="AM4:AM67" si="10">N4</f>
        <v>0</v>
      </c>
      <c r="AN4" s="1">
        <f>U4*Paramètres!$B$75</f>
        <v>0</v>
      </c>
      <c r="AO4" s="1">
        <f>U4*Paramètres!$B$72*Paramètres!$B$73</f>
        <v>0</v>
      </c>
      <c r="AP4" s="1"/>
      <c r="AQ4" s="1">
        <f>(Y4+AC4)*Paramètres!$B$42*Paramètres!$B$53</f>
        <v>0</v>
      </c>
      <c r="AR4" s="1"/>
      <c r="AS4" s="7">
        <f>ROUNDUP(D4*Paramètres!$B$23*Paramètres!$B$26,-1)</f>
        <v>0</v>
      </c>
      <c r="AT4" s="7"/>
      <c r="AU4" s="1"/>
      <c r="AV4" s="8"/>
      <c r="AW4" s="8"/>
      <c r="AX4" s="8"/>
      <c r="AY4" s="8"/>
      <c r="AZ4" s="8"/>
      <c r="BA4" s="8"/>
      <c r="BB4" s="44"/>
      <c r="BC4" s="44"/>
      <c r="BD4" s="8"/>
      <c r="BE4" s="8"/>
      <c r="BF4" s="8"/>
      <c r="BG4" s="44"/>
      <c r="BI4">
        <f t="shared" ref="BI4:BI67" si="11">AQ4+AS4</f>
        <v>0</v>
      </c>
    </row>
    <row r="5" spans="1:61" x14ac:dyDescent="0.25">
      <c r="A5">
        <v>3</v>
      </c>
      <c r="C5" s="1"/>
      <c r="D5" s="1"/>
      <c r="E5" s="1"/>
      <c r="F5" s="47"/>
      <c r="G5" s="53"/>
      <c r="H5" s="53"/>
      <c r="I5" s="53"/>
      <c r="J5" s="50">
        <f>F5*Paramètres!$B$3</f>
        <v>0</v>
      </c>
      <c r="K5" s="56">
        <f t="shared" si="0"/>
        <v>0</v>
      </c>
      <c r="L5" s="56">
        <f t="shared" si="1"/>
        <v>0</v>
      </c>
      <c r="M5" s="56">
        <f t="shared" si="2"/>
        <v>0</v>
      </c>
      <c r="N5" s="3">
        <f>ROUNDUP(J5*Paramètres!$B$19,-1)</f>
        <v>0</v>
      </c>
      <c r="O5" s="1">
        <f t="shared" si="3"/>
        <v>0</v>
      </c>
      <c r="P5" s="1">
        <f t="shared" si="4"/>
        <v>0</v>
      </c>
      <c r="Q5" s="3">
        <f t="shared" si="5"/>
        <v>0</v>
      </c>
      <c r="R5" s="47">
        <f>ROUNDUP(+K5/Paramètres!$B$4/Paramètres!$B$53,0)</f>
        <v>0</v>
      </c>
      <c r="S5" s="47">
        <f>ROUNDUP(+L5/Paramètres!$B$6/Paramètres!$B$53,0)</f>
        <v>0</v>
      </c>
      <c r="T5" s="47"/>
      <c r="U5" s="2">
        <f t="shared" si="6"/>
        <v>0</v>
      </c>
      <c r="V5" s="1">
        <f>R5*Paramètres!$B$7</f>
        <v>0</v>
      </c>
      <c r="W5" s="1">
        <f>S5*Paramètres!$B$9</f>
        <v>0</v>
      </c>
      <c r="X5" s="1"/>
      <c r="Y5" s="2">
        <f t="shared" si="7"/>
        <v>0</v>
      </c>
      <c r="Z5" s="7">
        <f>R5*Paramètres!$B$10</f>
        <v>0</v>
      </c>
      <c r="AA5" s="7">
        <f>S5*Paramètres!$B$10</f>
        <v>0</v>
      </c>
      <c r="AB5" s="7"/>
      <c r="AC5" s="2">
        <f t="shared" si="8"/>
        <v>0</v>
      </c>
      <c r="AD5" s="1">
        <f t="shared" ref="AD5:AD68" si="12">U5</f>
        <v>0</v>
      </c>
      <c r="AE5" s="1">
        <f t="shared" si="9"/>
        <v>0</v>
      </c>
      <c r="AF5" s="1">
        <f>IF(B5="",0,Paramètres!$B$53*1.5)</f>
        <v>0</v>
      </c>
      <c r="AG5" s="1">
        <f>IF(C5="",0,Paramètres!$B$53*1.5)</f>
        <v>0</v>
      </c>
      <c r="AH5" s="1"/>
      <c r="AI5" s="1"/>
      <c r="AJ5" s="1"/>
      <c r="AK5" s="1"/>
      <c r="AL5" s="1">
        <f>(U5*Paramètres!$B$53)*3</f>
        <v>0</v>
      </c>
      <c r="AM5" s="1">
        <f t="shared" si="10"/>
        <v>0</v>
      </c>
      <c r="AN5" s="1">
        <f>U5*Paramètres!$B$75</f>
        <v>0</v>
      </c>
      <c r="AO5" s="1">
        <f>U5*Paramètres!$B$72*Paramètres!$B$73</f>
        <v>0</v>
      </c>
      <c r="AP5" s="1"/>
      <c r="AQ5" s="1">
        <f>(Y5+AC5)*Paramètres!$B$42*Paramètres!$B$53</f>
        <v>0</v>
      </c>
      <c r="AR5" s="1"/>
      <c r="AS5" s="7">
        <f>ROUNDUP(D5*Paramètres!$B$23*Paramètres!$B$26,-1)</f>
        <v>0</v>
      </c>
      <c r="AT5" s="7"/>
      <c r="AU5" s="1"/>
      <c r="AV5" s="8"/>
      <c r="AW5" s="8"/>
      <c r="AX5" s="8"/>
      <c r="AY5" s="8"/>
      <c r="AZ5" s="8"/>
      <c r="BA5" s="8"/>
      <c r="BB5" s="44"/>
      <c r="BC5" s="44"/>
      <c r="BD5" s="8"/>
      <c r="BE5" s="8"/>
      <c r="BF5" s="8"/>
      <c r="BG5" s="44"/>
      <c r="BI5">
        <f t="shared" si="11"/>
        <v>0</v>
      </c>
    </row>
    <row r="6" spans="1:61" x14ac:dyDescent="0.25">
      <c r="A6">
        <v>4</v>
      </c>
      <c r="C6" s="1"/>
      <c r="D6" s="1"/>
      <c r="E6" s="1"/>
      <c r="F6" s="47"/>
      <c r="G6" s="53"/>
      <c r="H6" s="53"/>
      <c r="I6" s="53"/>
      <c r="J6" s="50">
        <f>F6*Paramètres!$B$3</f>
        <v>0</v>
      </c>
      <c r="K6" s="56">
        <f t="shared" si="0"/>
        <v>0</v>
      </c>
      <c r="L6" s="56">
        <f t="shared" si="1"/>
        <v>0</v>
      </c>
      <c r="M6" s="56">
        <f t="shared" si="2"/>
        <v>0</v>
      </c>
      <c r="N6" s="3">
        <f>ROUNDUP(J6*Paramètres!$B$19,-1)</f>
        <v>0</v>
      </c>
      <c r="O6" s="1">
        <f t="shared" si="3"/>
        <v>0</v>
      </c>
      <c r="P6" s="1">
        <f t="shared" si="4"/>
        <v>0</v>
      </c>
      <c r="Q6" s="3">
        <f t="shared" si="5"/>
        <v>0</v>
      </c>
      <c r="R6" s="47">
        <f>ROUNDUP(+K6/Paramètres!$B$4/Paramètres!$B$53,0)</f>
        <v>0</v>
      </c>
      <c r="S6" s="47">
        <f>ROUNDUP(+L6/Paramètres!$B$6/Paramètres!$B$53,0)</f>
        <v>0</v>
      </c>
      <c r="T6" s="47"/>
      <c r="U6" s="2">
        <f t="shared" si="6"/>
        <v>0</v>
      </c>
      <c r="V6" s="1">
        <f>R6*Paramètres!$B$7</f>
        <v>0</v>
      </c>
      <c r="W6" s="1">
        <f>S6*Paramètres!$B$9</f>
        <v>0</v>
      </c>
      <c r="X6" s="1"/>
      <c r="Y6" s="2">
        <f t="shared" si="7"/>
        <v>0</v>
      </c>
      <c r="Z6" s="7">
        <f>R6*Paramètres!$B$10</f>
        <v>0</v>
      </c>
      <c r="AA6" s="7">
        <f>S6*Paramètres!$B$10</f>
        <v>0</v>
      </c>
      <c r="AB6" s="7"/>
      <c r="AC6" s="2">
        <f t="shared" si="8"/>
        <v>0</v>
      </c>
      <c r="AD6" s="1">
        <f t="shared" si="12"/>
        <v>0</v>
      </c>
      <c r="AE6" s="1">
        <f t="shared" si="9"/>
        <v>0</v>
      </c>
      <c r="AF6" s="1">
        <f>IF(B6="",0,Paramètres!$B$53*1.5)</f>
        <v>0</v>
      </c>
      <c r="AG6" s="1">
        <f>IF(C6="",0,Paramètres!$B$53*1.5)</f>
        <v>0</v>
      </c>
      <c r="AH6" s="1"/>
      <c r="AI6" s="1"/>
      <c r="AJ6" s="1"/>
      <c r="AK6" s="1"/>
      <c r="AL6" s="1">
        <f>(U6*Paramètres!$B$53)*3</f>
        <v>0</v>
      </c>
      <c r="AM6" s="1">
        <f t="shared" si="10"/>
        <v>0</v>
      </c>
      <c r="AN6" s="1">
        <f>U6*Paramètres!$B$75</f>
        <v>0</v>
      </c>
      <c r="AO6" s="1">
        <f>U6*Paramètres!$B$72*Paramètres!$B$73</f>
        <v>0</v>
      </c>
      <c r="AP6" s="1"/>
      <c r="AQ6" s="1">
        <f>(Y6+AC6)*Paramètres!$B$42*Paramètres!$B$53</f>
        <v>0</v>
      </c>
      <c r="AR6" s="1"/>
      <c r="AS6" s="7">
        <f>ROUNDUP(D6*Paramètres!$B$23*Paramètres!$B$26,-1)</f>
        <v>0</v>
      </c>
      <c r="AT6" s="7"/>
      <c r="AU6" s="1"/>
      <c r="AV6" s="8"/>
      <c r="AW6" s="8"/>
      <c r="AX6" s="8"/>
      <c r="AY6" s="8"/>
      <c r="AZ6" s="8"/>
      <c r="BA6" s="8"/>
      <c r="BB6" s="44"/>
      <c r="BC6" s="44"/>
      <c r="BD6" s="8"/>
      <c r="BE6" s="8"/>
      <c r="BF6" s="8"/>
      <c r="BG6" s="44"/>
      <c r="BI6">
        <f t="shared" si="11"/>
        <v>0</v>
      </c>
    </row>
    <row r="7" spans="1:61" x14ac:dyDescent="0.25">
      <c r="A7">
        <v>5</v>
      </c>
      <c r="C7" s="1"/>
      <c r="D7" s="1"/>
      <c r="E7" s="1"/>
      <c r="F7" s="47"/>
      <c r="G7" s="53"/>
      <c r="H7" s="53"/>
      <c r="I7" s="53"/>
      <c r="J7" s="50">
        <f>F7*Paramètres!$B$3</f>
        <v>0</v>
      </c>
      <c r="K7" s="56">
        <f t="shared" si="0"/>
        <v>0</v>
      </c>
      <c r="L7" s="56">
        <f t="shared" si="1"/>
        <v>0</v>
      </c>
      <c r="M7" s="56">
        <f t="shared" si="2"/>
        <v>0</v>
      </c>
      <c r="N7" s="3">
        <f>ROUNDUP(J7*Paramètres!$B$19,-1)</f>
        <v>0</v>
      </c>
      <c r="O7" s="1">
        <f t="shared" si="3"/>
        <v>0</v>
      </c>
      <c r="P7" s="1">
        <f t="shared" si="4"/>
        <v>0</v>
      </c>
      <c r="Q7" s="3">
        <f t="shared" si="5"/>
        <v>0</v>
      </c>
      <c r="R7" s="47">
        <f>ROUNDUP(+K7/Paramètres!$B$4/Paramètres!$B$53,0)</f>
        <v>0</v>
      </c>
      <c r="S7" s="47">
        <f>ROUNDUP(+L7/Paramètres!$B$6/Paramètres!$B$53,0)</f>
        <v>0</v>
      </c>
      <c r="T7" s="47"/>
      <c r="U7" s="2">
        <f t="shared" si="6"/>
        <v>0</v>
      </c>
      <c r="V7" s="1">
        <f>R7*Paramètres!$B$7</f>
        <v>0</v>
      </c>
      <c r="W7" s="1">
        <f>S7*Paramètres!$B$9</f>
        <v>0</v>
      </c>
      <c r="X7" s="1"/>
      <c r="Y7" s="2">
        <f t="shared" si="7"/>
        <v>0</v>
      </c>
      <c r="Z7" s="7">
        <f>R7*Paramètres!$B$10</f>
        <v>0</v>
      </c>
      <c r="AA7" s="7">
        <f>S7*Paramètres!$B$10</f>
        <v>0</v>
      </c>
      <c r="AB7" s="7"/>
      <c r="AC7" s="2">
        <f t="shared" si="8"/>
        <v>0</v>
      </c>
      <c r="AD7" s="1">
        <f t="shared" si="12"/>
        <v>0</v>
      </c>
      <c r="AE7" s="1">
        <f t="shared" si="9"/>
        <v>0</v>
      </c>
      <c r="AF7" s="1">
        <f>IF(B7="",0,Paramètres!$B$53*1.5)</f>
        <v>0</v>
      </c>
      <c r="AG7" s="1">
        <f>IF(C7="",0,Paramètres!$B$53*1.5)</f>
        <v>0</v>
      </c>
      <c r="AH7" s="1"/>
      <c r="AI7" s="1"/>
      <c r="AJ7" s="1"/>
      <c r="AK7" s="1"/>
      <c r="AL7" s="1">
        <f>(U7*Paramètres!$B$53)*3</f>
        <v>0</v>
      </c>
      <c r="AM7" s="1">
        <f t="shared" si="10"/>
        <v>0</v>
      </c>
      <c r="AN7" s="1">
        <f>U7*Paramètres!$B$75</f>
        <v>0</v>
      </c>
      <c r="AO7" s="1">
        <f>U7*Paramètres!$B$72*Paramètres!$B$73</f>
        <v>0</v>
      </c>
      <c r="AP7" s="1"/>
      <c r="AQ7" s="1">
        <f>(Y7+AC7)*Paramètres!$B$42*Paramètres!$B$53</f>
        <v>0</v>
      </c>
      <c r="AR7" s="1"/>
      <c r="AS7" s="7">
        <f>ROUNDUP(D7*Paramètres!$B$23*Paramètres!$B$26,-1)</f>
        <v>0</v>
      </c>
      <c r="AT7" s="7"/>
      <c r="AU7" s="1"/>
      <c r="AV7" s="8"/>
      <c r="AW7" s="8"/>
      <c r="AX7" s="8"/>
      <c r="AY7" s="8"/>
      <c r="AZ7" s="8"/>
      <c r="BA7" s="8"/>
      <c r="BB7" s="44"/>
      <c r="BC7" s="44"/>
      <c r="BD7" s="8"/>
      <c r="BE7" s="8"/>
      <c r="BF7" s="8"/>
      <c r="BG7" s="44"/>
      <c r="BI7">
        <f t="shared" si="11"/>
        <v>0</v>
      </c>
    </row>
    <row r="8" spans="1:61" x14ac:dyDescent="0.25">
      <c r="A8">
        <v>6</v>
      </c>
      <c r="C8" s="1"/>
      <c r="D8" s="1"/>
      <c r="E8" s="1"/>
      <c r="F8" s="47"/>
      <c r="G8" s="53"/>
      <c r="H8" s="53"/>
      <c r="I8" s="53"/>
      <c r="J8" s="50">
        <f>F8*Paramètres!$B$3</f>
        <v>0</v>
      </c>
      <c r="K8" s="56">
        <f t="shared" si="0"/>
        <v>0</v>
      </c>
      <c r="L8" s="56">
        <f t="shared" si="1"/>
        <v>0</v>
      </c>
      <c r="M8" s="56">
        <f t="shared" si="2"/>
        <v>0</v>
      </c>
      <c r="N8" s="3">
        <f>ROUNDUP(J8*Paramètres!$B$19,-1)</f>
        <v>0</v>
      </c>
      <c r="O8" s="1">
        <f t="shared" si="3"/>
        <v>0</v>
      </c>
      <c r="P8" s="1">
        <f t="shared" si="4"/>
        <v>0</v>
      </c>
      <c r="Q8" s="3">
        <f t="shared" si="5"/>
        <v>0</v>
      </c>
      <c r="R8" s="47">
        <f>ROUNDUP(+K8/Paramètres!$B$4/Paramètres!$B$53,0)</f>
        <v>0</v>
      </c>
      <c r="S8" s="47">
        <f>ROUNDUP(+L8/Paramètres!$B$6/Paramètres!$B$53,0)</f>
        <v>0</v>
      </c>
      <c r="T8" s="47"/>
      <c r="U8" s="2">
        <f t="shared" si="6"/>
        <v>0</v>
      </c>
      <c r="V8" s="1">
        <f>R8*Paramètres!$B$7</f>
        <v>0</v>
      </c>
      <c r="W8" s="1">
        <f>S8*Paramètres!$B$9</f>
        <v>0</v>
      </c>
      <c r="X8" s="1"/>
      <c r="Y8" s="2">
        <f t="shared" si="7"/>
        <v>0</v>
      </c>
      <c r="Z8" s="7">
        <f>R8*Paramètres!$B$10</f>
        <v>0</v>
      </c>
      <c r="AA8" s="7">
        <f>S8*Paramètres!$B$10</f>
        <v>0</v>
      </c>
      <c r="AB8" s="7"/>
      <c r="AC8" s="2">
        <f t="shared" si="8"/>
        <v>0</v>
      </c>
      <c r="AD8" s="1">
        <f t="shared" si="12"/>
        <v>0</v>
      </c>
      <c r="AE8" s="1">
        <f t="shared" si="9"/>
        <v>0</v>
      </c>
      <c r="AF8" s="1">
        <f>IF(B8="",0,Paramètres!$B$53*1.5)</f>
        <v>0</v>
      </c>
      <c r="AG8" s="1">
        <f>IF(C8="",0,Paramètres!$B$53*1.5)</f>
        <v>0</v>
      </c>
      <c r="AH8" s="1"/>
      <c r="AI8" s="1"/>
      <c r="AJ8" s="1"/>
      <c r="AK8" s="1"/>
      <c r="AL8" s="1">
        <f>(U8*Paramètres!$B$53)*3</f>
        <v>0</v>
      </c>
      <c r="AM8" s="1">
        <f t="shared" si="10"/>
        <v>0</v>
      </c>
      <c r="AN8" s="1">
        <f>U8*Paramètres!$B$75</f>
        <v>0</v>
      </c>
      <c r="AO8" s="1">
        <f>U8*Paramètres!$B$72*Paramètres!$B$73</f>
        <v>0</v>
      </c>
      <c r="AP8" s="1"/>
      <c r="AQ8" s="1">
        <f>(Y8+AC8)*Paramètres!$B$42*Paramètres!$B$53</f>
        <v>0</v>
      </c>
      <c r="AR8" s="1"/>
      <c r="AS8" s="7">
        <f>ROUNDUP(D8*Paramètres!$B$23*Paramètres!$B$26,-1)</f>
        <v>0</v>
      </c>
      <c r="AT8" s="7"/>
      <c r="AU8" s="1"/>
      <c r="AV8" s="8"/>
      <c r="AW8" s="8"/>
      <c r="AX8" s="8"/>
      <c r="AY8" s="8"/>
      <c r="AZ8" s="8"/>
      <c r="BA8" s="8"/>
      <c r="BB8" s="44"/>
      <c r="BC8" s="44"/>
      <c r="BD8" s="8"/>
      <c r="BE8" s="8"/>
      <c r="BF8" s="8"/>
      <c r="BG8" s="44"/>
      <c r="BI8">
        <f t="shared" si="11"/>
        <v>0</v>
      </c>
    </row>
    <row r="9" spans="1:61" x14ac:dyDescent="0.25">
      <c r="A9">
        <v>7</v>
      </c>
      <c r="F9" s="47"/>
      <c r="G9" s="53"/>
      <c r="H9" s="53"/>
      <c r="I9" s="53"/>
      <c r="J9" s="50">
        <f>F9*Paramètres!$B$3</f>
        <v>0</v>
      </c>
      <c r="K9" s="56">
        <f t="shared" si="0"/>
        <v>0</v>
      </c>
      <c r="L9" s="56">
        <f t="shared" si="1"/>
        <v>0</v>
      </c>
      <c r="M9" s="56">
        <f t="shared" si="2"/>
        <v>0</v>
      </c>
      <c r="N9" s="3">
        <f>ROUNDUP(J9*Paramètres!$B$19,-1)</f>
        <v>0</v>
      </c>
      <c r="O9" s="1">
        <f t="shared" si="3"/>
        <v>0</v>
      </c>
      <c r="P9" s="1">
        <f t="shared" si="4"/>
        <v>0</v>
      </c>
      <c r="Q9" s="3">
        <f t="shared" si="5"/>
        <v>0</v>
      </c>
      <c r="R9" s="47">
        <f>ROUNDUP(+K9/Paramètres!$B$4/Paramètres!$B$53,0)</f>
        <v>0</v>
      </c>
      <c r="S9" s="47">
        <f>ROUNDUP(+L9/Paramètres!$B$6/Paramètres!$B$53,0)</f>
        <v>0</v>
      </c>
      <c r="T9" s="47"/>
      <c r="U9" s="2">
        <f t="shared" si="6"/>
        <v>0</v>
      </c>
      <c r="V9" s="1">
        <f>R9*Paramètres!$B$7</f>
        <v>0</v>
      </c>
      <c r="W9" s="1">
        <f>S9*Paramètres!$B$9</f>
        <v>0</v>
      </c>
      <c r="X9" s="1"/>
      <c r="Y9" s="2">
        <f t="shared" si="7"/>
        <v>0</v>
      </c>
      <c r="Z9" s="7">
        <f>R9*Paramètres!$B$10</f>
        <v>0</v>
      </c>
      <c r="AA9" s="7">
        <f>S9*Paramètres!$B$10</f>
        <v>0</v>
      </c>
      <c r="AB9" s="7"/>
      <c r="AC9" s="2">
        <f t="shared" si="8"/>
        <v>0</v>
      </c>
      <c r="AD9" s="1">
        <f t="shared" si="12"/>
        <v>0</v>
      </c>
      <c r="AE9" s="1">
        <f t="shared" si="9"/>
        <v>0</v>
      </c>
      <c r="AF9" s="1">
        <f>IF(B9="",0,Paramètres!$B$53*1.5)</f>
        <v>0</v>
      </c>
      <c r="AG9" s="1">
        <f>IF(C9="",0,Paramètres!$B$53*1.5)</f>
        <v>0</v>
      </c>
      <c r="AH9" s="1"/>
      <c r="AI9" s="1"/>
      <c r="AJ9" s="1"/>
      <c r="AK9" s="1"/>
      <c r="AL9" s="1">
        <f>(U9*Paramètres!$B$53)*3</f>
        <v>0</v>
      </c>
      <c r="AM9" s="1">
        <f t="shared" si="10"/>
        <v>0</v>
      </c>
      <c r="AN9" s="1">
        <f>U9*Paramètres!$B$75</f>
        <v>0</v>
      </c>
      <c r="AO9" s="1">
        <f>U9*Paramètres!$B$72*Paramètres!$B$73</f>
        <v>0</v>
      </c>
      <c r="AP9" s="1"/>
      <c r="AQ9" s="1">
        <f>(Y9+AC9)*Paramètres!$B$42*Paramètres!$B$53</f>
        <v>0</v>
      </c>
      <c r="AR9" s="1"/>
      <c r="AS9" s="7">
        <f>ROUNDUP(D9*Paramètres!$B$23*Paramètres!$B$26,-1)</f>
        <v>0</v>
      </c>
      <c r="AT9" s="7"/>
      <c r="AU9" s="1"/>
      <c r="AV9" s="8"/>
      <c r="AW9" s="8"/>
      <c r="AX9" s="8"/>
      <c r="AY9" s="8"/>
      <c r="AZ9" s="8"/>
      <c r="BA9" s="8"/>
      <c r="BB9" s="44"/>
      <c r="BC9" s="44"/>
      <c r="BD9" s="8"/>
      <c r="BE9" s="8"/>
      <c r="BF9" s="8"/>
      <c r="BG9" s="44"/>
      <c r="BI9">
        <f t="shared" si="11"/>
        <v>0</v>
      </c>
    </row>
    <row r="10" spans="1:61" x14ac:dyDescent="0.25">
      <c r="A10">
        <v>8</v>
      </c>
      <c r="F10" s="47"/>
      <c r="G10" s="53"/>
      <c r="H10" s="53"/>
      <c r="I10" s="53"/>
      <c r="J10" s="50">
        <f>F10*Paramètres!$B$3</f>
        <v>0</v>
      </c>
      <c r="K10" s="56">
        <f t="shared" si="0"/>
        <v>0</v>
      </c>
      <c r="L10" s="56">
        <f t="shared" si="1"/>
        <v>0</v>
      </c>
      <c r="M10" s="56">
        <f t="shared" si="2"/>
        <v>0</v>
      </c>
      <c r="N10" s="3">
        <f>ROUNDUP(J10*Paramètres!$B$19,-1)</f>
        <v>0</v>
      </c>
      <c r="O10" s="1">
        <f t="shared" si="3"/>
        <v>0</v>
      </c>
      <c r="P10" s="1">
        <f t="shared" si="4"/>
        <v>0</v>
      </c>
      <c r="Q10" s="3">
        <f t="shared" si="5"/>
        <v>0</v>
      </c>
      <c r="R10" s="47">
        <f>ROUNDUP(+K10/Paramètres!$B$4/Paramètres!$B$53,0)</f>
        <v>0</v>
      </c>
      <c r="S10" s="47">
        <f>ROUNDUP(+L10/Paramètres!$B$6/Paramètres!$B$53,0)</f>
        <v>0</v>
      </c>
      <c r="T10" s="47"/>
      <c r="U10" s="2">
        <f t="shared" si="6"/>
        <v>0</v>
      </c>
      <c r="V10" s="1">
        <f>R10*Paramètres!$B$7</f>
        <v>0</v>
      </c>
      <c r="W10" s="1">
        <f>S10*Paramètres!$B$9</f>
        <v>0</v>
      </c>
      <c r="X10" s="1"/>
      <c r="Y10" s="2">
        <f t="shared" si="7"/>
        <v>0</v>
      </c>
      <c r="Z10" s="7">
        <f>R10*Paramètres!$B$10</f>
        <v>0</v>
      </c>
      <c r="AA10" s="7">
        <f>S10*Paramètres!$B$10</f>
        <v>0</v>
      </c>
      <c r="AB10" s="7"/>
      <c r="AC10" s="2">
        <f t="shared" si="8"/>
        <v>0</v>
      </c>
      <c r="AD10" s="1">
        <f t="shared" si="12"/>
        <v>0</v>
      </c>
      <c r="AE10" s="1">
        <f t="shared" si="9"/>
        <v>0</v>
      </c>
      <c r="AF10" s="1">
        <f>IF(B10="",0,Paramètres!$B$53*1.5)</f>
        <v>0</v>
      </c>
      <c r="AG10" s="1">
        <f>IF(C10="",0,Paramètres!$B$53*1.5)</f>
        <v>0</v>
      </c>
      <c r="AH10" s="1"/>
      <c r="AI10" s="1"/>
      <c r="AJ10" s="1"/>
      <c r="AK10" s="1"/>
      <c r="AL10" s="1">
        <f>(U10*Paramètres!$B$53)*3</f>
        <v>0</v>
      </c>
      <c r="AM10" s="1">
        <f t="shared" si="10"/>
        <v>0</v>
      </c>
      <c r="AN10" s="1">
        <f>U10*Paramètres!$B$75</f>
        <v>0</v>
      </c>
      <c r="AO10" s="1">
        <f>U10*Paramètres!$B$72*Paramètres!$B$73</f>
        <v>0</v>
      </c>
      <c r="AP10" s="1"/>
      <c r="AQ10" s="1">
        <f>(Y10+AC10)*Paramètres!$B$42*Paramètres!$B$53</f>
        <v>0</v>
      </c>
      <c r="AR10" s="1"/>
      <c r="AS10" s="7">
        <f>ROUNDUP(D10*Paramètres!$B$23*Paramètres!$B$26,-1)</f>
        <v>0</v>
      </c>
      <c r="AT10" s="7"/>
      <c r="AU10" s="1"/>
      <c r="AV10" s="8"/>
      <c r="AW10" s="8"/>
      <c r="AX10" s="8"/>
      <c r="AY10" s="8"/>
      <c r="AZ10" s="8"/>
      <c r="BA10" s="8"/>
      <c r="BB10" s="44"/>
      <c r="BC10" s="44"/>
      <c r="BD10" s="8"/>
      <c r="BE10" s="8"/>
      <c r="BF10" s="8"/>
      <c r="BG10" s="44"/>
      <c r="BI10">
        <f t="shared" si="11"/>
        <v>0</v>
      </c>
    </row>
    <row r="11" spans="1:61" x14ac:dyDescent="0.25">
      <c r="A11">
        <v>9</v>
      </c>
      <c r="C11" s="1"/>
      <c r="D11" s="1"/>
      <c r="E11" s="1"/>
      <c r="F11" s="47"/>
      <c r="G11" s="53"/>
      <c r="H11" s="53"/>
      <c r="I11" s="53"/>
      <c r="J11" s="50">
        <f>F11*Paramètres!$B$3</f>
        <v>0</v>
      </c>
      <c r="K11" s="56">
        <f t="shared" si="0"/>
        <v>0</v>
      </c>
      <c r="L11" s="56">
        <f t="shared" si="1"/>
        <v>0</v>
      </c>
      <c r="M11" s="56">
        <f t="shared" si="2"/>
        <v>0</v>
      </c>
      <c r="N11" s="3">
        <f>ROUNDUP(J11*Paramètres!$B$19,-1)</f>
        <v>0</v>
      </c>
      <c r="O11" s="1">
        <f t="shared" si="3"/>
        <v>0</v>
      </c>
      <c r="P11" s="1">
        <f t="shared" si="4"/>
        <v>0</v>
      </c>
      <c r="Q11" s="3">
        <f t="shared" si="5"/>
        <v>0</v>
      </c>
      <c r="R11" s="47">
        <f>ROUNDUP(+K11/Paramètres!$B$4/Paramètres!$B$53,0)</f>
        <v>0</v>
      </c>
      <c r="S11" s="47">
        <f>ROUNDUP(+L11/Paramètres!$B$6/Paramètres!$B$53,0)</f>
        <v>0</v>
      </c>
      <c r="T11" s="47"/>
      <c r="U11" s="2">
        <f t="shared" si="6"/>
        <v>0</v>
      </c>
      <c r="V11" s="1">
        <f>R11*Paramètres!$B$7</f>
        <v>0</v>
      </c>
      <c r="W11" s="1">
        <f>S11*Paramètres!$B$9</f>
        <v>0</v>
      </c>
      <c r="X11" s="1"/>
      <c r="Y11" s="2">
        <f t="shared" si="7"/>
        <v>0</v>
      </c>
      <c r="Z11" s="7">
        <f>R11*Paramètres!$B$10</f>
        <v>0</v>
      </c>
      <c r="AA11" s="7">
        <f>S11*Paramètres!$B$10</f>
        <v>0</v>
      </c>
      <c r="AB11" s="7"/>
      <c r="AC11" s="2">
        <f t="shared" si="8"/>
        <v>0</v>
      </c>
      <c r="AD11" s="1">
        <f t="shared" si="12"/>
        <v>0</v>
      </c>
      <c r="AE11" s="1">
        <f t="shared" si="9"/>
        <v>0</v>
      </c>
      <c r="AF11" s="1">
        <f>IF(B11="",0,Paramètres!$B$53*1.5)</f>
        <v>0</v>
      </c>
      <c r="AG11" s="1">
        <f>IF(C11="",0,Paramètres!$B$53*1.5)</f>
        <v>0</v>
      </c>
      <c r="AH11" s="1"/>
      <c r="AI11" s="1"/>
      <c r="AJ11" s="1"/>
      <c r="AK11" s="1"/>
      <c r="AL11" s="1">
        <f>(U11*Paramètres!$B$53)*3</f>
        <v>0</v>
      </c>
      <c r="AM11" s="1">
        <f t="shared" si="10"/>
        <v>0</v>
      </c>
      <c r="AN11" s="1">
        <f>U11*Paramètres!$B$75</f>
        <v>0</v>
      </c>
      <c r="AO11" s="1">
        <f>U11*Paramètres!$B$72*Paramètres!$B$73</f>
        <v>0</v>
      </c>
      <c r="AP11" s="1"/>
      <c r="AQ11" s="1">
        <f>(Y11+AC11)*Paramètres!$B$42*Paramètres!$B$53</f>
        <v>0</v>
      </c>
      <c r="AR11" s="1"/>
      <c r="AS11" s="7">
        <f>ROUNDUP(D11*Paramètres!$B$23*Paramètres!$B$26,-1)</f>
        <v>0</v>
      </c>
      <c r="AT11" s="7"/>
      <c r="AU11" s="1"/>
      <c r="AV11" s="8"/>
      <c r="AW11" s="8"/>
      <c r="AX11" s="8"/>
      <c r="AY11" s="8"/>
      <c r="AZ11" s="8"/>
      <c r="BA11" s="8"/>
      <c r="BB11" s="44"/>
      <c r="BC11" s="44"/>
      <c r="BD11" s="8"/>
      <c r="BE11" s="8"/>
      <c r="BF11" s="8"/>
      <c r="BG11" s="44"/>
      <c r="BI11">
        <f t="shared" si="11"/>
        <v>0</v>
      </c>
    </row>
    <row r="12" spans="1:61" x14ac:dyDescent="0.25">
      <c r="A12">
        <v>10</v>
      </c>
      <c r="C12" s="1"/>
      <c r="D12" s="1"/>
      <c r="E12" s="1"/>
      <c r="F12" s="47"/>
      <c r="G12" s="53"/>
      <c r="H12" s="53"/>
      <c r="I12" s="53"/>
      <c r="J12" s="50">
        <f>F12*Paramètres!$B$3</f>
        <v>0</v>
      </c>
      <c r="K12" s="56">
        <f t="shared" si="0"/>
        <v>0</v>
      </c>
      <c r="L12" s="56">
        <f t="shared" si="1"/>
        <v>0</v>
      </c>
      <c r="M12" s="56">
        <f t="shared" si="2"/>
        <v>0</v>
      </c>
      <c r="N12" s="3">
        <f>ROUNDUP(J12*Paramètres!$B$19,-1)</f>
        <v>0</v>
      </c>
      <c r="O12" s="1">
        <f t="shared" si="3"/>
        <v>0</v>
      </c>
      <c r="P12" s="1">
        <f t="shared" si="4"/>
        <v>0</v>
      </c>
      <c r="Q12" s="3">
        <f t="shared" si="5"/>
        <v>0</v>
      </c>
      <c r="R12" s="47">
        <f>ROUNDUP(+K12/Paramètres!$B$4/Paramètres!$B$53,0)</f>
        <v>0</v>
      </c>
      <c r="S12" s="47">
        <f>ROUNDUP(+L12/Paramètres!$B$6/Paramètres!$B$53,0)</f>
        <v>0</v>
      </c>
      <c r="T12" s="47"/>
      <c r="U12" s="2">
        <f t="shared" si="6"/>
        <v>0</v>
      </c>
      <c r="V12" s="1">
        <f>R12*Paramètres!$B$7</f>
        <v>0</v>
      </c>
      <c r="W12" s="1">
        <f>S12*Paramètres!$B$9</f>
        <v>0</v>
      </c>
      <c r="X12" s="1"/>
      <c r="Y12" s="2">
        <f t="shared" si="7"/>
        <v>0</v>
      </c>
      <c r="Z12" s="7">
        <f>R12*Paramètres!$B$10</f>
        <v>0</v>
      </c>
      <c r="AA12" s="7">
        <f>S12*Paramètres!$B$10</f>
        <v>0</v>
      </c>
      <c r="AB12" s="7"/>
      <c r="AC12" s="2">
        <f t="shared" si="8"/>
        <v>0</v>
      </c>
      <c r="AD12" s="1">
        <f t="shared" si="12"/>
        <v>0</v>
      </c>
      <c r="AE12" s="1">
        <f t="shared" si="9"/>
        <v>0</v>
      </c>
      <c r="AF12" s="1">
        <f>IF(B12="",0,Paramètres!$B$53*1.5)</f>
        <v>0</v>
      </c>
      <c r="AG12" s="1">
        <f>IF(C12="",0,Paramètres!$B$53*1.5)</f>
        <v>0</v>
      </c>
      <c r="AH12" s="1"/>
      <c r="AI12" s="1"/>
      <c r="AJ12" s="1"/>
      <c r="AK12" s="1"/>
      <c r="AL12" s="1">
        <f>(U12*Paramètres!$B$53)*3</f>
        <v>0</v>
      </c>
      <c r="AM12" s="1">
        <f t="shared" si="10"/>
        <v>0</v>
      </c>
      <c r="AN12" s="1">
        <f>U12*Paramètres!$B$75</f>
        <v>0</v>
      </c>
      <c r="AO12" s="1">
        <f>U12*Paramètres!$B$72*Paramètres!$B$73</f>
        <v>0</v>
      </c>
      <c r="AP12" s="1"/>
      <c r="AQ12" s="1">
        <f>(Y12+AC12)*Paramètres!$B$42*Paramètres!$B$53</f>
        <v>0</v>
      </c>
      <c r="AR12" s="1"/>
      <c r="AS12" s="7">
        <f>ROUNDUP(D12*Paramètres!$B$23*Paramètres!$B$26,-1)</f>
        <v>0</v>
      </c>
      <c r="AT12" s="7"/>
      <c r="AU12" s="1"/>
      <c r="AV12" s="8"/>
      <c r="AW12" s="8"/>
      <c r="AX12" s="8"/>
      <c r="AY12" s="8"/>
      <c r="AZ12" s="8"/>
      <c r="BA12" s="8"/>
      <c r="BB12" s="44"/>
      <c r="BC12" s="44"/>
      <c r="BD12" s="8"/>
      <c r="BE12" s="8"/>
      <c r="BF12" s="8"/>
      <c r="BG12" s="44"/>
      <c r="BI12">
        <f t="shared" si="11"/>
        <v>0</v>
      </c>
    </row>
    <row r="13" spans="1:61" x14ac:dyDescent="0.25">
      <c r="A13">
        <v>11</v>
      </c>
      <c r="F13" s="47"/>
      <c r="G13" s="53"/>
      <c r="H13" s="53"/>
      <c r="I13" s="53"/>
      <c r="J13" s="50">
        <f>F13*Paramètres!$B$3</f>
        <v>0</v>
      </c>
      <c r="K13" s="56">
        <f t="shared" si="0"/>
        <v>0</v>
      </c>
      <c r="L13" s="56">
        <f t="shared" si="1"/>
        <v>0</v>
      </c>
      <c r="M13" s="56">
        <f t="shared" si="2"/>
        <v>0</v>
      </c>
      <c r="N13" s="3">
        <f>ROUNDUP(J13*Paramètres!$B$19,-1)</f>
        <v>0</v>
      </c>
      <c r="O13" s="1">
        <f t="shared" si="3"/>
        <v>0</v>
      </c>
      <c r="P13" s="1">
        <f t="shared" si="4"/>
        <v>0</v>
      </c>
      <c r="Q13" s="3">
        <f t="shared" si="5"/>
        <v>0</v>
      </c>
      <c r="R13" s="47">
        <f>ROUNDUP(+K13/Paramètres!$B$4/Paramètres!$B$53,0)</f>
        <v>0</v>
      </c>
      <c r="S13" s="47">
        <f>ROUNDUP(+L13/Paramètres!$B$6/Paramètres!$B$53,0)</f>
        <v>0</v>
      </c>
      <c r="T13" s="47"/>
      <c r="U13" s="2">
        <f t="shared" si="6"/>
        <v>0</v>
      </c>
      <c r="V13" s="1">
        <f>R13*Paramètres!$B$7</f>
        <v>0</v>
      </c>
      <c r="W13" s="1">
        <f>S13*Paramètres!$B$9</f>
        <v>0</v>
      </c>
      <c r="X13" s="1"/>
      <c r="Y13" s="2">
        <f t="shared" si="7"/>
        <v>0</v>
      </c>
      <c r="Z13" s="7">
        <f>R13*Paramètres!$B$10</f>
        <v>0</v>
      </c>
      <c r="AA13" s="7">
        <f>S13*Paramètres!$B$10</f>
        <v>0</v>
      </c>
      <c r="AB13" s="7"/>
      <c r="AC13" s="2">
        <f t="shared" si="8"/>
        <v>0</v>
      </c>
      <c r="AD13" s="1">
        <f t="shared" si="12"/>
        <v>0</v>
      </c>
      <c r="AE13" s="1">
        <f t="shared" si="9"/>
        <v>0</v>
      </c>
      <c r="AF13" s="1">
        <f>IF(B13="",0,Paramètres!$B$53*1.5)</f>
        <v>0</v>
      </c>
      <c r="AG13" s="1">
        <f>IF(C13="",0,Paramètres!$B$53*1.5)</f>
        <v>0</v>
      </c>
      <c r="AH13" s="1"/>
      <c r="AI13" s="1"/>
      <c r="AJ13" s="1"/>
      <c r="AK13" s="1"/>
      <c r="AL13" s="1">
        <f>(U13*Paramètres!$B$53)*3</f>
        <v>0</v>
      </c>
      <c r="AM13" s="1">
        <f t="shared" si="10"/>
        <v>0</v>
      </c>
      <c r="AN13" s="1">
        <f>U13*Paramètres!$B$75</f>
        <v>0</v>
      </c>
      <c r="AO13" s="1">
        <f>U13*Paramètres!$B$72*Paramètres!$B$73</f>
        <v>0</v>
      </c>
      <c r="AP13" s="1"/>
      <c r="AQ13" s="1">
        <f>(Y13+AC13)*Paramètres!$B$42*Paramètres!$B$53</f>
        <v>0</v>
      </c>
      <c r="AR13" s="1"/>
      <c r="AS13" s="7">
        <f>ROUNDUP(D13*Paramètres!$B$23*Paramètres!$B$26,-1)</f>
        <v>0</v>
      </c>
      <c r="AT13" s="7"/>
      <c r="AU13" s="1"/>
      <c r="AV13" s="8"/>
      <c r="AW13" s="8"/>
      <c r="AX13" s="8"/>
      <c r="AY13" s="8"/>
      <c r="AZ13" s="8"/>
      <c r="BA13" s="8"/>
      <c r="BB13" s="44"/>
      <c r="BC13" s="44"/>
      <c r="BD13" s="8"/>
      <c r="BE13" s="8"/>
      <c r="BF13" s="8"/>
      <c r="BG13" s="44"/>
      <c r="BI13">
        <f t="shared" si="11"/>
        <v>0</v>
      </c>
    </row>
    <row r="14" spans="1:61" x14ac:dyDescent="0.25">
      <c r="A14">
        <v>12</v>
      </c>
      <c r="F14" s="47"/>
      <c r="G14" s="53"/>
      <c r="H14" s="53"/>
      <c r="I14" s="53"/>
      <c r="J14" s="50">
        <f>F14*Paramètres!$B$3</f>
        <v>0</v>
      </c>
      <c r="K14" s="56">
        <f t="shared" si="0"/>
        <v>0</v>
      </c>
      <c r="L14" s="56">
        <f t="shared" si="1"/>
        <v>0</v>
      </c>
      <c r="M14" s="56">
        <f t="shared" si="2"/>
        <v>0</v>
      </c>
      <c r="N14" s="3">
        <f>ROUNDUP(J14*Paramètres!$B$19,-1)</f>
        <v>0</v>
      </c>
      <c r="O14" s="1">
        <f t="shared" si="3"/>
        <v>0</v>
      </c>
      <c r="P14" s="1">
        <f t="shared" si="4"/>
        <v>0</v>
      </c>
      <c r="Q14" s="3">
        <f t="shared" si="5"/>
        <v>0</v>
      </c>
      <c r="R14" s="47">
        <f>ROUNDUP(+K14/Paramètres!$B$4/Paramètres!$B$53,0)</f>
        <v>0</v>
      </c>
      <c r="S14" s="47">
        <f>ROUNDUP(+L14/Paramètres!$B$6/Paramètres!$B$53,0)</f>
        <v>0</v>
      </c>
      <c r="T14" s="47"/>
      <c r="U14" s="2">
        <f t="shared" si="6"/>
        <v>0</v>
      </c>
      <c r="V14" s="1">
        <f>R14*Paramètres!$B$7</f>
        <v>0</v>
      </c>
      <c r="W14" s="1">
        <f>S14*Paramètres!$B$9</f>
        <v>0</v>
      </c>
      <c r="X14" s="1"/>
      <c r="Y14" s="2">
        <f t="shared" si="7"/>
        <v>0</v>
      </c>
      <c r="Z14" s="7">
        <f>R14*Paramètres!$B$10</f>
        <v>0</v>
      </c>
      <c r="AA14" s="7">
        <f>S14*Paramètres!$B$10</f>
        <v>0</v>
      </c>
      <c r="AB14" s="7"/>
      <c r="AC14" s="2">
        <f t="shared" si="8"/>
        <v>0</v>
      </c>
      <c r="AD14" s="1">
        <f t="shared" si="12"/>
        <v>0</v>
      </c>
      <c r="AE14" s="1">
        <f t="shared" si="9"/>
        <v>0</v>
      </c>
      <c r="AF14" s="1">
        <f>IF(B14="",0,Paramètres!$B$53*1.5)</f>
        <v>0</v>
      </c>
      <c r="AG14" s="1">
        <f>IF(C14="",0,Paramètres!$B$53*1.5)</f>
        <v>0</v>
      </c>
      <c r="AH14" s="1"/>
      <c r="AI14" s="1"/>
      <c r="AJ14" s="1"/>
      <c r="AK14" s="1"/>
      <c r="AL14" s="1">
        <f>(U14*Paramètres!$B$53)*3</f>
        <v>0</v>
      </c>
      <c r="AM14" s="1">
        <f t="shared" si="10"/>
        <v>0</v>
      </c>
      <c r="AN14" s="1">
        <f>U14*Paramètres!$B$75</f>
        <v>0</v>
      </c>
      <c r="AO14" s="1">
        <f>U14*Paramètres!$B$72*Paramètres!$B$73</f>
        <v>0</v>
      </c>
      <c r="AP14" s="1"/>
      <c r="AQ14" s="1">
        <f>(Y14+AC14)*Paramètres!$B$42*Paramètres!$B$53</f>
        <v>0</v>
      </c>
      <c r="AR14" s="1"/>
      <c r="AS14" s="7">
        <f>ROUNDUP(D14*Paramètres!$B$23*Paramètres!$B$26,-1)</f>
        <v>0</v>
      </c>
      <c r="AT14" s="7"/>
      <c r="AU14" s="1"/>
      <c r="AV14" s="8"/>
      <c r="AW14" s="8"/>
      <c r="AX14" s="8"/>
      <c r="AY14" s="8"/>
      <c r="AZ14" s="8"/>
      <c r="BA14" s="8"/>
      <c r="BB14" s="44"/>
      <c r="BC14" s="44"/>
      <c r="BD14" s="8"/>
      <c r="BE14" s="8"/>
      <c r="BF14" s="8"/>
      <c r="BG14" s="44"/>
      <c r="BI14">
        <f t="shared" si="11"/>
        <v>0</v>
      </c>
    </row>
    <row r="15" spans="1:61" x14ac:dyDescent="0.25">
      <c r="A15">
        <v>13</v>
      </c>
      <c r="F15" s="47"/>
      <c r="G15" s="53"/>
      <c r="H15" s="53"/>
      <c r="I15" s="53"/>
      <c r="J15" s="50">
        <f>F15*Paramètres!$B$3</f>
        <v>0</v>
      </c>
      <c r="K15" s="56">
        <f t="shared" si="0"/>
        <v>0</v>
      </c>
      <c r="L15" s="56">
        <f t="shared" si="1"/>
        <v>0</v>
      </c>
      <c r="M15" s="56">
        <f t="shared" si="2"/>
        <v>0</v>
      </c>
      <c r="N15" s="3">
        <f>ROUNDUP(J15*Paramètres!$B$19,-1)</f>
        <v>0</v>
      </c>
      <c r="O15" s="1">
        <f t="shared" si="3"/>
        <v>0</v>
      </c>
      <c r="P15" s="1">
        <f t="shared" si="4"/>
        <v>0</v>
      </c>
      <c r="Q15" s="3">
        <f t="shared" si="5"/>
        <v>0</v>
      </c>
      <c r="R15" s="47">
        <f>ROUNDUP(+K15/Paramètres!$B$4/Paramètres!$B$53,0)</f>
        <v>0</v>
      </c>
      <c r="S15" s="47">
        <f>ROUNDUP(+L15/Paramètres!$B$6/Paramètres!$B$53,0)</f>
        <v>0</v>
      </c>
      <c r="T15" s="47"/>
      <c r="U15" s="2">
        <f t="shared" si="6"/>
        <v>0</v>
      </c>
      <c r="V15" s="1">
        <f>R15*Paramètres!$B$7</f>
        <v>0</v>
      </c>
      <c r="W15" s="1">
        <f>S15*Paramètres!$B$9</f>
        <v>0</v>
      </c>
      <c r="X15" s="1"/>
      <c r="Y15" s="2">
        <f t="shared" si="7"/>
        <v>0</v>
      </c>
      <c r="Z15" s="7">
        <f>R15*Paramètres!$B$10</f>
        <v>0</v>
      </c>
      <c r="AA15" s="7">
        <f>S15*Paramètres!$B$10</f>
        <v>0</v>
      </c>
      <c r="AB15" s="7"/>
      <c r="AC15" s="2">
        <f t="shared" si="8"/>
        <v>0</v>
      </c>
      <c r="AD15" s="1">
        <f t="shared" si="12"/>
        <v>0</v>
      </c>
      <c r="AE15" s="1">
        <f t="shared" si="9"/>
        <v>0</v>
      </c>
      <c r="AF15" s="1">
        <f>IF(B15="",0,Paramètres!$B$53*1.5)</f>
        <v>0</v>
      </c>
      <c r="AG15" s="1">
        <f>IF(C15="",0,Paramètres!$B$53*1.5)</f>
        <v>0</v>
      </c>
      <c r="AH15" s="1"/>
      <c r="AI15" s="1"/>
      <c r="AJ15" s="1"/>
      <c r="AK15" s="1"/>
      <c r="AL15" s="1">
        <f>(U15*Paramètres!$B$53)*3</f>
        <v>0</v>
      </c>
      <c r="AM15" s="1">
        <f t="shared" si="10"/>
        <v>0</v>
      </c>
      <c r="AN15" s="1">
        <f>U15*Paramètres!$B$75</f>
        <v>0</v>
      </c>
      <c r="AO15" s="1">
        <f>U15*Paramètres!$B$72*Paramètres!$B$73</f>
        <v>0</v>
      </c>
      <c r="AP15" s="1"/>
      <c r="AQ15" s="1">
        <f>(Y15+AC15)*Paramètres!$B$42*Paramètres!$B$53</f>
        <v>0</v>
      </c>
      <c r="AR15" s="1"/>
      <c r="AS15" s="7">
        <f>ROUNDUP(D15*Paramètres!$B$23*Paramètres!$B$26,-1)</f>
        <v>0</v>
      </c>
      <c r="AT15" s="7"/>
      <c r="AU15" s="1"/>
      <c r="AV15" s="8"/>
      <c r="AW15" s="8"/>
      <c r="AX15" s="8"/>
      <c r="AY15" s="8"/>
      <c r="AZ15" s="8"/>
      <c r="BA15" s="8"/>
      <c r="BB15" s="44"/>
      <c r="BC15" s="44"/>
      <c r="BD15" s="8"/>
      <c r="BE15" s="8"/>
      <c r="BF15" s="8"/>
      <c r="BG15" s="44"/>
      <c r="BI15">
        <f t="shared" si="11"/>
        <v>0</v>
      </c>
    </row>
    <row r="16" spans="1:61" x14ac:dyDescent="0.25">
      <c r="A16">
        <v>14</v>
      </c>
      <c r="F16" s="47"/>
      <c r="G16" s="53"/>
      <c r="H16" s="53"/>
      <c r="I16" s="53"/>
      <c r="J16" s="50">
        <f>F16*Paramètres!$B$3</f>
        <v>0</v>
      </c>
      <c r="K16" s="56">
        <f t="shared" si="0"/>
        <v>0</v>
      </c>
      <c r="L16" s="56">
        <f t="shared" si="1"/>
        <v>0</v>
      </c>
      <c r="M16" s="56">
        <f t="shared" si="2"/>
        <v>0</v>
      </c>
      <c r="N16" s="3">
        <f>ROUNDUP(J16*Paramètres!$B$19,-1)</f>
        <v>0</v>
      </c>
      <c r="O16" s="1">
        <f t="shared" si="3"/>
        <v>0</v>
      </c>
      <c r="P16" s="1">
        <f t="shared" si="4"/>
        <v>0</v>
      </c>
      <c r="Q16" s="3">
        <f t="shared" si="5"/>
        <v>0</v>
      </c>
      <c r="R16" s="47">
        <f>ROUNDUP(+K16/Paramètres!$B$4/Paramètres!$B$53,0)</f>
        <v>0</v>
      </c>
      <c r="S16" s="47">
        <f>ROUNDUP(+L16/Paramètres!$B$6/Paramètres!$B$53,0)</f>
        <v>0</v>
      </c>
      <c r="T16" s="47"/>
      <c r="U16" s="2">
        <f t="shared" si="6"/>
        <v>0</v>
      </c>
      <c r="V16" s="1">
        <f>R16*Paramètres!$B$7</f>
        <v>0</v>
      </c>
      <c r="W16" s="1">
        <f>S16*Paramètres!$B$9</f>
        <v>0</v>
      </c>
      <c r="X16" s="1"/>
      <c r="Y16" s="2">
        <f t="shared" si="7"/>
        <v>0</v>
      </c>
      <c r="Z16" s="7">
        <f>R16*Paramètres!$B$10</f>
        <v>0</v>
      </c>
      <c r="AA16" s="7">
        <f>S16*Paramètres!$B$10</f>
        <v>0</v>
      </c>
      <c r="AB16" s="7"/>
      <c r="AC16" s="2">
        <f t="shared" si="8"/>
        <v>0</v>
      </c>
      <c r="AD16" s="1">
        <f t="shared" si="12"/>
        <v>0</v>
      </c>
      <c r="AE16" s="1">
        <f t="shared" si="9"/>
        <v>0</v>
      </c>
      <c r="AF16" s="1">
        <f>IF(B16="",0,Paramètres!$B$53*1.5)</f>
        <v>0</v>
      </c>
      <c r="AG16" s="1">
        <f>IF(C16="",0,Paramètres!$B$53*1.5)</f>
        <v>0</v>
      </c>
      <c r="AH16" s="1"/>
      <c r="AI16" s="1"/>
      <c r="AJ16" s="1"/>
      <c r="AK16" s="1"/>
      <c r="AL16" s="1">
        <f>(U16*Paramètres!$B$53)*3</f>
        <v>0</v>
      </c>
      <c r="AM16" s="1">
        <f t="shared" si="10"/>
        <v>0</v>
      </c>
      <c r="AN16" s="1">
        <f>U16*Paramètres!$B$75</f>
        <v>0</v>
      </c>
      <c r="AO16" s="1">
        <f>U16*Paramètres!$B$72*Paramètres!$B$73</f>
        <v>0</v>
      </c>
      <c r="AP16" s="1"/>
      <c r="AQ16" s="1">
        <f>(Y16+AC16)*Paramètres!$B$42*Paramètres!$B$53</f>
        <v>0</v>
      </c>
      <c r="AR16" s="1"/>
      <c r="AS16" s="7">
        <f>ROUNDUP(D16*Paramètres!$B$23*Paramètres!$B$26,-1)</f>
        <v>0</v>
      </c>
      <c r="AT16" s="7"/>
      <c r="AU16" s="1"/>
      <c r="AV16" s="8"/>
      <c r="AW16" s="8"/>
      <c r="AX16" s="8"/>
      <c r="AY16" s="8"/>
      <c r="AZ16" s="8"/>
      <c r="BA16" s="8"/>
      <c r="BB16" s="44"/>
      <c r="BC16" s="44"/>
      <c r="BD16" s="8"/>
      <c r="BE16" s="8"/>
      <c r="BF16" s="8"/>
      <c r="BG16" s="44"/>
      <c r="BI16">
        <f t="shared" si="11"/>
        <v>0</v>
      </c>
    </row>
    <row r="17" spans="1:61" x14ac:dyDescent="0.25">
      <c r="A17">
        <v>15</v>
      </c>
      <c r="F17" s="47"/>
      <c r="G17" s="53"/>
      <c r="H17" s="53"/>
      <c r="I17" s="53"/>
      <c r="J17" s="50">
        <f>F17*Paramètres!$B$3</f>
        <v>0</v>
      </c>
      <c r="K17" s="56">
        <f t="shared" si="0"/>
        <v>0</v>
      </c>
      <c r="L17" s="56">
        <f t="shared" si="1"/>
        <v>0</v>
      </c>
      <c r="M17" s="56">
        <f t="shared" si="2"/>
        <v>0</v>
      </c>
      <c r="N17" s="3">
        <f>ROUNDUP(J17*Paramètres!$B$19,-1)</f>
        <v>0</v>
      </c>
      <c r="O17" s="1">
        <f t="shared" si="3"/>
        <v>0</v>
      </c>
      <c r="P17" s="1">
        <f t="shared" si="4"/>
        <v>0</v>
      </c>
      <c r="Q17" s="3">
        <f t="shared" si="5"/>
        <v>0</v>
      </c>
      <c r="R17" s="47">
        <f>ROUNDUP(+K17/Paramètres!$B$4/Paramètres!$B$53,0)</f>
        <v>0</v>
      </c>
      <c r="S17" s="47">
        <f>ROUNDUP(+L17/Paramètres!$B$6/Paramètres!$B$53,0)</f>
        <v>0</v>
      </c>
      <c r="T17" s="47"/>
      <c r="U17" s="2">
        <f t="shared" si="6"/>
        <v>0</v>
      </c>
      <c r="V17" s="1">
        <f>R17*Paramètres!$B$7</f>
        <v>0</v>
      </c>
      <c r="W17" s="1">
        <f>S17*Paramètres!$B$9</f>
        <v>0</v>
      </c>
      <c r="X17" s="1"/>
      <c r="Y17" s="2">
        <f t="shared" si="7"/>
        <v>0</v>
      </c>
      <c r="Z17" s="7">
        <f>R17*Paramètres!$B$10</f>
        <v>0</v>
      </c>
      <c r="AA17" s="7">
        <f>S17*Paramètres!$B$10</f>
        <v>0</v>
      </c>
      <c r="AB17" s="7"/>
      <c r="AC17" s="2">
        <f t="shared" si="8"/>
        <v>0</v>
      </c>
      <c r="AD17" s="1">
        <f t="shared" si="12"/>
        <v>0</v>
      </c>
      <c r="AE17" s="1">
        <f t="shared" si="9"/>
        <v>0</v>
      </c>
      <c r="AF17" s="1">
        <f>IF(B17="",0,Paramètres!$B$53*1.5)</f>
        <v>0</v>
      </c>
      <c r="AG17" s="1">
        <f>IF(C17="",0,Paramètres!$B$53*1.5)</f>
        <v>0</v>
      </c>
      <c r="AH17" s="1"/>
      <c r="AI17" s="1"/>
      <c r="AJ17" s="1"/>
      <c r="AK17" s="1"/>
      <c r="AL17" s="1">
        <f>(U17*Paramètres!$B$53)*3</f>
        <v>0</v>
      </c>
      <c r="AM17" s="1">
        <f t="shared" si="10"/>
        <v>0</v>
      </c>
      <c r="AN17" s="1">
        <f>U17*Paramètres!$B$75</f>
        <v>0</v>
      </c>
      <c r="AO17" s="1">
        <f>U17*Paramètres!$B$72*Paramètres!$B$73</f>
        <v>0</v>
      </c>
      <c r="AP17" s="1"/>
      <c r="AQ17" s="1">
        <f>(Y17+AC17)*Paramètres!$B$42*Paramètres!$B$53</f>
        <v>0</v>
      </c>
      <c r="AR17" s="1"/>
      <c r="AS17" s="7">
        <f>ROUNDUP(D17*Paramètres!$B$23*Paramètres!$B$26,-1)</f>
        <v>0</v>
      </c>
      <c r="AT17" s="7"/>
      <c r="AU17" s="1"/>
      <c r="AV17" s="8"/>
      <c r="AW17" s="8"/>
      <c r="AX17" s="8"/>
      <c r="AY17" s="8"/>
      <c r="AZ17" s="8"/>
      <c r="BA17" s="8"/>
      <c r="BB17" s="44"/>
      <c r="BC17" s="44"/>
      <c r="BD17" s="8"/>
      <c r="BE17" s="8"/>
      <c r="BF17" s="8"/>
      <c r="BG17" s="44"/>
      <c r="BI17">
        <f t="shared" si="11"/>
        <v>0</v>
      </c>
    </row>
    <row r="18" spans="1:61" x14ac:dyDescent="0.25">
      <c r="A18">
        <v>16</v>
      </c>
      <c r="F18" s="47"/>
      <c r="G18" s="53"/>
      <c r="H18" s="53"/>
      <c r="I18" s="53"/>
      <c r="J18" s="50">
        <f>F18*Paramètres!$B$3</f>
        <v>0</v>
      </c>
      <c r="K18" s="56">
        <f t="shared" si="0"/>
        <v>0</v>
      </c>
      <c r="L18" s="56">
        <f t="shared" si="1"/>
        <v>0</v>
      </c>
      <c r="M18" s="56">
        <f t="shared" si="2"/>
        <v>0</v>
      </c>
      <c r="N18" s="3">
        <f>ROUNDUP(J18*Paramètres!$B$19,-1)</f>
        <v>0</v>
      </c>
      <c r="O18" s="1">
        <f t="shared" si="3"/>
        <v>0</v>
      </c>
      <c r="P18" s="1">
        <f t="shared" si="4"/>
        <v>0</v>
      </c>
      <c r="Q18" s="3">
        <f t="shared" si="5"/>
        <v>0</v>
      </c>
      <c r="R18" s="47">
        <f>ROUNDUP(+K18/Paramètres!$B$4/Paramètres!$B$53,0)</f>
        <v>0</v>
      </c>
      <c r="S18" s="47">
        <f>ROUNDUP(+L18/Paramètres!$B$6/Paramètres!$B$53,0)</f>
        <v>0</v>
      </c>
      <c r="T18" s="47"/>
      <c r="U18" s="2">
        <f t="shared" si="6"/>
        <v>0</v>
      </c>
      <c r="V18" s="1">
        <f>R18*Paramètres!$B$7</f>
        <v>0</v>
      </c>
      <c r="W18" s="1">
        <f>S18*Paramètres!$B$9</f>
        <v>0</v>
      </c>
      <c r="X18" s="1"/>
      <c r="Y18" s="2">
        <f t="shared" si="7"/>
        <v>0</v>
      </c>
      <c r="Z18" s="7">
        <f>R18*Paramètres!$B$10</f>
        <v>0</v>
      </c>
      <c r="AA18" s="7">
        <f>S18*Paramètres!$B$10</f>
        <v>0</v>
      </c>
      <c r="AB18" s="7"/>
      <c r="AC18" s="2">
        <f t="shared" si="8"/>
        <v>0</v>
      </c>
      <c r="AD18" s="1">
        <f t="shared" si="12"/>
        <v>0</v>
      </c>
      <c r="AE18" s="1">
        <f t="shared" si="9"/>
        <v>0</v>
      </c>
      <c r="AF18" s="1">
        <f>IF(B18="",0,Paramètres!$B$53*1.5)</f>
        <v>0</v>
      </c>
      <c r="AG18" s="1">
        <f>IF(C18="",0,Paramètres!$B$53*1.5)</f>
        <v>0</v>
      </c>
      <c r="AH18" s="1"/>
      <c r="AI18" s="1"/>
      <c r="AJ18" s="1"/>
      <c r="AK18" s="1"/>
      <c r="AL18" s="1">
        <f>(U18*Paramètres!$B$53)*3</f>
        <v>0</v>
      </c>
      <c r="AM18" s="1">
        <f t="shared" si="10"/>
        <v>0</v>
      </c>
      <c r="AN18" s="1">
        <f>U18*Paramètres!$B$75</f>
        <v>0</v>
      </c>
      <c r="AO18" s="1">
        <f>U18*Paramètres!$B$72*Paramètres!$B$73</f>
        <v>0</v>
      </c>
      <c r="AP18" s="1"/>
      <c r="AQ18" s="1">
        <f>(Y18+AC18)*Paramètres!$B$42*Paramètres!$B$53</f>
        <v>0</v>
      </c>
      <c r="AR18" s="1"/>
      <c r="AS18" s="7">
        <f>ROUNDUP(D18*Paramètres!$B$23*Paramètres!$B$26,-1)</f>
        <v>0</v>
      </c>
      <c r="AT18" s="7"/>
      <c r="AU18" s="1"/>
      <c r="AV18" s="8"/>
      <c r="AW18" s="8"/>
      <c r="AX18" s="8"/>
      <c r="AY18" s="8"/>
      <c r="AZ18" s="8"/>
      <c r="BA18" s="8"/>
      <c r="BB18" s="44"/>
      <c r="BC18" s="44"/>
      <c r="BD18" s="8"/>
      <c r="BE18" s="8"/>
      <c r="BF18" s="8"/>
      <c r="BG18" s="44"/>
      <c r="BI18">
        <f t="shared" si="11"/>
        <v>0</v>
      </c>
    </row>
    <row r="19" spans="1:61" x14ac:dyDescent="0.25">
      <c r="A19">
        <v>17</v>
      </c>
      <c r="F19" s="47"/>
      <c r="G19" s="53"/>
      <c r="H19" s="53"/>
      <c r="I19" s="53"/>
      <c r="J19" s="50">
        <f>F19*Paramètres!$B$3</f>
        <v>0</v>
      </c>
      <c r="K19" s="56">
        <f t="shared" si="0"/>
        <v>0</v>
      </c>
      <c r="L19" s="56">
        <f t="shared" si="1"/>
        <v>0</v>
      </c>
      <c r="M19" s="56">
        <f t="shared" si="2"/>
        <v>0</v>
      </c>
      <c r="N19" s="3">
        <f>ROUNDUP(J19*Paramètres!$B$19,-1)</f>
        <v>0</v>
      </c>
      <c r="O19" s="1">
        <f t="shared" si="3"/>
        <v>0</v>
      </c>
      <c r="P19" s="1">
        <f t="shared" si="4"/>
        <v>0</v>
      </c>
      <c r="Q19" s="3">
        <f t="shared" si="5"/>
        <v>0</v>
      </c>
      <c r="R19" s="47">
        <f>ROUNDUP(+K19/Paramètres!$B$4/Paramètres!$B$53,0)</f>
        <v>0</v>
      </c>
      <c r="S19" s="47">
        <f>ROUNDUP(+L19/Paramètres!$B$6/Paramètres!$B$53,0)</f>
        <v>0</v>
      </c>
      <c r="T19" s="47"/>
      <c r="U19" s="2">
        <f t="shared" si="6"/>
        <v>0</v>
      </c>
      <c r="V19" s="1">
        <f>R19*Paramètres!$B$7</f>
        <v>0</v>
      </c>
      <c r="W19" s="1">
        <f>S19*Paramètres!$B$9</f>
        <v>0</v>
      </c>
      <c r="X19" s="1"/>
      <c r="Y19" s="2">
        <f t="shared" si="7"/>
        <v>0</v>
      </c>
      <c r="Z19" s="7">
        <f>R19*Paramètres!$B$10</f>
        <v>0</v>
      </c>
      <c r="AA19" s="7">
        <f>S19*Paramètres!$B$10</f>
        <v>0</v>
      </c>
      <c r="AB19" s="7"/>
      <c r="AC19" s="2">
        <f t="shared" si="8"/>
        <v>0</v>
      </c>
      <c r="AD19" s="1">
        <f t="shared" si="12"/>
        <v>0</v>
      </c>
      <c r="AE19" s="1">
        <f t="shared" si="9"/>
        <v>0</v>
      </c>
      <c r="AF19" s="1">
        <f>IF(B19="",0,Paramètres!$B$53*1.5)</f>
        <v>0</v>
      </c>
      <c r="AG19" s="1">
        <f>IF(C19="",0,Paramètres!$B$53*1.5)</f>
        <v>0</v>
      </c>
      <c r="AH19" s="1"/>
      <c r="AI19" s="1"/>
      <c r="AJ19" s="1"/>
      <c r="AK19" s="1"/>
      <c r="AL19" s="1">
        <f>(U19*Paramètres!$B$53)*3</f>
        <v>0</v>
      </c>
      <c r="AM19" s="1">
        <f t="shared" si="10"/>
        <v>0</v>
      </c>
      <c r="AN19" s="1">
        <f>U19*Paramètres!$B$75</f>
        <v>0</v>
      </c>
      <c r="AO19" s="1">
        <f>U19*Paramètres!$B$72*Paramètres!$B$73</f>
        <v>0</v>
      </c>
      <c r="AP19" s="1"/>
      <c r="AQ19" s="1">
        <f>(Y19+AC19)*Paramètres!$B$42*Paramètres!$B$53</f>
        <v>0</v>
      </c>
      <c r="AR19" s="1"/>
      <c r="AS19" s="7">
        <f>ROUNDUP(D19*Paramètres!$B$23*Paramètres!$B$26,-1)</f>
        <v>0</v>
      </c>
      <c r="AT19" s="7"/>
      <c r="AU19" s="1"/>
      <c r="AV19" s="8"/>
      <c r="AW19" s="8"/>
      <c r="AX19" s="8"/>
      <c r="AY19" s="8"/>
      <c r="AZ19" s="8"/>
      <c r="BA19" s="8"/>
      <c r="BB19" s="44"/>
      <c r="BC19" s="44"/>
      <c r="BD19" s="8"/>
      <c r="BE19" s="8"/>
      <c r="BF19" s="8"/>
      <c r="BG19" s="44"/>
      <c r="BI19">
        <f t="shared" si="11"/>
        <v>0</v>
      </c>
    </row>
    <row r="20" spans="1:61" x14ac:dyDescent="0.25">
      <c r="A20">
        <v>18</v>
      </c>
      <c r="F20" s="47"/>
      <c r="G20" s="53"/>
      <c r="H20" s="53"/>
      <c r="I20" s="53"/>
      <c r="J20" s="50">
        <f>F20*Paramètres!$B$3</f>
        <v>0</v>
      </c>
      <c r="K20" s="56">
        <f t="shared" si="0"/>
        <v>0</v>
      </c>
      <c r="L20" s="56">
        <f t="shared" si="1"/>
        <v>0</v>
      </c>
      <c r="M20" s="56">
        <f t="shared" si="2"/>
        <v>0</v>
      </c>
      <c r="N20" s="3">
        <f>ROUNDUP(J20*Paramètres!$B$19,-1)</f>
        <v>0</v>
      </c>
      <c r="O20" s="1">
        <f t="shared" si="3"/>
        <v>0</v>
      </c>
      <c r="P20" s="1">
        <f t="shared" si="4"/>
        <v>0</v>
      </c>
      <c r="Q20" s="3">
        <f t="shared" si="5"/>
        <v>0</v>
      </c>
      <c r="R20" s="47">
        <f>ROUNDUP(+K20/Paramètres!$B$4/Paramètres!$B$53,0)</f>
        <v>0</v>
      </c>
      <c r="S20" s="47">
        <f>ROUNDUP(+L20/Paramètres!$B$6/Paramètres!$B$53,0)</f>
        <v>0</v>
      </c>
      <c r="T20" s="47"/>
      <c r="U20" s="2">
        <f t="shared" si="6"/>
        <v>0</v>
      </c>
      <c r="V20" s="1">
        <f>R20*Paramètres!$B$7</f>
        <v>0</v>
      </c>
      <c r="W20" s="1">
        <f>S20*Paramètres!$B$9</f>
        <v>0</v>
      </c>
      <c r="X20" s="1"/>
      <c r="Y20" s="2">
        <f t="shared" si="7"/>
        <v>0</v>
      </c>
      <c r="Z20" s="7">
        <f>R20*Paramètres!$B$10</f>
        <v>0</v>
      </c>
      <c r="AA20" s="7">
        <f>S20*Paramètres!$B$10</f>
        <v>0</v>
      </c>
      <c r="AB20" s="7"/>
      <c r="AC20" s="2">
        <f t="shared" si="8"/>
        <v>0</v>
      </c>
      <c r="AD20" s="1">
        <f t="shared" si="12"/>
        <v>0</v>
      </c>
      <c r="AE20" s="1">
        <f t="shared" si="9"/>
        <v>0</v>
      </c>
      <c r="AF20" s="1">
        <f>IF(B20="",0,Paramètres!$B$53*1.5)</f>
        <v>0</v>
      </c>
      <c r="AG20" s="1">
        <f>IF(C20="",0,Paramètres!$B$53*1.5)</f>
        <v>0</v>
      </c>
      <c r="AH20" s="1"/>
      <c r="AI20" s="1"/>
      <c r="AJ20" s="1"/>
      <c r="AK20" s="1"/>
      <c r="AL20" s="1">
        <f>(U20*Paramètres!$B$53)*3</f>
        <v>0</v>
      </c>
      <c r="AM20" s="1">
        <f t="shared" si="10"/>
        <v>0</v>
      </c>
      <c r="AN20" s="1">
        <f>U20*Paramètres!$B$75</f>
        <v>0</v>
      </c>
      <c r="AO20" s="1">
        <f>U20*Paramètres!$B$72*Paramètres!$B$73</f>
        <v>0</v>
      </c>
      <c r="AP20" s="1"/>
      <c r="AQ20" s="1">
        <f>(Y20+AC20)*Paramètres!$B$42*Paramètres!$B$53</f>
        <v>0</v>
      </c>
      <c r="AR20" s="1"/>
      <c r="AS20" s="7">
        <f>ROUNDUP(D20*Paramètres!$B$23*Paramètres!$B$26,-1)</f>
        <v>0</v>
      </c>
      <c r="AT20" s="7"/>
      <c r="AU20" s="1"/>
      <c r="AV20" s="8"/>
      <c r="AW20" s="8"/>
      <c r="AX20" s="8"/>
      <c r="AY20" s="8"/>
      <c r="AZ20" s="8"/>
      <c r="BA20" s="8"/>
      <c r="BB20" s="44"/>
      <c r="BC20" s="44"/>
      <c r="BD20" s="8"/>
      <c r="BE20" s="8"/>
      <c r="BF20" s="8"/>
      <c r="BG20" s="44"/>
      <c r="BI20">
        <f t="shared" si="11"/>
        <v>0</v>
      </c>
    </row>
    <row r="21" spans="1:61" x14ac:dyDescent="0.25">
      <c r="A21">
        <v>19</v>
      </c>
      <c r="F21" s="47"/>
      <c r="G21" s="53"/>
      <c r="H21" s="53"/>
      <c r="I21" s="53"/>
      <c r="J21" s="50">
        <f>F21*Paramètres!$B$3</f>
        <v>0</v>
      </c>
      <c r="K21" s="56">
        <f t="shared" si="0"/>
        <v>0</v>
      </c>
      <c r="L21" s="56">
        <f t="shared" si="1"/>
        <v>0</v>
      </c>
      <c r="M21" s="56">
        <f t="shared" si="2"/>
        <v>0</v>
      </c>
      <c r="N21" s="3">
        <f>ROUNDUP(J21*Paramètres!$B$19,-1)</f>
        <v>0</v>
      </c>
      <c r="O21" s="1">
        <f t="shared" si="3"/>
        <v>0</v>
      </c>
      <c r="P21" s="1">
        <f t="shared" si="4"/>
        <v>0</v>
      </c>
      <c r="Q21" s="3">
        <f t="shared" si="5"/>
        <v>0</v>
      </c>
      <c r="R21" s="47">
        <f>ROUNDUP(+K21/Paramètres!$B$4/Paramètres!$B$53,0)</f>
        <v>0</v>
      </c>
      <c r="S21" s="47">
        <f>ROUNDUP(+L21/Paramètres!$B$6/Paramètres!$B$53,0)</f>
        <v>0</v>
      </c>
      <c r="T21" s="47"/>
      <c r="U21" s="2">
        <f t="shared" si="6"/>
        <v>0</v>
      </c>
      <c r="V21" s="1">
        <f>R21*Paramètres!$B$7</f>
        <v>0</v>
      </c>
      <c r="W21" s="1">
        <f>S21*Paramètres!$B$9</f>
        <v>0</v>
      </c>
      <c r="X21" s="1"/>
      <c r="Y21" s="2">
        <f t="shared" si="7"/>
        <v>0</v>
      </c>
      <c r="Z21" s="7">
        <f>R21*Paramètres!$B$10</f>
        <v>0</v>
      </c>
      <c r="AA21" s="7">
        <f>S21*Paramètres!$B$10</f>
        <v>0</v>
      </c>
      <c r="AB21" s="7"/>
      <c r="AC21" s="2">
        <f t="shared" si="8"/>
        <v>0</v>
      </c>
      <c r="AD21" s="1">
        <f t="shared" si="12"/>
        <v>0</v>
      </c>
      <c r="AE21" s="1">
        <f t="shared" si="9"/>
        <v>0</v>
      </c>
      <c r="AF21" s="1">
        <f>IF(B21="",0,Paramètres!$B$53*1.5)</f>
        <v>0</v>
      </c>
      <c r="AG21" s="1">
        <f>IF(C21="",0,Paramètres!$B$53*1.5)</f>
        <v>0</v>
      </c>
      <c r="AH21" s="1"/>
      <c r="AI21" s="1"/>
      <c r="AJ21" s="1"/>
      <c r="AK21" s="1"/>
      <c r="AL21" s="1">
        <f>(U21*Paramètres!$B$53)*3</f>
        <v>0</v>
      </c>
      <c r="AM21" s="1">
        <f t="shared" si="10"/>
        <v>0</v>
      </c>
      <c r="AN21" s="1">
        <f>U21*Paramètres!$B$75</f>
        <v>0</v>
      </c>
      <c r="AO21" s="1">
        <f>U21*Paramètres!$B$72*Paramètres!$B$73</f>
        <v>0</v>
      </c>
      <c r="AP21" s="1"/>
      <c r="AQ21" s="1">
        <f>(Y21+AC21)*Paramètres!$B$42*Paramètres!$B$53</f>
        <v>0</v>
      </c>
      <c r="AR21" s="1"/>
      <c r="AS21" s="7">
        <f>ROUNDUP(D21*Paramètres!$B$23*Paramètres!$B$26,-1)</f>
        <v>0</v>
      </c>
      <c r="AT21" s="7"/>
      <c r="AU21" s="1"/>
      <c r="AV21" s="8"/>
      <c r="AW21" s="8"/>
      <c r="AX21" s="8"/>
      <c r="AY21" s="8"/>
      <c r="AZ21" s="8"/>
      <c r="BA21" s="8"/>
      <c r="BB21" s="44"/>
      <c r="BC21" s="44"/>
      <c r="BD21" s="8"/>
      <c r="BE21" s="8"/>
      <c r="BF21" s="8"/>
      <c r="BG21" s="44"/>
      <c r="BI21">
        <f t="shared" si="11"/>
        <v>0</v>
      </c>
    </row>
    <row r="22" spans="1:61" x14ac:dyDescent="0.25">
      <c r="A22">
        <v>20</v>
      </c>
      <c r="F22" s="47"/>
      <c r="G22" s="53"/>
      <c r="H22" s="53"/>
      <c r="I22" s="53"/>
      <c r="J22" s="50">
        <f>F22*Paramètres!$B$3</f>
        <v>0</v>
      </c>
      <c r="K22" s="56">
        <f t="shared" si="0"/>
        <v>0</v>
      </c>
      <c r="L22" s="56">
        <f t="shared" si="1"/>
        <v>0</v>
      </c>
      <c r="M22" s="56">
        <f t="shared" si="2"/>
        <v>0</v>
      </c>
      <c r="N22" s="3">
        <f>ROUNDUP(J22*Paramètres!$B$19,-1)</f>
        <v>0</v>
      </c>
      <c r="O22" s="1">
        <f t="shared" si="3"/>
        <v>0</v>
      </c>
      <c r="P22" s="1">
        <f t="shared" si="4"/>
        <v>0</v>
      </c>
      <c r="Q22" s="3">
        <f t="shared" si="5"/>
        <v>0</v>
      </c>
      <c r="R22" s="47">
        <f>ROUNDUP(+K22/Paramètres!$B$4/Paramètres!$B$53,0)</f>
        <v>0</v>
      </c>
      <c r="S22" s="47">
        <f>ROUNDUP(+L22/Paramètres!$B$6/Paramètres!$B$53,0)</f>
        <v>0</v>
      </c>
      <c r="T22" s="47"/>
      <c r="U22" s="2">
        <f t="shared" si="6"/>
        <v>0</v>
      </c>
      <c r="V22" s="1">
        <f>R22*Paramètres!$B$7</f>
        <v>0</v>
      </c>
      <c r="W22" s="1">
        <f>S22*Paramètres!$B$9</f>
        <v>0</v>
      </c>
      <c r="X22" s="1"/>
      <c r="Y22" s="2">
        <f t="shared" si="7"/>
        <v>0</v>
      </c>
      <c r="Z22" s="7">
        <f>R22*Paramètres!$B$10</f>
        <v>0</v>
      </c>
      <c r="AA22" s="7">
        <f>S22*Paramètres!$B$10</f>
        <v>0</v>
      </c>
      <c r="AB22" s="7"/>
      <c r="AC22" s="2">
        <f t="shared" si="8"/>
        <v>0</v>
      </c>
      <c r="AD22" s="1">
        <f t="shared" si="12"/>
        <v>0</v>
      </c>
      <c r="AE22" s="1">
        <f t="shared" si="9"/>
        <v>0</v>
      </c>
      <c r="AF22" s="1">
        <f>IF(B22="",0,Paramètres!$B$53*1.5)</f>
        <v>0</v>
      </c>
      <c r="AG22" s="1">
        <f>IF(C22="",0,Paramètres!$B$53*1.5)</f>
        <v>0</v>
      </c>
      <c r="AH22" s="1"/>
      <c r="AI22" s="1"/>
      <c r="AJ22" s="1"/>
      <c r="AK22" s="1"/>
      <c r="AL22" s="1">
        <f>(U22*Paramètres!$B$53)*3</f>
        <v>0</v>
      </c>
      <c r="AM22" s="1">
        <f t="shared" si="10"/>
        <v>0</v>
      </c>
      <c r="AN22" s="1">
        <f>U22*Paramètres!$B$75</f>
        <v>0</v>
      </c>
      <c r="AO22" s="1">
        <f>U22*Paramètres!$B$72*Paramètres!$B$73</f>
        <v>0</v>
      </c>
      <c r="AP22" s="1"/>
      <c r="AQ22" s="1">
        <f>(Y22+AC22)*Paramètres!$B$42*Paramètres!$B$53</f>
        <v>0</v>
      </c>
      <c r="AR22" s="1"/>
      <c r="AS22" s="7">
        <f>ROUNDUP(D22*Paramètres!$B$23*Paramètres!$B$26,-1)</f>
        <v>0</v>
      </c>
      <c r="AT22" s="7"/>
      <c r="AU22" s="1"/>
      <c r="AV22" s="8"/>
      <c r="AW22" s="8"/>
      <c r="AX22" s="8"/>
      <c r="AY22" s="8"/>
      <c r="AZ22" s="8"/>
      <c r="BA22" s="8"/>
      <c r="BB22" s="44"/>
      <c r="BC22" s="44"/>
      <c r="BD22" s="8"/>
      <c r="BE22" s="8"/>
      <c r="BF22" s="8"/>
      <c r="BG22" s="44"/>
      <c r="BI22">
        <f t="shared" si="11"/>
        <v>0</v>
      </c>
    </row>
    <row r="23" spans="1:61" x14ac:dyDescent="0.25">
      <c r="A23">
        <v>21</v>
      </c>
      <c r="C23" s="1"/>
      <c r="D23" s="1"/>
      <c r="E23" s="1"/>
      <c r="F23" s="47"/>
      <c r="G23" s="53"/>
      <c r="H23" s="53"/>
      <c r="I23" s="53"/>
      <c r="J23" s="50">
        <f>F23*Paramètres!$B$3</f>
        <v>0</v>
      </c>
      <c r="K23" s="56">
        <f t="shared" si="0"/>
        <v>0</v>
      </c>
      <c r="L23" s="56">
        <f t="shared" si="1"/>
        <v>0</v>
      </c>
      <c r="M23" s="56">
        <f t="shared" si="2"/>
        <v>0</v>
      </c>
      <c r="N23" s="3">
        <f>ROUNDUP(J23*Paramètres!$B$19,-1)</f>
        <v>0</v>
      </c>
      <c r="O23" s="1">
        <f t="shared" si="3"/>
        <v>0</v>
      </c>
      <c r="P23" s="1">
        <f t="shared" si="4"/>
        <v>0</v>
      </c>
      <c r="Q23" s="3">
        <f t="shared" si="5"/>
        <v>0</v>
      </c>
      <c r="R23" s="47">
        <f>ROUNDUP(+K23/Paramètres!$B$4/Paramètres!$B$53,0)</f>
        <v>0</v>
      </c>
      <c r="S23" s="47">
        <f>ROUNDUP(+L23/Paramètres!$B$6/Paramètres!$B$53,0)</f>
        <v>0</v>
      </c>
      <c r="T23" s="47"/>
      <c r="U23" s="2">
        <f t="shared" si="6"/>
        <v>0</v>
      </c>
      <c r="V23" s="1">
        <f>R23*Paramètres!$B$7</f>
        <v>0</v>
      </c>
      <c r="W23" s="1">
        <f>S23*Paramètres!$B$9</f>
        <v>0</v>
      </c>
      <c r="X23" s="1"/>
      <c r="Y23" s="2">
        <f t="shared" si="7"/>
        <v>0</v>
      </c>
      <c r="Z23" s="7">
        <f>R23*Paramètres!$B$10</f>
        <v>0</v>
      </c>
      <c r="AA23" s="7">
        <f>S23*Paramètres!$B$10</f>
        <v>0</v>
      </c>
      <c r="AB23" s="7"/>
      <c r="AC23" s="2">
        <f t="shared" si="8"/>
        <v>0</v>
      </c>
      <c r="AD23" s="1">
        <f t="shared" si="12"/>
        <v>0</v>
      </c>
      <c r="AE23" s="1">
        <f t="shared" si="9"/>
        <v>0</v>
      </c>
      <c r="AF23" s="1">
        <f>IF(B23="",0,Paramètres!$B$53*1.5)</f>
        <v>0</v>
      </c>
      <c r="AG23" s="1">
        <f>IF(C23="",0,Paramètres!$B$53*1.5)</f>
        <v>0</v>
      </c>
      <c r="AH23" s="1"/>
      <c r="AI23" s="1"/>
      <c r="AJ23" s="1"/>
      <c r="AK23" s="1"/>
      <c r="AL23" s="1">
        <f>(U23*Paramètres!$B$53)*3</f>
        <v>0</v>
      </c>
      <c r="AM23" s="1">
        <f t="shared" si="10"/>
        <v>0</v>
      </c>
      <c r="AN23" s="1">
        <f>U23*Paramètres!$B$75</f>
        <v>0</v>
      </c>
      <c r="AO23" s="1">
        <f>U23*Paramètres!$B$72*Paramètres!$B$73</f>
        <v>0</v>
      </c>
      <c r="AP23" s="1"/>
      <c r="AQ23" s="1">
        <f>(Y23+AC23)*Paramètres!$B$42*Paramètres!$B$53</f>
        <v>0</v>
      </c>
      <c r="AR23" s="1"/>
      <c r="AS23" s="7">
        <f>ROUNDUP(D23*Paramètres!$B$23*Paramètres!$B$26,-1)</f>
        <v>0</v>
      </c>
      <c r="AT23" s="7"/>
      <c r="AU23" s="1"/>
      <c r="AV23" s="8"/>
      <c r="AW23" s="8"/>
      <c r="AX23" s="8"/>
      <c r="AY23" s="8"/>
      <c r="AZ23" s="8"/>
      <c r="BA23" s="8"/>
      <c r="BB23" s="44"/>
      <c r="BC23" s="44"/>
      <c r="BD23" s="8"/>
      <c r="BE23" s="8"/>
      <c r="BF23" s="8"/>
      <c r="BG23" s="44"/>
      <c r="BI23">
        <f t="shared" si="11"/>
        <v>0</v>
      </c>
    </row>
    <row r="24" spans="1:61" x14ac:dyDescent="0.25">
      <c r="A24">
        <v>22</v>
      </c>
      <c r="C24" s="1"/>
      <c r="D24" s="1"/>
      <c r="E24" s="1"/>
      <c r="F24" s="47"/>
      <c r="G24" s="53"/>
      <c r="H24" s="53"/>
      <c r="I24" s="53"/>
      <c r="J24" s="50">
        <f>F24*Paramètres!$B$3</f>
        <v>0</v>
      </c>
      <c r="K24" s="56">
        <f t="shared" si="0"/>
        <v>0</v>
      </c>
      <c r="L24" s="56">
        <f t="shared" si="1"/>
        <v>0</v>
      </c>
      <c r="M24" s="56">
        <f t="shared" si="2"/>
        <v>0</v>
      </c>
      <c r="N24" s="3">
        <f>ROUNDUP(J24*Paramètres!$B$19,-1)</f>
        <v>0</v>
      </c>
      <c r="O24" s="1">
        <f t="shared" si="3"/>
        <v>0</v>
      </c>
      <c r="P24" s="1">
        <f t="shared" si="4"/>
        <v>0</v>
      </c>
      <c r="Q24" s="3">
        <f t="shared" si="5"/>
        <v>0</v>
      </c>
      <c r="R24" s="47">
        <f>ROUNDUP(+K24/Paramètres!$B$4/Paramètres!$B$53,0)</f>
        <v>0</v>
      </c>
      <c r="S24" s="47">
        <f>ROUNDUP(+L24/Paramètres!$B$6/Paramètres!$B$53,0)</f>
        <v>0</v>
      </c>
      <c r="T24" s="47"/>
      <c r="U24" s="2">
        <f t="shared" si="6"/>
        <v>0</v>
      </c>
      <c r="V24" s="1">
        <f>R24*Paramètres!$B$7</f>
        <v>0</v>
      </c>
      <c r="W24" s="1">
        <f>S24*Paramètres!$B$9</f>
        <v>0</v>
      </c>
      <c r="X24" s="1"/>
      <c r="Y24" s="2">
        <f t="shared" si="7"/>
        <v>0</v>
      </c>
      <c r="Z24" s="7">
        <f>R24*Paramètres!$B$10</f>
        <v>0</v>
      </c>
      <c r="AA24" s="7">
        <f>S24*Paramètres!$B$10</f>
        <v>0</v>
      </c>
      <c r="AB24" s="7"/>
      <c r="AC24" s="2">
        <f t="shared" si="8"/>
        <v>0</v>
      </c>
      <c r="AD24" s="1">
        <f t="shared" si="12"/>
        <v>0</v>
      </c>
      <c r="AE24" s="1">
        <f t="shared" si="9"/>
        <v>0</v>
      </c>
      <c r="AF24" s="1">
        <f>IF(B24="",0,Paramètres!$B$53*1.5)</f>
        <v>0</v>
      </c>
      <c r="AG24" s="1">
        <f>IF(C24="",0,Paramètres!$B$53*1.5)</f>
        <v>0</v>
      </c>
      <c r="AH24" s="1"/>
      <c r="AI24" s="1"/>
      <c r="AJ24" s="1"/>
      <c r="AK24" s="1"/>
      <c r="AL24" s="1">
        <f>(U24*Paramètres!$B$53)*3</f>
        <v>0</v>
      </c>
      <c r="AM24" s="1">
        <f t="shared" si="10"/>
        <v>0</v>
      </c>
      <c r="AN24" s="1">
        <f>U24*Paramètres!$B$75</f>
        <v>0</v>
      </c>
      <c r="AO24" s="1">
        <f>U24*Paramètres!$B$72*Paramètres!$B$73</f>
        <v>0</v>
      </c>
      <c r="AP24" s="1"/>
      <c r="AQ24" s="1">
        <f>(Y24+AC24)*Paramètres!$B$42*Paramètres!$B$53</f>
        <v>0</v>
      </c>
      <c r="AR24" s="1"/>
      <c r="AS24" s="7">
        <f>ROUNDUP(D24*Paramètres!$B$23*Paramètres!$B$26,-1)</f>
        <v>0</v>
      </c>
      <c r="AT24" s="7"/>
      <c r="AU24" s="1"/>
      <c r="AV24" s="8"/>
      <c r="AW24" s="8"/>
      <c r="AX24" s="8"/>
      <c r="AY24" s="8"/>
      <c r="AZ24" s="8"/>
      <c r="BA24" s="8"/>
      <c r="BB24" s="44"/>
      <c r="BC24" s="44"/>
      <c r="BD24" s="8"/>
      <c r="BE24" s="8"/>
      <c r="BF24" s="8"/>
      <c r="BG24" s="44"/>
      <c r="BI24">
        <f t="shared" si="11"/>
        <v>0</v>
      </c>
    </row>
    <row r="25" spans="1:61" x14ac:dyDescent="0.25">
      <c r="A25">
        <v>23</v>
      </c>
      <c r="B25" s="1"/>
      <c r="C25" s="1"/>
      <c r="D25" s="1"/>
      <c r="E25" s="1"/>
      <c r="F25" s="47"/>
      <c r="G25" s="53"/>
      <c r="H25" s="53"/>
      <c r="I25" s="53"/>
      <c r="J25" s="50">
        <f>F25*Paramètres!$B$3</f>
        <v>0</v>
      </c>
      <c r="K25" s="56">
        <f t="shared" si="0"/>
        <v>0</v>
      </c>
      <c r="L25" s="56">
        <f t="shared" si="1"/>
        <v>0</v>
      </c>
      <c r="M25" s="56">
        <f t="shared" si="2"/>
        <v>0</v>
      </c>
      <c r="N25" s="3">
        <f>ROUNDUP(J25*Paramètres!$B$19,-1)</f>
        <v>0</v>
      </c>
      <c r="O25" s="1">
        <f t="shared" si="3"/>
        <v>0</v>
      </c>
      <c r="P25" s="1">
        <f t="shared" si="4"/>
        <v>0</v>
      </c>
      <c r="Q25" s="3">
        <f t="shared" si="5"/>
        <v>0</v>
      </c>
      <c r="R25" s="47">
        <f>ROUNDUP(+K25/Paramètres!$B$4/Paramètres!$B$53,0)</f>
        <v>0</v>
      </c>
      <c r="S25" s="47">
        <f>ROUNDUP(+L25/Paramètres!$B$6/Paramètres!$B$53,0)</f>
        <v>0</v>
      </c>
      <c r="T25" s="47"/>
      <c r="U25" s="2">
        <f t="shared" si="6"/>
        <v>0</v>
      </c>
      <c r="V25" s="1">
        <f>R25*Paramètres!$B$7</f>
        <v>0</v>
      </c>
      <c r="W25" s="1">
        <f>S25*Paramètres!$B$9</f>
        <v>0</v>
      </c>
      <c r="X25" s="1"/>
      <c r="Y25" s="2">
        <f t="shared" si="7"/>
        <v>0</v>
      </c>
      <c r="Z25" s="7">
        <f>R25*Paramètres!$B$10</f>
        <v>0</v>
      </c>
      <c r="AA25" s="7">
        <f>S25*Paramètres!$B$10</f>
        <v>0</v>
      </c>
      <c r="AB25" s="7"/>
      <c r="AC25" s="2">
        <f t="shared" si="8"/>
        <v>0</v>
      </c>
      <c r="AD25" s="1">
        <f t="shared" si="12"/>
        <v>0</v>
      </c>
      <c r="AE25" s="1">
        <f t="shared" si="9"/>
        <v>0</v>
      </c>
      <c r="AF25" s="1">
        <f>IF(B25="",0,Paramètres!$B$53*1.5)</f>
        <v>0</v>
      </c>
      <c r="AG25" s="1">
        <f>IF(C25="",0,Paramètres!$B$53*1.5)</f>
        <v>0</v>
      </c>
      <c r="AH25" s="1"/>
      <c r="AI25" s="1"/>
      <c r="AJ25" s="1"/>
      <c r="AK25" s="1"/>
      <c r="AL25" s="1">
        <f>(U25*Paramètres!$B$53)*3</f>
        <v>0</v>
      </c>
      <c r="AM25" s="1">
        <f t="shared" si="10"/>
        <v>0</v>
      </c>
      <c r="AN25" s="1">
        <f>U25*Paramètres!$B$75</f>
        <v>0</v>
      </c>
      <c r="AO25" s="1">
        <f>U25*Paramètres!$B$72*Paramètres!$B$73</f>
        <v>0</v>
      </c>
      <c r="AP25" s="1"/>
      <c r="AQ25" s="1">
        <f>(Y25+AC25)*Paramètres!$B$42*Paramètres!$B$53</f>
        <v>0</v>
      </c>
      <c r="AR25" s="1"/>
      <c r="AS25" s="7">
        <f>ROUNDUP(D25*Paramètres!$B$23*Paramètres!$B$26,-1)</f>
        <v>0</v>
      </c>
      <c r="AT25" s="7"/>
      <c r="AU25" s="1"/>
      <c r="AV25" s="8"/>
      <c r="AW25" s="8"/>
      <c r="AX25" s="8"/>
      <c r="AY25" s="8"/>
      <c r="AZ25" s="8"/>
      <c r="BA25" s="8"/>
      <c r="BB25" s="44"/>
      <c r="BC25" s="44"/>
      <c r="BD25" s="8"/>
      <c r="BE25" s="8"/>
      <c r="BF25" s="8"/>
      <c r="BG25" s="44"/>
      <c r="BI25">
        <f t="shared" si="11"/>
        <v>0</v>
      </c>
    </row>
    <row r="26" spans="1:61" x14ac:dyDescent="0.25">
      <c r="A26">
        <v>24</v>
      </c>
      <c r="B26" s="1"/>
      <c r="C26" s="1"/>
      <c r="D26" s="1"/>
      <c r="E26" s="1"/>
      <c r="F26" s="47"/>
      <c r="G26" s="53"/>
      <c r="H26" s="53"/>
      <c r="I26" s="53"/>
      <c r="J26" s="50">
        <f>F26*Paramètres!$B$3</f>
        <v>0</v>
      </c>
      <c r="K26" s="56">
        <f t="shared" si="0"/>
        <v>0</v>
      </c>
      <c r="L26" s="56">
        <f t="shared" si="1"/>
        <v>0</v>
      </c>
      <c r="M26" s="56">
        <f t="shared" si="2"/>
        <v>0</v>
      </c>
      <c r="N26" s="3">
        <f>ROUNDUP(J26*Paramètres!$B$19,-1)</f>
        <v>0</v>
      </c>
      <c r="O26" s="1">
        <f t="shared" si="3"/>
        <v>0</v>
      </c>
      <c r="P26" s="1">
        <f t="shared" si="4"/>
        <v>0</v>
      </c>
      <c r="Q26" s="3">
        <f t="shared" si="5"/>
        <v>0</v>
      </c>
      <c r="R26" s="47">
        <f>ROUNDUP(+K26/Paramètres!$B$4/Paramètres!$B$53,0)</f>
        <v>0</v>
      </c>
      <c r="S26" s="47">
        <f>ROUNDUP(+L26/Paramètres!$B$6/Paramètres!$B$53,0)</f>
        <v>0</v>
      </c>
      <c r="T26" s="47"/>
      <c r="U26" s="2">
        <f t="shared" si="6"/>
        <v>0</v>
      </c>
      <c r="V26" s="1">
        <f>R26*Paramètres!$B$7</f>
        <v>0</v>
      </c>
      <c r="W26" s="1">
        <f>S26*Paramètres!$B$9</f>
        <v>0</v>
      </c>
      <c r="X26" s="1"/>
      <c r="Y26" s="2">
        <f t="shared" si="7"/>
        <v>0</v>
      </c>
      <c r="Z26" s="7">
        <f>R26*Paramètres!$B$10</f>
        <v>0</v>
      </c>
      <c r="AA26" s="7">
        <f>S26*Paramètres!$B$10</f>
        <v>0</v>
      </c>
      <c r="AB26" s="7"/>
      <c r="AC26" s="2">
        <f t="shared" si="8"/>
        <v>0</v>
      </c>
      <c r="AD26" s="1">
        <f t="shared" si="12"/>
        <v>0</v>
      </c>
      <c r="AE26" s="1">
        <f t="shared" si="9"/>
        <v>0</v>
      </c>
      <c r="AF26" s="1">
        <f>IF(B26="",0,Paramètres!$B$53*1.5)</f>
        <v>0</v>
      </c>
      <c r="AG26" s="1">
        <f>IF(C26="",0,Paramètres!$B$53*1.5)</f>
        <v>0</v>
      </c>
      <c r="AH26" s="1"/>
      <c r="AI26" s="1"/>
      <c r="AJ26" s="1"/>
      <c r="AK26" s="1"/>
      <c r="AL26" s="1">
        <f>(U26*Paramètres!$B$53)*3</f>
        <v>0</v>
      </c>
      <c r="AM26" s="1">
        <f t="shared" si="10"/>
        <v>0</v>
      </c>
      <c r="AN26" s="1">
        <f>U26*Paramètres!$B$75</f>
        <v>0</v>
      </c>
      <c r="AO26" s="1">
        <f>U26*Paramètres!$B$72*Paramètres!$B$73</f>
        <v>0</v>
      </c>
      <c r="AP26" s="1"/>
      <c r="AQ26" s="1">
        <f>(Y26+AC26)*Paramètres!$B$42*Paramètres!$B$53</f>
        <v>0</v>
      </c>
      <c r="AR26" s="1"/>
      <c r="AS26" s="7">
        <f>ROUNDUP(D26*Paramètres!$B$23*Paramètres!$B$26,-1)</f>
        <v>0</v>
      </c>
      <c r="AT26" s="7"/>
      <c r="AU26" s="1"/>
      <c r="AV26" s="8"/>
      <c r="AW26" s="8"/>
      <c r="AX26" s="8"/>
      <c r="AY26" s="8"/>
      <c r="AZ26" s="8"/>
      <c r="BA26" s="8"/>
      <c r="BB26" s="44"/>
      <c r="BC26" s="44"/>
      <c r="BD26" s="8"/>
      <c r="BE26" s="8"/>
      <c r="BF26" s="8"/>
      <c r="BG26" s="44"/>
      <c r="BI26">
        <f t="shared" si="11"/>
        <v>0</v>
      </c>
    </row>
    <row r="27" spans="1:61" x14ac:dyDescent="0.25">
      <c r="A27">
        <v>25</v>
      </c>
      <c r="B27" s="1"/>
      <c r="C27" s="1"/>
      <c r="D27" s="1"/>
      <c r="E27" s="1"/>
      <c r="F27" s="47"/>
      <c r="G27" s="53"/>
      <c r="H27" s="53"/>
      <c r="I27" s="53"/>
      <c r="J27" s="50">
        <f>F27*Paramètres!$B$3</f>
        <v>0</v>
      </c>
      <c r="K27" s="56">
        <f t="shared" si="0"/>
        <v>0</v>
      </c>
      <c r="L27" s="56">
        <f t="shared" si="1"/>
        <v>0</v>
      </c>
      <c r="M27" s="56">
        <f t="shared" si="2"/>
        <v>0</v>
      </c>
      <c r="N27" s="3">
        <f>ROUNDUP(J27*Paramètres!$B$19,-1)</f>
        <v>0</v>
      </c>
      <c r="O27" s="1">
        <f t="shared" si="3"/>
        <v>0</v>
      </c>
      <c r="P27" s="1">
        <f t="shared" si="4"/>
        <v>0</v>
      </c>
      <c r="Q27" s="3">
        <f t="shared" si="5"/>
        <v>0</v>
      </c>
      <c r="R27" s="47">
        <f>ROUNDUP(+K27/Paramètres!$B$4/Paramètres!$B$53,0)</f>
        <v>0</v>
      </c>
      <c r="S27" s="47">
        <f>ROUNDUP(+L27/Paramètres!$B$6/Paramètres!$B$53,0)</f>
        <v>0</v>
      </c>
      <c r="T27" s="47"/>
      <c r="U27" s="2">
        <f t="shared" si="6"/>
        <v>0</v>
      </c>
      <c r="V27" s="1">
        <f>R27*Paramètres!$B$7</f>
        <v>0</v>
      </c>
      <c r="W27" s="1">
        <f>S27*Paramètres!$B$9</f>
        <v>0</v>
      </c>
      <c r="X27" s="1"/>
      <c r="Y27" s="2">
        <f t="shared" si="7"/>
        <v>0</v>
      </c>
      <c r="Z27" s="7">
        <f>R27*Paramètres!$B$10</f>
        <v>0</v>
      </c>
      <c r="AA27" s="7">
        <f>S27*Paramètres!$B$10</f>
        <v>0</v>
      </c>
      <c r="AB27" s="7"/>
      <c r="AC27" s="2">
        <f t="shared" si="8"/>
        <v>0</v>
      </c>
      <c r="AD27" s="1">
        <f t="shared" si="12"/>
        <v>0</v>
      </c>
      <c r="AE27" s="1">
        <f t="shared" si="9"/>
        <v>0</v>
      </c>
      <c r="AF27" s="1">
        <f>IF(B27="",0,Paramètres!$B$53*1.5)</f>
        <v>0</v>
      </c>
      <c r="AG27" s="1">
        <f>IF(C27="",0,Paramètres!$B$53*1.5)</f>
        <v>0</v>
      </c>
      <c r="AH27" s="1"/>
      <c r="AI27" s="1"/>
      <c r="AJ27" s="1"/>
      <c r="AK27" s="1"/>
      <c r="AL27" s="1">
        <f>(U27*Paramètres!$B$53)*3</f>
        <v>0</v>
      </c>
      <c r="AM27" s="1">
        <f t="shared" si="10"/>
        <v>0</v>
      </c>
      <c r="AN27" s="1">
        <f>U27*Paramètres!$B$75</f>
        <v>0</v>
      </c>
      <c r="AO27" s="1">
        <f>U27*Paramètres!$B$72*Paramètres!$B$73</f>
        <v>0</v>
      </c>
      <c r="AP27" s="1"/>
      <c r="AQ27" s="1">
        <f>(Y27+AC27)*Paramètres!$B$42*Paramètres!$B$53</f>
        <v>0</v>
      </c>
      <c r="AR27" s="1"/>
      <c r="AS27" s="7">
        <f>ROUNDUP(D27*Paramètres!$B$23*Paramètres!$B$26,-1)</f>
        <v>0</v>
      </c>
      <c r="AT27" s="7"/>
      <c r="AU27" s="1"/>
      <c r="AV27" s="8"/>
      <c r="AW27" s="8"/>
      <c r="AX27" s="8"/>
      <c r="AY27" s="8"/>
      <c r="AZ27" s="8"/>
      <c r="BA27" s="8"/>
      <c r="BB27" s="44"/>
      <c r="BC27" s="44"/>
      <c r="BD27" s="8"/>
      <c r="BE27" s="8"/>
      <c r="BF27" s="8"/>
      <c r="BG27" s="44"/>
      <c r="BI27">
        <f t="shared" si="11"/>
        <v>0</v>
      </c>
    </row>
    <row r="28" spans="1:61" x14ac:dyDescent="0.25">
      <c r="A28">
        <v>26</v>
      </c>
      <c r="B28" s="1"/>
      <c r="C28" s="1"/>
      <c r="D28" s="1"/>
      <c r="E28" s="1"/>
      <c r="F28" s="47"/>
      <c r="G28" s="53"/>
      <c r="H28" s="53"/>
      <c r="I28" s="53"/>
      <c r="J28" s="50">
        <f>F28*Paramètres!$B$3</f>
        <v>0</v>
      </c>
      <c r="K28" s="56">
        <f t="shared" si="0"/>
        <v>0</v>
      </c>
      <c r="L28" s="56">
        <f t="shared" si="1"/>
        <v>0</v>
      </c>
      <c r="M28" s="56">
        <f t="shared" si="2"/>
        <v>0</v>
      </c>
      <c r="N28" s="3">
        <f>ROUNDUP(J28*Paramètres!$B$19,-1)</f>
        <v>0</v>
      </c>
      <c r="O28" s="1">
        <f t="shared" si="3"/>
        <v>0</v>
      </c>
      <c r="P28" s="1">
        <f t="shared" si="4"/>
        <v>0</v>
      </c>
      <c r="Q28" s="3">
        <f t="shared" si="5"/>
        <v>0</v>
      </c>
      <c r="R28" s="47">
        <f>ROUNDUP(+K28/Paramètres!$B$4/Paramètres!$B$53,0)</f>
        <v>0</v>
      </c>
      <c r="S28" s="47">
        <f>ROUNDUP(+L28/Paramètres!$B$6/Paramètres!$B$53,0)</f>
        <v>0</v>
      </c>
      <c r="T28" s="47"/>
      <c r="U28" s="2">
        <f t="shared" si="6"/>
        <v>0</v>
      </c>
      <c r="V28" s="1">
        <f>R28*Paramètres!$B$7</f>
        <v>0</v>
      </c>
      <c r="W28" s="1">
        <f>S28*Paramètres!$B$9</f>
        <v>0</v>
      </c>
      <c r="X28" s="1"/>
      <c r="Y28" s="2">
        <f t="shared" si="7"/>
        <v>0</v>
      </c>
      <c r="Z28" s="7">
        <f>R28*Paramètres!$B$10</f>
        <v>0</v>
      </c>
      <c r="AA28" s="7">
        <f>S28*Paramètres!$B$10</f>
        <v>0</v>
      </c>
      <c r="AB28" s="7"/>
      <c r="AC28" s="2">
        <f t="shared" si="8"/>
        <v>0</v>
      </c>
      <c r="AD28" s="1">
        <f t="shared" si="12"/>
        <v>0</v>
      </c>
      <c r="AE28" s="1">
        <f t="shared" si="9"/>
        <v>0</v>
      </c>
      <c r="AF28" s="1">
        <f>IF(B28="",0,Paramètres!$B$53*1.5)</f>
        <v>0</v>
      </c>
      <c r="AG28" s="1">
        <f>IF(C28="",0,Paramètres!$B$53*1.5)</f>
        <v>0</v>
      </c>
      <c r="AH28" s="1"/>
      <c r="AI28" s="1"/>
      <c r="AJ28" s="1"/>
      <c r="AK28" s="1"/>
      <c r="AL28" s="1">
        <f>(U28*Paramètres!$B$53)*3</f>
        <v>0</v>
      </c>
      <c r="AM28" s="1">
        <f t="shared" si="10"/>
        <v>0</v>
      </c>
      <c r="AN28" s="1">
        <f>U28*Paramètres!$B$75</f>
        <v>0</v>
      </c>
      <c r="AO28" s="1">
        <f>U28*Paramètres!$B$72*Paramètres!$B$73</f>
        <v>0</v>
      </c>
      <c r="AP28" s="1"/>
      <c r="AQ28" s="1">
        <f>(Y28+AC28)*Paramètres!$B$42*Paramètres!$B$53</f>
        <v>0</v>
      </c>
      <c r="AR28" s="1"/>
      <c r="AS28" s="7">
        <f>ROUNDUP(D28*Paramètres!$B$23*Paramètres!$B$26,-1)</f>
        <v>0</v>
      </c>
      <c r="AT28" s="7"/>
      <c r="AU28" s="1"/>
      <c r="AV28" s="8"/>
      <c r="AW28" s="8"/>
      <c r="AX28" s="8"/>
      <c r="AY28" s="8"/>
      <c r="AZ28" s="8"/>
      <c r="BA28" s="8"/>
      <c r="BB28" s="44"/>
      <c r="BC28" s="44"/>
      <c r="BD28" s="8"/>
      <c r="BE28" s="8"/>
      <c r="BF28" s="8"/>
      <c r="BG28" s="44"/>
      <c r="BI28">
        <f t="shared" si="11"/>
        <v>0</v>
      </c>
    </row>
    <row r="29" spans="1:61" x14ac:dyDescent="0.25">
      <c r="A29">
        <v>27</v>
      </c>
      <c r="B29" s="1"/>
      <c r="C29" s="1"/>
      <c r="D29" s="1"/>
      <c r="E29" s="1"/>
      <c r="F29" s="47"/>
      <c r="G29" s="53"/>
      <c r="H29" s="53"/>
      <c r="I29" s="54"/>
      <c r="J29" s="50">
        <f>F29*Paramètres!$B$3</f>
        <v>0</v>
      </c>
      <c r="K29" s="56">
        <f t="shared" si="0"/>
        <v>0</v>
      </c>
      <c r="L29" s="56">
        <f t="shared" si="1"/>
        <v>0</v>
      </c>
      <c r="M29" s="56">
        <f t="shared" si="2"/>
        <v>0</v>
      </c>
      <c r="N29" s="3">
        <f>ROUNDUP(J29*Paramètres!$B$19,-1)</f>
        <v>0</v>
      </c>
      <c r="O29" s="1">
        <f t="shared" si="3"/>
        <v>0</v>
      </c>
      <c r="P29" s="1">
        <f t="shared" si="4"/>
        <v>0</v>
      </c>
      <c r="Q29" s="3">
        <f t="shared" si="5"/>
        <v>0</v>
      </c>
      <c r="R29" s="47">
        <f>ROUNDUP(+K29/Paramètres!$B$4/Paramètres!$B$53,0)</f>
        <v>0</v>
      </c>
      <c r="S29" s="47">
        <f>ROUNDUP(+L29/Paramètres!$B$6/Paramètres!$B$53,0)</f>
        <v>0</v>
      </c>
      <c r="T29" s="47"/>
      <c r="U29" s="2">
        <f t="shared" si="6"/>
        <v>0</v>
      </c>
      <c r="V29" s="1">
        <f>R29*Paramètres!$B$7</f>
        <v>0</v>
      </c>
      <c r="W29" s="1">
        <f>S29*Paramètres!$B$9</f>
        <v>0</v>
      </c>
      <c r="X29" s="1"/>
      <c r="Y29" s="2">
        <f t="shared" si="7"/>
        <v>0</v>
      </c>
      <c r="Z29" s="7">
        <f>R29*Paramètres!$B$10</f>
        <v>0</v>
      </c>
      <c r="AA29" s="7">
        <f>S29*Paramètres!$B$10</f>
        <v>0</v>
      </c>
      <c r="AB29" s="7"/>
      <c r="AC29" s="2">
        <f t="shared" si="8"/>
        <v>0</v>
      </c>
      <c r="AD29" s="1">
        <f t="shared" si="12"/>
        <v>0</v>
      </c>
      <c r="AE29" s="1">
        <f t="shared" si="9"/>
        <v>0</v>
      </c>
      <c r="AF29" s="1">
        <f>IF(B29="",0,Paramètres!$B$53*1.5)</f>
        <v>0</v>
      </c>
      <c r="AG29" s="1">
        <f>IF(C29="",0,Paramètres!$B$53*1.5)</f>
        <v>0</v>
      </c>
      <c r="AH29" s="1"/>
      <c r="AI29" s="1"/>
      <c r="AJ29" s="1"/>
      <c r="AK29" s="1"/>
      <c r="AL29" s="1">
        <f>(U29*Paramètres!$B$53)*3</f>
        <v>0</v>
      </c>
      <c r="AM29" s="1">
        <f t="shared" si="10"/>
        <v>0</v>
      </c>
      <c r="AN29" s="1">
        <f>U29*Paramètres!$B$75</f>
        <v>0</v>
      </c>
      <c r="AO29" s="1">
        <f>U29*Paramètres!$B$72*Paramètres!$B$73</f>
        <v>0</v>
      </c>
      <c r="AP29" s="1"/>
      <c r="AQ29" s="1">
        <f>(Y29+AC29)*Paramètres!$B$42*Paramètres!$B$53</f>
        <v>0</v>
      </c>
      <c r="AR29" s="1"/>
      <c r="AS29" s="7">
        <f>ROUNDUP(D29*Paramètres!$B$23*Paramètres!$B$26,-1)</f>
        <v>0</v>
      </c>
      <c r="AT29" s="7"/>
      <c r="AU29" s="1"/>
      <c r="AV29" s="8"/>
      <c r="AW29" s="8"/>
      <c r="AX29" s="8"/>
      <c r="AY29" s="8"/>
      <c r="AZ29" s="8"/>
      <c r="BA29" s="8"/>
      <c r="BB29" s="44"/>
      <c r="BC29" s="44"/>
      <c r="BD29" s="8"/>
      <c r="BE29" s="8"/>
      <c r="BF29" s="8"/>
      <c r="BG29" s="44"/>
      <c r="BI29">
        <f t="shared" si="11"/>
        <v>0</v>
      </c>
    </row>
    <row r="30" spans="1:61" x14ac:dyDescent="0.25">
      <c r="A30">
        <v>28</v>
      </c>
      <c r="B30" s="1"/>
      <c r="C30" s="1"/>
      <c r="D30" s="1"/>
      <c r="E30" s="1"/>
      <c r="F30" s="47"/>
      <c r="G30" s="53"/>
      <c r="H30" s="53"/>
      <c r="I30" s="54"/>
      <c r="J30" s="50">
        <f>F30*Paramètres!$B$3</f>
        <v>0</v>
      </c>
      <c r="K30" s="56">
        <f t="shared" si="0"/>
        <v>0</v>
      </c>
      <c r="L30" s="56">
        <f t="shared" si="1"/>
        <v>0</v>
      </c>
      <c r="M30" s="56">
        <f t="shared" si="2"/>
        <v>0</v>
      </c>
      <c r="N30" s="3">
        <f>ROUNDUP(J30*Paramètres!$B$19,-1)</f>
        <v>0</v>
      </c>
      <c r="O30" s="1">
        <f t="shared" si="3"/>
        <v>0</v>
      </c>
      <c r="P30" s="1">
        <f t="shared" si="4"/>
        <v>0</v>
      </c>
      <c r="Q30" s="3">
        <f t="shared" si="5"/>
        <v>0</v>
      </c>
      <c r="R30" s="47">
        <f>ROUNDUP(+K30/Paramètres!$B$4/Paramètres!$B$53,0)</f>
        <v>0</v>
      </c>
      <c r="S30" s="47">
        <f>ROUNDUP(+L30/Paramètres!$B$6/Paramètres!$B$53,0)</f>
        <v>0</v>
      </c>
      <c r="T30" s="47"/>
      <c r="U30" s="2">
        <f t="shared" si="6"/>
        <v>0</v>
      </c>
      <c r="V30" s="1">
        <f>R30*Paramètres!$B$7</f>
        <v>0</v>
      </c>
      <c r="W30" s="1">
        <f>S30*Paramètres!$B$9</f>
        <v>0</v>
      </c>
      <c r="X30" s="1"/>
      <c r="Y30" s="2">
        <f t="shared" si="7"/>
        <v>0</v>
      </c>
      <c r="Z30" s="7">
        <f>R30*Paramètres!$B$10</f>
        <v>0</v>
      </c>
      <c r="AA30" s="7">
        <f>S30*Paramètres!$B$10</f>
        <v>0</v>
      </c>
      <c r="AB30" s="7"/>
      <c r="AC30" s="2">
        <f t="shared" si="8"/>
        <v>0</v>
      </c>
      <c r="AD30" s="1">
        <f t="shared" si="12"/>
        <v>0</v>
      </c>
      <c r="AE30" s="1">
        <f t="shared" si="9"/>
        <v>0</v>
      </c>
      <c r="AF30" s="1">
        <f>IF(B30="",0,Paramètres!$B$53*1.5)</f>
        <v>0</v>
      </c>
      <c r="AG30" s="1">
        <f>IF(C30="",0,Paramètres!$B$53*1.5)</f>
        <v>0</v>
      </c>
      <c r="AH30" s="1"/>
      <c r="AI30" s="1"/>
      <c r="AJ30" s="1"/>
      <c r="AK30" s="1"/>
      <c r="AL30" s="1">
        <f>(U30*Paramètres!$B$53)*3</f>
        <v>0</v>
      </c>
      <c r="AM30" s="1">
        <f t="shared" si="10"/>
        <v>0</v>
      </c>
      <c r="AN30" s="1">
        <f>U30*Paramètres!$B$75</f>
        <v>0</v>
      </c>
      <c r="AO30" s="1">
        <f>U30*Paramètres!$B$72*Paramètres!$B$73</f>
        <v>0</v>
      </c>
      <c r="AP30" s="1"/>
      <c r="AQ30" s="1">
        <f>(Y30+AC30)*Paramètres!$B$42*Paramètres!$B$53</f>
        <v>0</v>
      </c>
      <c r="AR30" s="1"/>
      <c r="AS30" s="7">
        <f>ROUNDUP(D30*Paramètres!$B$23*Paramètres!$B$26,-1)</f>
        <v>0</v>
      </c>
      <c r="AT30" s="7"/>
      <c r="AU30" s="1"/>
      <c r="AV30" s="8"/>
      <c r="AW30" s="8"/>
      <c r="AX30" s="8"/>
      <c r="AY30" s="8"/>
      <c r="AZ30" s="8"/>
      <c r="BA30" s="8"/>
      <c r="BB30" s="44"/>
      <c r="BC30" s="44"/>
      <c r="BD30" s="8"/>
      <c r="BE30" s="8"/>
      <c r="BF30" s="8"/>
      <c r="BG30" s="44"/>
      <c r="BI30">
        <f t="shared" si="11"/>
        <v>0</v>
      </c>
    </row>
    <row r="31" spans="1:61" x14ac:dyDescent="0.25">
      <c r="A31">
        <v>29</v>
      </c>
      <c r="B31" s="1"/>
      <c r="C31" s="1"/>
      <c r="D31" s="1"/>
      <c r="E31" s="1"/>
      <c r="F31" s="47"/>
      <c r="G31" s="53"/>
      <c r="H31" s="53"/>
      <c r="I31" s="54"/>
      <c r="J31" s="50">
        <f>F31*Paramètres!$B$3</f>
        <v>0</v>
      </c>
      <c r="K31" s="56">
        <f t="shared" si="0"/>
        <v>0</v>
      </c>
      <c r="L31" s="56">
        <f t="shared" si="1"/>
        <v>0</v>
      </c>
      <c r="M31" s="56">
        <f t="shared" si="2"/>
        <v>0</v>
      </c>
      <c r="N31" s="3">
        <f>ROUNDUP(J31*Paramètres!$B$19,-1)</f>
        <v>0</v>
      </c>
      <c r="O31" s="1">
        <f t="shared" si="3"/>
        <v>0</v>
      </c>
      <c r="P31" s="1">
        <f t="shared" si="4"/>
        <v>0</v>
      </c>
      <c r="Q31" s="3">
        <f t="shared" si="5"/>
        <v>0</v>
      </c>
      <c r="R31" s="47">
        <f>ROUNDUP(+K31/Paramètres!$B$4/Paramètres!$B$53,0)</f>
        <v>0</v>
      </c>
      <c r="S31" s="47">
        <f>ROUNDUP(+L31/Paramètres!$B$6/Paramètres!$B$53,0)</f>
        <v>0</v>
      </c>
      <c r="T31" s="47"/>
      <c r="U31" s="2">
        <f t="shared" si="6"/>
        <v>0</v>
      </c>
      <c r="V31" s="1">
        <f>R31*Paramètres!$B$7</f>
        <v>0</v>
      </c>
      <c r="W31" s="1">
        <f>S31*Paramètres!$B$9</f>
        <v>0</v>
      </c>
      <c r="X31" s="1"/>
      <c r="Y31" s="2">
        <f t="shared" si="7"/>
        <v>0</v>
      </c>
      <c r="Z31" s="7">
        <f>R31*Paramètres!$B$10</f>
        <v>0</v>
      </c>
      <c r="AA31" s="7">
        <f>S31*Paramètres!$B$10</f>
        <v>0</v>
      </c>
      <c r="AB31" s="7"/>
      <c r="AC31" s="2">
        <f t="shared" si="8"/>
        <v>0</v>
      </c>
      <c r="AD31" s="1">
        <f t="shared" si="12"/>
        <v>0</v>
      </c>
      <c r="AE31" s="1">
        <f t="shared" si="9"/>
        <v>0</v>
      </c>
      <c r="AF31" s="1">
        <f>IF(B31="",0,Paramètres!$B$53*1.5)</f>
        <v>0</v>
      </c>
      <c r="AG31" s="1">
        <f>IF(C31="",0,Paramètres!$B$53*1.5)</f>
        <v>0</v>
      </c>
      <c r="AH31" s="1"/>
      <c r="AI31" s="1"/>
      <c r="AJ31" s="1"/>
      <c r="AK31" s="1"/>
      <c r="AL31" s="1">
        <f>(U31*Paramètres!$B$53)*3</f>
        <v>0</v>
      </c>
      <c r="AM31" s="1">
        <f t="shared" si="10"/>
        <v>0</v>
      </c>
      <c r="AN31" s="1">
        <f>U31*Paramètres!$B$75</f>
        <v>0</v>
      </c>
      <c r="AO31" s="1">
        <f>U31*Paramètres!$B$72*Paramètres!$B$73</f>
        <v>0</v>
      </c>
      <c r="AP31" s="1"/>
      <c r="AQ31" s="1">
        <f>(Y31+AC31)*Paramètres!$B$42*Paramètres!$B$53</f>
        <v>0</v>
      </c>
      <c r="AR31" s="1"/>
      <c r="AS31" s="7">
        <f>ROUNDUP(D31*Paramètres!$B$23*Paramètres!$B$26,-1)</f>
        <v>0</v>
      </c>
      <c r="AT31" s="7"/>
      <c r="AU31" s="1"/>
      <c r="AV31" s="8"/>
      <c r="AW31" s="8"/>
      <c r="AX31" s="8"/>
      <c r="AY31" s="8"/>
      <c r="AZ31" s="8"/>
      <c r="BA31" s="8"/>
      <c r="BB31" s="44"/>
      <c r="BC31" s="44"/>
      <c r="BD31" s="8"/>
      <c r="BE31" s="8"/>
      <c r="BF31" s="8"/>
      <c r="BG31" s="44"/>
      <c r="BI31">
        <f t="shared" si="11"/>
        <v>0</v>
      </c>
    </row>
    <row r="32" spans="1:61" x14ac:dyDescent="0.25">
      <c r="A32">
        <v>30</v>
      </c>
      <c r="B32" s="1"/>
      <c r="C32" s="1"/>
      <c r="F32" s="47"/>
      <c r="G32" s="53"/>
      <c r="H32" s="53"/>
      <c r="I32" s="53"/>
      <c r="J32" s="50">
        <f>F32*Paramètres!$B$3</f>
        <v>0</v>
      </c>
      <c r="K32" s="56">
        <f t="shared" si="0"/>
        <v>0</v>
      </c>
      <c r="L32" s="56">
        <f t="shared" si="1"/>
        <v>0</v>
      </c>
      <c r="M32" s="56">
        <f t="shared" si="2"/>
        <v>0</v>
      </c>
      <c r="N32" s="3">
        <f>ROUNDUP(J32*Paramètres!$B$19,-1)</f>
        <v>0</v>
      </c>
      <c r="O32" s="1">
        <f t="shared" si="3"/>
        <v>0</v>
      </c>
      <c r="P32" s="1">
        <f t="shared" si="4"/>
        <v>0</v>
      </c>
      <c r="Q32" s="3">
        <f t="shared" si="5"/>
        <v>0</v>
      </c>
      <c r="R32" s="47">
        <f>ROUNDUP(+K32/Paramètres!$B$4/Paramètres!$B$53,0)</f>
        <v>0</v>
      </c>
      <c r="S32" s="47">
        <f>ROUNDUP(+L32/Paramètres!$B$6/Paramètres!$B$53,0)</f>
        <v>0</v>
      </c>
      <c r="T32" s="47"/>
      <c r="U32" s="2">
        <f t="shared" si="6"/>
        <v>0</v>
      </c>
      <c r="V32" s="1">
        <f>R32*Paramètres!$B$7</f>
        <v>0</v>
      </c>
      <c r="W32" s="1">
        <f>S32*Paramètres!$B$9</f>
        <v>0</v>
      </c>
      <c r="X32" s="1"/>
      <c r="Y32" s="2">
        <f t="shared" si="7"/>
        <v>0</v>
      </c>
      <c r="Z32" s="7">
        <f>R32*Paramètres!$B$10</f>
        <v>0</v>
      </c>
      <c r="AA32" s="7">
        <f>S32*Paramètres!$B$10</f>
        <v>0</v>
      </c>
      <c r="AB32" s="7"/>
      <c r="AC32" s="2">
        <f t="shared" si="8"/>
        <v>0</v>
      </c>
      <c r="AD32" s="1">
        <f t="shared" si="12"/>
        <v>0</v>
      </c>
      <c r="AE32" s="1">
        <f t="shared" si="9"/>
        <v>0</v>
      </c>
      <c r="AF32" s="1">
        <f>IF(B32="",0,Paramètres!$B$53*1.5)</f>
        <v>0</v>
      </c>
      <c r="AG32" s="1">
        <f>IF(C32="",0,Paramètres!$B$53*1.5)</f>
        <v>0</v>
      </c>
      <c r="AH32" s="1"/>
      <c r="AI32" s="1"/>
      <c r="AJ32" s="1"/>
      <c r="AK32" s="1"/>
      <c r="AL32" s="1">
        <f>(U32*Paramètres!$B$53)*3</f>
        <v>0</v>
      </c>
      <c r="AM32" s="1">
        <f t="shared" si="10"/>
        <v>0</v>
      </c>
      <c r="AN32" s="1">
        <f>U32*Paramètres!$B$75</f>
        <v>0</v>
      </c>
      <c r="AO32" s="1">
        <f>U32*Paramètres!$B$72*Paramètres!$B$73</f>
        <v>0</v>
      </c>
      <c r="AP32" s="1"/>
      <c r="AQ32" s="1">
        <f>(Y32+AC32)*Paramètres!$B$42*Paramètres!$B$53</f>
        <v>0</v>
      </c>
      <c r="AR32" s="1"/>
      <c r="AS32" s="7">
        <f>ROUNDUP(D32*Paramètres!$B$23*Paramètres!$B$26,-1)</f>
        <v>0</v>
      </c>
      <c r="AT32" s="7"/>
      <c r="AU32" s="1"/>
      <c r="AV32" s="8"/>
      <c r="AW32" s="8"/>
      <c r="AX32" s="8"/>
      <c r="AY32" s="8"/>
      <c r="AZ32" s="8"/>
      <c r="BA32" s="8"/>
      <c r="BB32" s="44"/>
      <c r="BC32" s="44"/>
      <c r="BD32" s="8"/>
      <c r="BE32" s="8"/>
      <c r="BF32" s="8"/>
      <c r="BG32" s="44"/>
      <c r="BI32">
        <f t="shared" si="11"/>
        <v>0</v>
      </c>
    </row>
    <row r="33" spans="1:61" x14ac:dyDescent="0.25">
      <c r="A33">
        <v>31</v>
      </c>
      <c r="B33" s="1"/>
      <c r="C33" s="1"/>
      <c r="F33" s="1"/>
      <c r="G33" s="53"/>
      <c r="H33" s="53"/>
      <c r="I33" s="54"/>
      <c r="J33" s="50">
        <f>F33*Paramètres!$B$3</f>
        <v>0</v>
      </c>
      <c r="K33" s="56">
        <f t="shared" si="0"/>
        <v>0</v>
      </c>
      <c r="L33" s="56">
        <f t="shared" si="1"/>
        <v>0</v>
      </c>
      <c r="M33" s="56">
        <f t="shared" si="2"/>
        <v>0</v>
      </c>
      <c r="N33" s="3">
        <f>ROUNDUP(J33*Paramètres!$B$19,-1)</f>
        <v>0</v>
      </c>
      <c r="O33" s="1">
        <f t="shared" si="3"/>
        <v>0</v>
      </c>
      <c r="P33" s="1">
        <f t="shared" si="4"/>
        <v>0</v>
      </c>
      <c r="Q33" s="3">
        <f t="shared" si="5"/>
        <v>0</v>
      </c>
      <c r="R33" s="47">
        <f>ROUNDUP(+K33/Paramètres!$B$4/Paramètres!$B$53,0)</f>
        <v>0</v>
      </c>
      <c r="S33" s="47">
        <f>ROUNDUP(+L33/Paramètres!$B$6/Paramètres!$B$53,0)</f>
        <v>0</v>
      </c>
      <c r="T33" s="47"/>
      <c r="U33" s="2">
        <f t="shared" si="6"/>
        <v>0</v>
      </c>
      <c r="V33" s="1">
        <f>R33*Paramètres!$B$7</f>
        <v>0</v>
      </c>
      <c r="W33" s="1">
        <f>S33*Paramètres!$B$9</f>
        <v>0</v>
      </c>
      <c r="X33" s="1"/>
      <c r="Y33" s="2">
        <f t="shared" si="7"/>
        <v>0</v>
      </c>
      <c r="Z33" s="7">
        <f>R33*Paramètres!$B$10</f>
        <v>0</v>
      </c>
      <c r="AA33" s="7">
        <f>S33*Paramètres!$B$10</f>
        <v>0</v>
      </c>
      <c r="AB33" s="7"/>
      <c r="AC33" s="2">
        <f t="shared" si="8"/>
        <v>0</v>
      </c>
      <c r="AD33" s="1">
        <f t="shared" si="12"/>
        <v>0</v>
      </c>
      <c r="AE33" s="1">
        <f t="shared" si="9"/>
        <v>0</v>
      </c>
      <c r="AF33" s="1">
        <f>IF(B33="",0,Paramètres!$B$53*1.5)</f>
        <v>0</v>
      </c>
      <c r="AG33" s="1">
        <f>IF(C33="",0,Paramètres!$B$53*1.5)</f>
        <v>0</v>
      </c>
      <c r="AH33" s="1"/>
      <c r="AI33" s="1"/>
      <c r="AJ33" s="1"/>
      <c r="AK33" s="1"/>
      <c r="AL33" s="1">
        <f>(U33*Paramètres!$B$53)*3</f>
        <v>0</v>
      </c>
      <c r="AM33" s="1">
        <f t="shared" si="10"/>
        <v>0</v>
      </c>
      <c r="AN33" s="1">
        <f>U33*Paramètres!$B$75</f>
        <v>0</v>
      </c>
      <c r="AO33" s="1">
        <f>U33*Paramètres!$B$72*Paramètres!$B$73</f>
        <v>0</v>
      </c>
      <c r="AP33" s="1"/>
      <c r="AQ33" s="1">
        <f>(Y33+AC33)*Paramètres!$B$42*Paramètres!$B$53</f>
        <v>0</v>
      </c>
      <c r="AR33" s="1"/>
      <c r="AS33" s="7">
        <f>ROUNDUP(D33*Paramètres!$B$23*Paramètres!$B$26,-1)</f>
        <v>0</v>
      </c>
      <c r="AT33" s="7"/>
      <c r="AU33" s="1"/>
      <c r="AV33" s="8"/>
      <c r="AW33" s="8"/>
      <c r="AX33" s="8"/>
      <c r="AY33" s="8"/>
      <c r="AZ33" s="8"/>
      <c r="BA33" s="8"/>
      <c r="BB33" s="44"/>
      <c r="BC33" s="44"/>
      <c r="BD33" s="8"/>
      <c r="BE33" s="8"/>
      <c r="BF33" s="8"/>
      <c r="BG33" s="44"/>
      <c r="BI33">
        <f t="shared" si="11"/>
        <v>0</v>
      </c>
    </row>
    <row r="34" spans="1:61" x14ac:dyDescent="0.25">
      <c r="A34">
        <v>32</v>
      </c>
      <c r="B34" s="1"/>
      <c r="C34" s="1"/>
      <c r="F34" s="47"/>
      <c r="G34" s="53"/>
      <c r="H34" s="53"/>
      <c r="I34" s="53"/>
      <c r="J34" s="50">
        <f>F34*Paramètres!$B$3</f>
        <v>0</v>
      </c>
      <c r="K34" s="56">
        <f t="shared" si="0"/>
        <v>0</v>
      </c>
      <c r="L34" s="56">
        <f t="shared" si="1"/>
        <v>0</v>
      </c>
      <c r="M34" s="56">
        <f t="shared" si="2"/>
        <v>0</v>
      </c>
      <c r="N34" s="3">
        <f>ROUNDUP(J34*Paramètres!$B$19,-1)</f>
        <v>0</v>
      </c>
      <c r="O34" s="1">
        <f t="shared" si="3"/>
        <v>0</v>
      </c>
      <c r="P34" s="1">
        <f t="shared" si="4"/>
        <v>0</v>
      </c>
      <c r="Q34" s="3">
        <f t="shared" si="5"/>
        <v>0</v>
      </c>
      <c r="R34" s="47">
        <f>ROUNDUP(+K34/Paramètres!$B$4/Paramètres!$B$53,0)</f>
        <v>0</v>
      </c>
      <c r="S34" s="47">
        <f>ROUNDUP(+L34/Paramètres!$B$6/Paramètres!$B$53,0)</f>
        <v>0</v>
      </c>
      <c r="T34" s="47"/>
      <c r="U34" s="2">
        <f t="shared" si="6"/>
        <v>0</v>
      </c>
      <c r="V34" s="1">
        <f>R34*Paramètres!$B$7</f>
        <v>0</v>
      </c>
      <c r="W34" s="1">
        <f>S34*Paramètres!$B$9</f>
        <v>0</v>
      </c>
      <c r="X34" s="1"/>
      <c r="Y34" s="2">
        <f t="shared" si="7"/>
        <v>0</v>
      </c>
      <c r="Z34" s="7">
        <f>R34*Paramètres!$B$10</f>
        <v>0</v>
      </c>
      <c r="AA34" s="7">
        <f>S34*Paramètres!$B$10</f>
        <v>0</v>
      </c>
      <c r="AB34" s="7"/>
      <c r="AC34" s="2">
        <f t="shared" si="8"/>
        <v>0</v>
      </c>
      <c r="AD34" s="1">
        <f t="shared" si="12"/>
        <v>0</v>
      </c>
      <c r="AE34" s="1">
        <f t="shared" si="9"/>
        <v>0</v>
      </c>
      <c r="AF34" s="1">
        <f>IF(B34="",0,Paramètres!$B$53*1.5)</f>
        <v>0</v>
      </c>
      <c r="AG34" s="1">
        <f>IF(C34="",0,Paramètres!$B$53*1.5)</f>
        <v>0</v>
      </c>
      <c r="AH34" s="1"/>
      <c r="AI34" s="1"/>
      <c r="AJ34" s="1"/>
      <c r="AK34" s="1"/>
      <c r="AL34" s="1">
        <f>(U34*Paramètres!$B$53)*3</f>
        <v>0</v>
      </c>
      <c r="AM34" s="1">
        <f t="shared" si="10"/>
        <v>0</v>
      </c>
      <c r="AN34" s="1">
        <f>U34*Paramètres!$B$75</f>
        <v>0</v>
      </c>
      <c r="AO34" s="1">
        <f>U34*Paramètres!$B$72*Paramètres!$B$73</f>
        <v>0</v>
      </c>
      <c r="AP34" s="1"/>
      <c r="AQ34" s="1">
        <f>(Y34+AC34)*Paramètres!$B$42*Paramètres!$B$53</f>
        <v>0</v>
      </c>
      <c r="AR34" s="1"/>
      <c r="AS34" s="7">
        <f>ROUNDUP(D34*Paramètres!$B$23*Paramètres!$B$26,-1)</f>
        <v>0</v>
      </c>
      <c r="AT34" s="7"/>
      <c r="AU34" s="1"/>
      <c r="AV34" s="8"/>
      <c r="AW34" s="8"/>
      <c r="AX34" s="8"/>
      <c r="AY34" s="8"/>
      <c r="AZ34" s="8"/>
      <c r="BA34" s="8"/>
      <c r="BB34" s="44"/>
      <c r="BC34" s="44"/>
      <c r="BD34" s="8"/>
      <c r="BE34" s="8"/>
      <c r="BF34" s="8"/>
      <c r="BG34" s="44"/>
      <c r="BI34">
        <f t="shared" si="11"/>
        <v>0</v>
      </c>
    </row>
    <row r="35" spans="1:61" x14ac:dyDescent="0.25">
      <c r="A35">
        <v>33</v>
      </c>
      <c r="B35" s="1"/>
      <c r="C35" s="1"/>
      <c r="F35" s="47"/>
      <c r="G35" s="53"/>
      <c r="H35" s="53"/>
      <c r="I35" s="54"/>
      <c r="J35" s="50">
        <f>F35*Paramètres!$B$3</f>
        <v>0</v>
      </c>
      <c r="K35" s="56">
        <f t="shared" si="0"/>
        <v>0</v>
      </c>
      <c r="L35" s="56">
        <f t="shared" si="1"/>
        <v>0</v>
      </c>
      <c r="M35" s="56">
        <f t="shared" si="2"/>
        <v>0</v>
      </c>
      <c r="N35" s="3">
        <f>ROUNDUP(J35*Paramètres!$B$19,-1)</f>
        <v>0</v>
      </c>
      <c r="O35" s="1">
        <f t="shared" si="3"/>
        <v>0</v>
      </c>
      <c r="P35" s="1">
        <f t="shared" si="4"/>
        <v>0</v>
      </c>
      <c r="Q35" s="3">
        <f t="shared" si="5"/>
        <v>0</v>
      </c>
      <c r="R35" s="47">
        <f>ROUNDUP(+K35/Paramètres!$B$4/Paramètres!$B$53,0)</f>
        <v>0</v>
      </c>
      <c r="S35" s="47">
        <f>ROUNDUP(+L35/Paramètres!$B$6/Paramètres!$B$53,0)</f>
        <v>0</v>
      </c>
      <c r="T35" s="47"/>
      <c r="U35" s="2">
        <f t="shared" si="6"/>
        <v>0</v>
      </c>
      <c r="V35" s="1">
        <f>R35*Paramètres!$B$7</f>
        <v>0</v>
      </c>
      <c r="W35" s="1">
        <f>S35*Paramètres!$B$9</f>
        <v>0</v>
      </c>
      <c r="X35" s="1"/>
      <c r="Y35" s="2">
        <f t="shared" si="7"/>
        <v>0</v>
      </c>
      <c r="Z35" s="7">
        <f>R35*Paramètres!$B$10</f>
        <v>0</v>
      </c>
      <c r="AA35" s="7">
        <f>S35*Paramètres!$B$10</f>
        <v>0</v>
      </c>
      <c r="AB35" s="7"/>
      <c r="AC35" s="2">
        <f t="shared" si="8"/>
        <v>0</v>
      </c>
      <c r="AD35" s="1">
        <f t="shared" si="12"/>
        <v>0</v>
      </c>
      <c r="AE35" s="1">
        <f t="shared" si="9"/>
        <v>0</v>
      </c>
      <c r="AF35" s="1">
        <f>IF(B35="",0,Paramètres!$B$53*1.5)</f>
        <v>0</v>
      </c>
      <c r="AG35" s="1">
        <f>IF(C35="",0,Paramètres!$B$53*1.5)</f>
        <v>0</v>
      </c>
      <c r="AH35" s="1"/>
      <c r="AI35" s="1"/>
      <c r="AJ35" s="1"/>
      <c r="AK35" s="1"/>
      <c r="AL35" s="1">
        <f>(U35*Paramètres!$B$53)*3</f>
        <v>0</v>
      </c>
      <c r="AM35" s="1">
        <f t="shared" si="10"/>
        <v>0</v>
      </c>
      <c r="AN35" s="1">
        <f>U35*Paramètres!$B$75</f>
        <v>0</v>
      </c>
      <c r="AO35" s="1">
        <f>U35*Paramètres!$B$72*Paramètres!$B$73</f>
        <v>0</v>
      </c>
      <c r="AP35" s="1"/>
      <c r="AQ35" s="1">
        <f>(Y35+AC35)*Paramètres!$B$42*Paramètres!$B$53</f>
        <v>0</v>
      </c>
      <c r="AR35" s="1"/>
      <c r="AS35" s="7">
        <f>ROUNDUP(D35*Paramètres!$B$23*Paramètres!$B$26,-1)</f>
        <v>0</v>
      </c>
      <c r="AT35" s="7"/>
      <c r="AU35" s="1"/>
      <c r="AV35" s="8"/>
      <c r="AW35" s="8"/>
      <c r="AX35" s="8"/>
      <c r="AY35" s="8"/>
      <c r="AZ35" s="8"/>
      <c r="BA35" s="8"/>
      <c r="BB35" s="44"/>
      <c r="BC35" s="44"/>
      <c r="BD35" s="8"/>
      <c r="BE35" s="8"/>
      <c r="BF35" s="8"/>
      <c r="BG35" s="44"/>
      <c r="BI35">
        <f t="shared" si="11"/>
        <v>0</v>
      </c>
    </row>
    <row r="36" spans="1:61" x14ac:dyDescent="0.25">
      <c r="A36">
        <v>34</v>
      </c>
      <c r="B36" s="1"/>
      <c r="C36" s="1"/>
      <c r="F36" s="47"/>
      <c r="G36" s="53"/>
      <c r="H36" s="53"/>
      <c r="I36" s="54"/>
      <c r="J36" s="50">
        <f>F36*Paramètres!$B$3</f>
        <v>0</v>
      </c>
      <c r="K36" s="56">
        <f t="shared" si="0"/>
        <v>0</v>
      </c>
      <c r="L36" s="56">
        <f t="shared" si="1"/>
        <v>0</v>
      </c>
      <c r="M36" s="56">
        <f t="shared" si="2"/>
        <v>0</v>
      </c>
      <c r="N36" s="3">
        <f>ROUNDUP(J36*Paramètres!$B$19,-1)</f>
        <v>0</v>
      </c>
      <c r="O36" s="1">
        <f t="shared" si="3"/>
        <v>0</v>
      </c>
      <c r="P36" s="1">
        <f t="shared" si="4"/>
        <v>0</v>
      </c>
      <c r="Q36" s="3">
        <f t="shared" si="5"/>
        <v>0</v>
      </c>
      <c r="R36" s="47">
        <f>ROUNDUP(+K36/Paramètres!$B$4/Paramètres!$B$53,0)</f>
        <v>0</v>
      </c>
      <c r="S36" s="47">
        <f>ROUNDUP(+L36/Paramètres!$B$6/Paramètres!$B$53,0)</f>
        <v>0</v>
      </c>
      <c r="T36" s="47"/>
      <c r="U36" s="2">
        <f t="shared" si="6"/>
        <v>0</v>
      </c>
      <c r="V36" s="1">
        <f>R36*Paramètres!$B$7</f>
        <v>0</v>
      </c>
      <c r="W36" s="1">
        <f>S36*Paramètres!$B$9</f>
        <v>0</v>
      </c>
      <c r="X36" s="1"/>
      <c r="Y36" s="2">
        <f t="shared" si="7"/>
        <v>0</v>
      </c>
      <c r="Z36" s="7">
        <f>R36*Paramètres!$B$10</f>
        <v>0</v>
      </c>
      <c r="AA36" s="7">
        <f>S36*Paramètres!$B$10</f>
        <v>0</v>
      </c>
      <c r="AB36" s="7"/>
      <c r="AC36" s="2">
        <f t="shared" si="8"/>
        <v>0</v>
      </c>
      <c r="AD36" s="1">
        <f t="shared" si="12"/>
        <v>0</v>
      </c>
      <c r="AE36" s="1">
        <f t="shared" si="9"/>
        <v>0</v>
      </c>
      <c r="AF36" s="1">
        <f>IF(B36="",0,Paramètres!$B$53*1.5)</f>
        <v>0</v>
      </c>
      <c r="AG36" s="1">
        <f>IF(C36="",0,Paramètres!$B$53*1.5)</f>
        <v>0</v>
      </c>
      <c r="AH36" s="1"/>
      <c r="AI36" s="1"/>
      <c r="AJ36" s="1"/>
      <c r="AK36" s="1"/>
      <c r="AL36" s="1">
        <f>(U36*Paramètres!$B$53)*3</f>
        <v>0</v>
      </c>
      <c r="AM36" s="1">
        <f t="shared" si="10"/>
        <v>0</v>
      </c>
      <c r="AN36" s="1">
        <f>U36*Paramètres!$B$75</f>
        <v>0</v>
      </c>
      <c r="AO36" s="1">
        <f>U36*Paramètres!$B$72*Paramètres!$B$73</f>
        <v>0</v>
      </c>
      <c r="AP36" s="1"/>
      <c r="AQ36" s="1">
        <f>(Y36+AC36)*Paramètres!$B$42*Paramètres!$B$53</f>
        <v>0</v>
      </c>
      <c r="AR36" s="1"/>
      <c r="AS36" s="7">
        <f>ROUNDUP(D36*Paramètres!$B$23*Paramètres!$B$26,-1)</f>
        <v>0</v>
      </c>
      <c r="AT36" s="7"/>
      <c r="AU36" s="1"/>
      <c r="AV36" s="8"/>
      <c r="AW36" s="8"/>
      <c r="AX36" s="8"/>
      <c r="AY36" s="8"/>
      <c r="AZ36" s="8"/>
      <c r="BA36" s="8"/>
      <c r="BB36" s="44"/>
      <c r="BC36" s="44"/>
      <c r="BD36" s="8"/>
      <c r="BE36" s="8"/>
      <c r="BF36" s="8"/>
      <c r="BG36" s="44"/>
      <c r="BI36">
        <f t="shared" si="11"/>
        <v>0</v>
      </c>
    </row>
    <row r="37" spans="1:61" x14ac:dyDescent="0.25">
      <c r="A37">
        <v>35</v>
      </c>
      <c r="B37" s="1"/>
      <c r="C37" s="1"/>
      <c r="F37" s="47"/>
      <c r="G37" s="53"/>
      <c r="H37" s="53"/>
      <c r="I37" s="54"/>
      <c r="J37" s="50">
        <f>F37*Paramètres!$B$3</f>
        <v>0</v>
      </c>
      <c r="K37" s="56">
        <f t="shared" si="0"/>
        <v>0</v>
      </c>
      <c r="L37" s="56">
        <f t="shared" si="1"/>
        <v>0</v>
      </c>
      <c r="M37" s="56">
        <f t="shared" si="2"/>
        <v>0</v>
      </c>
      <c r="N37" s="3">
        <f>ROUNDUP(J37*Paramètres!$B$19,-1)</f>
        <v>0</v>
      </c>
      <c r="O37" s="1">
        <f t="shared" si="3"/>
        <v>0</v>
      </c>
      <c r="P37" s="1">
        <f t="shared" si="4"/>
        <v>0</v>
      </c>
      <c r="Q37" s="3">
        <f t="shared" si="5"/>
        <v>0</v>
      </c>
      <c r="R37" s="47">
        <f>ROUNDUP(+K37/Paramètres!$B$4/Paramètres!$B$53,0)</f>
        <v>0</v>
      </c>
      <c r="S37" s="47">
        <f>ROUNDUP(+L37/Paramètres!$B$6/Paramètres!$B$53,0)</f>
        <v>0</v>
      </c>
      <c r="T37" s="47"/>
      <c r="U37" s="2">
        <f t="shared" si="6"/>
        <v>0</v>
      </c>
      <c r="V37" s="1">
        <f>R37*Paramètres!$B$7</f>
        <v>0</v>
      </c>
      <c r="W37" s="1">
        <f>S37*Paramètres!$B$9</f>
        <v>0</v>
      </c>
      <c r="X37" s="1"/>
      <c r="Y37" s="2">
        <f t="shared" si="7"/>
        <v>0</v>
      </c>
      <c r="Z37" s="7">
        <f>R37*Paramètres!$B$10</f>
        <v>0</v>
      </c>
      <c r="AA37" s="7">
        <f>S37*Paramètres!$B$10</f>
        <v>0</v>
      </c>
      <c r="AB37" s="7"/>
      <c r="AC37" s="2">
        <f t="shared" si="8"/>
        <v>0</v>
      </c>
      <c r="AD37" s="1">
        <f t="shared" si="12"/>
        <v>0</v>
      </c>
      <c r="AE37" s="1">
        <f t="shared" si="9"/>
        <v>0</v>
      </c>
      <c r="AF37" s="1">
        <f>IF(B37="",0,Paramètres!$B$53*1.5)</f>
        <v>0</v>
      </c>
      <c r="AG37" s="1">
        <f>IF(C37="",0,Paramètres!$B$53*1.5)</f>
        <v>0</v>
      </c>
      <c r="AH37" s="1"/>
      <c r="AI37" s="1"/>
      <c r="AJ37" s="1"/>
      <c r="AK37" s="1"/>
      <c r="AL37" s="1">
        <f>(U37*Paramètres!$B$53)*3</f>
        <v>0</v>
      </c>
      <c r="AM37" s="1">
        <f t="shared" si="10"/>
        <v>0</v>
      </c>
      <c r="AN37" s="1">
        <f>U37*Paramètres!$B$75</f>
        <v>0</v>
      </c>
      <c r="AO37" s="1">
        <f>U37*Paramètres!$B$72*Paramètres!$B$73</f>
        <v>0</v>
      </c>
      <c r="AP37" s="1"/>
      <c r="AQ37" s="1">
        <f>(Y37+AC37)*Paramètres!$B$42*Paramètres!$B$53</f>
        <v>0</v>
      </c>
      <c r="AR37" s="1"/>
      <c r="AS37" s="7">
        <f>ROUNDUP(D37*Paramètres!$B$23*Paramètres!$B$26,-1)</f>
        <v>0</v>
      </c>
      <c r="AT37" s="7"/>
      <c r="AU37" s="1"/>
      <c r="AV37" s="8"/>
      <c r="AW37" s="8"/>
      <c r="AX37" s="8"/>
      <c r="AY37" s="8"/>
      <c r="AZ37" s="8"/>
      <c r="BA37" s="8"/>
      <c r="BB37" s="44"/>
      <c r="BC37" s="44"/>
      <c r="BD37" s="8"/>
      <c r="BE37" s="8"/>
      <c r="BF37" s="8"/>
      <c r="BG37" s="44"/>
      <c r="BI37">
        <f t="shared" si="11"/>
        <v>0</v>
      </c>
    </row>
    <row r="38" spans="1:61" x14ac:dyDescent="0.25">
      <c r="A38">
        <v>36</v>
      </c>
      <c r="B38" s="1"/>
      <c r="C38" s="1"/>
      <c r="D38" s="1"/>
      <c r="E38" s="1"/>
      <c r="F38" s="47"/>
      <c r="G38" s="53"/>
      <c r="H38" s="53"/>
      <c r="I38" s="54"/>
      <c r="J38" s="50">
        <f>F38*Paramètres!$B$3</f>
        <v>0</v>
      </c>
      <c r="K38" s="56">
        <f t="shared" si="0"/>
        <v>0</v>
      </c>
      <c r="L38" s="56">
        <f t="shared" si="1"/>
        <v>0</v>
      </c>
      <c r="M38" s="56">
        <f t="shared" si="2"/>
        <v>0</v>
      </c>
      <c r="N38" s="3">
        <f>ROUNDUP(J38*Paramètres!$B$19,-1)</f>
        <v>0</v>
      </c>
      <c r="O38" s="1">
        <f t="shared" si="3"/>
        <v>0</v>
      </c>
      <c r="P38" s="1">
        <f t="shared" si="4"/>
        <v>0</v>
      </c>
      <c r="Q38" s="3">
        <f t="shared" si="5"/>
        <v>0</v>
      </c>
      <c r="R38" s="47">
        <f>ROUNDUP(+K38/Paramètres!$B$4/Paramètres!$B$53,0)</f>
        <v>0</v>
      </c>
      <c r="S38" s="47">
        <f>ROUNDUP(+L38/Paramètres!$B$6/Paramètres!$B$53,0)</f>
        <v>0</v>
      </c>
      <c r="T38" s="47"/>
      <c r="U38" s="2">
        <f t="shared" si="6"/>
        <v>0</v>
      </c>
      <c r="V38" s="1">
        <f>R38*Paramètres!$B$7</f>
        <v>0</v>
      </c>
      <c r="W38" s="1">
        <f>S38*Paramètres!$B$9</f>
        <v>0</v>
      </c>
      <c r="X38" s="1"/>
      <c r="Y38" s="2">
        <f t="shared" si="7"/>
        <v>0</v>
      </c>
      <c r="Z38" s="7">
        <f>R38*Paramètres!$B$10</f>
        <v>0</v>
      </c>
      <c r="AA38" s="7">
        <f>S38*Paramètres!$B$10</f>
        <v>0</v>
      </c>
      <c r="AB38" s="7"/>
      <c r="AC38" s="2">
        <f t="shared" si="8"/>
        <v>0</v>
      </c>
      <c r="AD38" s="1">
        <f t="shared" si="12"/>
        <v>0</v>
      </c>
      <c r="AE38" s="1">
        <f t="shared" si="9"/>
        <v>0</v>
      </c>
      <c r="AF38" s="1">
        <f>IF(B38="",0,Paramètres!$B$53*1.5)</f>
        <v>0</v>
      </c>
      <c r="AG38" s="1">
        <f>IF(C38="",0,Paramètres!$B$53*1.5)</f>
        <v>0</v>
      </c>
      <c r="AH38" s="1"/>
      <c r="AI38" s="1"/>
      <c r="AJ38" s="1"/>
      <c r="AK38" s="1"/>
      <c r="AL38" s="1">
        <f>(U38*Paramètres!$B$53)*3</f>
        <v>0</v>
      </c>
      <c r="AM38" s="1">
        <f t="shared" si="10"/>
        <v>0</v>
      </c>
      <c r="AN38" s="1">
        <f>U38*Paramètres!$B$75</f>
        <v>0</v>
      </c>
      <c r="AO38" s="1">
        <f>U38*Paramètres!$B$72*Paramètres!$B$73</f>
        <v>0</v>
      </c>
      <c r="AP38" s="1"/>
      <c r="AQ38" s="1">
        <f>(Y38+AC38)*Paramètres!$B$42*Paramètres!$B$53</f>
        <v>0</v>
      </c>
      <c r="AR38" s="1"/>
      <c r="AS38" s="7">
        <f>ROUNDUP(D38*Paramètres!$B$23*Paramètres!$B$26,-1)</f>
        <v>0</v>
      </c>
      <c r="AT38" s="7"/>
      <c r="AU38" s="1"/>
      <c r="AV38" s="8"/>
      <c r="AW38" s="8"/>
      <c r="AX38" s="8"/>
      <c r="AY38" s="8"/>
      <c r="AZ38" s="8"/>
      <c r="BA38" s="8"/>
      <c r="BB38" s="44"/>
      <c r="BC38" s="44"/>
      <c r="BD38" s="8"/>
      <c r="BE38" s="8"/>
      <c r="BF38" s="8"/>
      <c r="BG38" s="44"/>
      <c r="BI38">
        <f t="shared" si="11"/>
        <v>0</v>
      </c>
    </row>
    <row r="39" spans="1:61" x14ac:dyDescent="0.25">
      <c r="A39">
        <v>37</v>
      </c>
      <c r="B39" s="1"/>
      <c r="C39" s="1"/>
      <c r="D39" s="1"/>
      <c r="E39" s="1"/>
      <c r="F39" s="47"/>
      <c r="G39" s="53"/>
      <c r="H39" s="53"/>
      <c r="I39" s="54"/>
      <c r="J39" s="50">
        <f>F39*Paramètres!$B$3</f>
        <v>0</v>
      </c>
      <c r="K39" s="56">
        <f t="shared" si="0"/>
        <v>0</v>
      </c>
      <c r="L39" s="56">
        <f t="shared" si="1"/>
        <v>0</v>
      </c>
      <c r="M39" s="56">
        <f t="shared" si="2"/>
        <v>0</v>
      </c>
      <c r="N39" s="3">
        <f>ROUNDUP(J39*Paramètres!$B$19,-1)</f>
        <v>0</v>
      </c>
      <c r="O39" s="1">
        <f t="shared" si="3"/>
        <v>0</v>
      </c>
      <c r="P39" s="1">
        <f t="shared" si="4"/>
        <v>0</v>
      </c>
      <c r="Q39" s="3">
        <f t="shared" si="5"/>
        <v>0</v>
      </c>
      <c r="R39" s="47">
        <f>ROUNDUP(+K39/Paramètres!$B$4/Paramètres!$B$53,0)</f>
        <v>0</v>
      </c>
      <c r="S39" s="47">
        <f>ROUNDUP(+L39/Paramètres!$B$6/Paramètres!$B$53,0)</f>
        <v>0</v>
      </c>
      <c r="T39" s="47"/>
      <c r="U39" s="2">
        <f t="shared" si="6"/>
        <v>0</v>
      </c>
      <c r="V39" s="1">
        <f>R39*Paramètres!$B$7</f>
        <v>0</v>
      </c>
      <c r="W39" s="1">
        <f>S39*Paramètres!$B$9</f>
        <v>0</v>
      </c>
      <c r="X39" s="1"/>
      <c r="Y39" s="2">
        <f t="shared" si="7"/>
        <v>0</v>
      </c>
      <c r="Z39" s="7">
        <f>R39*Paramètres!$B$10</f>
        <v>0</v>
      </c>
      <c r="AA39" s="7">
        <f>S39*Paramètres!$B$10</f>
        <v>0</v>
      </c>
      <c r="AB39" s="7"/>
      <c r="AC39" s="2">
        <f t="shared" si="8"/>
        <v>0</v>
      </c>
      <c r="AD39" s="1">
        <f t="shared" si="12"/>
        <v>0</v>
      </c>
      <c r="AE39" s="1">
        <f t="shared" si="9"/>
        <v>0</v>
      </c>
      <c r="AF39" s="1">
        <f>IF(B39="",0,Paramètres!$B$53*1.5)</f>
        <v>0</v>
      </c>
      <c r="AG39" s="1">
        <f>IF(C39="",0,Paramètres!$B$53*1.5)</f>
        <v>0</v>
      </c>
      <c r="AH39" s="1"/>
      <c r="AI39" s="1"/>
      <c r="AJ39" s="1"/>
      <c r="AK39" s="1"/>
      <c r="AL39" s="1">
        <f>(U39*Paramètres!$B$53)*3</f>
        <v>0</v>
      </c>
      <c r="AM39" s="1">
        <f t="shared" si="10"/>
        <v>0</v>
      </c>
      <c r="AN39" s="1">
        <f>U39*Paramètres!$B$75</f>
        <v>0</v>
      </c>
      <c r="AO39" s="1">
        <f>U39*Paramètres!$B$72*Paramètres!$B$73</f>
        <v>0</v>
      </c>
      <c r="AP39" s="1"/>
      <c r="AQ39" s="1">
        <f>(Y39+AC39)*Paramètres!$B$42*Paramètres!$B$53</f>
        <v>0</v>
      </c>
      <c r="AR39" s="1"/>
      <c r="AS39" s="7">
        <f>ROUNDUP(D39*Paramètres!$B$23*Paramètres!$B$26,-1)</f>
        <v>0</v>
      </c>
      <c r="AT39" s="7"/>
      <c r="AU39" s="1"/>
      <c r="AV39" s="8"/>
      <c r="AW39" s="8"/>
      <c r="AX39" s="8"/>
      <c r="AY39" s="8"/>
      <c r="AZ39" s="8"/>
      <c r="BA39" s="8"/>
      <c r="BB39" s="44"/>
      <c r="BC39" s="44"/>
      <c r="BD39" s="8"/>
      <c r="BE39" s="8"/>
      <c r="BF39" s="8"/>
      <c r="BG39" s="44"/>
      <c r="BI39">
        <f t="shared" si="11"/>
        <v>0</v>
      </c>
    </row>
    <row r="40" spans="1:61" x14ac:dyDescent="0.25">
      <c r="A40">
        <v>38</v>
      </c>
      <c r="B40" s="1"/>
      <c r="C40" s="1"/>
      <c r="D40" s="1"/>
      <c r="E40" s="1"/>
      <c r="F40" s="47"/>
      <c r="G40" s="53"/>
      <c r="H40" s="53"/>
      <c r="I40" s="54"/>
      <c r="J40" s="50">
        <f>F40*Paramètres!$B$3</f>
        <v>0</v>
      </c>
      <c r="K40" s="56">
        <f t="shared" si="0"/>
        <v>0</v>
      </c>
      <c r="L40" s="56">
        <f t="shared" si="1"/>
        <v>0</v>
      </c>
      <c r="M40" s="56">
        <f t="shared" si="2"/>
        <v>0</v>
      </c>
      <c r="N40" s="3">
        <f>ROUNDUP(J40*Paramètres!$B$19,-1)</f>
        <v>0</v>
      </c>
      <c r="O40" s="1">
        <f t="shared" si="3"/>
        <v>0</v>
      </c>
      <c r="P40" s="1">
        <f t="shared" si="4"/>
        <v>0</v>
      </c>
      <c r="Q40" s="3">
        <f t="shared" si="5"/>
        <v>0</v>
      </c>
      <c r="R40" s="47">
        <f>ROUNDUP(+K40/Paramètres!$B$4/Paramètres!$B$53,0)</f>
        <v>0</v>
      </c>
      <c r="S40" s="47">
        <f>ROUNDUP(+L40/Paramètres!$B$6/Paramètres!$B$53,0)</f>
        <v>0</v>
      </c>
      <c r="T40" s="47"/>
      <c r="U40" s="2">
        <f t="shared" si="6"/>
        <v>0</v>
      </c>
      <c r="V40" s="1">
        <f>R40*Paramètres!$B$7</f>
        <v>0</v>
      </c>
      <c r="W40" s="1">
        <f>S40*Paramètres!$B$9</f>
        <v>0</v>
      </c>
      <c r="X40" s="1"/>
      <c r="Y40" s="2">
        <f t="shared" si="7"/>
        <v>0</v>
      </c>
      <c r="Z40" s="7">
        <f>R40*Paramètres!$B$10</f>
        <v>0</v>
      </c>
      <c r="AA40" s="7">
        <f>S40*Paramètres!$B$10</f>
        <v>0</v>
      </c>
      <c r="AB40" s="7"/>
      <c r="AC40" s="2">
        <f t="shared" si="8"/>
        <v>0</v>
      </c>
      <c r="AD40" s="1">
        <f t="shared" si="12"/>
        <v>0</v>
      </c>
      <c r="AE40" s="1">
        <f t="shared" si="9"/>
        <v>0</v>
      </c>
      <c r="AF40" s="1">
        <f>IF(B40="",0,Paramètres!$B$53*1.5)</f>
        <v>0</v>
      </c>
      <c r="AG40" s="1">
        <f>IF(C40="",0,Paramètres!$B$53*1.5)</f>
        <v>0</v>
      </c>
      <c r="AH40" s="1"/>
      <c r="AI40" s="1"/>
      <c r="AJ40" s="1"/>
      <c r="AK40" s="1"/>
      <c r="AL40" s="1">
        <f>(U40*Paramètres!$B$53)*3</f>
        <v>0</v>
      </c>
      <c r="AM40" s="1">
        <f t="shared" si="10"/>
        <v>0</v>
      </c>
      <c r="AN40" s="1">
        <f>U40*Paramètres!$B$75</f>
        <v>0</v>
      </c>
      <c r="AO40" s="1">
        <f>U40*Paramètres!$B$72*Paramètres!$B$73</f>
        <v>0</v>
      </c>
      <c r="AP40" s="1"/>
      <c r="AQ40" s="1">
        <f>(Y40+AC40)*Paramètres!$B$42*Paramètres!$B$53</f>
        <v>0</v>
      </c>
      <c r="AR40" s="1"/>
      <c r="AS40" s="7">
        <f>ROUNDUP(D40*Paramètres!$B$23*Paramètres!$B$26,-1)</f>
        <v>0</v>
      </c>
      <c r="AT40" s="7"/>
      <c r="AU40" s="1"/>
      <c r="AV40" s="8"/>
      <c r="AW40" s="8"/>
      <c r="AX40" s="8"/>
      <c r="AY40" s="8"/>
      <c r="AZ40" s="8"/>
      <c r="BA40" s="8"/>
      <c r="BB40" s="44"/>
      <c r="BC40" s="44"/>
      <c r="BD40" s="8"/>
      <c r="BE40" s="8"/>
      <c r="BF40" s="8"/>
      <c r="BG40" s="44"/>
      <c r="BI40">
        <f t="shared" si="11"/>
        <v>0</v>
      </c>
    </row>
    <row r="41" spans="1:61" x14ac:dyDescent="0.25">
      <c r="A41">
        <v>39</v>
      </c>
      <c r="B41" s="1"/>
      <c r="C41" s="1"/>
      <c r="D41" s="1"/>
      <c r="E41" s="1"/>
      <c r="F41" s="47"/>
      <c r="G41" s="53"/>
      <c r="H41" s="53"/>
      <c r="I41" s="53"/>
      <c r="J41" s="50">
        <f>F41*Paramètres!$B$3</f>
        <v>0</v>
      </c>
      <c r="K41" s="56">
        <f t="shared" si="0"/>
        <v>0</v>
      </c>
      <c r="L41" s="56">
        <f t="shared" si="1"/>
        <v>0</v>
      </c>
      <c r="M41" s="56">
        <f t="shared" si="2"/>
        <v>0</v>
      </c>
      <c r="N41" s="3">
        <f>ROUNDUP(J41*Paramètres!$B$19,-1)</f>
        <v>0</v>
      </c>
      <c r="O41" s="1">
        <f t="shared" si="3"/>
        <v>0</v>
      </c>
      <c r="P41" s="1">
        <f t="shared" si="4"/>
        <v>0</v>
      </c>
      <c r="Q41" s="3">
        <f t="shared" si="5"/>
        <v>0</v>
      </c>
      <c r="R41" s="47">
        <f>ROUNDUP(+K41/Paramètres!$B$4/Paramètres!$B$53,0)</f>
        <v>0</v>
      </c>
      <c r="S41" s="47">
        <f>ROUNDUP(+L41/Paramètres!$B$6/Paramètres!$B$53,0)</f>
        <v>0</v>
      </c>
      <c r="T41" s="47"/>
      <c r="U41" s="2">
        <f t="shared" si="6"/>
        <v>0</v>
      </c>
      <c r="V41" s="1">
        <f>R41*Paramètres!$B$7</f>
        <v>0</v>
      </c>
      <c r="W41" s="1">
        <f>S41*Paramètres!$B$9</f>
        <v>0</v>
      </c>
      <c r="X41" s="1"/>
      <c r="Y41" s="2">
        <f t="shared" si="7"/>
        <v>0</v>
      </c>
      <c r="Z41" s="7">
        <f>R41*Paramètres!$B$10</f>
        <v>0</v>
      </c>
      <c r="AA41" s="7">
        <f>S41*Paramètres!$B$10</f>
        <v>0</v>
      </c>
      <c r="AB41" s="7"/>
      <c r="AC41" s="2">
        <f t="shared" si="8"/>
        <v>0</v>
      </c>
      <c r="AD41" s="1">
        <f t="shared" si="12"/>
        <v>0</v>
      </c>
      <c r="AE41" s="1">
        <f t="shared" si="9"/>
        <v>0</v>
      </c>
      <c r="AF41" s="1">
        <f>IF(B41="",0,Paramètres!$B$53*1.5)</f>
        <v>0</v>
      </c>
      <c r="AG41" s="1">
        <f>IF(C41="",0,Paramètres!$B$53*1.5)</f>
        <v>0</v>
      </c>
      <c r="AH41" s="1"/>
      <c r="AI41" s="1"/>
      <c r="AJ41" s="1"/>
      <c r="AK41" s="1"/>
      <c r="AL41" s="1">
        <f>(U41*Paramètres!$B$53)*3</f>
        <v>0</v>
      </c>
      <c r="AM41" s="1">
        <f t="shared" si="10"/>
        <v>0</v>
      </c>
      <c r="AN41" s="1">
        <f>U41*Paramètres!$B$75</f>
        <v>0</v>
      </c>
      <c r="AO41" s="1">
        <f>U41*Paramètres!$B$72*Paramètres!$B$73</f>
        <v>0</v>
      </c>
      <c r="AP41" s="1"/>
      <c r="AQ41" s="1">
        <f>(Y41+AC41)*Paramètres!$B$42*Paramètres!$B$53</f>
        <v>0</v>
      </c>
      <c r="AR41" s="1"/>
      <c r="AS41" s="7">
        <f>ROUNDUP(D41*Paramètres!$B$23*Paramètres!$B$26,-1)</f>
        <v>0</v>
      </c>
      <c r="AT41" s="7"/>
      <c r="AU41" s="1"/>
      <c r="AV41" s="8"/>
      <c r="AW41" s="8"/>
      <c r="AX41" s="8"/>
      <c r="AY41" s="8"/>
      <c r="AZ41" s="8"/>
      <c r="BA41" s="8"/>
      <c r="BB41" s="44"/>
      <c r="BC41" s="44"/>
      <c r="BD41" s="8"/>
      <c r="BE41" s="8"/>
      <c r="BF41" s="8"/>
      <c r="BG41" s="44"/>
      <c r="BI41">
        <f t="shared" si="11"/>
        <v>0</v>
      </c>
    </row>
    <row r="42" spans="1:61" x14ac:dyDescent="0.25">
      <c r="A42">
        <v>40</v>
      </c>
      <c r="B42" s="1"/>
      <c r="C42" s="1"/>
      <c r="D42" s="1"/>
      <c r="E42" s="1"/>
      <c r="F42" s="47"/>
      <c r="G42" s="53"/>
      <c r="H42" s="53"/>
      <c r="I42" s="54"/>
      <c r="J42" s="50">
        <f>F42*Paramètres!$B$3</f>
        <v>0</v>
      </c>
      <c r="K42" s="56">
        <f t="shared" si="0"/>
        <v>0</v>
      </c>
      <c r="L42" s="56">
        <f t="shared" si="1"/>
        <v>0</v>
      </c>
      <c r="M42" s="56">
        <f t="shared" si="2"/>
        <v>0</v>
      </c>
      <c r="N42" s="3">
        <f>ROUNDUP(J42*Paramètres!$B$19,-1)</f>
        <v>0</v>
      </c>
      <c r="O42" s="1">
        <f t="shared" si="3"/>
        <v>0</v>
      </c>
      <c r="P42" s="1">
        <f t="shared" si="4"/>
        <v>0</v>
      </c>
      <c r="Q42" s="3">
        <f t="shared" si="5"/>
        <v>0</v>
      </c>
      <c r="R42" s="47">
        <f>ROUNDUP(+K42/Paramètres!$B$4/Paramètres!$B$53,0)</f>
        <v>0</v>
      </c>
      <c r="S42" s="47">
        <f>ROUNDUP(+L42/Paramètres!$B$6/Paramètres!$B$53,0)</f>
        <v>0</v>
      </c>
      <c r="T42" s="47"/>
      <c r="U42" s="2">
        <f t="shared" si="6"/>
        <v>0</v>
      </c>
      <c r="V42" s="1">
        <f>R42*Paramètres!$B$7</f>
        <v>0</v>
      </c>
      <c r="W42" s="1">
        <f>S42*Paramètres!$B$9</f>
        <v>0</v>
      </c>
      <c r="X42" s="1"/>
      <c r="Y42" s="2">
        <f t="shared" si="7"/>
        <v>0</v>
      </c>
      <c r="Z42" s="7">
        <f>R42*Paramètres!$B$10</f>
        <v>0</v>
      </c>
      <c r="AA42" s="7">
        <f>S42*Paramètres!$B$10</f>
        <v>0</v>
      </c>
      <c r="AB42" s="7"/>
      <c r="AC42" s="2">
        <f t="shared" si="8"/>
        <v>0</v>
      </c>
      <c r="AD42" s="1">
        <f t="shared" si="12"/>
        <v>0</v>
      </c>
      <c r="AE42" s="1">
        <f t="shared" si="9"/>
        <v>0</v>
      </c>
      <c r="AF42" s="1">
        <f>IF(B42="",0,Paramètres!$B$53*1.5)</f>
        <v>0</v>
      </c>
      <c r="AG42" s="1">
        <f>IF(C42="",0,Paramètres!$B$53*1.5)</f>
        <v>0</v>
      </c>
      <c r="AH42" s="1"/>
      <c r="AI42" s="1"/>
      <c r="AJ42" s="1"/>
      <c r="AK42" s="1"/>
      <c r="AL42" s="1">
        <f>(U42*Paramètres!$B$53)*3</f>
        <v>0</v>
      </c>
      <c r="AM42" s="1">
        <f t="shared" si="10"/>
        <v>0</v>
      </c>
      <c r="AN42" s="1">
        <f>U42*Paramètres!$B$75</f>
        <v>0</v>
      </c>
      <c r="AO42" s="1">
        <f>U42*Paramètres!$B$72*Paramètres!$B$73</f>
        <v>0</v>
      </c>
      <c r="AP42" s="1"/>
      <c r="AQ42" s="1">
        <f>(Y42+AC42)*Paramètres!$B$42*Paramètres!$B$53</f>
        <v>0</v>
      </c>
      <c r="AR42" s="1"/>
      <c r="AS42" s="7">
        <f>ROUNDUP(D42*Paramètres!$B$23*Paramètres!$B$26,-1)</f>
        <v>0</v>
      </c>
      <c r="AT42" s="7"/>
      <c r="AU42" s="1"/>
      <c r="AV42" s="8"/>
      <c r="AW42" s="8"/>
      <c r="AX42" s="8"/>
      <c r="AY42" s="8"/>
      <c r="AZ42" s="8"/>
      <c r="BA42" s="8"/>
      <c r="BB42" s="44"/>
      <c r="BC42" s="44"/>
      <c r="BD42" s="8"/>
      <c r="BE42" s="8"/>
      <c r="BF42" s="8"/>
      <c r="BG42" s="44"/>
      <c r="BI42">
        <f t="shared" si="11"/>
        <v>0</v>
      </c>
    </row>
    <row r="43" spans="1:61" x14ac:dyDescent="0.25">
      <c r="A43">
        <v>41</v>
      </c>
      <c r="B43" s="1"/>
      <c r="C43" s="1"/>
      <c r="D43" s="1"/>
      <c r="E43" s="1"/>
      <c r="F43" s="47"/>
      <c r="G43" s="53"/>
      <c r="H43" s="53"/>
      <c r="I43" s="54"/>
      <c r="J43" s="50">
        <f>F43*Paramètres!$B$3</f>
        <v>0</v>
      </c>
      <c r="K43" s="56">
        <f t="shared" si="0"/>
        <v>0</v>
      </c>
      <c r="L43" s="56">
        <f t="shared" si="1"/>
        <v>0</v>
      </c>
      <c r="M43" s="56">
        <f t="shared" si="2"/>
        <v>0</v>
      </c>
      <c r="N43" s="3">
        <f>ROUNDUP(J43*Paramètres!$B$19,-1)</f>
        <v>0</v>
      </c>
      <c r="O43" s="1">
        <f t="shared" si="3"/>
        <v>0</v>
      </c>
      <c r="P43" s="1">
        <f t="shared" si="4"/>
        <v>0</v>
      </c>
      <c r="Q43" s="3">
        <f t="shared" si="5"/>
        <v>0</v>
      </c>
      <c r="R43" s="47">
        <f>ROUNDUP(+K43/Paramètres!$B$4/Paramètres!$B$53,0)</f>
        <v>0</v>
      </c>
      <c r="S43" s="47">
        <f>ROUNDUP(+L43/Paramètres!$B$6/Paramètres!$B$53,0)</f>
        <v>0</v>
      </c>
      <c r="T43" s="47"/>
      <c r="U43" s="2">
        <f t="shared" si="6"/>
        <v>0</v>
      </c>
      <c r="V43" s="1">
        <f>R43*Paramètres!$B$7</f>
        <v>0</v>
      </c>
      <c r="W43" s="1">
        <f>S43*Paramètres!$B$9</f>
        <v>0</v>
      </c>
      <c r="X43" s="1"/>
      <c r="Y43" s="2">
        <f t="shared" si="7"/>
        <v>0</v>
      </c>
      <c r="Z43" s="7">
        <f>R43*Paramètres!$B$10</f>
        <v>0</v>
      </c>
      <c r="AA43" s="7">
        <f>S43*Paramètres!$B$10</f>
        <v>0</v>
      </c>
      <c r="AB43" s="7"/>
      <c r="AC43" s="2">
        <f t="shared" si="8"/>
        <v>0</v>
      </c>
      <c r="AD43" s="1">
        <f t="shared" si="12"/>
        <v>0</v>
      </c>
      <c r="AE43" s="1">
        <f t="shared" si="9"/>
        <v>0</v>
      </c>
      <c r="AF43" s="1">
        <f>IF(B43="",0,Paramètres!$B$53*1.5)</f>
        <v>0</v>
      </c>
      <c r="AG43" s="1">
        <f>IF(C43="",0,Paramètres!$B$53*1.5)</f>
        <v>0</v>
      </c>
      <c r="AH43" s="1"/>
      <c r="AI43" s="1"/>
      <c r="AJ43" s="1"/>
      <c r="AK43" s="1"/>
      <c r="AL43" s="1">
        <f>(U43*Paramètres!$B$53)*3</f>
        <v>0</v>
      </c>
      <c r="AM43" s="1">
        <f t="shared" si="10"/>
        <v>0</v>
      </c>
      <c r="AN43" s="1">
        <f>U43*Paramètres!$B$75</f>
        <v>0</v>
      </c>
      <c r="AO43" s="1">
        <f>U43*Paramètres!$B$72*Paramètres!$B$73</f>
        <v>0</v>
      </c>
      <c r="AP43" s="1"/>
      <c r="AQ43" s="1">
        <f>(Y43+AC43)*Paramètres!$B$42*Paramètres!$B$53</f>
        <v>0</v>
      </c>
      <c r="AR43" s="1"/>
      <c r="AS43" s="7">
        <f>ROUNDUP(D43*Paramètres!$B$23*Paramètres!$B$26,-1)</f>
        <v>0</v>
      </c>
      <c r="AT43" s="7"/>
      <c r="AU43" s="1"/>
      <c r="AV43" s="8"/>
      <c r="AW43" s="8"/>
      <c r="AX43" s="8"/>
      <c r="AY43" s="8"/>
      <c r="AZ43" s="8"/>
      <c r="BA43" s="8"/>
      <c r="BB43" s="44"/>
      <c r="BC43" s="44"/>
      <c r="BD43" s="8"/>
      <c r="BE43" s="8"/>
      <c r="BF43" s="8"/>
      <c r="BG43" s="44"/>
      <c r="BI43">
        <f t="shared" si="11"/>
        <v>0</v>
      </c>
    </row>
    <row r="44" spans="1:61" x14ac:dyDescent="0.25">
      <c r="A44">
        <v>42</v>
      </c>
      <c r="B44" s="1"/>
      <c r="C44" s="1"/>
      <c r="D44" s="1"/>
      <c r="E44" s="1"/>
      <c r="F44" s="47"/>
      <c r="G44" s="53"/>
      <c r="H44" s="53"/>
      <c r="I44" s="54"/>
      <c r="J44" s="50">
        <f>F44*Paramètres!$B$3</f>
        <v>0</v>
      </c>
      <c r="K44" s="56">
        <f t="shared" si="0"/>
        <v>0</v>
      </c>
      <c r="L44" s="56">
        <f t="shared" si="1"/>
        <v>0</v>
      </c>
      <c r="M44" s="56">
        <f t="shared" si="2"/>
        <v>0</v>
      </c>
      <c r="N44" s="3">
        <f>ROUNDUP(J44*Paramètres!$B$19,-1)</f>
        <v>0</v>
      </c>
      <c r="O44" s="1">
        <f t="shared" si="3"/>
        <v>0</v>
      </c>
      <c r="P44" s="1">
        <f t="shared" si="4"/>
        <v>0</v>
      </c>
      <c r="Q44" s="3">
        <f t="shared" si="5"/>
        <v>0</v>
      </c>
      <c r="R44" s="47">
        <f>ROUNDUP(+K44/Paramètres!$B$4/Paramètres!$B$53,0)</f>
        <v>0</v>
      </c>
      <c r="S44" s="47">
        <f>ROUNDUP(+L44/Paramètres!$B$6/Paramètres!$B$53,0)</f>
        <v>0</v>
      </c>
      <c r="T44" s="47"/>
      <c r="U44" s="2">
        <f t="shared" si="6"/>
        <v>0</v>
      </c>
      <c r="V44" s="1">
        <f>R44*Paramètres!$B$7</f>
        <v>0</v>
      </c>
      <c r="W44" s="1">
        <f>S44*Paramètres!$B$9</f>
        <v>0</v>
      </c>
      <c r="X44" s="1"/>
      <c r="Y44" s="2">
        <f t="shared" si="7"/>
        <v>0</v>
      </c>
      <c r="Z44" s="7">
        <f>R44*Paramètres!$B$10</f>
        <v>0</v>
      </c>
      <c r="AA44" s="7">
        <f>S44*Paramètres!$B$10</f>
        <v>0</v>
      </c>
      <c r="AB44" s="7"/>
      <c r="AC44" s="2">
        <f t="shared" si="8"/>
        <v>0</v>
      </c>
      <c r="AD44" s="1">
        <f t="shared" si="12"/>
        <v>0</v>
      </c>
      <c r="AE44" s="1">
        <f t="shared" si="9"/>
        <v>0</v>
      </c>
      <c r="AF44" s="1">
        <f>IF(B44="",0,Paramètres!$B$53*1.5)</f>
        <v>0</v>
      </c>
      <c r="AG44" s="1">
        <f>IF(C44="",0,Paramètres!$B$53*1.5)</f>
        <v>0</v>
      </c>
      <c r="AH44" s="1"/>
      <c r="AI44" s="1"/>
      <c r="AJ44" s="1"/>
      <c r="AK44" s="1"/>
      <c r="AL44" s="1">
        <f>(U44*Paramètres!$B$53)*3</f>
        <v>0</v>
      </c>
      <c r="AM44" s="1">
        <f t="shared" si="10"/>
        <v>0</v>
      </c>
      <c r="AN44" s="1">
        <f>U44*Paramètres!$B$75</f>
        <v>0</v>
      </c>
      <c r="AO44" s="1">
        <f>U44*Paramètres!$B$72*Paramètres!$B$73</f>
        <v>0</v>
      </c>
      <c r="AP44" s="1"/>
      <c r="AQ44" s="1">
        <f>(Y44+AC44)*Paramètres!$B$42*Paramètres!$B$53</f>
        <v>0</v>
      </c>
      <c r="AR44" s="1"/>
      <c r="AS44" s="7">
        <f>ROUNDUP(D44*Paramètres!$B$23*Paramètres!$B$26,-1)</f>
        <v>0</v>
      </c>
      <c r="AT44" s="7"/>
      <c r="AU44" s="1"/>
      <c r="AV44" s="8"/>
      <c r="AW44" s="8"/>
      <c r="AX44" s="8"/>
      <c r="AY44" s="8"/>
      <c r="AZ44" s="8"/>
      <c r="BA44" s="8"/>
      <c r="BB44" s="44"/>
      <c r="BC44" s="44"/>
      <c r="BD44" s="8"/>
      <c r="BE44" s="8"/>
      <c r="BF44" s="8"/>
      <c r="BG44" s="44"/>
      <c r="BI44">
        <f t="shared" si="11"/>
        <v>0</v>
      </c>
    </row>
    <row r="45" spans="1:61" x14ac:dyDescent="0.25">
      <c r="A45">
        <v>43</v>
      </c>
      <c r="B45" s="1"/>
      <c r="C45" s="1"/>
      <c r="D45" s="1"/>
      <c r="E45" s="1"/>
      <c r="F45" s="47"/>
      <c r="G45" s="53"/>
      <c r="H45" s="53"/>
      <c r="I45" s="54"/>
      <c r="J45" s="50">
        <f>F45*Paramètres!$B$3</f>
        <v>0</v>
      </c>
      <c r="K45" s="56">
        <f t="shared" si="0"/>
        <v>0</v>
      </c>
      <c r="L45" s="56">
        <f t="shared" si="1"/>
        <v>0</v>
      </c>
      <c r="M45" s="56">
        <f t="shared" si="2"/>
        <v>0</v>
      </c>
      <c r="N45" s="3">
        <f>ROUNDUP(J45*Paramètres!$B$19,-1)</f>
        <v>0</v>
      </c>
      <c r="O45" s="1">
        <f t="shared" si="3"/>
        <v>0</v>
      </c>
      <c r="P45" s="1">
        <f t="shared" si="4"/>
        <v>0</v>
      </c>
      <c r="Q45" s="3">
        <f t="shared" si="5"/>
        <v>0</v>
      </c>
      <c r="R45" s="47">
        <f>ROUNDUP(+K45/Paramètres!$B$4/Paramètres!$B$53,0)</f>
        <v>0</v>
      </c>
      <c r="S45" s="47">
        <f>ROUNDUP(+L45/Paramètres!$B$6/Paramètres!$B$53,0)</f>
        <v>0</v>
      </c>
      <c r="T45" s="47"/>
      <c r="U45" s="2">
        <f t="shared" si="6"/>
        <v>0</v>
      </c>
      <c r="V45" s="1">
        <f>R45*Paramètres!$B$7</f>
        <v>0</v>
      </c>
      <c r="W45" s="1">
        <f>S45*Paramètres!$B$9</f>
        <v>0</v>
      </c>
      <c r="X45" s="1"/>
      <c r="Y45" s="2">
        <f t="shared" si="7"/>
        <v>0</v>
      </c>
      <c r="Z45" s="7">
        <f>R45*Paramètres!$B$10</f>
        <v>0</v>
      </c>
      <c r="AA45" s="7">
        <f>S45*Paramètres!$B$10</f>
        <v>0</v>
      </c>
      <c r="AB45" s="7"/>
      <c r="AC45" s="2">
        <f t="shared" si="8"/>
        <v>0</v>
      </c>
      <c r="AD45" s="1">
        <f t="shared" si="12"/>
        <v>0</v>
      </c>
      <c r="AE45" s="1">
        <f t="shared" si="9"/>
        <v>0</v>
      </c>
      <c r="AF45" s="1">
        <f>IF(B45="",0,Paramètres!$B$53*1.5)</f>
        <v>0</v>
      </c>
      <c r="AG45" s="1">
        <f>IF(C45="",0,Paramètres!$B$53*1.5)</f>
        <v>0</v>
      </c>
      <c r="AH45" s="1"/>
      <c r="AI45" s="1"/>
      <c r="AJ45" s="1"/>
      <c r="AK45" s="1"/>
      <c r="AL45" s="1">
        <f>(U45*Paramètres!$B$53)*3</f>
        <v>0</v>
      </c>
      <c r="AM45" s="1">
        <f t="shared" si="10"/>
        <v>0</v>
      </c>
      <c r="AN45" s="1">
        <f>U45*Paramètres!$B$75</f>
        <v>0</v>
      </c>
      <c r="AO45" s="1">
        <f>U45*Paramètres!$B$72*Paramètres!$B$73</f>
        <v>0</v>
      </c>
      <c r="AP45" s="1"/>
      <c r="AQ45" s="1">
        <f>(Y45+AC45)*Paramètres!$B$42*Paramètres!$B$53</f>
        <v>0</v>
      </c>
      <c r="AR45" s="1"/>
      <c r="AS45" s="7">
        <f>ROUNDUP(D45*Paramètres!$B$23*Paramètres!$B$26,-1)</f>
        <v>0</v>
      </c>
      <c r="AT45" s="7"/>
      <c r="AU45" s="1"/>
      <c r="AV45" s="8"/>
      <c r="AW45" s="8"/>
      <c r="AX45" s="8"/>
      <c r="AY45" s="8"/>
      <c r="AZ45" s="8"/>
      <c r="BA45" s="8"/>
      <c r="BB45" s="44"/>
      <c r="BC45" s="44"/>
      <c r="BD45" s="8"/>
      <c r="BE45" s="8"/>
      <c r="BF45" s="8"/>
      <c r="BG45" s="44"/>
      <c r="BI45">
        <f t="shared" si="11"/>
        <v>0</v>
      </c>
    </row>
    <row r="46" spans="1:61" x14ac:dyDescent="0.25">
      <c r="A46">
        <v>44</v>
      </c>
      <c r="B46" s="1"/>
      <c r="C46" s="1"/>
      <c r="D46" s="1"/>
      <c r="E46" s="1"/>
      <c r="F46" s="47"/>
      <c r="G46" s="53"/>
      <c r="H46" s="53"/>
      <c r="I46" s="54"/>
      <c r="J46" s="50">
        <f>F46*Paramètres!$B$3</f>
        <v>0</v>
      </c>
      <c r="K46" s="56">
        <f t="shared" si="0"/>
        <v>0</v>
      </c>
      <c r="L46" s="56">
        <f t="shared" si="1"/>
        <v>0</v>
      </c>
      <c r="M46" s="56">
        <f t="shared" si="2"/>
        <v>0</v>
      </c>
      <c r="N46" s="3">
        <f>ROUNDUP(J46*Paramètres!$B$19,-1)</f>
        <v>0</v>
      </c>
      <c r="O46" s="1">
        <f t="shared" si="3"/>
        <v>0</v>
      </c>
      <c r="P46" s="1">
        <f t="shared" si="4"/>
        <v>0</v>
      </c>
      <c r="Q46" s="3">
        <f t="shared" si="5"/>
        <v>0</v>
      </c>
      <c r="R46" s="47">
        <f>ROUNDUP(+K46/Paramètres!$B$4/Paramètres!$B$53,0)</f>
        <v>0</v>
      </c>
      <c r="S46" s="47">
        <f>ROUNDUP(+L46/Paramètres!$B$6/Paramètres!$B$53,0)</f>
        <v>0</v>
      </c>
      <c r="T46" s="47"/>
      <c r="U46" s="2">
        <f t="shared" si="6"/>
        <v>0</v>
      </c>
      <c r="V46" s="1">
        <f>R46*Paramètres!$B$7</f>
        <v>0</v>
      </c>
      <c r="W46" s="1">
        <f>S46*Paramètres!$B$9</f>
        <v>0</v>
      </c>
      <c r="X46" s="1"/>
      <c r="Y46" s="2">
        <f t="shared" si="7"/>
        <v>0</v>
      </c>
      <c r="Z46" s="7">
        <f>R46*Paramètres!$B$10</f>
        <v>0</v>
      </c>
      <c r="AA46" s="7">
        <f>S46*Paramètres!$B$10</f>
        <v>0</v>
      </c>
      <c r="AB46" s="7"/>
      <c r="AC46" s="2">
        <f t="shared" si="8"/>
        <v>0</v>
      </c>
      <c r="AD46" s="1">
        <f t="shared" si="12"/>
        <v>0</v>
      </c>
      <c r="AE46" s="1">
        <f t="shared" si="9"/>
        <v>0</v>
      </c>
      <c r="AF46" s="1">
        <f>IF(B46="",0,Paramètres!$B$53*1.5)</f>
        <v>0</v>
      </c>
      <c r="AG46" s="1">
        <f>IF(C46="",0,Paramètres!$B$53*1.5)</f>
        <v>0</v>
      </c>
      <c r="AH46" s="1"/>
      <c r="AI46" s="1"/>
      <c r="AJ46" s="1"/>
      <c r="AK46" s="1"/>
      <c r="AL46" s="1">
        <f>(U46*Paramètres!$B$53)*3</f>
        <v>0</v>
      </c>
      <c r="AM46" s="1">
        <f t="shared" si="10"/>
        <v>0</v>
      </c>
      <c r="AN46" s="1">
        <f>U46*Paramètres!$B$75</f>
        <v>0</v>
      </c>
      <c r="AO46" s="1">
        <f>U46*Paramètres!$B$72*Paramètres!$B$73</f>
        <v>0</v>
      </c>
      <c r="AP46" s="1"/>
      <c r="AQ46" s="1">
        <f>(Y46+AC46)*Paramètres!$B$42*Paramètres!$B$53</f>
        <v>0</v>
      </c>
      <c r="AR46" s="1"/>
      <c r="AS46" s="7">
        <f>ROUNDUP(D46*Paramètres!$B$23*Paramètres!$B$26,-1)</f>
        <v>0</v>
      </c>
      <c r="AT46" s="7"/>
      <c r="AU46" s="1"/>
      <c r="AV46" s="8"/>
      <c r="AW46" s="8"/>
      <c r="AX46" s="8"/>
      <c r="AY46" s="8"/>
      <c r="AZ46" s="8"/>
      <c r="BA46" s="8"/>
      <c r="BB46" s="44"/>
      <c r="BC46" s="44"/>
      <c r="BD46" s="8"/>
      <c r="BE46" s="8"/>
      <c r="BF46" s="8"/>
      <c r="BG46" s="44"/>
      <c r="BI46">
        <f t="shared" si="11"/>
        <v>0</v>
      </c>
    </row>
    <row r="47" spans="1:61" x14ac:dyDescent="0.25">
      <c r="A47">
        <v>45</v>
      </c>
      <c r="B47" s="1"/>
      <c r="C47" s="1"/>
      <c r="D47" s="1"/>
      <c r="E47" s="1"/>
      <c r="F47" s="47"/>
      <c r="G47" s="53"/>
      <c r="H47" s="53"/>
      <c r="I47" s="54"/>
      <c r="J47" s="50">
        <f>F47*Paramètres!$B$3</f>
        <v>0</v>
      </c>
      <c r="K47" s="56">
        <f t="shared" si="0"/>
        <v>0</v>
      </c>
      <c r="L47" s="56">
        <f t="shared" si="1"/>
        <v>0</v>
      </c>
      <c r="M47" s="56">
        <f t="shared" si="2"/>
        <v>0</v>
      </c>
      <c r="N47" s="3">
        <f>ROUNDUP(J47*Paramètres!$B$19,-1)</f>
        <v>0</v>
      </c>
      <c r="O47" s="1">
        <f t="shared" si="3"/>
        <v>0</v>
      </c>
      <c r="P47" s="1">
        <f t="shared" si="4"/>
        <v>0</v>
      </c>
      <c r="Q47" s="3">
        <f t="shared" si="5"/>
        <v>0</v>
      </c>
      <c r="R47" s="47">
        <f>ROUNDUP(+K47/Paramètres!$B$4/Paramètres!$B$53,0)</f>
        <v>0</v>
      </c>
      <c r="S47" s="47">
        <f>ROUNDUP(+L47/Paramètres!$B$6/Paramètres!$B$53,0)</f>
        <v>0</v>
      </c>
      <c r="T47" s="47"/>
      <c r="U47" s="2">
        <f t="shared" si="6"/>
        <v>0</v>
      </c>
      <c r="V47" s="1">
        <f>R47*Paramètres!$B$7</f>
        <v>0</v>
      </c>
      <c r="W47" s="1">
        <f>S47*Paramètres!$B$9</f>
        <v>0</v>
      </c>
      <c r="X47" s="1"/>
      <c r="Y47" s="2">
        <f t="shared" si="7"/>
        <v>0</v>
      </c>
      <c r="Z47" s="7">
        <f>R47*Paramètres!$B$10</f>
        <v>0</v>
      </c>
      <c r="AA47" s="7">
        <f>S47*Paramètres!$B$10</f>
        <v>0</v>
      </c>
      <c r="AB47" s="7"/>
      <c r="AC47" s="2">
        <f t="shared" si="8"/>
        <v>0</v>
      </c>
      <c r="AD47" s="1">
        <f t="shared" si="12"/>
        <v>0</v>
      </c>
      <c r="AE47" s="1">
        <f t="shared" si="9"/>
        <v>0</v>
      </c>
      <c r="AF47" s="1">
        <f>IF(B47="",0,Paramètres!$B$53*1.5)</f>
        <v>0</v>
      </c>
      <c r="AG47" s="1">
        <f>IF(C47="",0,Paramètres!$B$53*1.5)</f>
        <v>0</v>
      </c>
      <c r="AH47" s="1"/>
      <c r="AI47" s="1"/>
      <c r="AJ47" s="1"/>
      <c r="AK47" s="1"/>
      <c r="AL47" s="1">
        <f>(U47*Paramètres!$B$53)*3</f>
        <v>0</v>
      </c>
      <c r="AM47" s="1">
        <f t="shared" si="10"/>
        <v>0</v>
      </c>
      <c r="AN47" s="1">
        <f>U47*Paramètres!$B$75</f>
        <v>0</v>
      </c>
      <c r="AO47" s="1">
        <f>U47*Paramètres!$B$72*Paramètres!$B$73</f>
        <v>0</v>
      </c>
      <c r="AP47" s="1"/>
      <c r="AQ47" s="1">
        <f>(Y47+AC47)*Paramètres!$B$42*Paramètres!$B$53</f>
        <v>0</v>
      </c>
      <c r="AR47" s="1"/>
      <c r="AS47" s="7">
        <f>ROUNDUP(D47*Paramètres!$B$23*Paramètres!$B$26,-1)</f>
        <v>0</v>
      </c>
      <c r="AT47" s="7"/>
      <c r="AU47" s="1"/>
      <c r="AV47" s="8"/>
      <c r="AW47" s="8"/>
      <c r="AX47" s="8"/>
      <c r="AY47" s="8"/>
      <c r="AZ47" s="8"/>
      <c r="BA47" s="8"/>
      <c r="BB47" s="44"/>
      <c r="BC47" s="44"/>
      <c r="BD47" s="8"/>
      <c r="BE47" s="8"/>
      <c r="BF47" s="8"/>
      <c r="BG47" s="44"/>
      <c r="BI47">
        <f t="shared" si="11"/>
        <v>0</v>
      </c>
    </row>
    <row r="48" spans="1:61" x14ac:dyDescent="0.25">
      <c r="A48">
        <v>46</v>
      </c>
      <c r="B48" s="1"/>
      <c r="C48" s="1"/>
      <c r="D48" s="1"/>
      <c r="E48" s="1"/>
      <c r="F48" s="1"/>
      <c r="G48" s="53"/>
      <c r="H48" s="53"/>
      <c r="I48" s="54"/>
      <c r="J48" s="50">
        <f>F48*Paramètres!$B$3</f>
        <v>0</v>
      </c>
      <c r="K48" s="56">
        <f t="shared" si="0"/>
        <v>0</v>
      </c>
      <c r="L48" s="56">
        <f t="shared" si="1"/>
        <v>0</v>
      </c>
      <c r="M48" s="56">
        <f t="shared" si="2"/>
        <v>0</v>
      </c>
      <c r="N48" s="3">
        <f>ROUNDUP(J48*Paramètres!$B$19,-1)</f>
        <v>0</v>
      </c>
      <c r="O48" s="1">
        <f t="shared" si="3"/>
        <v>0</v>
      </c>
      <c r="P48" s="1">
        <f t="shared" si="4"/>
        <v>0</v>
      </c>
      <c r="Q48" s="3">
        <f t="shared" si="5"/>
        <v>0</v>
      </c>
      <c r="R48" s="47">
        <f>ROUNDUP(+K48/Paramètres!$B$4/Paramètres!$B$53,0)</f>
        <v>0</v>
      </c>
      <c r="S48" s="47">
        <f>ROUNDUP(+L48/Paramètres!$B$6/Paramètres!$B$53,0)</f>
        <v>0</v>
      </c>
      <c r="T48" s="47"/>
      <c r="U48" s="2">
        <f t="shared" si="6"/>
        <v>0</v>
      </c>
      <c r="V48" s="1">
        <f>R48*Paramètres!$B$7</f>
        <v>0</v>
      </c>
      <c r="W48" s="1">
        <f>S48*Paramètres!$B$9</f>
        <v>0</v>
      </c>
      <c r="X48" s="1"/>
      <c r="Y48" s="2">
        <f t="shared" si="7"/>
        <v>0</v>
      </c>
      <c r="Z48" s="7">
        <f>R48*Paramètres!$B$10</f>
        <v>0</v>
      </c>
      <c r="AA48" s="7">
        <f>S48*Paramètres!$B$10</f>
        <v>0</v>
      </c>
      <c r="AB48" s="7"/>
      <c r="AC48" s="2">
        <f t="shared" si="8"/>
        <v>0</v>
      </c>
      <c r="AD48" s="1">
        <f t="shared" si="12"/>
        <v>0</v>
      </c>
      <c r="AE48" s="1">
        <f t="shared" si="9"/>
        <v>0</v>
      </c>
      <c r="AF48" s="1">
        <f>IF(B48="",0,Paramètres!$B$53*1.5)</f>
        <v>0</v>
      </c>
      <c r="AG48" s="1">
        <f>IF(C48="",0,Paramètres!$B$53*1.5)</f>
        <v>0</v>
      </c>
      <c r="AH48" s="1"/>
      <c r="AI48" s="1"/>
      <c r="AJ48" s="1"/>
      <c r="AK48" s="1"/>
      <c r="AL48" s="1">
        <f>(U48*Paramètres!$B$53)*3</f>
        <v>0</v>
      </c>
      <c r="AM48" s="1">
        <f t="shared" si="10"/>
        <v>0</v>
      </c>
      <c r="AN48" s="1">
        <f>U48*Paramètres!$B$75</f>
        <v>0</v>
      </c>
      <c r="AO48" s="1">
        <f>U48*Paramètres!$B$72*Paramètres!$B$73</f>
        <v>0</v>
      </c>
      <c r="AP48" s="1"/>
      <c r="AQ48" s="1">
        <f>(Y48+AC48)*Paramètres!$B$42*Paramètres!$B$53</f>
        <v>0</v>
      </c>
      <c r="AR48" s="1"/>
      <c r="AS48" s="7">
        <f>ROUNDUP(D48*Paramètres!$B$23*Paramètres!$B$26,-1)</f>
        <v>0</v>
      </c>
      <c r="AT48" s="7"/>
      <c r="AU48" s="1"/>
      <c r="AV48" s="8"/>
      <c r="AW48" s="8"/>
      <c r="AX48" s="8"/>
      <c r="AY48" s="8"/>
      <c r="AZ48" s="8"/>
      <c r="BA48" s="8"/>
      <c r="BB48" s="44"/>
      <c r="BC48" s="44"/>
      <c r="BD48" s="8"/>
      <c r="BE48" s="8"/>
      <c r="BF48" s="8"/>
      <c r="BG48" s="44"/>
      <c r="BI48">
        <f t="shared" si="11"/>
        <v>0</v>
      </c>
    </row>
    <row r="49" spans="1:61" x14ac:dyDescent="0.25">
      <c r="A49">
        <v>47</v>
      </c>
      <c r="B49" s="1"/>
      <c r="C49" s="1"/>
      <c r="D49" s="1"/>
      <c r="E49" s="1"/>
      <c r="F49" s="1"/>
      <c r="G49" s="53"/>
      <c r="H49" s="53"/>
      <c r="I49" s="54"/>
      <c r="J49" s="50">
        <f>F49*Paramètres!$B$3</f>
        <v>0</v>
      </c>
      <c r="K49" s="56">
        <f t="shared" si="0"/>
        <v>0</v>
      </c>
      <c r="L49" s="56">
        <f t="shared" si="1"/>
        <v>0</v>
      </c>
      <c r="M49" s="56">
        <f t="shared" si="2"/>
        <v>0</v>
      </c>
      <c r="N49" s="3">
        <f>ROUNDUP(J49*Paramètres!$B$19,-1)</f>
        <v>0</v>
      </c>
      <c r="O49" s="1">
        <f t="shared" si="3"/>
        <v>0</v>
      </c>
      <c r="P49" s="1">
        <f t="shared" si="4"/>
        <v>0</v>
      </c>
      <c r="Q49" s="3">
        <f t="shared" si="5"/>
        <v>0</v>
      </c>
      <c r="R49" s="47">
        <f>ROUNDUP(+K49/Paramètres!$B$4/Paramètres!$B$53,0)</f>
        <v>0</v>
      </c>
      <c r="S49" s="47">
        <f>ROUNDUP(+L49/Paramètres!$B$6/Paramètres!$B$53,0)</f>
        <v>0</v>
      </c>
      <c r="T49" s="47"/>
      <c r="U49" s="2">
        <f t="shared" si="6"/>
        <v>0</v>
      </c>
      <c r="V49" s="1">
        <f>R49*Paramètres!$B$7</f>
        <v>0</v>
      </c>
      <c r="W49" s="1">
        <f>S49*Paramètres!$B$9</f>
        <v>0</v>
      </c>
      <c r="X49" s="1"/>
      <c r="Y49" s="2">
        <f t="shared" si="7"/>
        <v>0</v>
      </c>
      <c r="Z49" s="7">
        <f>R49*Paramètres!$B$10</f>
        <v>0</v>
      </c>
      <c r="AA49" s="7">
        <f>S49*Paramètres!$B$10</f>
        <v>0</v>
      </c>
      <c r="AB49" s="7"/>
      <c r="AC49" s="2">
        <f t="shared" si="8"/>
        <v>0</v>
      </c>
      <c r="AD49" s="1">
        <f t="shared" si="12"/>
        <v>0</v>
      </c>
      <c r="AE49" s="1">
        <f t="shared" si="9"/>
        <v>0</v>
      </c>
      <c r="AF49" s="1">
        <f>IF(B49="",0,Paramètres!$B$53*1.5)</f>
        <v>0</v>
      </c>
      <c r="AG49" s="1">
        <f>IF(C49="",0,Paramètres!$B$53*1.5)</f>
        <v>0</v>
      </c>
      <c r="AH49" s="1"/>
      <c r="AI49" s="1"/>
      <c r="AJ49" s="1"/>
      <c r="AK49" s="1"/>
      <c r="AL49" s="1">
        <f>(U49*Paramètres!$B$53)*3</f>
        <v>0</v>
      </c>
      <c r="AM49" s="1">
        <f t="shared" si="10"/>
        <v>0</v>
      </c>
      <c r="AN49" s="1">
        <f>U49*Paramètres!$B$75</f>
        <v>0</v>
      </c>
      <c r="AO49" s="1">
        <f>U49*Paramètres!$B$72*Paramètres!$B$73</f>
        <v>0</v>
      </c>
      <c r="AP49" s="1"/>
      <c r="AQ49" s="1">
        <f>(Y49+AC49)*Paramètres!$B$42*Paramètres!$B$53</f>
        <v>0</v>
      </c>
      <c r="AR49" s="1"/>
      <c r="AS49" s="7">
        <f>ROUNDUP(D49*Paramètres!$B$23*Paramètres!$B$26,-1)</f>
        <v>0</v>
      </c>
      <c r="AT49" s="7"/>
      <c r="AU49" s="1"/>
      <c r="AV49" s="8"/>
      <c r="AW49" s="8"/>
      <c r="AX49" s="8"/>
      <c r="AY49" s="8"/>
      <c r="AZ49" s="8"/>
      <c r="BA49" s="8"/>
      <c r="BB49" s="44"/>
      <c r="BC49" s="44"/>
      <c r="BD49" s="8"/>
      <c r="BE49" s="8"/>
      <c r="BF49" s="8"/>
      <c r="BG49" s="44"/>
      <c r="BI49">
        <f t="shared" si="11"/>
        <v>0</v>
      </c>
    </row>
    <row r="50" spans="1:61" x14ac:dyDescent="0.25">
      <c r="A50">
        <v>48</v>
      </c>
      <c r="B50" s="1"/>
      <c r="C50" s="1"/>
      <c r="D50" s="1"/>
      <c r="E50" s="1"/>
      <c r="F50" s="1"/>
      <c r="G50" s="53"/>
      <c r="H50" s="53"/>
      <c r="I50" s="54"/>
      <c r="J50" s="50">
        <f>F50*Paramètres!$B$3</f>
        <v>0</v>
      </c>
      <c r="K50" s="56">
        <f t="shared" si="0"/>
        <v>0</v>
      </c>
      <c r="L50" s="56">
        <f t="shared" si="1"/>
        <v>0</v>
      </c>
      <c r="M50" s="56">
        <f t="shared" si="2"/>
        <v>0</v>
      </c>
      <c r="N50" s="3">
        <f>ROUNDUP(J50*Paramètres!$B$19,-1)</f>
        <v>0</v>
      </c>
      <c r="O50" s="1">
        <f t="shared" si="3"/>
        <v>0</v>
      </c>
      <c r="P50" s="1">
        <f t="shared" si="4"/>
        <v>0</v>
      </c>
      <c r="Q50" s="3">
        <f t="shared" si="5"/>
        <v>0</v>
      </c>
      <c r="R50" s="47">
        <f>ROUNDUP(+K50/Paramètres!$B$4/Paramètres!$B$53,0)</f>
        <v>0</v>
      </c>
      <c r="S50" s="47">
        <f>ROUNDUP(+L50/Paramètres!$B$6/Paramètres!$B$53,0)</f>
        <v>0</v>
      </c>
      <c r="T50" s="47"/>
      <c r="U50" s="2">
        <f t="shared" si="6"/>
        <v>0</v>
      </c>
      <c r="V50" s="1">
        <f>R50*Paramètres!$B$7</f>
        <v>0</v>
      </c>
      <c r="W50" s="1">
        <f>S50*Paramètres!$B$9</f>
        <v>0</v>
      </c>
      <c r="X50" s="1"/>
      <c r="Y50" s="2">
        <f t="shared" si="7"/>
        <v>0</v>
      </c>
      <c r="Z50" s="7">
        <f>R50*Paramètres!$B$10</f>
        <v>0</v>
      </c>
      <c r="AA50" s="7">
        <f>S50*Paramètres!$B$10</f>
        <v>0</v>
      </c>
      <c r="AB50" s="7"/>
      <c r="AC50" s="2">
        <f t="shared" si="8"/>
        <v>0</v>
      </c>
      <c r="AD50" s="1">
        <f t="shared" si="12"/>
        <v>0</v>
      </c>
      <c r="AE50" s="1">
        <f t="shared" si="9"/>
        <v>0</v>
      </c>
      <c r="AF50" s="1">
        <f>IF(B50="",0,Paramètres!$B$53*1.5)</f>
        <v>0</v>
      </c>
      <c r="AG50" s="1">
        <f>IF(C50="",0,Paramètres!$B$53*1.5)</f>
        <v>0</v>
      </c>
      <c r="AH50" s="1"/>
      <c r="AI50" s="1"/>
      <c r="AJ50" s="1"/>
      <c r="AK50" s="1"/>
      <c r="AL50" s="1">
        <f>(U50*Paramètres!$B$53)*3</f>
        <v>0</v>
      </c>
      <c r="AM50" s="1">
        <f t="shared" si="10"/>
        <v>0</v>
      </c>
      <c r="AN50" s="1">
        <f>U50*Paramètres!$B$75</f>
        <v>0</v>
      </c>
      <c r="AO50" s="1">
        <f>U50*Paramètres!$B$72*Paramètres!$B$73</f>
        <v>0</v>
      </c>
      <c r="AP50" s="1"/>
      <c r="AQ50" s="1">
        <f>(Y50+AC50)*Paramètres!$B$42*Paramètres!$B$53</f>
        <v>0</v>
      </c>
      <c r="AR50" s="1"/>
      <c r="AS50" s="7">
        <f>ROUNDUP(D50*Paramètres!$B$23*Paramètres!$B$26,-1)</f>
        <v>0</v>
      </c>
      <c r="AT50" s="7"/>
      <c r="AU50" s="1"/>
      <c r="AV50" s="8"/>
      <c r="AW50" s="8"/>
      <c r="AX50" s="8"/>
      <c r="AY50" s="8"/>
      <c r="AZ50" s="8"/>
      <c r="BA50" s="8"/>
      <c r="BB50" s="44"/>
      <c r="BC50" s="44"/>
      <c r="BD50" s="8"/>
      <c r="BE50" s="8"/>
      <c r="BF50" s="8"/>
      <c r="BG50" s="44"/>
      <c r="BI50">
        <f t="shared" si="11"/>
        <v>0</v>
      </c>
    </row>
    <row r="51" spans="1:61" x14ac:dyDescent="0.25">
      <c r="A51">
        <v>49</v>
      </c>
      <c r="B51" s="1"/>
      <c r="C51" s="1"/>
      <c r="D51" s="1"/>
      <c r="E51" s="1"/>
      <c r="F51" s="1"/>
      <c r="G51" s="53"/>
      <c r="H51" s="53"/>
      <c r="I51" s="54"/>
      <c r="J51" s="50">
        <f>F51*Paramètres!$B$3</f>
        <v>0</v>
      </c>
      <c r="K51" s="56">
        <f t="shared" si="0"/>
        <v>0</v>
      </c>
      <c r="L51" s="56">
        <f t="shared" si="1"/>
        <v>0</v>
      </c>
      <c r="M51" s="56">
        <f t="shared" si="2"/>
        <v>0</v>
      </c>
      <c r="N51" s="3">
        <f>ROUNDUP(J51*Paramètres!$B$19,-1)</f>
        <v>0</v>
      </c>
      <c r="O51" s="1">
        <f t="shared" si="3"/>
        <v>0</v>
      </c>
      <c r="P51" s="1">
        <f t="shared" si="4"/>
        <v>0</v>
      </c>
      <c r="Q51" s="3">
        <f t="shared" si="5"/>
        <v>0</v>
      </c>
      <c r="R51" s="47">
        <f>ROUNDUP(+K51/Paramètres!$B$4/Paramètres!$B$53,0)</f>
        <v>0</v>
      </c>
      <c r="S51" s="47">
        <f>ROUNDUP(+L51/Paramètres!$B$6/Paramètres!$B$53,0)</f>
        <v>0</v>
      </c>
      <c r="T51" s="47"/>
      <c r="U51" s="2">
        <f t="shared" si="6"/>
        <v>0</v>
      </c>
      <c r="V51" s="1">
        <f>R51*Paramètres!$B$7</f>
        <v>0</v>
      </c>
      <c r="W51" s="1">
        <f>S51*Paramètres!$B$9</f>
        <v>0</v>
      </c>
      <c r="X51" s="1"/>
      <c r="Y51" s="2">
        <f t="shared" si="7"/>
        <v>0</v>
      </c>
      <c r="Z51" s="7">
        <f>R51*Paramètres!$B$10</f>
        <v>0</v>
      </c>
      <c r="AA51" s="7">
        <f>S51*Paramètres!$B$10</f>
        <v>0</v>
      </c>
      <c r="AB51" s="7"/>
      <c r="AC51" s="2">
        <f t="shared" si="8"/>
        <v>0</v>
      </c>
      <c r="AD51" s="1">
        <f t="shared" si="12"/>
        <v>0</v>
      </c>
      <c r="AE51" s="1">
        <f t="shared" si="9"/>
        <v>0</v>
      </c>
      <c r="AF51" s="1">
        <f>IF(B51="",0,Paramètres!$B$53*1.5)</f>
        <v>0</v>
      </c>
      <c r="AG51" s="1">
        <f>IF(C51="",0,Paramètres!$B$53*1.5)</f>
        <v>0</v>
      </c>
      <c r="AH51" s="1"/>
      <c r="AI51" s="1"/>
      <c r="AJ51" s="1"/>
      <c r="AK51" s="1"/>
      <c r="AL51" s="1">
        <f>(U51*Paramètres!$B$53)*3</f>
        <v>0</v>
      </c>
      <c r="AM51" s="1">
        <f t="shared" si="10"/>
        <v>0</v>
      </c>
      <c r="AN51" s="1">
        <f>U51*Paramètres!$B$75</f>
        <v>0</v>
      </c>
      <c r="AO51" s="1">
        <f>U51*Paramètres!$B$72*Paramètres!$B$73</f>
        <v>0</v>
      </c>
      <c r="AP51" s="1"/>
      <c r="AQ51" s="1">
        <f>(Y51+AC51)*Paramètres!$B$42*Paramètres!$B$53</f>
        <v>0</v>
      </c>
      <c r="AR51" s="1"/>
      <c r="AS51" s="7">
        <f>ROUNDUP(D51*Paramètres!$B$23*Paramètres!$B$26,-1)</f>
        <v>0</v>
      </c>
      <c r="AT51" s="7"/>
      <c r="AU51" s="1"/>
      <c r="AV51" s="8"/>
      <c r="AW51" s="8"/>
      <c r="AX51" s="8"/>
      <c r="AY51" s="8"/>
      <c r="AZ51" s="8"/>
      <c r="BA51" s="8"/>
      <c r="BB51" s="44"/>
      <c r="BC51" s="44"/>
      <c r="BD51" s="8"/>
      <c r="BE51" s="8"/>
      <c r="BF51" s="8"/>
      <c r="BG51" s="44"/>
      <c r="BI51">
        <f t="shared" si="11"/>
        <v>0</v>
      </c>
    </row>
    <row r="52" spans="1:61" x14ac:dyDescent="0.25">
      <c r="A52">
        <v>50</v>
      </c>
      <c r="B52" s="1"/>
      <c r="C52" s="1"/>
      <c r="D52" s="1"/>
      <c r="E52" s="1"/>
      <c r="F52" s="1"/>
      <c r="G52" s="53"/>
      <c r="H52" s="53"/>
      <c r="I52" s="54"/>
      <c r="J52" s="50">
        <f>F52*Paramètres!$B$3</f>
        <v>0</v>
      </c>
      <c r="K52" s="56">
        <f t="shared" si="0"/>
        <v>0</v>
      </c>
      <c r="L52" s="56">
        <f t="shared" si="1"/>
        <v>0</v>
      </c>
      <c r="M52" s="56">
        <f t="shared" si="2"/>
        <v>0</v>
      </c>
      <c r="N52" s="3">
        <f>ROUNDUP(J52*Paramètres!$B$19,-1)</f>
        <v>0</v>
      </c>
      <c r="O52" s="1">
        <f t="shared" si="3"/>
        <v>0</v>
      </c>
      <c r="P52" s="1">
        <f t="shared" si="4"/>
        <v>0</v>
      </c>
      <c r="Q52" s="3">
        <f t="shared" si="5"/>
        <v>0</v>
      </c>
      <c r="R52" s="47">
        <f>ROUNDUP(+K52/Paramètres!$B$4/Paramètres!$B$53,0)</f>
        <v>0</v>
      </c>
      <c r="S52" s="47">
        <f>ROUNDUP(+L52/Paramètres!$B$6/Paramètres!$B$53,0)</f>
        <v>0</v>
      </c>
      <c r="T52" s="47"/>
      <c r="U52" s="2">
        <f t="shared" si="6"/>
        <v>0</v>
      </c>
      <c r="V52" s="1">
        <f>R52*Paramètres!$B$7</f>
        <v>0</v>
      </c>
      <c r="W52" s="1">
        <f>S52*Paramètres!$B$9</f>
        <v>0</v>
      </c>
      <c r="X52" s="1"/>
      <c r="Y52" s="2">
        <f t="shared" si="7"/>
        <v>0</v>
      </c>
      <c r="Z52" s="7">
        <f>R52*Paramètres!$B$10</f>
        <v>0</v>
      </c>
      <c r="AA52" s="7">
        <f>S52*Paramètres!$B$10</f>
        <v>0</v>
      </c>
      <c r="AB52" s="7"/>
      <c r="AC52" s="2">
        <f t="shared" si="8"/>
        <v>0</v>
      </c>
      <c r="AD52" s="1">
        <f t="shared" si="12"/>
        <v>0</v>
      </c>
      <c r="AE52" s="1">
        <f t="shared" si="9"/>
        <v>0</v>
      </c>
      <c r="AF52" s="1">
        <f>IF(B52="",0,Paramètres!$B$53*1.5)</f>
        <v>0</v>
      </c>
      <c r="AG52" s="1">
        <f>IF(C52="",0,Paramètres!$B$53*1.5)</f>
        <v>0</v>
      </c>
      <c r="AH52" s="1"/>
      <c r="AI52" s="1"/>
      <c r="AJ52" s="1"/>
      <c r="AK52" s="1"/>
      <c r="AL52" s="1">
        <f>(U52*Paramètres!$B$53)*3</f>
        <v>0</v>
      </c>
      <c r="AM52" s="1">
        <f t="shared" si="10"/>
        <v>0</v>
      </c>
      <c r="AN52" s="1">
        <f>U52*Paramètres!$B$75</f>
        <v>0</v>
      </c>
      <c r="AO52" s="1">
        <f>U52*Paramètres!$B$72*Paramètres!$B$73</f>
        <v>0</v>
      </c>
      <c r="AP52" s="1"/>
      <c r="AQ52" s="1">
        <f>(Y52+AC52)*Paramètres!$B$42*Paramètres!$B$53</f>
        <v>0</v>
      </c>
      <c r="AR52" s="1"/>
      <c r="AS52" s="7">
        <f>ROUNDUP(D52*Paramètres!$B$23*Paramètres!$B$26,-1)</f>
        <v>0</v>
      </c>
      <c r="AT52" s="7"/>
      <c r="AU52" s="1"/>
      <c r="AV52" s="8"/>
      <c r="AW52" s="8"/>
      <c r="AX52" s="8"/>
      <c r="AY52" s="8"/>
      <c r="AZ52" s="8"/>
      <c r="BA52" s="8"/>
      <c r="BB52" s="44"/>
      <c r="BC52" s="44"/>
      <c r="BD52" s="8"/>
      <c r="BE52" s="8"/>
      <c r="BF52" s="8"/>
      <c r="BG52" s="44"/>
      <c r="BI52">
        <f t="shared" si="11"/>
        <v>0</v>
      </c>
    </row>
    <row r="53" spans="1:61" x14ac:dyDescent="0.25">
      <c r="A53">
        <v>51</v>
      </c>
      <c r="B53" s="1"/>
      <c r="C53" s="1"/>
      <c r="D53" s="1"/>
      <c r="E53" s="1"/>
      <c r="F53" s="1"/>
      <c r="G53" s="53"/>
      <c r="H53" s="53"/>
      <c r="I53" s="54"/>
      <c r="J53" s="50">
        <f>F53*Paramètres!$B$3</f>
        <v>0</v>
      </c>
      <c r="K53" s="56">
        <f t="shared" si="0"/>
        <v>0</v>
      </c>
      <c r="L53" s="56">
        <f t="shared" si="1"/>
        <v>0</v>
      </c>
      <c r="M53" s="56">
        <f t="shared" si="2"/>
        <v>0</v>
      </c>
      <c r="N53" s="3">
        <f>ROUNDUP(J53*Paramètres!$B$19,-1)</f>
        <v>0</v>
      </c>
      <c r="O53" s="1">
        <f t="shared" si="3"/>
        <v>0</v>
      </c>
      <c r="P53" s="1">
        <f t="shared" si="4"/>
        <v>0</v>
      </c>
      <c r="Q53" s="3">
        <f t="shared" si="5"/>
        <v>0</v>
      </c>
      <c r="R53" s="47">
        <f>ROUNDUP(+K53/Paramètres!$B$4/Paramètres!$B$53,0)</f>
        <v>0</v>
      </c>
      <c r="S53" s="47">
        <f>ROUNDUP(+L53/Paramètres!$B$6/Paramètres!$B$53,0)</f>
        <v>0</v>
      </c>
      <c r="T53" s="47"/>
      <c r="U53" s="2">
        <f t="shared" si="6"/>
        <v>0</v>
      </c>
      <c r="V53" s="1">
        <f>R53*Paramètres!$B$7</f>
        <v>0</v>
      </c>
      <c r="W53" s="1">
        <f>S53*Paramètres!$B$9</f>
        <v>0</v>
      </c>
      <c r="X53" s="1"/>
      <c r="Y53" s="2">
        <f t="shared" si="7"/>
        <v>0</v>
      </c>
      <c r="Z53" s="7">
        <f>R53*Paramètres!$B$10</f>
        <v>0</v>
      </c>
      <c r="AA53" s="7">
        <f>S53*Paramètres!$B$10</f>
        <v>0</v>
      </c>
      <c r="AB53" s="7"/>
      <c r="AC53" s="2">
        <f t="shared" si="8"/>
        <v>0</v>
      </c>
      <c r="AD53" s="1">
        <f t="shared" si="12"/>
        <v>0</v>
      </c>
      <c r="AE53" s="1">
        <f t="shared" si="9"/>
        <v>0</v>
      </c>
      <c r="AF53" s="1">
        <f>IF(B53="",0,Paramètres!$B$53*1.5)</f>
        <v>0</v>
      </c>
      <c r="AG53" s="1">
        <f>IF(C53="",0,Paramètres!$B$53*1.5)</f>
        <v>0</v>
      </c>
      <c r="AH53" s="1"/>
      <c r="AI53" s="1"/>
      <c r="AJ53" s="1"/>
      <c r="AK53" s="1"/>
      <c r="AL53" s="1">
        <f>(U53*Paramètres!$B$53)*3</f>
        <v>0</v>
      </c>
      <c r="AM53" s="1">
        <f t="shared" si="10"/>
        <v>0</v>
      </c>
      <c r="AN53" s="1">
        <f>U53*Paramètres!$B$75</f>
        <v>0</v>
      </c>
      <c r="AO53" s="1">
        <f>U53*Paramètres!$B$72*Paramètres!$B$73</f>
        <v>0</v>
      </c>
      <c r="AP53" s="1"/>
      <c r="AQ53" s="1">
        <f>(Y53+AC53)*Paramètres!$B$42*Paramètres!$B$53</f>
        <v>0</v>
      </c>
      <c r="AR53" s="1"/>
      <c r="AS53" s="7">
        <f>ROUNDUP(D53*Paramètres!$B$23*Paramètres!$B$26,-1)</f>
        <v>0</v>
      </c>
      <c r="AT53" s="7"/>
      <c r="AU53" s="1"/>
      <c r="AV53" s="8"/>
      <c r="AW53" s="8"/>
      <c r="AX53" s="8"/>
      <c r="AY53" s="8"/>
      <c r="AZ53" s="8"/>
      <c r="BA53" s="8"/>
      <c r="BB53" s="44"/>
      <c r="BC53" s="44"/>
      <c r="BD53" s="8"/>
      <c r="BE53" s="8"/>
      <c r="BF53" s="8"/>
      <c r="BG53" s="44"/>
      <c r="BI53">
        <f t="shared" si="11"/>
        <v>0</v>
      </c>
    </row>
    <row r="54" spans="1:61" x14ac:dyDescent="0.25">
      <c r="B54" s="1"/>
      <c r="C54" s="1"/>
      <c r="D54" s="1"/>
      <c r="E54" s="1"/>
      <c r="F54" s="1"/>
      <c r="G54" s="54"/>
      <c r="H54" s="54"/>
      <c r="I54" s="54"/>
      <c r="J54" s="50">
        <f>F54*Paramètres!$B$3</f>
        <v>0</v>
      </c>
      <c r="K54" s="56">
        <f t="shared" si="0"/>
        <v>0</v>
      </c>
      <c r="L54" s="56">
        <f t="shared" si="1"/>
        <v>0</v>
      </c>
      <c r="M54" s="56">
        <f t="shared" si="2"/>
        <v>0</v>
      </c>
      <c r="N54" s="3">
        <f>ROUNDUP(J54*Paramètres!$B$19,-1)</f>
        <v>0</v>
      </c>
      <c r="O54" s="1">
        <f t="shared" si="3"/>
        <v>0</v>
      </c>
      <c r="P54" s="1">
        <f t="shared" si="4"/>
        <v>0</v>
      </c>
      <c r="Q54" s="3">
        <f t="shared" si="5"/>
        <v>0</v>
      </c>
      <c r="R54" s="47">
        <f>ROUNDUP(+K54/Paramètres!$B$4/Paramètres!$B$53,0)</f>
        <v>0</v>
      </c>
      <c r="S54" s="47">
        <f>ROUNDUP(+L54/Paramètres!$B$6/Paramètres!$B$53,0)</f>
        <v>0</v>
      </c>
      <c r="T54" s="47"/>
      <c r="U54" s="2">
        <f t="shared" si="6"/>
        <v>0</v>
      </c>
      <c r="V54" s="1">
        <f>R54*Paramètres!$B$7</f>
        <v>0</v>
      </c>
      <c r="W54" s="1">
        <f>S54*Paramètres!$B$9</f>
        <v>0</v>
      </c>
      <c r="X54" s="1"/>
      <c r="Y54" s="2">
        <f t="shared" si="7"/>
        <v>0</v>
      </c>
      <c r="Z54" s="7">
        <f>R54*Paramètres!$B$10</f>
        <v>0</v>
      </c>
      <c r="AA54" s="7">
        <f>S54*Paramètres!$B$10</f>
        <v>0</v>
      </c>
      <c r="AB54" s="7"/>
      <c r="AC54" s="2">
        <f t="shared" si="8"/>
        <v>0</v>
      </c>
      <c r="AD54" s="1">
        <f t="shared" si="12"/>
        <v>0</v>
      </c>
      <c r="AE54" s="1">
        <f t="shared" si="9"/>
        <v>0</v>
      </c>
      <c r="AF54" s="1">
        <f>IF(B54="",0,Paramètres!$B$53*1.5)</f>
        <v>0</v>
      </c>
      <c r="AG54" s="1">
        <f>IF(C54="",0,Paramètres!$B$53*1.5)</f>
        <v>0</v>
      </c>
      <c r="AH54" s="1"/>
      <c r="AI54" s="1"/>
      <c r="AJ54" s="1"/>
      <c r="AK54" s="1"/>
      <c r="AL54" s="1">
        <f>(U54*Paramètres!$B$53)*3</f>
        <v>0</v>
      </c>
      <c r="AM54" s="1">
        <f t="shared" si="10"/>
        <v>0</v>
      </c>
      <c r="AN54" s="1">
        <f>U54*Paramètres!$B$75</f>
        <v>0</v>
      </c>
      <c r="AO54" s="1">
        <f>U54*Paramètres!$B$72*Paramètres!$B$73</f>
        <v>0</v>
      </c>
      <c r="AP54" s="1"/>
      <c r="AQ54" s="1">
        <f>(Y54+AC54)*Paramètres!$B$42*Paramètres!$B$53</f>
        <v>0</v>
      </c>
      <c r="AR54" s="1"/>
      <c r="AS54" s="7">
        <f>ROUNDUP(D54*Paramètres!$B$23*Paramètres!$B$26,-1)</f>
        <v>0</v>
      </c>
      <c r="AT54" s="7"/>
      <c r="AU54" s="1"/>
      <c r="AV54" s="8"/>
      <c r="AW54" s="8"/>
      <c r="AX54" s="8"/>
      <c r="AY54" s="8"/>
      <c r="AZ54" s="8"/>
      <c r="BA54" s="8"/>
      <c r="BB54" s="44"/>
      <c r="BC54" s="44"/>
      <c r="BD54" s="8"/>
      <c r="BE54" s="8"/>
      <c r="BF54" s="8"/>
      <c r="BG54" s="44"/>
      <c r="BI54">
        <f t="shared" si="11"/>
        <v>0</v>
      </c>
    </row>
    <row r="55" spans="1:61" x14ac:dyDescent="0.25">
      <c r="B55" s="1"/>
      <c r="C55" s="1"/>
      <c r="D55" s="1"/>
      <c r="E55" s="1"/>
      <c r="F55" s="1"/>
      <c r="G55" s="54"/>
      <c r="H55" s="54"/>
      <c r="I55" s="54"/>
      <c r="J55" s="50">
        <f>F55*Paramètres!$B$3</f>
        <v>0</v>
      </c>
      <c r="K55" s="56">
        <f t="shared" si="0"/>
        <v>0</v>
      </c>
      <c r="L55" s="56">
        <f t="shared" si="1"/>
        <v>0</v>
      </c>
      <c r="M55" s="56">
        <f t="shared" si="2"/>
        <v>0</v>
      </c>
      <c r="N55" s="3">
        <f>ROUNDUP(J55*Paramètres!$B$19,-1)</f>
        <v>0</v>
      </c>
      <c r="O55" s="1">
        <f t="shared" si="3"/>
        <v>0</v>
      </c>
      <c r="P55" s="1">
        <f t="shared" si="4"/>
        <v>0</v>
      </c>
      <c r="Q55" s="3">
        <f t="shared" si="5"/>
        <v>0</v>
      </c>
      <c r="R55" s="47">
        <f>ROUNDUP(+K55/Paramètres!$B$4/Paramètres!$B$53,0)</f>
        <v>0</v>
      </c>
      <c r="S55" s="47">
        <f>ROUNDUP(+L55/Paramètres!$B$6/Paramètres!$B$53,0)</f>
        <v>0</v>
      </c>
      <c r="T55" s="47"/>
      <c r="U55" s="2">
        <f t="shared" si="6"/>
        <v>0</v>
      </c>
      <c r="V55" s="1">
        <f>R55*Paramètres!$B$7</f>
        <v>0</v>
      </c>
      <c r="W55" s="1">
        <f>S55*Paramètres!$B$9</f>
        <v>0</v>
      </c>
      <c r="X55" s="1"/>
      <c r="Y55" s="2">
        <f t="shared" si="7"/>
        <v>0</v>
      </c>
      <c r="Z55" s="7">
        <f>R55*Paramètres!$B$10</f>
        <v>0</v>
      </c>
      <c r="AA55" s="7">
        <f>S55*Paramètres!$B$10</f>
        <v>0</v>
      </c>
      <c r="AB55" s="7"/>
      <c r="AC55" s="2">
        <f t="shared" si="8"/>
        <v>0</v>
      </c>
      <c r="AD55" s="1">
        <f t="shared" si="12"/>
        <v>0</v>
      </c>
      <c r="AE55" s="1">
        <f t="shared" si="9"/>
        <v>0</v>
      </c>
      <c r="AF55" s="1">
        <f>IF(B55="",0,Paramètres!$B$53*1.5)</f>
        <v>0</v>
      </c>
      <c r="AG55" s="1">
        <f>IF(C55="",0,Paramètres!$B$53*1.5)</f>
        <v>0</v>
      </c>
      <c r="AH55" s="1"/>
      <c r="AI55" s="1"/>
      <c r="AJ55" s="1"/>
      <c r="AK55" s="1"/>
      <c r="AL55" s="1">
        <f>(U55*Paramètres!$B$53)*3</f>
        <v>0</v>
      </c>
      <c r="AM55" s="1">
        <f t="shared" si="10"/>
        <v>0</v>
      </c>
      <c r="AN55" s="1">
        <f>U55*Paramètres!$B$75</f>
        <v>0</v>
      </c>
      <c r="AO55" s="1">
        <f>U55*Paramètres!$B$72*Paramètres!$B$73</f>
        <v>0</v>
      </c>
      <c r="AP55" s="1"/>
      <c r="AQ55" s="1">
        <f>(Y55+AC55)*Paramètres!$B$42*Paramètres!$B$53</f>
        <v>0</v>
      </c>
      <c r="AR55" s="1"/>
      <c r="AS55" s="7">
        <f>ROUNDUP(D55*Paramètres!$B$23*Paramètres!$B$26,-1)</f>
        <v>0</v>
      </c>
      <c r="AT55" s="7"/>
      <c r="AU55" s="1"/>
      <c r="AV55" s="8"/>
      <c r="AW55" s="8"/>
      <c r="AX55" s="8"/>
      <c r="AY55" s="8"/>
      <c r="AZ55" s="8"/>
      <c r="BA55" s="8"/>
      <c r="BB55" s="44"/>
      <c r="BC55" s="44"/>
      <c r="BD55" s="8"/>
      <c r="BE55" s="8"/>
      <c r="BF55" s="8"/>
      <c r="BG55" s="44"/>
      <c r="BI55">
        <f t="shared" si="11"/>
        <v>0</v>
      </c>
    </row>
    <row r="56" spans="1:61" x14ac:dyDescent="0.25">
      <c r="B56" s="1"/>
      <c r="C56" s="1"/>
      <c r="D56" s="1"/>
      <c r="E56" s="1"/>
      <c r="F56" s="1"/>
      <c r="G56" s="54"/>
      <c r="H56" s="54"/>
      <c r="I56" s="54"/>
      <c r="J56" s="50">
        <f>F56*Paramètres!$B$3</f>
        <v>0</v>
      </c>
      <c r="K56" s="56">
        <f t="shared" si="0"/>
        <v>0</v>
      </c>
      <c r="L56" s="56">
        <f t="shared" si="1"/>
        <v>0</v>
      </c>
      <c r="M56" s="56">
        <f t="shared" si="2"/>
        <v>0</v>
      </c>
      <c r="N56" s="3">
        <f>ROUNDUP(J56*Paramètres!$B$19,-1)</f>
        <v>0</v>
      </c>
      <c r="O56" s="1">
        <f t="shared" si="3"/>
        <v>0</v>
      </c>
      <c r="P56" s="1">
        <f t="shared" si="4"/>
        <v>0</v>
      </c>
      <c r="Q56" s="3">
        <f t="shared" si="5"/>
        <v>0</v>
      </c>
      <c r="R56" s="47">
        <f>ROUNDUP(+K56/Paramètres!$B$4/Paramètres!$B$53,0)</f>
        <v>0</v>
      </c>
      <c r="S56" s="47">
        <f>ROUNDUP(+L56/Paramètres!$B$6/Paramètres!$B$53,0)</f>
        <v>0</v>
      </c>
      <c r="T56" s="47"/>
      <c r="U56" s="2">
        <f t="shared" si="6"/>
        <v>0</v>
      </c>
      <c r="V56" s="1">
        <f>R56*Paramètres!$B$7</f>
        <v>0</v>
      </c>
      <c r="W56" s="1">
        <f>S56*Paramètres!$B$9</f>
        <v>0</v>
      </c>
      <c r="X56" s="1"/>
      <c r="Y56" s="2">
        <f t="shared" si="7"/>
        <v>0</v>
      </c>
      <c r="Z56" s="7">
        <f>R56*Paramètres!$B$10</f>
        <v>0</v>
      </c>
      <c r="AA56" s="7">
        <f>S56*Paramètres!$B$10</f>
        <v>0</v>
      </c>
      <c r="AB56" s="7"/>
      <c r="AC56" s="2">
        <f t="shared" si="8"/>
        <v>0</v>
      </c>
      <c r="AD56" s="1">
        <f t="shared" si="12"/>
        <v>0</v>
      </c>
      <c r="AE56" s="1">
        <f t="shared" si="9"/>
        <v>0</v>
      </c>
      <c r="AF56" s="1">
        <f>IF(B56="",0,Paramètres!$B$53*1.5)</f>
        <v>0</v>
      </c>
      <c r="AG56" s="1">
        <f>IF(C56="",0,Paramètres!$B$53*1.5)</f>
        <v>0</v>
      </c>
      <c r="AH56" s="1"/>
      <c r="AI56" s="1"/>
      <c r="AJ56" s="1"/>
      <c r="AK56" s="1"/>
      <c r="AL56" s="1">
        <f>(U56*Paramètres!$B$53)*3</f>
        <v>0</v>
      </c>
      <c r="AM56" s="1">
        <f t="shared" si="10"/>
        <v>0</v>
      </c>
      <c r="AN56" s="1">
        <f>U56*Paramètres!$B$75</f>
        <v>0</v>
      </c>
      <c r="AO56" s="1">
        <f>U56*Paramètres!$B$72*Paramètres!$B$73</f>
        <v>0</v>
      </c>
      <c r="AP56" s="1"/>
      <c r="AQ56" s="1">
        <f>(Y56+AC56)*Paramètres!$B$42*Paramètres!$B$53</f>
        <v>0</v>
      </c>
      <c r="AR56" s="1"/>
      <c r="AS56" s="7">
        <f>ROUNDUP(D56*Paramètres!$B$23*Paramètres!$B$26,-1)</f>
        <v>0</v>
      </c>
      <c r="AT56" s="7"/>
      <c r="AU56" s="1"/>
      <c r="AV56" s="8"/>
      <c r="AW56" s="8"/>
      <c r="AX56" s="8"/>
      <c r="AY56" s="8"/>
      <c r="AZ56" s="8"/>
      <c r="BA56" s="8"/>
      <c r="BB56" s="44"/>
      <c r="BC56" s="44"/>
      <c r="BD56" s="8"/>
      <c r="BE56" s="8"/>
      <c r="BF56" s="8"/>
      <c r="BG56" s="44"/>
      <c r="BI56">
        <f t="shared" si="11"/>
        <v>0</v>
      </c>
    </row>
    <row r="57" spans="1:61" x14ac:dyDescent="0.25">
      <c r="B57" s="1"/>
      <c r="C57" s="1"/>
      <c r="D57" s="1"/>
      <c r="E57" s="1"/>
      <c r="F57" s="1"/>
      <c r="G57" s="54"/>
      <c r="H57" s="54"/>
      <c r="I57" s="54"/>
      <c r="J57" s="50">
        <f>F57*Paramètres!$B$3</f>
        <v>0</v>
      </c>
      <c r="K57" s="56">
        <f t="shared" si="0"/>
        <v>0</v>
      </c>
      <c r="L57" s="56">
        <f t="shared" si="1"/>
        <v>0</v>
      </c>
      <c r="M57" s="56">
        <f t="shared" si="2"/>
        <v>0</v>
      </c>
      <c r="N57" s="3">
        <f>ROUNDUP(J57*Paramètres!$B$19,-1)</f>
        <v>0</v>
      </c>
      <c r="O57" s="1">
        <f t="shared" si="3"/>
        <v>0</v>
      </c>
      <c r="P57" s="1">
        <f t="shared" si="4"/>
        <v>0</v>
      </c>
      <c r="Q57" s="3">
        <f t="shared" si="5"/>
        <v>0</v>
      </c>
      <c r="R57" s="47">
        <f>ROUNDUP(+K57/Paramètres!$B$4/Paramètres!$B$53,0)</f>
        <v>0</v>
      </c>
      <c r="S57" s="47">
        <f>ROUNDUP(+L57/Paramètres!$B$6/Paramètres!$B$53,0)</f>
        <v>0</v>
      </c>
      <c r="T57" s="47"/>
      <c r="U57" s="2">
        <f t="shared" si="6"/>
        <v>0</v>
      </c>
      <c r="V57" s="1">
        <f>R57*Paramètres!$B$7</f>
        <v>0</v>
      </c>
      <c r="W57" s="1">
        <f>S57*Paramètres!$B$9</f>
        <v>0</v>
      </c>
      <c r="X57" s="1"/>
      <c r="Y57" s="2">
        <f t="shared" si="7"/>
        <v>0</v>
      </c>
      <c r="Z57" s="7">
        <f>R57*Paramètres!$B$10</f>
        <v>0</v>
      </c>
      <c r="AA57" s="7">
        <f>S57*Paramètres!$B$10</f>
        <v>0</v>
      </c>
      <c r="AB57" s="7"/>
      <c r="AC57" s="2">
        <f t="shared" si="8"/>
        <v>0</v>
      </c>
      <c r="AD57" s="1">
        <f t="shared" si="12"/>
        <v>0</v>
      </c>
      <c r="AE57" s="1">
        <f t="shared" si="9"/>
        <v>0</v>
      </c>
      <c r="AF57" s="1">
        <f>IF(B57="",0,Paramètres!$B$53*1.5)</f>
        <v>0</v>
      </c>
      <c r="AG57" s="1">
        <f>IF(C57="",0,Paramètres!$B$53*1.5)</f>
        <v>0</v>
      </c>
      <c r="AH57" s="1"/>
      <c r="AI57" s="1"/>
      <c r="AJ57" s="1"/>
      <c r="AK57" s="1"/>
      <c r="AL57" s="1">
        <f>(U57*Paramètres!$B$53)*3</f>
        <v>0</v>
      </c>
      <c r="AM57" s="1">
        <f t="shared" si="10"/>
        <v>0</v>
      </c>
      <c r="AN57" s="1">
        <f>U57*Paramètres!$B$75</f>
        <v>0</v>
      </c>
      <c r="AO57" s="1">
        <f>U57*Paramètres!$B$72*Paramètres!$B$73</f>
        <v>0</v>
      </c>
      <c r="AP57" s="1"/>
      <c r="AQ57" s="1">
        <f>(Y57+AC57)*Paramètres!$B$42*Paramètres!$B$53</f>
        <v>0</v>
      </c>
      <c r="AR57" s="1"/>
      <c r="AS57" s="7">
        <f>ROUNDUP(D57*Paramètres!$B$23*Paramètres!$B$26,-1)</f>
        <v>0</v>
      </c>
      <c r="AT57" s="7"/>
      <c r="AU57" s="1"/>
      <c r="AV57" s="8"/>
      <c r="AW57" s="8"/>
      <c r="AX57" s="8"/>
      <c r="AY57" s="8"/>
      <c r="AZ57" s="8"/>
      <c r="BA57" s="8"/>
      <c r="BB57" s="44"/>
      <c r="BC57" s="44"/>
      <c r="BD57" s="8"/>
      <c r="BE57" s="8"/>
      <c r="BF57" s="8"/>
      <c r="BG57" s="44"/>
      <c r="BI57">
        <f t="shared" si="11"/>
        <v>0</v>
      </c>
    </row>
    <row r="58" spans="1:61" x14ac:dyDescent="0.25">
      <c r="B58" s="1"/>
      <c r="C58" s="1"/>
      <c r="D58" s="1"/>
      <c r="E58" s="1"/>
      <c r="F58" s="1"/>
      <c r="G58" s="54"/>
      <c r="H58" s="54"/>
      <c r="I58" s="54"/>
      <c r="J58" s="50">
        <f>F58*Paramètres!$B$3</f>
        <v>0</v>
      </c>
      <c r="K58" s="56">
        <f t="shared" si="0"/>
        <v>0</v>
      </c>
      <c r="L58" s="56">
        <f t="shared" si="1"/>
        <v>0</v>
      </c>
      <c r="M58" s="56">
        <f t="shared" si="2"/>
        <v>0</v>
      </c>
      <c r="N58" s="3">
        <f>ROUNDUP(J58*Paramètres!$B$19,-1)</f>
        <v>0</v>
      </c>
      <c r="O58" s="1">
        <f t="shared" si="3"/>
        <v>0</v>
      </c>
      <c r="P58" s="1">
        <f t="shared" si="4"/>
        <v>0</v>
      </c>
      <c r="Q58" s="3">
        <f t="shared" si="5"/>
        <v>0</v>
      </c>
      <c r="R58" s="47">
        <f>ROUNDUP(+K58/Paramètres!$B$4/Paramètres!$B$53,0)</f>
        <v>0</v>
      </c>
      <c r="S58" s="47">
        <f>ROUNDUP(+L58/Paramètres!$B$6/Paramètres!$B$53,0)</f>
        <v>0</v>
      </c>
      <c r="T58" s="47"/>
      <c r="U58" s="2">
        <f t="shared" si="6"/>
        <v>0</v>
      </c>
      <c r="V58" s="1">
        <f>R58*Paramètres!$B$7</f>
        <v>0</v>
      </c>
      <c r="W58" s="1">
        <f>S58*Paramètres!$B$9</f>
        <v>0</v>
      </c>
      <c r="X58" s="1"/>
      <c r="Y58" s="2">
        <f t="shared" si="7"/>
        <v>0</v>
      </c>
      <c r="Z58" s="7">
        <f>R58*Paramètres!$B$10</f>
        <v>0</v>
      </c>
      <c r="AA58" s="7">
        <f>S58*Paramètres!$B$10</f>
        <v>0</v>
      </c>
      <c r="AB58" s="7"/>
      <c r="AC58" s="2">
        <f t="shared" si="8"/>
        <v>0</v>
      </c>
      <c r="AD58" s="1">
        <f t="shared" si="12"/>
        <v>0</v>
      </c>
      <c r="AE58" s="1">
        <f t="shared" si="9"/>
        <v>0</v>
      </c>
      <c r="AF58" s="1">
        <f>IF(B58="",0,Paramètres!$B$53*1.5)</f>
        <v>0</v>
      </c>
      <c r="AG58" s="1">
        <f>IF(C58="",0,Paramètres!$B$53*1.5)</f>
        <v>0</v>
      </c>
      <c r="AH58" s="1"/>
      <c r="AI58" s="1"/>
      <c r="AJ58" s="1"/>
      <c r="AK58" s="1"/>
      <c r="AL58" s="1">
        <f>(U58*Paramètres!$B$53)*3</f>
        <v>0</v>
      </c>
      <c r="AM58" s="1">
        <f t="shared" si="10"/>
        <v>0</v>
      </c>
      <c r="AN58" s="1">
        <f>U58*Paramètres!$B$75</f>
        <v>0</v>
      </c>
      <c r="AO58" s="1">
        <f>U58*Paramètres!$B$72*Paramètres!$B$73</f>
        <v>0</v>
      </c>
      <c r="AP58" s="1"/>
      <c r="AQ58" s="1">
        <f>(Y58+AC58)*Paramètres!$B$42*Paramètres!$B$53</f>
        <v>0</v>
      </c>
      <c r="AR58" s="1"/>
      <c r="AS58" s="7">
        <f>ROUNDUP(D58*Paramètres!$B$23*Paramètres!$B$26,-1)</f>
        <v>0</v>
      </c>
      <c r="AT58" s="7"/>
      <c r="AU58" s="1"/>
      <c r="AV58" s="8"/>
      <c r="AW58" s="8"/>
      <c r="AX58" s="8"/>
      <c r="AY58" s="8"/>
      <c r="AZ58" s="8"/>
      <c r="BA58" s="8"/>
      <c r="BB58" s="44"/>
      <c r="BC58" s="44"/>
      <c r="BD58" s="8"/>
      <c r="BE58" s="8"/>
      <c r="BF58" s="8"/>
      <c r="BG58" s="44"/>
      <c r="BI58">
        <f t="shared" si="11"/>
        <v>0</v>
      </c>
    </row>
    <row r="59" spans="1:61" x14ac:dyDescent="0.25">
      <c r="B59" s="1"/>
      <c r="C59" s="1"/>
      <c r="D59" s="1"/>
      <c r="E59" s="1"/>
      <c r="F59" s="1"/>
      <c r="G59" s="54"/>
      <c r="H59" s="54"/>
      <c r="I59" s="54"/>
      <c r="J59" s="50">
        <f>F59*Paramètres!$B$3</f>
        <v>0</v>
      </c>
      <c r="K59" s="56">
        <f t="shared" si="0"/>
        <v>0</v>
      </c>
      <c r="L59" s="56">
        <f t="shared" si="1"/>
        <v>0</v>
      </c>
      <c r="M59" s="56">
        <f t="shared" si="2"/>
        <v>0</v>
      </c>
      <c r="N59" s="3">
        <f>ROUNDUP(J59*Paramètres!$B$19,-1)</f>
        <v>0</v>
      </c>
      <c r="O59" s="1">
        <f t="shared" si="3"/>
        <v>0</v>
      </c>
      <c r="P59" s="1">
        <f t="shared" si="4"/>
        <v>0</v>
      </c>
      <c r="Q59" s="3">
        <f t="shared" si="5"/>
        <v>0</v>
      </c>
      <c r="R59" s="47">
        <f>ROUNDUP(+K59/Paramètres!$B$4/Paramètres!$B$53,0)</f>
        <v>0</v>
      </c>
      <c r="S59" s="47">
        <f>ROUNDUP(+L59/Paramètres!$B$6/Paramètres!$B$53,0)</f>
        <v>0</v>
      </c>
      <c r="T59" s="47"/>
      <c r="U59" s="2">
        <f t="shared" si="6"/>
        <v>0</v>
      </c>
      <c r="V59" s="1">
        <f>R59*Paramètres!$B$7</f>
        <v>0</v>
      </c>
      <c r="W59" s="1">
        <f>S59*Paramètres!$B$9</f>
        <v>0</v>
      </c>
      <c r="X59" s="1"/>
      <c r="Y59" s="2">
        <f t="shared" si="7"/>
        <v>0</v>
      </c>
      <c r="Z59" s="7">
        <f>R59*Paramètres!$B$10</f>
        <v>0</v>
      </c>
      <c r="AA59" s="7">
        <f>S59*Paramètres!$B$10</f>
        <v>0</v>
      </c>
      <c r="AB59" s="7"/>
      <c r="AC59" s="2">
        <f t="shared" si="8"/>
        <v>0</v>
      </c>
      <c r="AD59" s="1">
        <f t="shared" si="12"/>
        <v>0</v>
      </c>
      <c r="AE59" s="1">
        <f t="shared" si="9"/>
        <v>0</v>
      </c>
      <c r="AF59" s="1">
        <f>IF(B59="",0,Paramètres!$B$53*1.5)</f>
        <v>0</v>
      </c>
      <c r="AG59" s="1">
        <f>IF(C59="",0,Paramètres!$B$53*1.5)</f>
        <v>0</v>
      </c>
      <c r="AH59" s="1"/>
      <c r="AI59" s="1"/>
      <c r="AJ59" s="1"/>
      <c r="AK59" s="1"/>
      <c r="AL59" s="1">
        <f>(U59*Paramètres!$B$53)*3</f>
        <v>0</v>
      </c>
      <c r="AM59" s="1">
        <f t="shared" si="10"/>
        <v>0</v>
      </c>
      <c r="AN59" s="1">
        <f>U59*Paramètres!$B$75</f>
        <v>0</v>
      </c>
      <c r="AO59" s="1">
        <f>U59*Paramètres!$B$72*Paramètres!$B$73</f>
        <v>0</v>
      </c>
      <c r="AP59" s="1"/>
      <c r="AQ59" s="1">
        <f>(Y59+AC59)*Paramètres!$B$42*Paramètres!$B$53</f>
        <v>0</v>
      </c>
      <c r="AR59" s="1"/>
      <c r="AS59" s="7">
        <f>ROUNDUP(D59*Paramètres!$B$23*Paramètres!$B$26,-1)</f>
        <v>0</v>
      </c>
      <c r="AT59" s="7"/>
      <c r="AU59" s="1"/>
      <c r="AV59" s="8"/>
      <c r="AW59" s="8"/>
      <c r="AX59" s="8"/>
      <c r="AY59" s="8"/>
      <c r="AZ59" s="8"/>
      <c r="BA59" s="8"/>
      <c r="BB59" s="44"/>
      <c r="BC59" s="44"/>
      <c r="BD59" s="8"/>
      <c r="BE59" s="8"/>
      <c r="BF59" s="8"/>
      <c r="BG59" s="44"/>
      <c r="BI59">
        <f t="shared" si="11"/>
        <v>0</v>
      </c>
    </row>
    <row r="60" spans="1:61" x14ac:dyDescent="0.25">
      <c r="B60" s="1"/>
      <c r="C60" s="1"/>
      <c r="D60" s="1"/>
      <c r="E60" s="1"/>
      <c r="F60" s="1"/>
      <c r="G60" s="54"/>
      <c r="H60" s="54"/>
      <c r="I60" s="54"/>
      <c r="J60" s="50">
        <f>F60*Paramètres!$B$3</f>
        <v>0</v>
      </c>
      <c r="K60" s="56">
        <f t="shared" si="0"/>
        <v>0</v>
      </c>
      <c r="L60" s="56">
        <f t="shared" si="1"/>
        <v>0</v>
      </c>
      <c r="M60" s="56">
        <f t="shared" si="2"/>
        <v>0</v>
      </c>
      <c r="N60" s="3">
        <f>ROUNDUP(J60*Paramètres!$B$19,-1)</f>
        <v>0</v>
      </c>
      <c r="O60" s="1">
        <f t="shared" si="3"/>
        <v>0</v>
      </c>
      <c r="P60" s="1">
        <f t="shared" si="4"/>
        <v>0</v>
      </c>
      <c r="Q60" s="3">
        <f t="shared" si="5"/>
        <v>0</v>
      </c>
      <c r="R60" s="47">
        <f>ROUNDUP(+K60/Paramètres!$B$4/Paramètres!$B$53,0)</f>
        <v>0</v>
      </c>
      <c r="S60" s="47">
        <f>ROUNDUP(+L60/Paramètres!$B$6/Paramètres!$B$53,0)</f>
        <v>0</v>
      </c>
      <c r="T60" s="47"/>
      <c r="U60" s="2">
        <f t="shared" si="6"/>
        <v>0</v>
      </c>
      <c r="V60" s="1">
        <f>R60*Paramètres!$B$7</f>
        <v>0</v>
      </c>
      <c r="W60" s="1">
        <f>S60*Paramètres!$B$9</f>
        <v>0</v>
      </c>
      <c r="X60" s="1"/>
      <c r="Y60" s="2">
        <f t="shared" si="7"/>
        <v>0</v>
      </c>
      <c r="Z60" s="7">
        <f>R60*Paramètres!$B$10</f>
        <v>0</v>
      </c>
      <c r="AA60" s="7">
        <f>S60*Paramètres!$B$10</f>
        <v>0</v>
      </c>
      <c r="AB60" s="7"/>
      <c r="AC60" s="2">
        <f t="shared" si="8"/>
        <v>0</v>
      </c>
      <c r="AD60" s="1">
        <f t="shared" si="12"/>
        <v>0</v>
      </c>
      <c r="AE60" s="1">
        <f t="shared" si="9"/>
        <v>0</v>
      </c>
      <c r="AF60" s="1">
        <f>IF(B60="",0,Paramètres!$B$53*1.5)</f>
        <v>0</v>
      </c>
      <c r="AG60" s="1">
        <f>IF(C60="",0,Paramètres!$B$53*1.5)</f>
        <v>0</v>
      </c>
      <c r="AH60" s="1"/>
      <c r="AI60" s="1"/>
      <c r="AJ60" s="1"/>
      <c r="AK60" s="1"/>
      <c r="AL60" s="1">
        <f>(U60*Paramètres!$B$53)*3</f>
        <v>0</v>
      </c>
      <c r="AM60" s="1">
        <f t="shared" si="10"/>
        <v>0</v>
      </c>
      <c r="AN60" s="1">
        <f>U60*Paramètres!$B$75</f>
        <v>0</v>
      </c>
      <c r="AO60" s="1">
        <f>U60*Paramètres!$B$72*Paramètres!$B$73</f>
        <v>0</v>
      </c>
      <c r="AP60" s="1"/>
      <c r="AQ60" s="1">
        <f>(Y60+AC60)*Paramètres!$B$42*Paramètres!$B$53</f>
        <v>0</v>
      </c>
      <c r="AR60" s="1"/>
      <c r="AS60" s="7">
        <f>ROUNDUP(D60*Paramètres!$B$23*Paramètres!$B$26,-1)</f>
        <v>0</v>
      </c>
      <c r="AT60" s="7"/>
      <c r="AU60" s="1"/>
      <c r="AV60" s="8"/>
      <c r="AW60" s="8"/>
      <c r="AX60" s="8"/>
      <c r="AY60" s="8"/>
      <c r="AZ60" s="8"/>
      <c r="BA60" s="8"/>
      <c r="BB60" s="44"/>
      <c r="BC60" s="44"/>
      <c r="BD60" s="8"/>
      <c r="BE60" s="8"/>
      <c r="BF60" s="8"/>
      <c r="BG60" s="44"/>
      <c r="BI60">
        <f t="shared" si="11"/>
        <v>0</v>
      </c>
    </row>
    <row r="61" spans="1:61" x14ac:dyDescent="0.25">
      <c r="B61" s="1"/>
      <c r="C61" s="1"/>
      <c r="D61" s="1"/>
      <c r="E61" s="1"/>
      <c r="F61" s="1"/>
      <c r="G61" s="54"/>
      <c r="H61" s="54"/>
      <c r="I61" s="54"/>
      <c r="J61" s="50">
        <f>F61*Paramètres!$B$3</f>
        <v>0</v>
      </c>
      <c r="K61" s="56">
        <f t="shared" si="0"/>
        <v>0</v>
      </c>
      <c r="L61" s="56">
        <f t="shared" si="1"/>
        <v>0</v>
      </c>
      <c r="M61" s="56">
        <f t="shared" si="2"/>
        <v>0</v>
      </c>
      <c r="N61" s="3">
        <f>ROUNDUP(J61*Paramètres!$B$19,-1)</f>
        <v>0</v>
      </c>
      <c r="O61" s="1">
        <f t="shared" si="3"/>
        <v>0</v>
      </c>
      <c r="P61" s="1">
        <f t="shared" si="4"/>
        <v>0</v>
      </c>
      <c r="Q61" s="3">
        <f t="shared" si="5"/>
        <v>0</v>
      </c>
      <c r="R61" s="47">
        <f>ROUNDUP(+K61/Paramètres!$B$4/Paramètres!$B$53,0)</f>
        <v>0</v>
      </c>
      <c r="S61" s="47">
        <f>ROUNDUP(+L61/Paramètres!$B$6/Paramètres!$B$53,0)</f>
        <v>0</v>
      </c>
      <c r="T61" s="47"/>
      <c r="U61" s="2">
        <f t="shared" si="6"/>
        <v>0</v>
      </c>
      <c r="V61" s="1">
        <f>R61*Paramètres!$B$7</f>
        <v>0</v>
      </c>
      <c r="W61" s="1">
        <f>S61*Paramètres!$B$9</f>
        <v>0</v>
      </c>
      <c r="X61" s="1"/>
      <c r="Y61" s="2">
        <f t="shared" si="7"/>
        <v>0</v>
      </c>
      <c r="Z61" s="7">
        <f>R61*Paramètres!$B$10</f>
        <v>0</v>
      </c>
      <c r="AA61" s="7">
        <f>S61*Paramètres!$B$10</f>
        <v>0</v>
      </c>
      <c r="AB61" s="7"/>
      <c r="AC61" s="2">
        <f t="shared" si="8"/>
        <v>0</v>
      </c>
      <c r="AD61" s="1">
        <f t="shared" si="12"/>
        <v>0</v>
      </c>
      <c r="AE61" s="1">
        <f t="shared" si="9"/>
        <v>0</v>
      </c>
      <c r="AF61" s="1">
        <f>IF(B61="",0,Paramètres!$B$53*1.5)</f>
        <v>0</v>
      </c>
      <c r="AG61" s="1">
        <f>IF(C61="",0,Paramètres!$B$53*1.5)</f>
        <v>0</v>
      </c>
      <c r="AH61" s="1"/>
      <c r="AI61" s="1"/>
      <c r="AJ61" s="1"/>
      <c r="AK61" s="1"/>
      <c r="AL61" s="1">
        <f>(U61*Paramètres!$B$53)*3</f>
        <v>0</v>
      </c>
      <c r="AM61" s="1">
        <f t="shared" si="10"/>
        <v>0</v>
      </c>
      <c r="AN61" s="1">
        <f>U61*Paramètres!$B$75</f>
        <v>0</v>
      </c>
      <c r="AO61" s="1">
        <f>U61*Paramètres!$B$72*Paramètres!$B$73</f>
        <v>0</v>
      </c>
      <c r="AP61" s="1"/>
      <c r="AQ61" s="1">
        <f>(Y61+AC61)*Paramètres!$B$42*Paramètres!$B$53</f>
        <v>0</v>
      </c>
      <c r="AR61" s="1"/>
      <c r="AS61" s="7">
        <f>ROUNDUP(D61*Paramètres!$B$23*Paramètres!$B$26,-1)</f>
        <v>0</v>
      </c>
      <c r="AT61" s="7"/>
      <c r="AU61" s="1"/>
      <c r="AV61" s="8"/>
      <c r="AW61" s="8"/>
      <c r="AX61" s="8"/>
      <c r="AY61" s="8"/>
      <c r="AZ61" s="8"/>
      <c r="BA61" s="8"/>
      <c r="BB61" s="44"/>
      <c r="BC61" s="44"/>
      <c r="BD61" s="8"/>
      <c r="BE61" s="8"/>
      <c r="BF61" s="8"/>
      <c r="BG61" s="44"/>
      <c r="BI61">
        <f t="shared" si="11"/>
        <v>0</v>
      </c>
    </row>
    <row r="62" spans="1:61" x14ac:dyDescent="0.25">
      <c r="B62" s="1"/>
      <c r="C62" s="1"/>
      <c r="D62" s="1"/>
      <c r="E62" s="1"/>
      <c r="F62" s="1"/>
      <c r="G62" s="54"/>
      <c r="H62" s="54"/>
      <c r="I62" s="54"/>
      <c r="J62" s="50">
        <f>F62*Paramètres!$B$3</f>
        <v>0</v>
      </c>
      <c r="K62" s="56">
        <f t="shared" si="0"/>
        <v>0</v>
      </c>
      <c r="L62" s="56">
        <f t="shared" si="1"/>
        <v>0</v>
      </c>
      <c r="M62" s="56">
        <f t="shared" si="2"/>
        <v>0</v>
      </c>
      <c r="N62" s="3">
        <f>ROUNDUP(J62*Paramètres!$B$19,-1)</f>
        <v>0</v>
      </c>
      <c r="O62" s="1">
        <f t="shared" si="3"/>
        <v>0</v>
      </c>
      <c r="P62" s="1">
        <f t="shared" si="4"/>
        <v>0</v>
      </c>
      <c r="Q62" s="3">
        <f t="shared" si="5"/>
        <v>0</v>
      </c>
      <c r="R62" s="47">
        <f>ROUNDUP(+K62/Paramètres!$B$4/Paramètres!$B$53,0)</f>
        <v>0</v>
      </c>
      <c r="S62" s="47">
        <f>ROUNDUP(+L62/Paramètres!$B$6/Paramètres!$B$53,0)</f>
        <v>0</v>
      </c>
      <c r="T62" s="47"/>
      <c r="U62" s="2">
        <f t="shared" si="6"/>
        <v>0</v>
      </c>
      <c r="V62" s="1">
        <f>R62*Paramètres!$B$7</f>
        <v>0</v>
      </c>
      <c r="W62" s="1">
        <f>S62*Paramètres!$B$9</f>
        <v>0</v>
      </c>
      <c r="X62" s="1"/>
      <c r="Y62" s="2">
        <f t="shared" si="7"/>
        <v>0</v>
      </c>
      <c r="Z62" s="7">
        <f>R62*Paramètres!$B$10</f>
        <v>0</v>
      </c>
      <c r="AA62" s="7">
        <f>S62*Paramètres!$B$10</f>
        <v>0</v>
      </c>
      <c r="AB62" s="7"/>
      <c r="AC62" s="2">
        <f t="shared" si="8"/>
        <v>0</v>
      </c>
      <c r="AD62" s="1">
        <f t="shared" si="12"/>
        <v>0</v>
      </c>
      <c r="AE62" s="1">
        <f t="shared" si="9"/>
        <v>0</v>
      </c>
      <c r="AF62" s="1">
        <f>IF(B62="",0,Paramètres!$B$53*1.5)</f>
        <v>0</v>
      </c>
      <c r="AG62" s="1">
        <f>IF(C62="",0,Paramètres!$B$53*1.5)</f>
        <v>0</v>
      </c>
      <c r="AH62" s="1"/>
      <c r="AI62" s="1"/>
      <c r="AJ62" s="1"/>
      <c r="AK62" s="1"/>
      <c r="AL62" s="1">
        <f>(U62*Paramètres!$B$53)*3</f>
        <v>0</v>
      </c>
      <c r="AM62" s="1">
        <f t="shared" si="10"/>
        <v>0</v>
      </c>
      <c r="AN62" s="1">
        <f>U62*Paramètres!$B$75</f>
        <v>0</v>
      </c>
      <c r="AO62" s="1">
        <f>U62*Paramètres!$B$72*Paramètres!$B$73</f>
        <v>0</v>
      </c>
      <c r="AP62" s="1"/>
      <c r="AQ62" s="1">
        <f>(Y62+AC62)*Paramètres!$B$42*Paramètres!$B$53</f>
        <v>0</v>
      </c>
      <c r="AR62" s="1"/>
      <c r="AS62" s="7">
        <f>ROUNDUP(D62*Paramètres!$B$23*Paramètres!$B$26,-1)</f>
        <v>0</v>
      </c>
      <c r="AT62" s="7"/>
      <c r="AU62" s="1"/>
      <c r="AV62" s="8"/>
      <c r="AW62" s="8"/>
      <c r="AX62" s="8"/>
      <c r="AY62" s="8"/>
      <c r="AZ62" s="8"/>
      <c r="BA62" s="8"/>
      <c r="BB62" s="44"/>
      <c r="BC62" s="44"/>
      <c r="BD62" s="8"/>
      <c r="BE62" s="8"/>
      <c r="BF62" s="8"/>
      <c r="BG62" s="44"/>
      <c r="BI62">
        <f t="shared" si="11"/>
        <v>0</v>
      </c>
    </row>
    <row r="63" spans="1:61" x14ac:dyDescent="0.25">
      <c r="B63" s="1"/>
      <c r="C63" s="1"/>
      <c r="D63" s="1"/>
      <c r="E63" s="1"/>
      <c r="F63" s="1"/>
      <c r="G63" s="54"/>
      <c r="H63" s="54"/>
      <c r="I63" s="54"/>
      <c r="J63" s="50">
        <f>F63*Paramètres!$B$3</f>
        <v>0</v>
      </c>
      <c r="K63" s="56">
        <f t="shared" si="0"/>
        <v>0</v>
      </c>
      <c r="L63" s="56">
        <f t="shared" si="1"/>
        <v>0</v>
      </c>
      <c r="M63" s="56">
        <f t="shared" si="2"/>
        <v>0</v>
      </c>
      <c r="N63" s="3">
        <f>ROUNDUP(J63*Paramètres!$B$19,-1)</f>
        <v>0</v>
      </c>
      <c r="O63" s="1">
        <f t="shared" si="3"/>
        <v>0</v>
      </c>
      <c r="P63" s="1">
        <f t="shared" si="4"/>
        <v>0</v>
      </c>
      <c r="Q63" s="3">
        <f t="shared" si="5"/>
        <v>0</v>
      </c>
      <c r="R63" s="47">
        <f>ROUNDUP(+K63/Paramètres!$B$4/Paramètres!$B$53,0)</f>
        <v>0</v>
      </c>
      <c r="S63" s="47">
        <f>ROUNDUP(+L63/Paramètres!$B$6/Paramètres!$B$53,0)</f>
        <v>0</v>
      </c>
      <c r="T63" s="47"/>
      <c r="U63" s="2">
        <f t="shared" si="6"/>
        <v>0</v>
      </c>
      <c r="V63" s="1">
        <f>R63*Paramètres!$B$7</f>
        <v>0</v>
      </c>
      <c r="W63" s="1">
        <f>S63*Paramètres!$B$9</f>
        <v>0</v>
      </c>
      <c r="X63" s="1"/>
      <c r="Y63" s="2">
        <f t="shared" si="7"/>
        <v>0</v>
      </c>
      <c r="Z63" s="7">
        <f>R63*Paramètres!$B$10</f>
        <v>0</v>
      </c>
      <c r="AA63" s="7">
        <f>S63*Paramètres!$B$10</f>
        <v>0</v>
      </c>
      <c r="AB63" s="7"/>
      <c r="AC63" s="2">
        <f t="shared" si="8"/>
        <v>0</v>
      </c>
      <c r="AD63" s="1">
        <f t="shared" si="12"/>
        <v>0</v>
      </c>
      <c r="AE63" s="1">
        <f t="shared" si="9"/>
        <v>0</v>
      </c>
      <c r="AF63" s="1">
        <f>IF(B63="",0,Paramètres!$B$53*1.5)</f>
        <v>0</v>
      </c>
      <c r="AG63" s="1">
        <f>IF(C63="",0,Paramètres!$B$53*1.5)</f>
        <v>0</v>
      </c>
      <c r="AH63" s="1"/>
      <c r="AI63" s="1"/>
      <c r="AJ63" s="1"/>
      <c r="AK63" s="1"/>
      <c r="AL63" s="1">
        <f>(U63*Paramètres!$B$53)*3</f>
        <v>0</v>
      </c>
      <c r="AM63" s="1">
        <f t="shared" si="10"/>
        <v>0</v>
      </c>
      <c r="AN63" s="1">
        <f>U63*Paramètres!$B$75</f>
        <v>0</v>
      </c>
      <c r="AO63" s="1">
        <f>U63*Paramètres!$B$72*Paramètres!$B$73</f>
        <v>0</v>
      </c>
      <c r="AP63" s="1"/>
      <c r="AQ63" s="1">
        <f>(Y63+AC63)*Paramètres!$B$42*Paramètres!$B$53</f>
        <v>0</v>
      </c>
      <c r="AR63" s="1"/>
      <c r="AS63" s="7">
        <f>ROUNDUP(D63*Paramètres!$B$23*Paramètres!$B$26,-1)</f>
        <v>0</v>
      </c>
      <c r="AT63" s="7"/>
      <c r="AU63" s="1"/>
      <c r="AV63" s="8"/>
      <c r="AW63" s="8"/>
      <c r="AX63" s="8"/>
      <c r="AY63" s="8"/>
      <c r="AZ63" s="8"/>
      <c r="BA63" s="8"/>
      <c r="BB63" s="44"/>
      <c r="BC63" s="44"/>
      <c r="BD63" s="8"/>
      <c r="BE63" s="8"/>
      <c r="BF63" s="8"/>
      <c r="BG63" s="44"/>
      <c r="BI63">
        <f t="shared" si="11"/>
        <v>0</v>
      </c>
    </row>
    <row r="64" spans="1:61" x14ac:dyDescent="0.25">
      <c r="B64" s="1"/>
      <c r="C64" s="1"/>
      <c r="D64" s="1"/>
      <c r="E64" s="1"/>
      <c r="F64" s="1"/>
      <c r="G64" s="54"/>
      <c r="H64" s="54"/>
      <c r="I64" s="54"/>
      <c r="J64" s="50">
        <f>F64*Paramètres!$B$3</f>
        <v>0</v>
      </c>
      <c r="K64" s="56">
        <f t="shared" si="0"/>
        <v>0</v>
      </c>
      <c r="L64" s="56">
        <f t="shared" si="1"/>
        <v>0</v>
      </c>
      <c r="M64" s="56">
        <f t="shared" si="2"/>
        <v>0</v>
      </c>
      <c r="N64" s="3">
        <f>ROUNDUP(J64*Paramètres!$B$19,-1)</f>
        <v>0</v>
      </c>
      <c r="O64" s="1">
        <f t="shared" si="3"/>
        <v>0</v>
      </c>
      <c r="P64" s="1">
        <f t="shared" si="4"/>
        <v>0</v>
      </c>
      <c r="Q64" s="3">
        <f t="shared" si="5"/>
        <v>0</v>
      </c>
      <c r="R64" s="47">
        <f>ROUNDUP(+K64/Paramètres!$B$4/Paramètres!$B$53,0)</f>
        <v>0</v>
      </c>
      <c r="S64" s="47">
        <f>ROUNDUP(+L64/Paramètres!$B$6/Paramètres!$B$53,0)</f>
        <v>0</v>
      </c>
      <c r="T64" s="47"/>
      <c r="U64" s="2">
        <f t="shared" si="6"/>
        <v>0</v>
      </c>
      <c r="V64" s="1">
        <f>R64*Paramètres!$B$7</f>
        <v>0</v>
      </c>
      <c r="W64" s="1">
        <f>S64*Paramètres!$B$9</f>
        <v>0</v>
      </c>
      <c r="X64" s="1"/>
      <c r="Y64" s="2">
        <f t="shared" si="7"/>
        <v>0</v>
      </c>
      <c r="Z64" s="7">
        <f>R64*Paramètres!$B$10</f>
        <v>0</v>
      </c>
      <c r="AA64" s="7">
        <f>S64*Paramètres!$B$10</f>
        <v>0</v>
      </c>
      <c r="AB64" s="7"/>
      <c r="AC64" s="2">
        <f t="shared" si="8"/>
        <v>0</v>
      </c>
      <c r="AD64" s="1">
        <f t="shared" si="12"/>
        <v>0</v>
      </c>
      <c r="AE64" s="1">
        <f t="shared" si="9"/>
        <v>0</v>
      </c>
      <c r="AF64" s="1">
        <f>IF(B64="",0,Paramètres!$B$53*1.5)</f>
        <v>0</v>
      </c>
      <c r="AG64" s="1">
        <f>IF(C64="",0,Paramètres!$B$53*1.5)</f>
        <v>0</v>
      </c>
      <c r="AH64" s="1"/>
      <c r="AI64" s="1"/>
      <c r="AJ64" s="1"/>
      <c r="AK64" s="1"/>
      <c r="AL64" s="1">
        <f>(U64*Paramètres!$B$53)*3</f>
        <v>0</v>
      </c>
      <c r="AM64" s="1">
        <f t="shared" si="10"/>
        <v>0</v>
      </c>
      <c r="AN64" s="1">
        <f>U64*Paramètres!$B$75</f>
        <v>0</v>
      </c>
      <c r="AO64" s="1">
        <f>U64*Paramètres!$B$72*Paramètres!$B$73</f>
        <v>0</v>
      </c>
      <c r="AP64" s="1"/>
      <c r="AQ64" s="1">
        <f>(Y64+AC64)*Paramètres!$B$42*Paramètres!$B$53</f>
        <v>0</v>
      </c>
      <c r="AR64" s="1"/>
      <c r="AS64" s="7">
        <f>ROUNDUP(D64*Paramètres!$B$23*Paramètres!$B$26,-1)</f>
        <v>0</v>
      </c>
      <c r="AT64" s="7"/>
      <c r="AU64" s="1"/>
      <c r="AV64" s="8"/>
      <c r="AW64" s="8"/>
      <c r="AX64" s="8"/>
      <c r="AY64" s="8"/>
      <c r="AZ64" s="8"/>
      <c r="BA64" s="8"/>
      <c r="BB64" s="44"/>
      <c r="BC64" s="44"/>
      <c r="BD64" s="8"/>
      <c r="BE64" s="8"/>
      <c r="BF64" s="8"/>
      <c r="BG64" s="44"/>
      <c r="BI64">
        <f t="shared" si="11"/>
        <v>0</v>
      </c>
    </row>
    <row r="65" spans="1:61" x14ac:dyDescent="0.25">
      <c r="B65" s="1"/>
      <c r="C65" s="1"/>
      <c r="D65" s="1"/>
      <c r="E65" s="1"/>
      <c r="F65" s="1"/>
      <c r="G65" s="54"/>
      <c r="H65" s="54"/>
      <c r="I65" s="54"/>
      <c r="J65" s="50">
        <f>F65*Paramètres!$B$3</f>
        <v>0</v>
      </c>
      <c r="K65" s="56">
        <f t="shared" si="0"/>
        <v>0</v>
      </c>
      <c r="L65" s="56">
        <f t="shared" si="1"/>
        <v>0</v>
      </c>
      <c r="M65" s="56">
        <f t="shared" si="2"/>
        <v>0</v>
      </c>
      <c r="N65" s="3">
        <f>ROUNDUP(J65*Paramètres!$B$19,-1)</f>
        <v>0</v>
      </c>
      <c r="O65" s="1">
        <f t="shared" si="3"/>
        <v>0</v>
      </c>
      <c r="P65" s="1">
        <f t="shared" si="4"/>
        <v>0</v>
      </c>
      <c r="Q65" s="3">
        <f t="shared" si="5"/>
        <v>0</v>
      </c>
      <c r="R65" s="47">
        <f>ROUNDUP(+K65/Paramètres!$B$4/Paramètres!$B$53,0)</f>
        <v>0</v>
      </c>
      <c r="S65" s="47">
        <f>ROUNDUP(+L65/Paramètres!$B$6/Paramètres!$B$53,0)</f>
        <v>0</v>
      </c>
      <c r="T65" s="47"/>
      <c r="U65" s="2">
        <f t="shared" si="6"/>
        <v>0</v>
      </c>
      <c r="V65" s="1">
        <f>R65*Paramètres!$B$7</f>
        <v>0</v>
      </c>
      <c r="W65" s="1">
        <f>S65*Paramètres!$B$9</f>
        <v>0</v>
      </c>
      <c r="X65" s="1"/>
      <c r="Y65" s="2">
        <f t="shared" si="7"/>
        <v>0</v>
      </c>
      <c r="Z65" s="7">
        <f>R65*Paramètres!$B$10</f>
        <v>0</v>
      </c>
      <c r="AA65" s="7">
        <f>S65*Paramètres!$B$10</f>
        <v>0</v>
      </c>
      <c r="AB65" s="7"/>
      <c r="AC65" s="2">
        <f t="shared" si="8"/>
        <v>0</v>
      </c>
      <c r="AD65" s="1">
        <f t="shared" si="12"/>
        <v>0</v>
      </c>
      <c r="AE65" s="1">
        <f t="shared" si="9"/>
        <v>0</v>
      </c>
      <c r="AF65" s="1">
        <f>IF(B65="",0,Paramètres!$B$53*1.5)</f>
        <v>0</v>
      </c>
      <c r="AG65" s="1">
        <f>IF(C65="",0,Paramètres!$B$53*1.5)</f>
        <v>0</v>
      </c>
      <c r="AH65" s="1"/>
      <c r="AI65" s="1"/>
      <c r="AJ65" s="1"/>
      <c r="AK65" s="1"/>
      <c r="AL65" s="1">
        <f>(U65*Paramètres!$B$53)*3</f>
        <v>0</v>
      </c>
      <c r="AM65" s="1">
        <f t="shared" si="10"/>
        <v>0</v>
      </c>
      <c r="AN65" s="1">
        <f>U65*Paramètres!$B$75</f>
        <v>0</v>
      </c>
      <c r="AO65" s="1">
        <f>U65*Paramètres!$B$72*Paramètres!$B$73</f>
        <v>0</v>
      </c>
      <c r="AP65" s="1"/>
      <c r="AQ65" s="1">
        <f>(Y65+AC65)*Paramètres!$B$42*Paramètres!$B$53</f>
        <v>0</v>
      </c>
      <c r="AR65" s="1"/>
      <c r="AS65" s="7">
        <f>ROUNDUP(D65*Paramètres!$B$23*Paramètres!$B$26,-1)</f>
        <v>0</v>
      </c>
      <c r="AT65" s="7"/>
      <c r="AU65" s="1"/>
      <c r="AV65" s="8"/>
      <c r="AW65" s="8"/>
      <c r="AX65" s="8"/>
      <c r="AY65" s="8"/>
      <c r="AZ65" s="8"/>
      <c r="BA65" s="8"/>
      <c r="BB65" s="44"/>
      <c r="BC65" s="44"/>
      <c r="BD65" s="8"/>
      <c r="BE65" s="8"/>
      <c r="BF65" s="8"/>
      <c r="BG65" s="44"/>
      <c r="BI65">
        <f t="shared" si="11"/>
        <v>0</v>
      </c>
    </row>
    <row r="66" spans="1:61" x14ac:dyDescent="0.25">
      <c r="B66" s="1"/>
      <c r="C66" s="1"/>
      <c r="D66" s="1"/>
      <c r="E66" s="1"/>
      <c r="F66" s="1"/>
      <c r="G66" s="54"/>
      <c r="H66" s="54"/>
      <c r="I66" s="54"/>
      <c r="J66" s="50">
        <f>F66*Paramètres!$B$3</f>
        <v>0</v>
      </c>
      <c r="K66" s="56">
        <f t="shared" si="0"/>
        <v>0</v>
      </c>
      <c r="L66" s="56">
        <f t="shared" si="1"/>
        <v>0</v>
      </c>
      <c r="M66" s="56">
        <f t="shared" si="2"/>
        <v>0</v>
      </c>
      <c r="N66" s="3">
        <f>ROUNDUP(J66*Paramètres!$B$19,-1)</f>
        <v>0</v>
      </c>
      <c r="O66" s="1">
        <f t="shared" si="3"/>
        <v>0</v>
      </c>
      <c r="P66" s="1">
        <f t="shared" si="4"/>
        <v>0</v>
      </c>
      <c r="Q66" s="3">
        <f t="shared" si="5"/>
        <v>0</v>
      </c>
      <c r="R66" s="47">
        <f>ROUNDUP(+K66/Paramètres!$B$4/Paramètres!$B$53,0)</f>
        <v>0</v>
      </c>
      <c r="S66" s="47">
        <f>ROUNDUP(+L66/Paramètres!$B$6/Paramètres!$B$53,0)</f>
        <v>0</v>
      </c>
      <c r="T66" s="47"/>
      <c r="U66" s="2">
        <f t="shared" si="6"/>
        <v>0</v>
      </c>
      <c r="V66" s="1">
        <f>R66*Paramètres!$B$7</f>
        <v>0</v>
      </c>
      <c r="W66" s="1">
        <f>S66*Paramètres!$B$9</f>
        <v>0</v>
      </c>
      <c r="X66" s="1"/>
      <c r="Y66" s="2">
        <f t="shared" si="7"/>
        <v>0</v>
      </c>
      <c r="Z66" s="7">
        <f>R66*Paramètres!$B$10</f>
        <v>0</v>
      </c>
      <c r="AA66" s="7">
        <f>S66*Paramètres!$B$10</f>
        <v>0</v>
      </c>
      <c r="AB66" s="7"/>
      <c r="AC66" s="2">
        <f t="shared" si="8"/>
        <v>0</v>
      </c>
      <c r="AD66" s="1">
        <f t="shared" si="12"/>
        <v>0</v>
      </c>
      <c r="AE66" s="1">
        <f t="shared" si="9"/>
        <v>0</v>
      </c>
      <c r="AF66" s="1">
        <f>IF(B66="",0,Paramètres!$B$53*1.5)</f>
        <v>0</v>
      </c>
      <c r="AG66" s="1">
        <f>IF(C66="",0,Paramètres!$B$53*1.5)</f>
        <v>0</v>
      </c>
      <c r="AH66" s="1"/>
      <c r="AI66" s="1"/>
      <c r="AJ66" s="1"/>
      <c r="AK66" s="1"/>
      <c r="AL66" s="1">
        <f>(U66*Paramètres!$B$53)*3</f>
        <v>0</v>
      </c>
      <c r="AM66" s="1">
        <f t="shared" si="10"/>
        <v>0</v>
      </c>
      <c r="AN66" s="1">
        <f>U66*Paramètres!$B$75</f>
        <v>0</v>
      </c>
      <c r="AO66" s="1">
        <f>U66*Paramètres!$B$72*Paramètres!$B$73</f>
        <v>0</v>
      </c>
      <c r="AP66" s="1"/>
      <c r="AQ66" s="1">
        <f>(Y66+AC66)*Paramètres!$B$42*Paramètres!$B$53</f>
        <v>0</v>
      </c>
      <c r="AR66" s="1"/>
      <c r="AS66" s="7">
        <f>ROUNDUP(D66*Paramètres!$B$23*Paramètres!$B$26,-1)</f>
        <v>0</v>
      </c>
      <c r="AT66" s="7"/>
      <c r="AU66" s="1"/>
      <c r="AV66" s="8"/>
      <c r="AW66" s="8"/>
      <c r="AX66" s="8"/>
      <c r="AY66" s="8"/>
      <c r="AZ66" s="8"/>
      <c r="BA66" s="8"/>
      <c r="BB66" s="44"/>
      <c r="BC66" s="44"/>
      <c r="BD66" s="8"/>
      <c r="BE66" s="8"/>
      <c r="BF66" s="8"/>
      <c r="BG66" s="44"/>
      <c r="BI66">
        <f t="shared" si="11"/>
        <v>0</v>
      </c>
    </row>
    <row r="67" spans="1:61" x14ac:dyDescent="0.25">
      <c r="B67" s="1"/>
      <c r="C67" s="1"/>
      <c r="D67" s="1"/>
      <c r="E67" s="1"/>
      <c r="F67" s="1"/>
      <c r="G67" s="54"/>
      <c r="H67" s="54"/>
      <c r="I67" s="54"/>
      <c r="J67" s="50">
        <f>F67*Paramètres!$B$3</f>
        <v>0</v>
      </c>
      <c r="K67" s="56">
        <f t="shared" si="0"/>
        <v>0</v>
      </c>
      <c r="L67" s="56">
        <f t="shared" si="1"/>
        <v>0</v>
      </c>
      <c r="M67" s="56">
        <f t="shared" si="2"/>
        <v>0</v>
      </c>
      <c r="N67" s="3">
        <f>ROUNDUP(J67*Paramètres!$B$19,-1)</f>
        <v>0</v>
      </c>
      <c r="O67" s="1">
        <f t="shared" si="3"/>
        <v>0</v>
      </c>
      <c r="P67" s="1">
        <f t="shared" si="4"/>
        <v>0</v>
      </c>
      <c r="Q67" s="3">
        <f t="shared" si="5"/>
        <v>0</v>
      </c>
      <c r="R67" s="47">
        <f>ROUNDUP(+K67/Paramètres!$B$4/Paramètres!$B$53,0)</f>
        <v>0</v>
      </c>
      <c r="S67" s="47">
        <f>ROUNDUP(+L67/Paramètres!$B$6/Paramètres!$B$53,0)</f>
        <v>0</v>
      </c>
      <c r="T67" s="47"/>
      <c r="U67" s="2">
        <f t="shared" si="6"/>
        <v>0</v>
      </c>
      <c r="V67" s="1">
        <f>R67*Paramètres!$B$7</f>
        <v>0</v>
      </c>
      <c r="W67" s="1">
        <f>S67*Paramètres!$B$9</f>
        <v>0</v>
      </c>
      <c r="X67" s="1"/>
      <c r="Y67" s="2">
        <f t="shared" si="7"/>
        <v>0</v>
      </c>
      <c r="Z67" s="7">
        <f>R67*Paramètres!$B$10</f>
        <v>0</v>
      </c>
      <c r="AA67" s="7">
        <f>S67*Paramètres!$B$10</f>
        <v>0</v>
      </c>
      <c r="AB67" s="7"/>
      <c r="AC67" s="2">
        <f t="shared" si="8"/>
        <v>0</v>
      </c>
      <c r="AD67" s="1">
        <f t="shared" si="12"/>
        <v>0</v>
      </c>
      <c r="AE67" s="1">
        <f t="shared" si="9"/>
        <v>0</v>
      </c>
      <c r="AF67" s="1">
        <f>IF(B67="",0,Paramètres!$B$53*1.5)</f>
        <v>0</v>
      </c>
      <c r="AG67" s="1">
        <f>IF(C67="",0,Paramètres!$B$53*1.5)</f>
        <v>0</v>
      </c>
      <c r="AH67" s="1"/>
      <c r="AI67" s="1"/>
      <c r="AJ67" s="1"/>
      <c r="AK67" s="1"/>
      <c r="AL67" s="1">
        <f>(U67*Paramètres!$B$53)*3</f>
        <v>0</v>
      </c>
      <c r="AM67" s="1">
        <f t="shared" si="10"/>
        <v>0</v>
      </c>
      <c r="AN67" s="1">
        <f>U67*Paramètres!$B$75</f>
        <v>0</v>
      </c>
      <c r="AO67" s="1">
        <f>U67*Paramètres!$B$72*Paramètres!$B$73</f>
        <v>0</v>
      </c>
      <c r="AP67" s="1"/>
      <c r="AQ67" s="1">
        <f>(Y67+AC67)*Paramètres!$B$42*Paramètres!$B$53</f>
        <v>0</v>
      </c>
      <c r="AR67" s="1"/>
      <c r="AS67" s="7">
        <f>ROUNDUP(D67*Paramètres!$B$23*Paramètres!$B$26,-1)</f>
        <v>0</v>
      </c>
      <c r="AT67" s="7"/>
      <c r="AU67" s="1"/>
      <c r="AV67" s="8"/>
      <c r="AW67" s="8"/>
      <c r="AX67" s="8"/>
      <c r="AY67" s="8"/>
      <c r="AZ67" s="8"/>
      <c r="BA67" s="8"/>
      <c r="BB67" s="44"/>
      <c r="BC67" s="44"/>
      <c r="BD67" s="8"/>
      <c r="BE67" s="8"/>
      <c r="BF67" s="8"/>
      <c r="BG67" s="44"/>
      <c r="BI67">
        <f t="shared" si="11"/>
        <v>0</v>
      </c>
    </row>
    <row r="68" spans="1:61" x14ac:dyDescent="0.25">
      <c r="B68" s="1"/>
      <c r="C68" s="1"/>
      <c r="D68" s="1"/>
      <c r="E68" s="1"/>
      <c r="F68" s="1"/>
      <c r="G68" s="54"/>
      <c r="H68" s="54"/>
      <c r="I68" s="54"/>
      <c r="J68" s="50">
        <f>F68*Paramètres!$B$3</f>
        <v>0</v>
      </c>
      <c r="K68" s="56">
        <f>J68*G68</f>
        <v>0</v>
      </c>
      <c r="L68" s="56">
        <f>J68*H68</f>
        <v>0</v>
      </c>
      <c r="M68" s="56">
        <f>J68*I68</f>
        <v>0</v>
      </c>
      <c r="N68" s="3">
        <f>ROUNDUP(J68*Paramètres!$B$19,-1)</f>
        <v>0</v>
      </c>
      <c r="O68" s="1">
        <f>N68</f>
        <v>0</v>
      </c>
      <c r="P68" s="1">
        <f>O68/10</f>
        <v>0</v>
      </c>
      <c r="Q68" s="3">
        <f>ROUNDUP((O68+P68)/100,-1)</f>
        <v>0</v>
      </c>
      <c r="R68" s="47">
        <f>ROUNDUP(+K68/Paramètres!$B$4/Paramètres!$B$53,0)</f>
        <v>0</v>
      </c>
      <c r="S68" s="47">
        <f>ROUNDUP(+L68/Paramètres!$B$6/Paramètres!$B$53,0)</f>
        <v>0</v>
      </c>
      <c r="T68" s="47"/>
      <c r="U68" s="2">
        <f>R68+S68+T68</f>
        <v>0</v>
      </c>
      <c r="V68" s="1">
        <f>R68*Paramètres!$B$7</f>
        <v>0</v>
      </c>
      <c r="W68" s="1">
        <f>S68*Paramètres!$B$9</f>
        <v>0</v>
      </c>
      <c r="X68" s="1"/>
      <c r="Y68" s="2">
        <f>V68+W68+X68</f>
        <v>0</v>
      </c>
      <c r="Z68" s="7">
        <f>R68*Paramètres!$B$10</f>
        <v>0</v>
      </c>
      <c r="AA68" s="7">
        <f>S68*Paramètres!$B$10</f>
        <v>0</v>
      </c>
      <c r="AB68" s="7"/>
      <c r="AC68" s="2">
        <f>Z68+AA68+AB68</f>
        <v>0</v>
      </c>
      <c r="AD68" s="1">
        <f t="shared" si="12"/>
        <v>0</v>
      </c>
      <c r="AE68" s="1">
        <f>ROUNDUP((U68/200)*2,0)*10</f>
        <v>0</v>
      </c>
      <c r="AF68" s="1">
        <f>IF(B68="",0,Paramètres!$B$53*1.5)</f>
        <v>0</v>
      </c>
      <c r="AG68" s="1">
        <f>IF(C68="",0,Paramètres!$B$53*1.5)</f>
        <v>0</v>
      </c>
      <c r="AH68" s="1"/>
      <c r="AI68" s="1"/>
      <c r="AJ68" s="1"/>
      <c r="AK68" s="1"/>
      <c r="AL68" s="1">
        <f>(U68*Paramètres!$B$53)*3</f>
        <v>0</v>
      </c>
      <c r="AM68" s="1">
        <f>N68</f>
        <v>0</v>
      </c>
      <c r="AN68" s="1">
        <f>U68*Paramètres!$B$75</f>
        <v>0</v>
      </c>
      <c r="AO68" s="1">
        <f>U68*Paramètres!$B$72*Paramètres!$B$73</f>
        <v>0</v>
      </c>
      <c r="AP68" s="1"/>
      <c r="AQ68" s="1">
        <f>(Y68+AC68)*Paramètres!$B$42*Paramètres!$B$53</f>
        <v>0</v>
      </c>
      <c r="AR68" s="1"/>
      <c r="AS68" s="7">
        <f>ROUNDUP(D68*Paramètres!$B$23*Paramètres!$B$26,-1)</f>
        <v>0</v>
      </c>
      <c r="AT68" s="7"/>
      <c r="AU68" s="1"/>
      <c r="AV68" s="8"/>
      <c r="AW68" s="8"/>
      <c r="AX68" s="8"/>
      <c r="AY68" s="8"/>
      <c r="AZ68" s="8"/>
      <c r="BA68" s="8"/>
      <c r="BB68" s="44"/>
      <c r="BC68" s="44"/>
      <c r="BD68" s="8"/>
      <c r="BE68" s="8"/>
      <c r="BF68" s="8"/>
      <c r="BG68" s="44"/>
      <c r="BI68">
        <f>AQ68+AS68</f>
        <v>0</v>
      </c>
    </row>
    <row r="69" spans="1:61" x14ac:dyDescent="0.25">
      <c r="B69" s="1"/>
      <c r="C69" s="1"/>
      <c r="D69" s="1"/>
      <c r="E69" s="1"/>
      <c r="F69" s="1"/>
      <c r="G69" s="54"/>
      <c r="H69" s="54"/>
      <c r="I69" s="54"/>
      <c r="J69" s="50">
        <f>F69*Paramètres!$B$3</f>
        <v>0</v>
      </c>
      <c r="K69" s="56">
        <f>J69*G69</f>
        <v>0</v>
      </c>
      <c r="L69" s="56">
        <f>J69*H69</f>
        <v>0</v>
      </c>
      <c r="M69" s="56">
        <f>J69*I69</f>
        <v>0</v>
      </c>
      <c r="N69" s="3">
        <f>ROUNDUP(J69*Paramètres!$B$19,-1)</f>
        <v>0</v>
      </c>
      <c r="O69" s="1">
        <f>N69</f>
        <v>0</v>
      </c>
      <c r="P69" s="1">
        <f>O69/10</f>
        <v>0</v>
      </c>
      <c r="Q69" s="3">
        <f>ROUNDUP((O69+P69)/100,-1)</f>
        <v>0</v>
      </c>
      <c r="R69" s="47">
        <f>ROUNDUP(+K69/Paramètres!$B$4/Paramètres!$B$53,0)</f>
        <v>0</v>
      </c>
      <c r="S69" s="47">
        <f>ROUNDUP(+L69/Paramètres!$B$6/Paramètres!$B$53,0)</f>
        <v>0</v>
      </c>
      <c r="T69" s="47"/>
      <c r="U69" s="2">
        <f>R69+S69+T69</f>
        <v>0</v>
      </c>
      <c r="V69" s="1">
        <f>R69*Paramètres!$B$7</f>
        <v>0</v>
      </c>
      <c r="W69" s="1">
        <f>S69*Paramètres!$B$9</f>
        <v>0</v>
      </c>
      <c r="X69" s="1"/>
      <c r="Y69" s="2">
        <f>V69+W69+X69</f>
        <v>0</v>
      </c>
      <c r="Z69" s="7">
        <f>R69*Paramètres!$B$10</f>
        <v>0</v>
      </c>
      <c r="AA69" s="7">
        <f>S69*Paramètres!$B$10</f>
        <v>0</v>
      </c>
      <c r="AB69" s="7"/>
      <c r="AC69" s="2">
        <f>Z69+AA69+AB69</f>
        <v>0</v>
      </c>
      <c r="AD69" s="1">
        <f>U69</f>
        <v>0</v>
      </c>
      <c r="AE69" s="1">
        <f>ROUNDUP((U69/200)*2,0)*10</f>
        <v>0</v>
      </c>
      <c r="AF69" s="1">
        <f>IF(B69="",0,Paramètres!$B$53*1.5)</f>
        <v>0</v>
      </c>
      <c r="AG69" s="1">
        <f>IF(C69="",0,Paramètres!$B$53*1.5)</f>
        <v>0</v>
      </c>
      <c r="AH69" s="1"/>
      <c r="AI69" s="1"/>
      <c r="AJ69" s="1"/>
      <c r="AK69" s="1"/>
      <c r="AL69" s="1">
        <f>(U69*Paramètres!$B$53)*3</f>
        <v>0</v>
      </c>
      <c r="AM69" s="1">
        <f>N69</f>
        <v>0</v>
      </c>
      <c r="AN69" s="1">
        <f>U69*Paramètres!$B$75</f>
        <v>0</v>
      </c>
      <c r="AO69" s="1">
        <f>U69*Paramètres!$B$72*Paramètres!$B$73</f>
        <v>0</v>
      </c>
      <c r="AP69" s="1"/>
      <c r="AQ69" s="1">
        <f>(Y69+AC69)*Paramètres!$B$42*Paramètres!$B$53</f>
        <v>0</v>
      </c>
      <c r="AR69" s="1"/>
      <c r="AS69" s="7">
        <f>ROUNDUP(D69*Paramètres!$B$23*Paramètres!$B$26,-1)</f>
        <v>0</v>
      </c>
      <c r="AT69" s="7"/>
      <c r="AU69" s="1"/>
      <c r="AV69" s="8"/>
      <c r="AW69" s="8"/>
      <c r="AX69" s="8"/>
      <c r="AY69" s="8"/>
      <c r="AZ69" s="8"/>
      <c r="BA69" s="8"/>
      <c r="BB69" s="44"/>
      <c r="BC69" s="44"/>
      <c r="BD69" s="8"/>
      <c r="BE69" s="8"/>
      <c r="BF69" s="8"/>
      <c r="BG69" s="44"/>
      <c r="BI69">
        <f>AQ69+AS69</f>
        <v>0</v>
      </c>
    </row>
    <row r="70" spans="1:61" x14ac:dyDescent="0.25">
      <c r="B70" s="1"/>
      <c r="C70" s="1"/>
      <c r="D70" s="1"/>
      <c r="E70" s="1"/>
      <c r="F70" s="1"/>
      <c r="G70" s="54"/>
      <c r="H70" s="54"/>
      <c r="I70" s="54"/>
      <c r="J70" s="50">
        <f>F70*Paramètres!$B$3</f>
        <v>0</v>
      </c>
      <c r="K70" s="56">
        <f>J70*G70</f>
        <v>0</v>
      </c>
      <c r="L70" s="56">
        <f>J70*H70</f>
        <v>0</v>
      </c>
      <c r="M70" s="56">
        <f>J70*I70</f>
        <v>0</v>
      </c>
      <c r="N70" s="3">
        <f>ROUNDUP(J70*Paramètres!$B$19,-1)</f>
        <v>0</v>
      </c>
      <c r="O70" s="1">
        <f>N70</f>
        <v>0</v>
      </c>
      <c r="P70" s="1">
        <f>O70/10</f>
        <v>0</v>
      </c>
      <c r="Q70" s="3">
        <f>ROUNDUP((O70+P70)/100,-1)</f>
        <v>0</v>
      </c>
      <c r="R70" s="47">
        <f>ROUNDUP(+K70/Paramètres!$B$4/Paramètres!$B$53,0)</f>
        <v>0</v>
      </c>
      <c r="S70" s="47">
        <f>ROUNDUP(+L70/Paramètres!$B$6/Paramètres!$B$53,0)</f>
        <v>0</v>
      </c>
      <c r="T70" s="47"/>
      <c r="U70" s="2">
        <f>R70+S70+T70</f>
        <v>0</v>
      </c>
      <c r="V70" s="1">
        <f>R70*Paramètres!$B$7</f>
        <v>0</v>
      </c>
      <c r="W70" s="1">
        <f>S70*Paramètres!$B$9</f>
        <v>0</v>
      </c>
      <c r="X70" s="1"/>
      <c r="Y70" s="2">
        <f>V70+W70+X70</f>
        <v>0</v>
      </c>
      <c r="Z70" s="7">
        <f>R70*Paramètres!$B$10</f>
        <v>0</v>
      </c>
      <c r="AA70" s="7">
        <f>S70*Paramètres!$B$10</f>
        <v>0</v>
      </c>
      <c r="AB70" s="7"/>
      <c r="AC70" s="2">
        <f>Z70+AA70+AB70</f>
        <v>0</v>
      </c>
      <c r="AD70" s="1">
        <f>U70</f>
        <v>0</v>
      </c>
      <c r="AE70" s="1">
        <f>ROUNDUP((U70/200)*2,0)*10</f>
        <v>0</v>
      </c>
      <c r="AF70" s="1">
        <f>IF(B70="",0,Paramètres!$B$53*1.5)</f>
        <v>0</v>
      </c>
      <c r="AG70" s="1">
        <f>IF(C70="",0,Paramètres!$B$53*1.5)</f>
        <v>0</v>
      </c>
      <c r="AH70" s="1"/>
      <c r="AI70" s="1"/>
      <c r="AJ70" s="1"/>
      <c r="AK70" s="1"/>
      <c r="AL70" s="1">
        <f>(U70*Paramètres!$B$53)*3</f>
        <v>0</v>
      </c>
      <c r="AM70" s="1">
        <f>N70</f>
        <v>0</v>
      </c>
      <c r="AN70" s="1">
        <f>U70*Paramètres!$B$75</f>
        <v>0</v>
      </c>
      <c r="AO70" s="1">
        <f>U70*Paramètres!$B$72*Paramètres!$B$73</f>
        <v>0</v>
      </c>
      <c r="AP70" s="1"/>
      <c r="AQ70" s="1">
        <f>(Y70+AC70)*Paramètres!$B$42*Paramètres!$B$53</f>
        <v>0</v>
      </c>
      <c r="AR70" s="1"/>
      <c r="AS70" s="7">
        <f>ROUNDUP(D70*Paramètres!$B$23*Paramètres!$B$26,-1)</f>
        <v>0</v>
      </c>
      <c r="AT70" s="7"/>
      <c r="AU70" s="1"/>
      <c r="AV70" s="8"/>
      <c r="AW70" s="8"/>
      <c r="AX70" s="8"/>
      <c r="AY70" s="8"/>
      <c r="AZ70" s="8"/>
      <c r="BA70" s="8"/>
      <c r="BB70" s="44"/>
      <c r="BC70" s="44"/>
      <c r="BD70" s="8"/>
      <c r="BE70" s="8"/>
      <c r="BF70" s="8"/>
      <c r="BG70" s="44"/>
      <c r="BI70">
        <f>AQ70+AS70</f>
        <v>0</v>
      </c>
    </row>
    <row r="71" spans="1:61" x14ac:dyDescent="0.25">
      <c r="B71" s="1"/>
      <c r="C71" s="1"/>
      <c r="D71" s="1"/>
      <c r="E71" s="1"/>
      <c r="F71" s="1"/>
      <c r="G71" s="54"/>
      <c r="H71" s="54"/>
      <c r="I71" s="54"/>
      <c r="J71" s="50">
        <f>F71*Paramètres!$B$3</f>
        <v>0</v>
      </c>
      <c r="K71" s="56">
        <f>J71*G71</f>
        <v>0</v>
      </c>
      <c r="L71" s="56">
        <f>J71*H71</f>
        <v>0</v>
      </c>
      <c r="M71" s="56">
        <f>J71*I71</f>
        <v>0</v>
      </c>
      <c r="N71" s="3">
        <f>ROUNDUP(J71*Paramètres!$B$19,-1)</f>
        <v>0</v>
      </c>
      <c r="O71" s="1">
        <f>N71</f>
        <v>0</v>
      </c>
      <c r="P71" s="1">
        <f>O71/10</f>
        <v>0</v>
      </c>
      <c r="Q71" s="3">
        <f>ROUNDUP((O71+P71)/100,-1)</f>
        <v>0</v>
      </c>
      <c r="R71" s="47">
        <f>ROUNDUP(+K71/Paramètres!$B$4/Paramètres!$B$53,0)</f>
        <v>0</v>
      </c>
      <c r="S71" s="47">
        <f>ROUNDUP(+L71/Paramètres!$B$6/Paramètres!$B$53,0)</f>
        <v>0</v>
      </c>
      <c r="T71" s="47"/>
      <c r="U71" s="2">
        <f>R71+S71+T71</f>
        <v>0</v>
      </c>
      <c r="V71" s="1">
        <f>R71*Paramètres!$B$7</f>
        <v>0</v>
      </c>
      <c r="W71" s="1">
        <f>S71*Paramètres!$B$9</f>
        <v>0</v>
      </c>
      <c r="X71" s="1"/>
      <c r="Y71" s="2">
        <f>V71+W71+X71</f>
        <v>0</v>
      </c>
      <c r="Z71" s="7">
        <f>R71*Paramètres!$B$10</f>
        <v>0</v>
      </c>
      <c r="AA71" s="7">
        <f>S71*Paramètres!$B$10</f>
        <v>0</v>
      </c>
      <c r="AB71" s="7"/>
      <c r="AC71" s="2">
        <f>Z71+AA71+AB71</f>
        <v>0</v>
      </c>
      <c r="AD71" s="1">
        <f>U71</f>
        <v>0</v>
      </c>
      <c r="AE71" s="1">
        <f>ROUNDUP((U71/200)*2,0)*10</f>
        <v>0</v>
      </c>
      <c r="AF71" s="1">
        <f>IF(B71="",0,Paramètres!$B$53*1.5)</f>
        <v>0</v>
      </c>
      <c r="AG71" s="1">
        <f>IF(C71="",0,Paramètres!$B$53*1.5)</f>
        <v>0</v>
      </c>
      <c r="AH71" s="1"/>
      <c r="AI71" s="1"/>
      <c r="AJ71" s="1"/>
      <c r="AK71" s="1"/>
      <c r="AL71" s="1">
        <f>(U71*Paramètres!$B$53)*3</f>
        <v>0</v>
      </c>
      <c r="AM71" s="1">
        <f>N71</f>
        <v>0</v>
      </c>
      <c r="AN71" s="1">
        <f>U71*Paramètres!$B$75</f>
        <v>0</v>
      </c>
      <c r="AO71" s="1">
        <f>U71*Paramètres!$B$72*Paramètres!$B$73</f>
        <v>0</v>
      </c>
      <c r="AP71" s="1"/>
      <c r="AQ71" s="1">
        <f>(Y71+AC71)*Paramètres!$B$42*Paramètres!$B$53</f>
        <v>0</v>
      </c>
      <c r="AR71" s="1"/>
      <c r="AS71" s="7">
        <f>ROUNDUP(D71*Paramètres!$B$23*Paramètres!$B$26,-1)</f>
        <v>0</v>
      </c>
      <c r="AT71" s="7"/>
      <c r="AU71" s="1"/>
      <c r="AV71" s="8"/>
      <c r="AW71" s="8"/>
      <c r="AX71" s="8"/>
      <c r="AY71" s="8"/>
      <c r="AZ71" s="8"/>
      <c r="BA71" s="8"/>
      <c r="BB71" s="44"/>
      <c r="BC71" s="44"/>
      <c r="BD71" s="8"/>
      <c r="BE71" s="8"/>
      <c r="BF71" s="8"/>
      <c r="BG71" s="44"/>
      <c r="BI71">
        <f>AQ71+AS71</f>
        <v>0</v>
      </c>
    </row>
    <row r="72" spans="1:61" x14ac:dyDescent="0.25">
      <c r="A72" s="5">
        <v>0</v>
      </c>
      <c r="B72" s="5" t="s">
        <v>5</v>
      </c>
      <c r="C72" s="5">
        <f>SUM(C3:C71)</f>
        <v>0</v>
      </c>
      <c r="D72" s="5">
        <f t="shared" ref="D72:S72" si="13">SUM(D3:D71)</f>
        <v>0</v>
      </c>
      <c r="E72" s="5">
        <f t="shared" si="13"/>
        <v>0</v>
      </c>
      <c r="F72" s="5"/>
      <c r="G72" s="55"/>
      <c r="H72" s="55"/>
      <c r="I72" s="55"/>
      <c r="J72" s="51">
        <f>SUM(J3:J71)</f>
        <v>0</v>
      </c>
      <c r="K72" s="57">
        <f t="shared" si="13"/>
        <v>0</v>
      </c>
      <c r="L72" s="57">
        <f t="shared" si="13"/>
        <v>0</v>
      </c>
      <c r="M72" s="57">
        <f t="shared" si="13"/>
        <v>0</v>
      </c>
      <c r="N72" s="5">
        <f t="shared" si="13"/>
        <v>0</v>
      </c>
      <c r="O72" s="5">
        <f t="shared" si="13"/>
        <v>0</v>
      </c>
      <c r="P72" s="5">
        <f t="shared" si="13"/>
        <v>0</v>
      </c>
      <c r="Q72" s="5">
        <f t="shared" si="13"/>
        <v>0</v>
      </c>
      <c r="R72" s="5">
        <f t="shared" si="13"/>
        <v>0</v>
      </c>
      <c r="S72" s="5">
        <f t="shared" si="13"/>
        <v>0</v>
      </c>
      <c r="T72" s="5">
        <f>ROUNDUP(+M72/Paramètres!$B$5/Paramètres!$B$53,0)</f>
        <v>0</v>
      </c>
      <c r="U72" s="6">
        <f>R72+S72+T72</f>
        <v>0</v>
      </c>
      <c r="V72" s="6">
        <f>SUM(V3:V71)</f>
        <v>0</v>
      </c>
      <c r="W72" s="6">
        <f>SUM(W3:W71)</f>
        <v>0</v>
      </c>
      <c r="X72" s="6">
        <f>(T72*Paramètres!B8+T72)</f>
        <v>0</v>
      </c>
      <c r="Y72" s="6">
        <f>SUM(Y3:Y71)</f>
        <v>0</v>
      </c>
      <c r="Z72" s="6">
        <f>SUM(Z3:Z71)</f>
        <v>0</v>
      </c>
      <c r="AA72" s="6">
        <f>SUM(AA3:AA71)</f>
        <v>0</v>
      </c>
      <c r="AB72" s="6">
        <f>T72*Paramètres!B10</f>
        <v>0</v>
      </c>
      <c r="AC72" s="6">
        <f>SUM(AC3:AC71)</f>
        <v>0</v>
      </c>
      <c r="AD72" s="6">
        <f>SUM(AD3:AD71)</f>
        <v>0</v>
      </c>
      <c r="AE72" s="6">
        <f>SUM(AE3:AE71)</f>
        <v>0</v>
      </c>
      <c r="AF72" s="6">
        <f>SUM(AF3:AF71)</f>
        <v>0</v>
      </c>
      <c r="AG72" s="6">
        <f>SUM(AG3:AG71)</f>
        <v>0</v>
      </c>
      <c r="AH72" s="6">
        <f>IF(Q72=0,0,Paramètres!$B$53*2)</f>
        <v>0</v>
      </c>
      <c r="AI72" s="5">
        <f>IF(N72=0,0,Paramètres!$B$53*3)</f>
        <v>0</v>
      </c>
      <c r="AJ72" s="6"/>
      <c r="AK72" s="6"/>
      <c r="AL72" s="6">
        <f>SUM(AL3:AL71)</f>
        <v>0</v>
      </c>
      <c r="AM72" s="6">
        <f>SUM(AM3:AM71)</f>
        <v>0</v>
      </c>
      <c r="AN72" s="6">
        <f>SUM(AN3:AN71)</f>
        <v>0</v>
      </c>
      <c r="AO72" s="6">
        <f>SUM(AO3:AO71)</f>
        <v>0</v>
      </c>
      <c r="AP72" s="6">
        <f>ROUNDUP(AO72/Paramètres!B74,-1)</f>
        <v>0</v>
      </c>
      <c r="AQ72" s="6">
        <f>SUM(AQ3:AQ71)</f>
        <v>0</v>
      </c>
      <c r="AR72" s="6">
        <f>(X72+AB72)*Paramètres!B42*Paramètres!$B$53</f>
        <v>0</v>
      </c>
      <c r="AS72" s="45">
        <f>SUM(AS3:AS71)</f>
        <v>0</v>
      </c>
      <c r="AT72" s="45">
        <f>ROUNDUP(E72*Paramètres!$B$22*Paramètres!$B$25,-1)</f>
        <v>0</v>
      </c>
      <c r="AU72" s="45">
        <f>Paramètres!B51*0</f>
        <v>0</v>
      </c>
      <c r="AV72" s="45">
        <f>ROUNDUP(Q72*Paramètres!$B$52+Paramètres!$B$27*30,-3)*0</f>
        <v>0</v>
      </c>
      <c r="AW72" s="6">
        <f>(A72+Y72+AB72+AC72)*Paramètres!$B$60</f>
        <v>0</v>
      </c>
      <c r="AX72" s="6">
        <f>(A72+X72+Y72+AB72+AC72)*Paramètres!$B$63*Paramètres!$B$66</f>
        <v>0</v>
      </c>
      <c r="AY72" s="6">
        <f>Paramètres!$B$64*Paramètres!$B$66*Paramètres!$B$63*0</f>
        <v>0</v>
      </c>
      <c r="AZ72" s="6">
        <f>Paramètres!$B$64*Paramètres!$B$66*Paramètres!$B$79*0</f>
        <v>0</v>
      </c>
      <c r="BA72" s="6">
        <f>(X72+Y72+AB72+AC72+Paramètres!$B$64)*Paramètres!$B$61*Paramètres!$B$66*0</f>
        <v>0</v>
      </c>
      <c r="BB72" s="45">
        <f>AW72+AX72+AY72+BA72+AZ72</f>
        <v>0</v>
      </c>
      <c r="BC72" s="45">
        <f>A72*Paramètres!$B$69*Paramètres!$B$53</f>
        <v>0</v>
      </c>
      <c r="BD72" s="6">
        <f>AP72*Paramètres!$B$70</f>
        <v>0</v>
      </c>
      <c r="BE72" s="6">
        <f>Paramètres!B76*Paramètres!$B$66*Paramètres!$B$62*0</f>
        <v>0</v>
      </c>
      <c r="BF72" s="6">
        <f>Paramètres!B76*Paramètres!$B$61*0</f>
        <v>0</v>
      </c>
      <c r="BG72" s="45">
        <f>BE72+BF72</f>
        <v>0</v>
      </c>
      <c r="BH72" s="45">
        <f>Paramètres!B77*0</f>
        <v>0</v>
      </c>
      <c r="BI72" s="6">
        <f>AQ72+AS72+AU72+AV72</f>
        <v>0</v>
      </c>
    </row>
    <row r="73" spans="1:6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61" x14ac:dyDescent="0.25">
      <c r="U74" s="41"/>
    </row>
    <row r="79" spans="1:61" x14ac:dyDescent="0.25">
      <c r="V79" s="41"/>
    </row>
  </sheetData>
  <mergeCells count="1">
    <mergeCell ref="G1:I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I79"/>
  <sheetViews>
    <sheetView topLeftCell="A54" workbookViewId="0">
      <selection activeCell="AV73" sqref="AV73"/>
    </sheetView>
  </sheetViews>
  <sheetFormatPr defaultColWidth="11.42578125" defaultRowHeight="15" x14ac:dyDescent="0.25"/>
  <cols>
    <col min="1" max="1" width="5.7109375" customWidth="1"/>
    <col min="2" max="2" width="16.85546875" customWidth="1"/>
    <col min="3" max="3" width="10.7109375" customWidth="1"/>
    <col min="4" max="13" width="11.140625" customWidth="1"/>
    <col min="14" max="14" width="11.7109375" customWidth="1"/>
    <col min="15" max="15" width="14.85546875" customWidth="1"/>
    <col min="16" max="16" width="17.42578125" customWidth="1"/>
    <col min="17" max="17" width="11.140625" customWidth="1"/>
    <col min="18" max="18" width="13.7109375" customWidth="1"/>
    <col min="19" max="32" width="11.140625" customWidth="1"/>
    <col min="33" max="36" width="11.5703125" bestFit="1" customWidth="1"/>
    <col min="37" max="42" width="11.5703125" customWidth="1"/>
    <col min="43" max="44" width="14.42578125" customWidth="1"/>
    <col min="45" max="47" width="11.5703125" customWidth="1"/>
    <col min="48" max="48" width="12.85546875" bestFit="1" customWidth="1"/>
    <col min="49" max="60" width="12.85546875" customWidth="1"/>
    <col min="61" max="61" width="12.7109375" bestFit="1" customWidth="1"/>
  </cols>
  <sheetData>
    <row r="1" spans="1:61" ht="39" customHeight="1" x14ac:dyDescent="0.25">
      <c r="B1" s="1"/>
      <c r="C1" s="1"/>
      <c r="D1" s="1"/>
      <c r="E1" s="1"/>
      <c r="F1" s="1"/>
      <c r="G1" s="136" t="s">
        <v>148</v>
      </c>
      <c r="H1" s="136"/>
      <c r="I1" s="136"/>
      <c r="J1" s="1"/>
      <c r="K1" s="1" t="s">
        <v>146</v>
      </c>
      <c r="L1" s="1"/>
      <c r="M1" s="1"/>
      <c r="N1" s="1"/>
      <c r="O1" s="3" t="s">
        <v>48</v>
      </c>
      <c r="P1" s="1"/>
      <c r="Q1" s="1"/>
      <c r="R1" s="1" t="s">
        <v>0</v>
      </c>
      <c r="S1" s="1"/>
      <c r="T1" s="1"/>
      <c r="U1" s="1"/>
      <c r="V1" s="3" t="s">
        <v>63</v>
      </c>
      <c r="W1" s="1"/>
      <c r="X1" s="1"/>
      <c r="Y1" s="1"/>
      <c r="Z1" s="3" t="s">
        <v>64</v>
      </c>
      <c r="AA1" s="1"/>
      <c r="AB1" s="1"/>
      <c r="AC1" s="1"/>
      <c r="AD1" s="3" t="s">
        <v>59</v>
      </c>
      <c r="AE1" s="1"/>
      <c r="AF1" s="1"/>
      <c r="AG1" s="1"/>
      <c r="AH1" s="1"/>
      <c r="AI1" s="1"/>
      <c r="AJ1" s="1"/>
      <c r="AK1" s="3"/>
      <c r="AL1" s="1"/>
      <c r="AM1" s="1"/>
      <c r="AN1" s="1"/>
      <c r="AO1" s="1"/>
      <c r="AP1" s="1"/>
      <c r="AQ1" s="3" t="s">
        <v>62</v>
      </c>
      <c r="AR1" s="3"/>
      <c r="AS1" s="1"/>
      <c r="AT1" s="1"/>
      <c r="AU1" s="3" t="s">
        <v>66</v>
      </c>
      <c r="AW1" t="s">
        <v>123</v>
      </c>
      <c r="BD1" s="9"/>
      <c r="BE1" s="9" t="s">
        <v>137</v>
      </c>
    </row>
    <row r="2" spans="1:61" ht="90" x14ac:dyDescent="0.25">
      <c r="A2" t="s">
        <v>98</v>
      </c>
      <c r="B2" s="1" t="s">
        <v>1</v>
      </c>
      <c r="C2" s="7" t="s">
        <v>46</v>
      </c>
      <c r="D2" s="9" t="s">
        <v>104</v>
      </c>
      <c r="E2" s="9" t="s">
        <v>105</v>
      </c>
      <c r="F2" s="9" t="s">
        <v>145</v>
      </c>
      <c r="G2" s="52" t="s">
        <v>2</v>
      </c>
      <c r="H2" s="52" t="s">
        <v>3</v>
      </c>
      <c r="I2" s="52" t="s">
        <v>144</v>
      </c>
      <c r="J2" s="49" t="s">
        <v>147</v>
      </c>
      <c r="K2" s="48" t="s">
        <v>2</v>
      </c>
      <c r="L2" s="48" t="s">
        <v>3</v>
      </c>
      <c r="M2" s="48" t="s">
        <v>4</v>
      </c>
      <c r="N2" s="9" t="s">
        <v>150</v>
      </c>
      <c r="O2" s="7" t="s">
        <v>49</v>
      </c>
      <c r="P2" s="7" t="s">
        <v>50</v>
      </c>
      <c r="Q2" s="7" t="s">
        <v>51</v>
      </c>
      <c r="R2" s="1" t="s">
        <v>2</v>
      </c>
      <c r="S2" s="1" t="s">
        <v>3</v>
      </c>
      <c r="T2" s="1" t="s">
        <v>4</v>
      </c>
      <c r="U2" s="2" t="s">
        <v>6</v>
      </c>
      <c r="V2" s="1" t="s">
        <v>2</v>
      </c>
      <c r="W2" s="1" t="s">
        <v>3</v>
      </c>
      <c r="X2" s="9" t="s">
        <v>106</v>
      </c>
      <c r="Y2" s="42" t="s">
        <v>121</v>
      </c>
      <c r="Z2" s="1" t="s">
        <v>2</v>
      </c>
      <c r="AA2" s="1" t="s">
        <v>3</v>
      </c>
      <c r="AB2" s="1" t="s">
        <v>4</v>
      </c>
      <c r="AC2" s="42" t="s">
        <v>122</v>
      </c>
      <c r="AD2" s="7" t="s">
        <v>52</v>
      </c>
      <c r="AE2" s="7" t="s">
        <v>53</v>
      </c>
      <c r="AF2" s="7" t="s">
        <v>54</v>
      </c>
      <c r="AG2" s="7" t="s">
        <v>55</v>
      </c>
      <c r="AH2" s="7" t="s">
        <v>56</v>
      </c>
      <c r="AI2" s="7" t="s">
        <v>57</v>
      </c>
      <c r="AJ2" s="7" t="s">
        <v>58</v>
      </c>
      <c r="AK2" s="7" t="s">
        <v>60</v>
      </c>
      <c r="AL2" s="7" t="s">
        <v>61</v>
      </c>
      <c r="AM2" s="9" t="s">
        <v>149</v>
      </c>
      <c r="AN2" s="9" t="s">
        <v>134</v>
      </c>
      <c r="AO2" s="9" t="s">
        <v>135</v>
      </c>
      <c r="AP2" s="9" t="s">
        <v>136</v>
      </c>
      <c r="AQ2" s="9" t="s">
        <v>107</v>
      </c>
      <c r="AR2" s="9" t="s">
        <v>108</v>
      </c>
      <c r="AS2" s="7" t="s">
        <v>65</v>
      </c>
      <c r="AT2" s="9" t="s">
        <v>97</v>
      </c>
      <c r="AU2" s="7" t="s">
        <v>67</v>
      </c>
      <c r="AV2" s="7" t="s">
        <v>68</v>
      </c>
      <c r="AW2" s="9" t="s">
        <v>119</v>
      </c>
      <c r="AX2" s="9" t="s">
        <v>118</v>
      </c>
      <c r="AY2" s="9" t="s">
        <v>120</v>
      </c>
      <c r="AZ2" s="9" t="s">
        <v>143</v>
      </c>
      <c r="BA2" s="9" t="s">
        <v>117</v>
      </c>
      <c r="BB2" s="43" t="s">
        <v>124</v>
      </c>
      <c r="BC2" s="43" t="s">
        <v>125</v>
      </c>
      <c r="BD2" s="9" t="s">
        <v>132</v>
      </c>
      <c r="BE2" s="9" t="s">
        <v>85</v>
      </c>
      <c r="BF2" s="9" t="s">
        <v>110</v>
      </c>
      <c r="BG2" s="43" t="s">
        <v>6</v>
      </c>
      <c r="BH2" s="46" t="s">
        <v>139</v>
      </c>
      <c r="BI2" s="9" t="s">
        <v>69</v>
      </c>
    </row>
    <row r="3" spans="1:61" x14ac:dyDescent="0.25">
      <c r="A3">
        <v>1</v>
      </c>
      <c r="C3" s="1"/>
      <c r="D3" s="1"/>
      <c r="E3" s="1"/>
      <c r="F3" s="47"/>
      <c r="G3" s="53"/>
      <c r="H3" s="53"/>
      <c r="I3" s="53"/>
      <c r="J3" s="50">
        <f>F3*Paramètres!$B$3</f>
        <v>0</v>
      </c>
      <c r="K3" s="56">
        <f>J3*G3</f>
        <v>0</v>
      </c>
      <c r="L3" s="56">
        <f>J3*H3</f>
        <v>0</v>
      </c>
      <c r="M3" s="56">
        <f>J3*I3</f>
        <v>0</v>
      </c>
      <c r="N3" s="3">
        <f>ROUNDUP(J3*Paramètres!$B$19,-1)</f>
        <v>0</v>
      </c>
      <c r="O3" s="1">
        <f>N3</f>
        <v>0</v>
      </c>
      <c r="P3" s="1">
        <f>O3/10</f>
        <v>0</v>
      </c>
      <c r="Q3" s="3">
        <f>ROUNDUP((O3+P3)/100,-1)</f>
        <v>0</v>
      </c>
      <c r="R3" s="47">
        <f>ROUNDUP(+K3/Paramètres!$B$4/Paramètres!$B$53,0)</f>
        <v>0</v>
      </c>
      <c r="S3" s="47">
        <f>ROUNDUP(+L3/Paramètres!$B$6/Paramètres!$B$53,0)</f>
        <v>0</v>
      </c>
      <c r="T3" s="47"/>
      <c r="U3" s="2">
        <f>R3+S3+T3</f>
        <v>0</v>
      </c>
      <c r="V3" s="1">
        <f>R3*Paramètres!$B$7</f>
        <v>0</v>
      </c>
      <c r="W3" s="1">
        <f>S3*Paramètres!$B$9</f>
        <v>0</v>
      </c>
      <c r="X3" s="1"/>
      <c r="Y3" s="2">
        <f>V3+W3+X3</f>
        <v>0</v>
      </c>
      <c r="Z3" s="7">
        <f>R3*Paramètres!$B$10</f>
        <v>0</v>
      </c>
      <c r="AA3" s="7">
        <f>S3*Paramètres!$B$10</f>
        <v>0</v>
      </c>
      <c r="AB3" s="7"/>
      <c r="AC3" s="2">
        <f>Z3+AA3+AB3</f>
        <v>0</v>
      </c>
      <c r="AD3" s="1">
        <f>U3</f>
        <v>0</v>
      </c>
      <c r="AE3" s="1">
        <f>ROUNDUP((U3/200)*2,0)*10</f>
        <v>0</v>
      </c>
      <c r="AF3" s="1">
        <f>IF(B3="",0,Paramètres!$B$53*1.5)</f>
        <v>0</v>
      </c>
      <c r="AG3" s="1">
        <f>IF(C3="",0,Paramètres!$B$53*1.5)</f>
        <v>0</v>
      </c>
      <c r="AH3" s="1"/>
      <c r="AI3" s="1"/>
      <c r="AJ3" s="1"/>
      <c r="AK3" s="1"/>
      <c r="AL3" s="1">
        <f>(U3*Paramètres!$B$53)*3</f>
        <v>0</v>
      </c>
      <c r="AM3" s="1">
        <f>N3</f>
        <v>0</v>
      </c>
      <c r="AN3" s="1">
        <f>U3*Paramètres!$B$75</f>
        <v>0</v>
      </c>
      <c r="AO3" s="1">
        <f>U3*Paramètres!$B$72*Paramètres!$B$73</f>
        <v>0</v>
      </c>
      <c r="AP3" s="1"/>
      <c r="AQ3" s="1">
        <f>(Y3+AC3)*Paramètres!$B$42*Paramètres!$B$53</f>
        <v>0</v>
      </c>
      <c r="AR3" s="1"/>
      <c r="AS3" s="7">
        <f>ROUNDUP(D3*Paramètres!$B$23*Paramètres!$B$26,-1)</f>
        <v>0</v>
      </c>
      <c r="AT3" s="7"/>
      <c r="AU3" s="1"/>
      <c r="AV3" s="8"/>
      <c r="AW3" s="8"/>
      <c r="AX3" s="8"/>
      <c r="AY3" s="8"/>
      <c r="AZ3" s="8"/>
      <c r="BA3" s="8"/>
      <c r="BB3" s="44"/>
      <c r="BC3" s="44"/>
      <c r="BD3" s="8"/>
      <c r="BE3" s="8"/>
      <c r="BF3" s="8"/>
      <c r="BG3" s="44"/>
      <c r="BI3">
        <f>AQ3+AS3</f>
        <v>0</v>
      </c>
    </row>
    <row r="4" spans="1:61" x14ac:dyDescent="0.25">
      <c r="A4">
        <v>2</v>
      </c>
      <c r="C4" s="1"/>
      <c r="D4" s="1"/>
      <c r="E4" s="1"/>
      <c r="F4" s="47"/>
      <c r="G4" s="53"/>
      <c r="H4" s="53"/>
      <c r="I4" s="53"/>
      <c r="J4" s="50">
        <f>F4*Paramètres!$B$3</f>
        <v>0</v>
      </c>
      <c r="K4" s="56">
        <f t="shared" ref="K4:K67" si="0">J4*G4</f>
        <v>0</v>
      </c>
      <c r="L4" s="56">
        <f t="shared" ref="L4:L67" si="1">J4*H4</f>
        <v>0</v>
      </c>
      <c r="M4" s="56">
        <f t="shared" ref="M4:M67" si="2">J4*I4</f>
        <v>0</v>
      </c>
      <c r="N4" s="3">
        <f>ROUNDUP(J4*Paramètres!$B$19,-1)</f>
        <v>0</v>
      </c>
      <c r="O4" s="1">
        <f t="shared" ref="O4:O67" si="3">N4</f>
        <v>0</v>
      </c>
      <c r="P4" s="1">
        <f t="shared" ref="P4:P67" si="4">O4/10</f>
        <v>0</v>
      </c>
      <c r="Q4" s="3">
        <f t="shared" ref="Q4:Q67" si="5">ROUNDUP((O4+P4)/100,-1)</f>
        <v>0</v>
      </c>
      <c r="R4" s="47">
        <f>ROUNDUP(+K4/Paramètres!$B$4/Paramètres!$B$53,0)</f>
        <v>0</v>
      </c>
      <c r="S4" s="47">
        <f>ROUNDUP(+L4/Paramètres!$B$6/Paramètres!$B$53,0)</f>
        <v>0</v>
      </c>
      <c r="T4" s="47"/>
      <c r="U4" s="2">
        <f t="shared" ref="U4:U67" si="6">R4+S4+T4</f>
        <v>0</v>
      </c>
      <c r="V4" s="1">
        <f>R4*Paramètres!$B$7</f>
        <v>0</v>
      </c>
      <c r="W4" s="1">
        <f>S4*Paramètres!$B$9</f>
        <v>0</v>
      </c>
      <c r="X4" s="1"/>
      <c r="Y4" s="2">
        <f t="shared" ref="Y4:Y67" si="7">V4+W4+X4</f>
        <v>0</v>
      </c>
      <c r="Z4" s="7">
        <f>R4*Paramètres!$B$10</f>
        <v>0</v>
      </c>
      <c r="AA4" s="7">
        <f>S4*Paramètres!$B$10</f>
        <v>0</v>
      </c>
      <c r="AB4" s="7"/>
      <c r="AC4" s="2">
        <f t="shared" ref="AC4:AC67" si="8">Z4+AA4+AB4</f>
        <v>0</v>
      </c>
      <c r="AD4" s="1">
        <f>U4</f>
        <v>0</v>
      </c>
      <c r="AE4" s="1">
        <f t="shared" ref="AE4:AE67" si="9">ROUNDUP((U4/200)*2,0)*10</f>
        <v>0</v>
      </c>
      <c r="AF4" s="1">
        <f>IF(B4="",0,Paramètres!$B$53*1.5)</f>
        <v>0</v>
      </c>
      <c r="AG4" s="1">
        <f>IF(C4="",0,Paramètres!$B$53*1.5)</f>
        <v>0</v>
      </c>
      <c r="AH4" s="1"/>
      <c r="AI4" s="1"/>
      <c r="AJ4" s="1"/>
      <c r="AK4" s="1"/>
      <c r="AL4" s="1">
        <f>(U4*Paramètres!$B$53)*3</f>
        <v>0</v>
      </c>
      <c r="AM4" s="1">
        <f t="shared" ref="AM4:AM67" si="10">N4</f>
        <v>0</v>
      </c>
      <c r="AN4" s="1">
        <f>U4*Paramètres!$B$75</f>
        <v>0</v>
      </c>
      <c r="AO4" s="1">
        <f>U4*Paramètres!$B$72*Paramètres!$B$73</f>
        <v>0</v>
      </c>
      <c r="AP4" s="1"/>
      <c r="AQ4" s="1">
        <f>(Y4+AC4)*Paramètres!$B$42*Paramètres!$B$53</f>
        <v>0</v>
      </c>
      <c r="AR4" s="1"/>
      <c r="AS4" s="7">
        <f>ROUNDUP(D4*Paramètres!$B$23*Paramètres!$B$26,-1)</f>
        <v>0</v>
      </c>
      <c r="AT4" s="7"/>
      <c r="AU4" s="1"/>
      <c r="AV4" s="8"/>
      <c r="AW4" s="8"/>
      <c r="AX4" s="8"/>
      <c r="AY4" s="8"/>
      <c r="AZ4" s="8"/>
      <c r="BA4" s="8"/>
      <c r="BB4" s="44"/>
      <c r="BC4" s="44"/>
      <c r="BD4" s="8"/>
      <c r="BE4" s="8"/>
      <c r="BF4" s="8"/>
      <c r="BG4" s="44"/>
      <c r="BI4">
        <f t="shared" ref="BI4:BI67" si="11">AQ4+AS4</f>
        <v>0</v>
      </c>
    </row>
    <row r="5" spans="1:61" x14ac:dyDescent="0.25">
      <c r="A5">
        <v>3</v>
      </c>
      <c r="C5" s="1"/>
      <c r="D5" s="1"/>
      <c r="E5" s="1"/>
      <c r="F5" s="47"/>
      <c r="G5" s="53"/>
      <c r="H5" s="53"/>
      <c r="I5" s="53"/>
      <c r="J5" s="50">
        <f>F5*Paramètres!$B$3</f>
        <v>0</v>
      </c>
      <c r="K5" s="56">
        <f t="shared" si="0"/>
        <v>0</v>
      </c>
      <c r="L5" s="56">
        <f t="shared" si="1"/>
        <v>0</v>
      </c>
      <c r="M5" s="56">
        <f t="shared" si="2"/>
        <v>0</v>
      </c>
      <c r="N5" s="3">
        <f>ROUNDUP(J5*Paramètres!$B$19,-1)</f>
        <v>0</v>
      </c>
      <c r="O5" s="1">
        <f t="shared" si="3"/>
        <v>0</v>
      </c>
      <c r="P5" s="1">
        <f t="shared" si="4"/>
        <v>0</v>
      </c>
      <c r="Q5" s="3">
        <f t="shared" si="5"/>
        <v>0</v>
      </c>
      <c r="R5" s="47">
        <f>ROUNDUP(+K5/Paramètres!$B$4/Paramètres!$B$53,0)</f>
        <v>0</v>
      </c>
      <c r="S5" s="47">
        <f>ROUNDUP(+L5/Paramètres!$B$6/Paramètres!$B$53,0)</f>
        <v>0</v>
      </c>
      <c r="T5" s="47"/>
      <c r="U5" s="2">
        <f t="shared" si="6"/>
        <v>0</v>
      </c>
      <c r="V5" s="1">
        <f>R5*Paramètres!$B$7</f>
        <v>0</v>
      </c>
      <c r="W5" s="1">
        <f>S5*Paramètres!$B$9</f>
        <v>0</v>
      </c>
      <c r="X5" s="1"/>
      <c r="Y5" s="2">
        <f t="shared" si="7"/>
        <v>0</v>
      </c>
      <c r="Z5" s="7">
        <f>R5*Paramètres!$B$10</f>
        <v>0</v>
      </c>
      <c r="AA5" s="7">
        <f>S5*Paramètres!$B$10</f>
        <v>0</v>
      </c>
      <c r="AB5" s="7"/>
      <c r="AC5" s="2">
        <f t="shared" si="8"/>
        <v>0</v>
      </c>
      <c r="AD5" s="1">
        <f t="shared" ref="AD5:AD68" si="12">U5</f>
        <v>0</v>
      </c>
      <c r="AE5" s="1">
        <f t="shared" si="9"/>
        <v>0</v>
      </c>
      <c r="AF5" s="1">
        <f>IF(B5="",0,Paramètres!$B$53*1.5)</f>
        <v>0</v>
      </c>
      <c r="AG5" s="1">
        <f>IF(C5="",0,Paramètres!$B$53*1.5)</f>
        <v>0</v>
      </c>
      <c r="AH5" s="1"/>
      <c r="AI5" s="1"/>
      <c r="AJ5" s="1"/>
      <c r="AK5" s="1"/>
      <c r="AL5" s="1">
        <f>(U5*Paramètres!$B$53)*3</f>
        <v>0</v>
      </c>
      <c r="AM5" s="1">
        <f t="shared" si="10"/>
        <v>0</v>
      </c>
      <c r="AN5" s="1">
        <f>U5*Paramètres!$B$75</f>
        <v>0</v>
      </c>
      <c r="AO5" s="1">
        <f>U5*Paramètres!$B$72*Paramètres!$B$73</f>
        <v>0</v>
      </c>
      <c r="AP5" s="1"/>
      <c r="AQ5" s="1">
        <f>(Y5+AC5)*Paramètres!$B$42*Paramètres!$B$53</f>
        <v>0</v>
      </c>
      <c r="AR5" s="1"/>
      <c r="AS5" s="7">
        <f>ROUNDUP(D5*Paramètres!$B$23*Paramètres!$B$26,-1)</f>
        <v>0</v>
      </c>
      <c r="AT5" s="7"/>
      <c r="AU5" s="1"/>
      <c r="AV5" s="8"/>
      <c r="AW5" s="8"/>
      <c r="AX5" s="8"/>
      <c r="AY5" s="8"/>
      <c r="AZ5" s="8"/>
      <c r="BA5" s="8"/>
      <c r="BB5" s="44"/>
      <c r="BC5" s="44"/>
      <c r="BD5" s="8"/>
      <c r="BE5" s="8"/>
      <c r="BF5" s="8"/>
      <c r="BG5" s="44"/>
      <c r="BI5">
        <f t="shared" si="11"/>
        <v>0</v>
      </c>
    </row>
    <row r="6" spans="1:61" x14ac:dyDescent="0.25">
      <c r="A6">
        <v>4</v>
      </c>
      <c r="C6" s="1"/>
      <c r="D6" s="1"/>
      <c r="E6" s="1"/>
      <c r="F6" s="47"/>
      <c r="G6" s="53"/>
      <c r="H6" s="53"/>
      <c r="I6" s="53"/>
      <c r="J6" s="50">
        <f>F6*Paramètres!$B$3</f>
        <v>0</v>
      </c>
      <c r="K6" s="56">
        <f t="shared" si="0"/>
        <v>0</v>
      </c>
      <c r="L6" s="56">
        <f t="shared" si="1"/>
        <v>0</v>
      </c>
      <c r="M6" s="56">
        <f t="shared" si="2"/>
        <v>0</v>
      </c>
      <c r="N6" s="3">
        <f>ROUNDUP(J6*Paramètres!$B$19,-1)</f>
        <v>0</v>
      </c>
      <c r="O6" s="1">
        <f t="shared" si="3"/>
        <v>0</v>
      </c>
      <c r="P6" s="1">
        <f t="shared" si="4"/>
        <v>0</v>
      </c>
      <c r="Q6" s="3">
        <f t="shared" si="5"/>
        <v>0</v>
      </c>
      <c r="R6" s="47">
        <f>ROUNDUP(+K6/Paramètres!$B$4/Paramètres!$B$53,0)</f>
        <v>0</v>
      </c>
      <c r="S6" s="47">
        <f>ROUNDUP(+L6/Paramètres!$B$6/Paramètres!$B$53,0)</f>
        <v>0</v>
      </c>
      <c r="T6" s="47"/>
      <c r="U6" s="2">
        <f t="shared" si="6"/>
        <v>0</v>
      </c>
      <c r="V6" s="1">
        <f>R6*Paramètres!$B$7</f>
        <v>0</v>
      </c>
      <c r="W6" s="1">
        <f>S6*Paramètres!$B$9</f>
        <v>0</v>
      </c>
      <c r="X6" s="1"/>
      <c r="Y6" s="2">
        <f t="shared" si="7"/>
        <v>0</v>
      </c>
      <c r="Z6" s="7">
        <f>R6*Paramètres!$B$10</f>
        <v>0</v>
      </c>
      <c r="AA6" s="7">
        <f>S6*Paramètres!$B$10</f>
        <v>0</v>
      </c>
      <c r="AB6" s="7"/>
      <c r="AC6" s="2">
        <f t="shared" si="8"/>
        <v>0</v>
      </c>
      <c r="AD6" s="1">
        <f t="shared" si="12"/>
        <v>0</v>
      </c>
      <c r="AE6" s="1">
        <f t="shared" si="9"/>
        <v>0</v>
      </c>
      <c r="AF6" s="1">
        <f>IF(B6="",0,Paramètres!$B$53*1.5)</f>
        <v>0</v>
      </c>
      <c r="AG6" s="1">
        <f>IF(C6="",0,Paramètres!$B$53*1.5)</f>
        <v>0</v>
      </c>
      <c r="AH6" s="1"/>
      <c r="AI6" s="1"/>
      <c r="AJ6" s="1"/>
      <c r="AK6" s="1"/>
      <c r="AL6" s="1">
        <f>(U6*Paramètres!$B$53)*3</f>
        <v>0</v>
      </c>
      <c r="AM6" s="1">
        <f t="shared" si="10"/>
        <v>0</v>
      </c>
      <c r="AN6" s="1">
        <f>U6*Paramètres!$B$75</f>
        <v>0</v>
      </c>
      <c r="AO6" s="1">
        <f>U6*Paramètres!$B$72*Paramètres!$B$73</f>
        <v>0</v>
      </c>
      <c r="AP6" s="1"/>
      <c r="AQ6" s="1">
        <f>(Y6+AC6)*Paramètres!$B$42*Paramètres!$B$53</f>
        <v>0</v>
      </c>
      <c r="AR6" s="1"/>
      <c r="AS6" s="7">
        <f>ROUNDUP(D6*Paramètres!$B$23*Paramètres!$B$26,-1)</f>
        <v>0</v>
      </c>
      <c r="AT6" s="7"/>
      <c r="AU6" s="1"/>
      <c r="AV6" s="8"/>
      <c r="AW6" s="8"/>
      <c r="AX6" s="8"/>
      <c r="AY6" s="8"/>
      <c r="AZ6" s="8"/>
      <c r="BA6" s="8"/>
      <c r="BB6" s="44"/>
      <c r="BC6" s="44"/>
      <c r="BD6" s="8"/>
      <c r="BE6" s="8"/>
      <c r="BF6" s="8"/>
      <c r="BG6" s="44"/>
      <c r="BI6">
        <f t="shared" si="11"/>
        <v>0</v>
      </c>
    </row>
    <row r="7" spans="1:61" x14ac:dyDescent="0.25">
      <c r="A7">
        <v>5</v>
      </c>
      <c r="C7" s="1"/>
      <c r="D7" s="1"/>
      <c r="E7" s="1"/>
      <c r="F7" s="47"/>
      <c r="G7" s="53"/>
      <c r="H7" s="53"/>
      <c r="I7" s="53"/>
      <c r="J7" s="50">
        <f>F7*Paramètres!$B$3</f>
        <v>0</v>
      </c>
      <c r="K7" s="56">
        <f t="shared" si="0"/>
        <v>0</v>
      </c>
      <c r="L7" s="56">
        <f t="shared" si="1"/>
        <v>0</v>
      </c>
      <c r="M7" s="56">
        <f t="shared" si="2"/>
        <v>0</v>
      </c>
      <c r="N7" s="3">
        <f>ROUNDUP(J7*Paramètres!$B$19,-1)</f>
        <v>0</v>
      </c>
      <c r="O7" s="1">
        <f t="shared" si="3"/>
        <v>0</v>
      </c>
      <c r="P7" s="1">
        <f t="shared" si="4"/>
        <v>0</v>
      </c>
      <c r="Q7" s="3">
        <f t="shared" si="5"/>
        <v>0</v>
      </c>
      <c r="R7" s="47">
        <f>ROUNDUP(+K7/Paramètres!$B$4/Paramètres!$B$53,0)</f>
        <v>0</v>
      </c>
      <c r="S7" s="47">
        <f>ROUNDUP(+L7/Paramètres!$B$6/Paramètres!$B$53,0)</f>
        <v>0</v>
      </c>
      <c r="T7" s="47"/>
      <c r="U7" s="2">
        <f t="shared" si="6"/>
        <v>0</v>
      </c>
      <c r="V7" s="1">
        <f>R7*Paramètres!$B$7</f>
        <v>0</v>
      </c>
      <c r="W7" s="1">
        <f>S7*Paramètres!$B$9</f>
        <v>0</v>
      </c>
      <c r="X7" s="1"/>
      <c r="Y7" s="2">
        <f t="shared" si="7"/>
        <v>0</v>
      </c>
      <c r="Z7" s="7">
        <f>R7*Paramètres!$B$10</f>
        <v>0</v>
      </c>
      <c r="AA7" s="7">
        <f>S7*Paramètres!$B$10</f>
        <v>0</v>
      </c>
      <c r="AB7" s="7"/>
      <c r="AC7" s="2">
        <f t="shared" si="8"/>
        <v>0</v>
      </c>
      <c r="AD7" s="1">
        <f t="shared" si="12"/>
        <v>0</v>
      </c>
      <c r="AE7" s="1">
        <f t="shared" si="9"/>
        <v>0</v>
      </c>
      <c r="AF7" s="1">
        <f>IF(B7="",0,Paramètres!$B$53*1.5)</f>
        <v>0</v>
      </c>
      <c r="AG7" s="1">
        <f>IF(C7="",0,Paramètres!$B$53*1.5)</f>
        <v>0</v>
      </c>
      <c r="AH7" s="1"/>
      <c r="AI7" s="1"/>
      <c r="AJ7" s="1"/>
      <c r="AK7" s="1"/>
      <c r="AL7" s="1">
        <f>(U7*Paramètres!$B$53)*3</f>
        <v>0</v>
      </c>
      <c r="AM7" s="1">
        <f t="shared" si="10"/>
        <v>0</v>
      </c>
      <c r="AN7" s="1">
        <f>U7*Paramètres!$B$75</f>
        <v>0</v>
      </c>
      <c r="AO7" s="1">
        <f>U7*Paramètres!$B$72*Paramètres!$B$73</f>
        <v>0</v>
      </c>
      <c r="AP7" s="1"/>
      <c r="AQ7" s="1">
        <f>(Y7+AC7)*Paramètres!$B$42*Paramètres!$B$53</f>
        <v>0</v>
      </c>
      <c r="AR7" s="1"/>
      <c r="AS7" s="7">
        <f>ROUNDUP(D7*Paramètres!$B$23*Paramètres!$B$26,-1)</f>
        <v>0</v>
      </c>
      <c r="AT7" s="7"/>
      <c r="AU7" s="1"/>
      <c r="AV7" s="8"/>
      <c r="AW7" s="8"/>
      <c r="AX7" s="8"/>
      <c r="AY7" s="8"/>
      <c r="AZ7" s="8"/>
      <c r="BA7" s="8"/>
      <c r="BB7" s="44"/>
      <c r="BC7" s="44"/>
      <c r="BD7" s="8"/>
      <c r="BE7" s="8"/>
      <c r="BF7" s="8"/>
      <c r="BG7" s="44"/>
      <c r="BI7">
        <f t="shared" si="11"/>
        <v>0</v>
      </c>
    </row>
    <row r="8" spans="1:61" x14ac:dyDescent="0.25">
      <c r="A8">
        <v>6</v>
      </c>
      <c r="C8" s="1"/>
      <c r="D8" s="1"/>
      <c r="E8" s="1"/>
      <c r="F8" s="47"/>
      <c r="G8" s="53"/>
      <c r="H8" s="53"/>
      <c r="I8" s="53"/>
      <c r="J8" s="50">
        <f>F8*Paramètres!$B$3</f>
        <v>0</v>
      </c>
      <c r="K8" s="56">
        <f t="shared" si="0"/>
        <v>0</v>
      </c>
      <c r="L8" s="56">
        <f t="shared" si="1"/>
        <v>0</v>
      </c>
      <c r="M8" s="56">
        <f t="shared" si="2"/>
        <v>0</v>
      </c>
      <c r="N8" s="3">
        <f>ROUNDUP(J8*Paramètres!$B$19,-1)</f>
        <v>0</v>
      </c>
      <c r="O8" s="1">
        <f t="shared" si="3"/>
        <v>0</v>
      </c>
      <c r="P8" s="1">
        <f t="shared" si="4"/>
        <v>0</v>
      </c>
      <c r="Q8" s="3">
        <f t="shared" si="5"/>
        <v>0</v>
      </c>
      <c r="R8" s="47">
        <f>ROUNDUP(+K8/Paramètres!$B$4/Paramètres!$B$53,0)</f>
        <v>0</v>
      </c>
      <c r="S8" s="47">
        <f>ROUNDUP(+L8/Paramètres!$B$6/Paramètres!$B$53,0)</f>
        <v>0</v>
      </c>
      <c r="T8" s="47"/>
      <c r="U8" s="2">
        <f t="shared" si="6"/>
        <v>0</v>
      </c>
      <c r="V8" s="1">
        <f>R8*Paramètres!$B$7</f>
        <v>0</v>
      </c>
      <c r="W8" s="1">
        <f>S8*Paramètres!$B$9</f>
        <v>0</v>
      </c>
      <c r="X8" s="1"/>
      <c r="Y8" s="2">
        <f t="shared" si="7"/>
        <v>0</v>
      </c>
      <c r="Z8" s="7">
        <f>R8*Paramètres!$B$10</f>
        <v>0</v>
      </c>
      <c r="AA8" s="7">
        <f>S8*Paramètres!$B$10</f>
        <v>0</v>
      </c>
      <c r="AB8" s="7"/>
      <c r="AC8" s="2">
        <f t="shared" si="8"/>
        <v>0</v>
      </c>
      <c r="AD8" s="1">
        <f t="shared" si="12"/>
        <v>0</v>
      </c>
      <c r="AE8" s="1">
        <f t="shared" si="9"/>
        <v>0</v>
      </c>
      <c r="AF8" s="1">
        <f>IF(B8="",0,Paramètres!$B$53*1.5)</f>
        <v>0</v>
      </c>
      <c r="AG8" s="1">
        <f>IF(C8="",0,Paramètres!$B$53*1.5)</f>
        <v>0</v>
      </c>
      <c r="AH8" s="1"/>
      <c r="AI8" s="1"/>
      <c r="AJ8" s="1"/>
      <c r="AK8" s="1"/>
      <c r="AL8" s="1">
        <f>(U8*Paramètres!$B$53)*3</f>
        <v>0</v>
      </c>
      <c r="AM8" s="1">
        <f t="shared" si="10"/>
        <v>0</v>
      </c>
      <c r="AN8" s="1">
        <f>U8*Paramètres!$B$75</f>
        <v>0</v>
      </c>
      <c r="AO8" s="1">
        <f>U8*Paramètres!$B$72*Paramètres!$B$73</f>
        <v>0</v>
      </c>
      <c r="AP8" s="1"/>
      <c r="AQ8" s="1">
        <f>(Y8+AC8)*Paramètres!$B$42*Paramètres!$B$53</f>
        <v>0</v>
      </c>
      <c r="AR8" s="1"/>
      <c r="AS8" s="7">
        <f>ROUNDUP(D8*Paramètres!$B$23*Paramètres!$B$26,-1)</f>
        <v>0</v>
      </c>
      <c r="AT8" s="7"/>
      <c r="AU8" s="1"/>
      <c r="AV8" s="8"/>
      <c r="AW8" s="8"/>
      <c r="AX8" s="8"/>
      <c r="AY8" s="8"/>
      <c r="AZ8" s="8"/>
      <c r="BA8" s="8"/>
      <c r="BB8" s="44"/>
      <c r="BC8" s="44"/>
      <c r="BD8" s="8"/>
      <c r="BE8" s="8"/>
      <c r="BF8" s="8"/>
      <c r="BG8" s="44"/>
      <c r="BI8">
        <f t="shared" si="11"/>
        <v>0</v>
      </c>
    </row>
    <row r="9" spans="1:61" x14ac:dyDescent="0.25">
      <c r="A9">
        <v>7</v>
      </c>
      <c r="F9" s="47"/>
      <c r="G9" s="53"/>
      <c r="H9" s="53"/>
      <c r="I9" s="53"/>
      <c r="J9" s="50">
        <f>F9*Paramètres!$B$3</f>
        <v>0</v>
      </c>
      <c r="K9" s="56">
        <f t="shared" si="0"/>
        <v>0</v>
      </c>
      <c r="L9" s="56">
        <f t="shared" si="1"/>
        <v>0</v>
      </c>
      <c r="M9" s="56">
        <f t="shared" si="2"/>
        <v>0</v>
      </c>
      <c r="N9" s="3">
        <f>ROUNDUP(J9*Paramètres!$B$19,-1)</f>
        <v>0</v>
      </c>
      <c r="O9" s="1">
        <f t="shared" si="3"/>
        <v>0</v>
      </c>
      <c r="P9" s="1">
        <f t="shared" si="4"/>
        <v>0</v>
      </c>
      <c r="Q9" s="3">
        <f t="shared" si="5"/>
        <v>0</v>
      </c>
      <c r="R9" s="47">
        <f>ROUNDUP(+K9/Paramètres!$B$4/Paramètres!$B$53,0)</f>
        <v>0</v>
      </c>
      <c r="S9" s="47">
        <f>ROUNDUP(+L9/Paramètres!$B$6/Paramètres!$B$53,0)</f>
        <v>0</v>
      </c>
      <c r="T9" s="47"/>
      <c r="U9" s="2">
        <f t="shared" si="6"/>
        <v>0</v>
      </c>
      <c r="V9" s="1">
        <f>R9*Paramètres!$B$7</f>
        <v>0</v>
      </c>
      <c r="W9" s="1">
        <f>S9*Paramètres!$B$9</f>
        <v>0</v>
      </c>
      <c r="X9" s="1"/>
      <c r="Y9" s="2">
        <f t="shared" si="7"/>
        <v>0</v>
      </c>
      <c r="Z9" s="7">
        <f>R9*Paramètres!$B$10</f>
        <v>0</v>
      </c>
      <c r="AA9" s="7">
        <f>S9*Paramètres!$B$10</f>
        <v>0</v>
      </c>
      <c r="AB9" s="7"/>
      <c r="AC9" s="2">
        <f t="shared" si="8"/>
        <v>0</v>
      </c>
      <c r="AD9" s="1">
        <f t="shared" si="12"/>
        <v>0</v>
      </c>
      <c r="AE9" s="1">
        <f t="shared" si="9"/>
        <v>0</v>
      </c>
      <c r="AF9" s="1">
        <f>IF(B9="",0,Paramètres!$B$53*1.5)</f>
        <v>0</v>
      </c>
      <c r="AG9" s="1">
        <f>IF(C9="",0,Paramètres!$B$53*1.5)</f>
        <v>0</v>
      </c>
      <c r="AH9" s="1"/>
      <c r="AI9" s="1"/>
      <c r="AJ9" s="1"/>
      <c r="AK9" s="1"/>
      <c r="AL9" s="1">
        <f>(U9*Paramètres!$B$53)*3</f>
        <v>0</v>
      </c>
      <c r="AM9" s="1">
        <f t="shared" si="10"/>
        <v>0</v>
      </c>
      <c r="AN9" s="1">
        <f>U9*Paramètres!$B$75</f>
        <v>0</v>
      </c>
      <c r="AO9" s="1">
        <f>U9*Paramètres!$B$72*Paramètres!$B$73</f>
        <v>0</v>
      </c>
      <c r="AP9" s="1"/>
      <c r="AQ9" s="1">
        <f>(Y9+AC9)*Paramètres!$B$42*Paramètres!$B$53</f>
        <v>0</v>
      </c>
      <c r="AR9" s="1"/>
      <c r="AS9" s="7">
        <f>ROUNDUP(D9*Paramètres!$B$23*Paramètres!$B$26,-1)</f>
        <v>0</v>
      </c>
      <c r="AT9" s="7"/>
      <c r="AU9" s="1"/>
      <c r="AV9" s="8"/>
      <c r="AW9" s="8"/>
      <c r="AX9" s="8"/>
      <c r="AY9" s="8"/>
      <c r="AZ9" s="8"/>
      <c r="BA9" s="8"/>
      <c r="BB9" s="44"/>
      <c r="BC9" s="44"/>
      <c r="BD9" s="8"/>
      <c r="BE9" s="8"/>
      <c r="BF9" s="8"/>
      <c r="BG9" s="44"/>
      <c r="BI9">
        <f t="shared" si="11"/>
        <v>0</v>
      </c>
    </row>
    <row r="10" spans="1:61" x14ac:dyDescent="0.25">
      <c r="A10">
        <v>8</v>
      </c>
      <c r="F10" s="47"/>
      <c r="G10" s="53"/>
      <c r="H10" s="53"/>
      <c r="I10" s="53"/>
      <c r="J10" s="50">
        <f>F10*Paramètres!$B$3</f>
        <v>0</v>
      </c>
      <c r="K10" s="56">
        <f t="shared" si="0"/>
        <v>0</v>
      </c>
      <c r="L10" s="56">
        <f t="shared" si="1"/>
        <v>0</v>
      </c>
      <c r="M10" s="56">
        <f t="shared" si="2"/>
        <v>0</v>
      </c>
      <c r="N10" s="3">
        <f>ROUNDUP(J10*Paramètres!$B$19,-1)</f>
        <v>0</v>
      </c>
      <c r="O10" s="1">
        <f t="shared" si="3"/>
        <v>0</v>
      </c>
      <c r="P10" s="1">
        <f t="shared" si="4"/>
        <v>0</v>
      </c>
      <c r="Q10" s="3">
        <f t="shared" si="5"/>
        <v>0</v>
      </c>
      <c r="R10" s="47">
        <f>ROUNDUP(+K10/Paramètres!$B$4/Paramètres!$B$53,0)</f>
        <v>0</v>
      </c>
      <c r="S10" s="47">
        <f>ROUNDUP(+L10/Paramètres!$B$6/Paramètres!$B$53,0)</f>
        <v>0</v>
      </c>
      <c r="T10" s="47"/>
      <c r="U10" s="2">
        <f t="shared" si="6"/>
        <v>0</v>
      </c>
      <c r="V10" s="1">
        <f>R10*Paramètres!$B$7</f>
        <v>0</v>
      </c>
      <c r="W10" s="1">
        <f>S10*Paramètres!$B$9</f>
        <v>0</v>
      </c>
      <c r="X10" s="1"/>
      <c r="Y10" s="2">
        <f t="shared" si="7"/>
        <v>0</v>
      </c>
      <c r="Z10" s="7">
        <f>R10*Paramètres!$B$10</f>
        <v>0</v>
      </c>
      <c r="AA10" s="7">
        <f>S10*Paramètres!$B$10</f>
        <v>0</v>
      </c>
      <c r="AB10" s="7"/>
      <c r="AC10" s="2">
        <f t="shared" si="8"/>
        <v>0</v>
      </c>
      <c r="AD10" s="1">
        <f t="shared" si="12"/>
        <v>0</v>
      </c>
      <c r="AE10" s="1">
        <f t="shared" si="9"/>
        <v>0</v>
      </c>
      <c r="AF10" s="1">
        <f>IF(B10="",0,Paramètres!$B$53*1.5)</f>
        <v>0</v>
      </c>
      <c r="AG10" s="1">
        <f>IF(C10="",0,Paramètres!$B$53*1.5)</f>
        <v>0</v>
      </c>
      <c r="AH10" s="1"/>
      <c r="AI10" s="1"/>
      <c r="AJ10" s="1"/>
      <c r="AK10" s="1"/>
      <c r="AL10" s="1">
        <f>(U10*Paramètres!$B$53)*3</f>
        <v>0</v>
      </c>
      <c r="AM10" s="1">
        <f t="shared" si="10"/>
        <v>0</v>
      </c>
      <c r="AN10" s="1">
        <f>U10*Paramètres!$B$75</f>
        <v>0</v>
      </c>
      <c r="AO10" s="1">
        <f>U10*Paramètres!$B$72*Paramètres!$B$73</f>
        <v>0</v>
      </c>
      <c r="AP10" s="1"/>
      <c r="AQ10" s="1">
        <f>(Y10+AC10)*Paramètres!$B$42*Paramètres!$B$53</f>
        <v>0</v>
      </c>
      <c r="AR10" s="1"/>
      <c r="AS10" s="7">
        <f>ROUNDUP(D10*Paramètres!$B$23*Paramètres!$B$26,-1)</f>
        <v>0</v>
      </c>
      <c r="AT10" s="7"/>
      <c r="AU10" s="1"/>
      <c r="AV10" s="8"/>
      <c r="AW10" s="8"/>
      <c r="AX10" s="8"/>
      <c r="AY10" s="8"/>
      <c r="AZ10" s="8"/>
      <c r="BA10" s="8"/>
      <c r="BB10" s="44"/>
      <c r="BC10" s="44"/>
      <c r="BD10" s="8"/>
      <c r="BE10" s="8"/>
      <c r="BF10" s="8"/>
      <c r="BG10" s="44"/>
      <c r="BI10">
        <f t="shared" si="11"/>
        <v>0</v>
      </c>
    </row>
    <row r="11" spans="1:61" x14ac:dyDescent="0.25">
      <c r="A11">
        <v>9</v>
      </c>
      <c r="C11" s="1"/>
      <c r="D11" s="1"/>
      <c r="E11" s="1"/>
      <c r="F11" s="47"/>
      <c r="G11" s="53"/>
      <c r="H11" s="53"/>
      <c r="I11" s="53"/>
      <c r="J11" s="50">
        <f>F11*Paramètres!$B$3</f>
        <v>0</v>
      </c>
      <c r="K11" s="56">
        <f t="shared" si="0"/>
        <v>0</v>
      </c>
      <c r="L11" s="56">
        <f t="shared" si="1"/>
        <v>0</v>
      </c>
      <c r="M11" s="56">
        <f t="shared" si="2"/>
        <v>0</v>
      </c>
      <c r="N11" s="3">
        <f>ROUNDUP(J11*Paramètres!$B$19,-1)</f>
        <v>0</v>
      </c>
      <c r="O11" s="1">
        <f t="shared" si="3"/>
        <v>0</v>
      </c>
      <c r="P11" s="1">
        <f t="shared" si="4"/>
        <v>0</v>
      </c>
      <c r="Q11" s="3">
        <f t="shared" si="5"/>
        <v>0</v>
      </c>
      <c r="R11" s="47">
        <f>ROUNDUP(+K11/Paramètres!$B$4/Paramètres!$B$53,0)</f>
        <v>0</v>
      </c>
      <c r="S11" s="47">
        <f>ROUNDUP(+L11/Paramètres!$B$6/Paramètres!$B$53,0)</f>
        <v>0</v>
      </c>
      <c r="T11" s="47"/>
      <c r="U11" s="2">
        <f t="shared" si="6"/>
        <v>0</v>
      </c>
      <c r="V11" s="1">
        <f>R11*Paramètres!$B$7</f>
        <v>0</v>
      </c>
      <c r="W11" s="1">
        <f>S11*Paramètres!$B$9</f>
        <v>0</v>
      </c>
      <c r="X11" s="1"/>
      <c r="Y11" s="2">
        <f t="shared" si="7"/>
        <v>0</v>
      </c>
      <c r="Z11" s="7">
        <f>R11*Paramètres!$B$10</f>
        <v>0</v>
      </c>
      <c r="AA11" s="7">
        <f>S11*Paramètres!$B$10</f>
        <v>0</v>
      </c>
      <c r="AB11" s="7"/>
      <c r="AC11" s="2">
        <f t="shared" si="8"/>
        <v>0</v>
      </c>
      <c r="AD11" s="1">
        <f t="shared" si="12"/>
        <v>0</v>
      </c>
      <c r="AE11" s="1">
        <f t="shared" si="9"/>
        <v>0</v>
      </c>
      <c r="AF11" s="1">
        <f>IF(B11="",0,Paramètres!$B$53*1.5)</f>
        <v>0</v>
      </c>
      <c r="AG11" s="1">
        <f>IF(C11="",0,Paramètres!$B$53*1.5)</f>
        <v>0</v>
      </c>
      <c r="AH11" s="1"/>
      <c r="AI11" s="1"/>
      <c r="AJ11" s="1"/>
      <c r="AK11" s="1"/>
      <c r="AL11" s="1">
        <f>(U11*Paramètres!$B$53)*3</f>
        <v>0</v>
      </c>
      <c r="AM11" s="1">
        <f t="shared" si="10"/>
        <v>0</v>
      </c>
      <c r="AN11" s="1">
        <f>U11*Paramètres!$B$75</f>
        <v>0</v>
      </c>
      <c r="AO11" s="1">
        <f>U11*Paramètres!$B$72*Paramètres!$B$73</f>
        <v>0</v>
      </c>
      <c r="AP11" s="1"/>
      <c r="AQ11" s="1">
        <f>(Y11+AC11)*Paramètres!$B$42*Paramètres!$B$53</f>
        <v>0</v>
      </c>
      <c r="AR11" s="1"/>
      <c r="AS11" s="7">
        <f>ROUNDUP(D11*Paramètres!$B$23*Paramètres!$B$26,-1)</f>
        <v>0</v>
      </c>
      <c r="AT11" s="7"/>
      <c r="AU11" s="1"/>
      <c r="AV11" s="8"/>
      <c r="AW11" s="8"/>
      <c r="AX11" s="8"/>
      <c r="AY11" s="8"/>
      <c r="AZ11" s="8"/>
      <c r="BA11" s="8"/>
      <c r="BB11" s="44"/>
      <c r="BC11" s="44"/>
      <c r="BD11" s="8"/>
      <c r="BE11" s="8"/>
      <c r="BF11" s="8"/>
      <c r="BG11" s="44"/>
      <c r="BI11">
        <f t="shared" si="11"/>
        <v>0</v>
      </c>
    </row>
    <row r="12" spans="1:61" x14ac:dyDescent="0.25">
      <c r="A12">
        <v>10</v>
      </c>
      <c r="C12" s="1"/>
      <c r="D12" s="1"/>
      <c r="E12" s="1"/>
      <c r="F12" s="47"/>
      <c r="G12" s="53"/>
      <c r="H12" s="53"/>
      <c r="I12" s="53"/>
      <c r="J12" s="50">
        <f>F12*Paramètres!$B$3</f>
        <v>0</v>
      </c>
      <c r="K12" s="56">
        <f t="shared" si="0"/>
        <v>0</v>
      </c>
      <c r="L12" s="56">
        <f t="shared" si="1"/>
        <v>0</v>
      </c>
      <c r="M12" s="56">
        <f t="shared" si="2"/>
        <v>0</v>
      </c>
      <c r="N12" s="3">
        <f>ROUNDUP(J12*Paramètres!$B$19,-1)</f>
        <v>0</v>
      </c>
      <c r="O12" s="1">
        <f t="shared" si="3"/>
        <v>0</v>
      </c>
      <c r="P12" s="1">
        <f t="shared" si="4"/>
        <v>0</v>
      </c>
      <c r="Q12" s="3">
        <f t="shared" si="5"/>
        <v>0</v>
      </c>
      <c r="R12" s="47">
        <f>ROUNDUP(+K12/Paramètres!$B$4/Paramètres!$B$53,0)</f>
        <v>0</v>
      </c>
      <c r="S12" s="47">
        <f>ROUNDUP(+L12/Paramètres!$B$6/Paramètres!$B$53,0)</f>
        <v>0</v>
      </c>
      <c r="T12" s="47"/>
      <c r="U12" s="2">
        <f t="shared" si="6"/>
        <v>0</v>
      </c>
      <c r="V12" s="1">
        <f>R12*Paramètres!$B$7</f>
        <v>0</v>
      </c>
      <c r="W12" s="1">
        <f>S12*Paramètres!$B$9</f>
        <v>0</v>
      </c>
      <c r="X12" s="1"/>
      <c r="Y12" s="2">
        <f t="shared" si="7"/>
        <v>0</v>
      </c>
      <c r="Z12" s="7">
        <f>R12*Paramètres!$B$10</f>
        <v>0</v>
      </c>
      <c r="AA12" s="7">
        <f>S12*Paramètres!$B$10</f>
        <v>0</v>
      </c>
      <c r="AB12" s="7"/>
      <c r="AC12" s="2">
        <f t="shared" si="8"/>
        <v>0</v>
      </c>
      <c r="AD12" s="1">
        <f t="shared" si="12"/>
        <v>0</v>
      </c>
      <c r="AE12" s="1">
        <f t="shared" si="9"/>
        <v>0</v>
      </c>
      <c r="AF12" s="1">
        <f>IF(B12="",0,Paramètres!$B$53*1.5)</f>
        <v>0</v>
      </c>
      <c r="AG12" s="1">
        <f>IF(C12="",0,Paramètres!$B$53*1.5)</f>
        <v>0</v>
      </c>
      <c r="AH12" s="1"/>
      <c r="AI12" s="1"/>
      <c r="AJ12" s="1"/>
      <c r="AK12" s="1"/>
      <c r="AL12" s="1">
        <f>(U12*Paramètres!$B$53)*3</f>
        <v>0</v>
      </c>
      <c r="AM12" s="1">
        <f t="shared" si="10"/>
        <v>0</v>
      </c>
      <c r="AN12" s="1">
        <f>U12*Paramètres!$B$75</f>
        <v>0</v>
      </c>
      <c r="AO12" s="1">
        <f>U12*Paramètres!$B$72*Paramètres!$B$73</f>
        <v>0</v>
      </c>
      <c r="AP12" s="1"/>
      <c r="AQ12" s="1">
        <f>(Y12+AC12)*Paramètres!$B$42*Paramètres!$B$53</f>
        <v>0</v>
      </c>
      <c r="AR12" s="1"/>
      <c r="AS12" s="7">
        <f>ROUNDUP(D12*Paramètres!$B$23*Paramètres!$B$26,-1)</f>
        <v>0</v>
      </c>
      <c r="AT12" s="7"/>
      <c r="AU12" s="1"/>
      <c r="AV12" s="8"/>
      <c r="AW12" s="8"/>
      <c r="AX12" s="8"/>
      <c r="AY12" s="8"/>
      <c r="AZ12" s="8"/>
      <c r="BA12" s="8"/>
      <c r="BB12" s="44"/>
      <c r="BC12" s="44"/>
      <c r="BD12" s="8"/>
      <c r="BE12" s="8"/>
      <c r="BF12" s="8"/>
      <c r="BG12" s="44"/>
      <c r="BI12">
        <f t="shared" si="11"/>
        <v>0</v>
      </c>
    </row>
    <row r="13" spans="1:61" x14ac:dyDescent="0.25">
      <c r="A13">
        <v>11</v>
      </c>
      <c r="F13" s="47"/>
      <c r="G13" s="53"/>
      <c r="H13" s="53"/>
      <c r="I13" s="53"/>
      <c r="J13" s="50">
        <f>F13*Paramètres!$B$3</f>
        <v>0</v>
      </c>
      <c r="K13" s="56">
        <f t="shared" si="0"/>
        <v>0</v>
      </c>
      <c r="L13" s="56">
        <f t="shared" si="1"/>
        <v>0</v>
      </c>
      <c r="M13" s="56">
        <f t="shared" si="2"/>
        <v>0</v>
      </c>
      <c r="N13" s="3">
        <f>ROUNDUP(J13*Paramètres!$B$19,-1)</f>
        <v>0</v>
      </c>
      <c r="O13" s="1">
        <f t="shared" si="3"/>
        <v>0</v>
      </c>
      <c r="P13" s="1">
        <f t="shared" si="4"/>
        <v>0</v>
      </c>
      <c r="Q13" s="3">
        <f t="shared" si="5"/>
        <v>0</v>
      </c>
      <c r="R13" s="47">
        <f>ROUNDUP(+K13/Paramètres!$B$4/Paramètres!$B$53,0)</f>
        <v>0</v>
      </c>
      <c r="S13" s="47">
        <f>ROUNDUP(+L13/Paramètres!$B$6/Paramètres!$B$53,0)</f>
        <v>0</v>
      </c>
      <c r="T13" s="47"/>
      <c r="U13" s="2">
        <f t="shared" si="6"/>
        <v>0</v>
      </c>
      <c r="V13" s="1">
        <f>R13*Paramètres!$B$7</f>
        <v>0</v>
      </c>
      <c r="W13" s="1">
        <f>S13*Paramètres!$B$9</f>
        <v>0</v>
      </c>
      <c r="X13" s="1"/>
      <c r="Y13" s="2">
        <f t="shared" si="7"/>
        <v>0</v>
      </c>
      <c r="Z13" s="7">
        <f>R13*Paramètres!$B$10</f>
        <v>0</v>
      </c>
      <c r="AA13" s="7">
        <f>S13*Paramètres!$B$10</f>
        <v>0</v>
      </c>
      <c r="AB13" s="7"/>
      <c r="AC13" s="2">
        <f t="shared" si="8"/>
        <v>0</v>
      </c>
      <c r="AD13" s="1">
        <f t="shared" si="12"/>
        <v>0</v>
      </c>
      <c r="AE13" s="1">
        <f t="shared" si="9"/>
        <v>0</v>
      </c>
      <c r="AF13" s="1">
        <f>IF(B13="",0,Paramètres!$B$53*1.5)</f>
        <v>0</v>
      </c>
      <c r="AG13" s="1">
        <f>IF(C13="",0,Paramètres!$B$53*1.5)</f>
        <v>0</v>
      </c>
      <c r="AH13" s="1"/>
      <c r="AI13" s="1"/>
      <c r="AJ13" s="1"/>
      <c r="AK13" s="1"/>
      <c r="AL13" s="1">
        <f>(U13*Paramètres!$B$53)*3</f>
        <v>0</v>
      </c>
      <c r="AM13" s="1">
        <f t="shared" si="10"/>
        <v>0</v>
      </c>
      <c r="AN13" s="1">
        <f>U13*Paramètres!$B$75</f>
        <v>0</v>
      </c>
      <c r="AO13" s="1">
        <f>U13*Paramètres!$B$72*Paramètres!$B$73</f>
        <v>0</v>
      </c>
      <c r="AP13" s="1"/>
      <c r="AQ13" s="1">
        <f>(Y13+AC13)*Paramètres!$B$42*Paramètres!$B$53</f>
        <v>0</v>
      </c>
      <c r="AR13" s="1"/>
      <c r="AS13" s="7">
        <f>ROUNDUP(D13*Paramètres!$B$23*Paramètres!$B$26,-1)</f>
        <v>0</v>
      </c>
      <c r="AT13" s="7"/>
      <c r="AU13" s="1"/>
      <c r="AV13" s="8"/>
      <c r="AW13" s="8"/>
      <c r="AX13" s="8"/>
      <c r="AY13" s="8"/>
      <c r="AZ13" s="8"/>
      <c r="BA13" s="8"/>
      <c r="BB13" s="44"/>
      <c r="BC13" s="44"/>
      <c r="BD13" s="8"/>
      <c r="BE13" s="8"/>
      <c r="BF13" s="8"/>
      <c r="BG13" s="44"/>
      <c r="BI13">
        <f t="shared" si="11"/>
        <v>0</v>
      </c>
    </row>
    <row r="14" spans="1:61" x14ac:dyDescent="0.25">
      <c r="A14">
        <v>12</v>
      </c>
      <c r="F14" s="47"/>
      <c r="G14" s="53"/>
      <c r="H14" s="53"/>
      <c r="I14" s="53"/>
      <c r="J14" s="50">
        <f>F14*Paramètres!$B$3</f>
        <v>0</v>
      </c>
      <c r="K14" s="56">
        <f t="shared" si="0"/>
        <v>0</v>
      </c>
      <c r="L14" s="56">
        <f t="shared" si="1"/>
        <v>0</v>
      </c>
      <c r="M14" s="56">
        <f t="shared" si="2"/>
        <v>0</v>
      </c>
      <c r="N14" s="3">
        <f>ROUNDUP(J14*Paramètres!$B$19,-1)</f>
        <v>0</v>
      </c>
      <c r="O14" s="1">
        <f t="shared" si="3"/>
        <v>0</v>
      </c>
      <c r="P14" s="1">
        <f t="shared" si="4"/>
        <v>0</v>
      </c>
      <c r="Q14" s="3">
        <f t="shared" si="5"/>
        <v>0</v>
      </c>
      <c r="R14" s="47">
        <f>ROUNDUP(+K14/Paramètres!$B$4/Paramètres!$B$53,0)</f>
        <v>0</v>
      </c>
      <c r="S14" s="47">
        <f>ROUNDUP(+L14/Paramètres!$B$6/Paramètres!$B$53,0)</f>
        <v>0</v>
      </c>
      <c r="T14" s="47"/>
      <c r="U14" s="2">
        <f t="shared" si="6"/>
        <v>0</v>
      </c>
      <c r="V14" s="1">
        <f>R14*Paramètres!$B$7</f>
        <v>0</v>
      </c>
      <c r="W14" s="1">
        <f>S14*Paramètres!$B$9</f>
        <v>0</v>
      </c>
      <c r="X14" s="1"/>
      <c r="Y14" s="2">
        <f t="shared" si="7"/>
        <v>0</v>
      </c>
      <c r="Z14" s="7">
        <f>R14*Paramètres!$B$10</f>
        <v>0</v>
      </c>
      <c r="AA14" s="7">
        <f>S14*Paramètres!$B$10</f>
        <v>0</v>
      </c>
      <c r="AB14" s="7"/>
      <c r="AC14" s="2">
        <f t="shared" si="8"/>
        <v>0</v>
      </c>
      <c r="AD14" s="1">
        <f t="shared" si="12"/>
        <v>0</v>
      </c>
      <c r="AE14" s="1">
        <f t="shared" si="9"/>
        <v>0</v>
      </c>
      <c r="AF14" s="1">
        <f>IF(B14="",0,Paramètres!$B$53*1.5)</f>
        <v>0</v>
      </c>
      <c r="AG14" s="1">
        <f>IF(C14="",0,Paramètres!$B$53*1.5)</f>
        <v>0</v>
      </c>
      <c r="AH14" s="1"/>
      <c r="AI14" s="1"/>
      <c r="AJ14" s="1"/>
      <c r="AK14" s="1"/>
      <c r="AL14" s="1">
        <f>(U14*Paramètres!$B$53)*3</f>
        <v>0</v>
      </c>
      <c r="AM14" s="1">
        <f t="shared" si="10"/>
        <v>0</v>
      </c>
      <c r="AN14" s="1">
        <f>U14*Paramètres!$B$75</f>
        <v>0</v>
      </c>
      <c r="AO14" s="1">
        <f>U14*Paramètres!$B$72*Paramètres!$B$73</f>
        <v>0</v>
      </c>
      <c r="AP14" s="1"/>
      <c r="AQ14" s="1">
        <f>(Y14+AC14)*Paramètres!$B$42*Paramètres!$B$53</f>
        <v>0</v>
      </c>
      <c r="AR14" s="1"/>
      <c r="AS14" s="7">
        <f>ROUNDUP(D14*Paramètres!$B$23*Paramètres!$B$26,-1)</f>
        <v>0</v>
      </c>
      <c r="AT14" s="7"/>
      <c r="AU14" s="1"/>
      <c r="AV14" s="8"/>
      <c r="AW14" s="8"/>
      <c r="AX14" s="8"/>
      <c r="AY14" s="8"/>
      <c r="AZ14" s="8"/>
      <c r="BA14" s="8"/>
      <c r="BB14" s="44"/>
      <c r="BC14" s="44"/>
      <c r="BD14" s="8"/>
      <c r="BE14" s="8"/>
      <c r="BF14" s="8"/>
      <c r="BG14" s="44"/>
      <c r="BI14">
        <f t="shared" si="11"/>
        <v>0</v>
      </c>
    </row>
    <row r="15" spans="1:61" x14ac:dyDescent="0.25">
      <c r="A15">
        <v>13</v>
      </c>
      <c r="F15" s="47"/>
      <c r="G15" s="53"/>
      <c r="H15" s="53"/>
      <c r="I15" s="53"/>
      <c r="J15" s="50">
        <f>F15*Paramètres!$B$3</f>
        <v>0</v>
      </c>
      <c r="K15" s="56">
        <f t="shared" si="0"/>
        <v>0</v>
      </c>
      <c r="L15" s="56">
        <f t="shared" si="1"/>
        <v>0</v>
      </c>
      <c r="M15" s="56">
        <f t="shared" si="2"/>
        <v>0</v>
      </c>
      <c r="N15" s="3">
        <f>ROUNDUP(J15*Paramètres!$B$19,-1)</f>
        <v>0</v>
      </c>
      <c r="O15" s="1">
        <f t="shared" si="3"/>
        <v>0</v>
      </c>
      <c r="P15" s="1">
        <f t="shared" si="4"/>
        <v>0</v>
      </c>
      <c r="Q15" s="3">
        <f t="shared" si="5"/>
        <v>0</v>
      </c>
      <c r="R15" s="47">
        <f>ROUNDUP(+K15/Paramètres!$B$4/Paramètres!$B$53,0)</f>
        <v>0</v>
      </c>
      <c r="S15" s="47">
        <f>ROUNDUP(+L15/Paramètres!$B$6/Paramètres!$B$53,0)</f>
        <v>0</v>
      </c>
      <c r="T15" s="47"/>
      <c r="U15" s="2">
        <f t="shared" si="6"/>
        <v>0</v>
      </c>
      <c r="V15" s="1">
        <f>R15*Paramètres!$B$7</f>
        <v>0</v>
      </c>
      <c r="W15" s="1">
        <f>S15*Paramètres!$B$9</f>
        <v>0</v>
      </c>
      <c r="X15" s="1"/>
      <c r="Y15" s="2">
        <f t="shared" si="7"/>
        <v>0</v>
      </c>
      <c r="Z15" s="7">
        <f>R15*Paramètres!$B$10</f>
        <v>0</v>
      </c>
      <c r="AA15" s="7">
        <f>S15*Paramètres!$B$10</f>
        <v>0</v>
      </c>
      <c r="AB15" s="7"/>
      <c r="AC15" s="2">
        <f t="shared" si="8"/>
        <v>0</v>
      </c>
      <c r="AD15" s="1">
        <f t="shared" si="12"/>
        <v>0</v>
      </c>
      <c r="AE15" s="1">
        <f t="shared" si="9"/>
        <v>0</v>
      </c>
      <c r="AF15" s="1">
        <f>IF(B15="",0,Paramètres!$B$53*1.5)</f>
        <v>0</v>
      </c>
      <c r="AG15" s="1">
        <f>IF(C15="",0,Paramètres!$B$53*1.5)</f>
        <v>0</v>
      </c>
      <c r="AH15" s="1"/>
      <c r="AI15" s="1"/>
      <c r="AJ15" s="1"/>
      <c r="AK15" s="1"/>
      <c r="AL15" s="1">
        <f>(U15*Paramètres!$B$53)*3</f>
        <v>0</v>
      </c>
      <c r="AM15" s="1">
        <f t="shared" si="10"/>
        <v>0</v>
      </c>
      <c r="AN15" s="1">
        <f>U15*Paramètres!$B$75</f>
        <v>0</v>
      </c>
      <c r="AO15" s="1">
        <f>U15*Paramètres!$B$72*Paramètres!$B$73</f>
        <v>0</v>
      </c>
      <c r="AP15" s="1"/>
      <c r="AQ15" s="1">
        <f>(Y15+AC15)*Paramètres!$B$42*Paramètres!$B$53</f>
        <v>0</v>
      </c>
      <c r="AR15" s="1"/>
      <c r="AS15" s="7">
        <f>ROUNDUP(D15*Paramètres!$B$23*Paramètres!$B$26,-1)</f>
        <v>0</v>
      </c>
      <c r="AT15" s="7"/>
      <c r="AU15" s="1"/>
      <c r="AV15" s="8"/>
      <c r="AW15" s="8"/>
      <c r="AX15" s="8"/>
      <c r="AY15" s="8"/>
      <c r="AZ15" s="8"/>
      <c r="BA15" s="8"/>
      <c r="BB15" s="44"/>
      <c r="BC15" s="44"/>
      <c r="BD15" s="8"/>
      <c r="BE15" s="8"/>
      <c r="BF15" s="8"/>
      <c r="BG15" s="44"/>
      <c r="BI15">
        <f t="shared" si="11"/>
        <v>0</v>
      </c>
    </row>
    <row r="16" spans="1:61" x14ac:dyDescent="0.25">
      <c r="A16">
        <v>14</v>
      </c>
      <c r="F16" s="47"/>
      <c r="G16" s="53"/>
      <c r="H16" s="53"/>
      <c r="I16" s="53"/>
      <c r="J16" s="50">
        <f>F16*Paramètres!$B$3</f>
        <v>0</v>
      </c>
      <c r="K16" s="56">
        <f t="shared" si="0"/>
        <v>0</v>
      </c>
      <c r="L16" s="56">
        <f t="shared" si="1"/>
        <v>0</v>
      </c>
      <c r="M16" s="56">
        <f t="shared" si="2"/>
        <v>0</v>
      </c>
      <c r="N16" s="3">
        <f>ROUNDUP(J16*Paramètres!$B$19,-1)</f>
        <v>0</v>
      </c>
      <c r="O16" s="1">
        <f t="shared" si="3"/>
        <v>0</v>
      </c>
      <c r="P16" s="1">
        <f t="shared" si="4"/>
        <v>0</v>
      </c>
      <c r="Q16" s="3">
        <f t="shared" si="5"/>
        <v>0</v>
      </c>
      <c r="R16" s="47">
        <f>ROUNDUP(+K16/Paramètres!$B$4/Paramètres!$B$53,0)</f>
        <v>0</v>
      </c>
      <c r="S16" s="47">
        <f>ROUNDUP(+L16/Paramètres!$B$6/Paramètres!$B$53,0)</f>
        <v>0</v>
      </c>
      <c r="T16" s="47"/>
      <c r="U16" s="2">
        <f t="shared" si="6"/>
        <v>0</v>
      </c>
      <c r="V16" s="1">
        <f>R16*Paramètres!$B$7</f>
        <v>0</v>
      </c>
      <c r="W16" s="1">
        <f>S16*Paramètres!$B$9</f>
        <v>0</v>
      </c>
      <c r="X16" s="1"/>
      <c r="Y16" s="2">
        <f t="shared" si="7"/>
        <v>0</v>
      </c>
      <c r="Z16" s="7">
        <f>R16*Paramètres!$B$10</f>
        <v>0</v>
      </c>
      <c r="AA16" s="7">
        <f>S16*Paramètres!$B$10</f>
        <v>0</v>
      </c>
      <c r="AB16" s="7"/>
      <c r="AC16" s="2">
        <f t="shared" si="8"/>
        <v>0</v>
      </c>
      <c r="AD16" s="1">
        <f t="shared" si="12"/>
        <v>0</v>
      </c>
      <c r="AE16" s="1">
        <f t="shared" si="9"/>
        <v>0</v>
      </c>
      <c r="AF16" s="1">
        <f>IF(B16="",0,Paramètres!$B$53*1.5)</f>
        <v>0</v>
      </c>
      <c r="AG16" s="1">
        <f>IF(C16="",0,Paramètres!$B$53*1.5)</f>
        <v>0</v>
      </c>
      <c r="AH16" s="1"/>
      <c r="AI16" s="1"/>
      <c r="AJ16" s="1"/>
      <c r="AK16" s="1"/>
      <c r="AL16" s="1">
        <f>(U16*Paramètres!$B$53)*3</f>
        <v>0</v>
      </c>
      <c r="AM16" s="1">
        <f t="shared" si="10"/>
        <v>0</v>
      </c>
      <c r="AN16" s="1">
        <f>U16*Paramètres!$B$75</f>
        <v>0</v>
      </c>
      <c r="AO16" s="1">
        <f>U16*Paramètres!$B$72*Paramètres!$B$73</f>
        <v>0</v>
      </c>
      <c r="AP16" s="1"/>
      <c r="AQ16" s="1">
        <f>(Y16+AC16)*Paramètres!$B$42*Paramètres!$B$53</f>
        <v>0</v>
      </c>
      <c r="AR16" s="1"/>
      <c r="AS16" s="7">
        <f>ROUNDUP(D16*Paramètres!$B$23*Paramètres!$B$26,-1)</f>
        <v>0</v>
      </c>
      <c r="AT16" s="7"/>
      <c r="AU16" s="1"/>
      <c r="AV16" s="8"/>
      <c r="AW16" s="8"/>
      <c r="AX16" s="8"/>
      <c r="AY16" s="8"/>
      <c r="AZ16" s="8"/>
      <c r="BA16" s="8"/>
      <c r="BB16" s="44"/>
      <c r="BC16" s="44"/>
      <c r="BD16" s="8"/>
      <c r="BE16" s="8"/>
      <c r="BF16" s="8"/>
      <c r="BG16" s="44"/>
      <c r="BI16">
        <f t="shared" si="11"/>
        <v>0</v>
      </c>
    </row>
    <row r="17" spans="1:61" x14ac:dyDescent="0.25">
      <c r="A17">
        <v>15</v>
      </c>
      <c r="F17" s="47"/>
      <c r="G17" s="53"/>
      <c r="H17" s="53"/>
      <c r="I17" s="53"/>
      <c r="J17" s="50">
        <f>F17*Paramètres!$B$3</f>
        <v>0</v>
      </c>
      <c r="K17" s="56">
        <f t="shared" si="0"/>
        <v>0</v>
      </c>
      <c r="L17" s="56">
        <f t="shared" si="1"/>
        <v>0</v>
      </c>
      <c r="M17" s="56">
        <f t="shared" si="2"/>
        <v>0</v>
      </c>
      <c r="N17" s="3">
        <f>ROUNDUP(J17*Paramètres!$B$19,-1)</f>
        <v>0</v>
      </c>
      <c r="O17" s="1">
        <f t="shared" si="3"/>
        <v>0</v>
      </c>
      <c r="P17" s="1">
        <f t="shared" si="4"/>
        <v>0</v>
      </c>
      <c r="Q17" s="3">
        <f t="shared" si="5"/>
        <v>0</v>
      </c>
      <c r="R17" s="47">
        <f>ROUNDUP(+K17/Paramètres!$B$4/Paramètres!$B$53,0)</f>
        <v>0</v>
      </c>
      <c r="S17" s="47">
        <f>ROUNDUP(+L17/Paramètres!$B$6/Paramètres!$B$53,0)</f>
        <v>0</v>
      </c>
      <c r="T17" s="47"/>
      <c r="U17" s="2">
        <f t="shared" si="6"/>
        <v>0</v>
      </c>
      <c r="V17" s="1">
        <f>R17*Paramètres!$B$7</f>
        <v>0</v>
      </c>
      <c r="W17" s="1">
        <f>S17*Paramètres!$B$9</f>
        <v>0</v>
      </c>
      <c r="X17" s="1"/>
      <c r="Y17" s="2">
        <f t="shared" si="7"/>
        <v>0</v>
      </c>
      <c r="Z17" s="7">
        <f>R17*Paramètres!$B$10</f>
        <v>0</v>
      </c>
      <c r="AA17" s="7">
        <f>S17*Paramètres!$B$10</f>
        <v>0</v>
      </c>
      <c r="AB17" s="7"/>
      <c r="AC17" s="2">
        <f t="shared" si="8"/>
        <v>0</v>
      </c>
      <c r="AD17" s="1">
        <f t="shared" si="12"/>
        <v>0</v>
      </c>
      <c r="AE17" s="1">
        <f t="shared" si="9"/>
        <v>0</v>
      </c>
      <c r="AF17" s="1">
        <f>IF(B17="",0,Paramètres!$B$53*1.5)</f>
        <v>0</v>
      </c>
      <c r="AG17" s="1">
        <f>IF(C17="",0,Paramètres!$B$53*1.5)</f>
        <v>0</v>
      </c>
      <c r="AH17" s="1"/>
      <c r="AI17" s="1"/>
      <c r="AJ17" s="1"/>
      <c r="AK17" s="1"/>
      <c r="AL17" s="1">
        <f>(U17*Paramètres!$B$53)*3</f>
        <v>0</v>
      </c>
      <c r="AM17" s="1">
        <f t="shared" si="10"/>
        <v>0</v>
      </c>
      <c r="AN17" s="1">
        <f>U17*Paramètres!$B$75</f>
        <v>0</v>
      </c>
      <c r="AO17" s="1">
        <f>U17*Paramètres!$B$72*Paramètres!$B$73</f>
        <v>0</v>
      </c>
      <c r="AP17" s="1"/>
      <c r="AQ17" s="1">
        <f>(Y17+AC17)*Paramètres!$B$42*Paramètres!$B$53</f>
        <v>0</v>
      </c>
      <c r="AR17" s="1"/>
      <c r="AS17" s="7">
        <f>ROUNDUP(D17*Paramètres!$B$23*Paramètres!$B$26,-1)</f>
        <v>0</v>
      </c>
      <c r="AT17" s="7"/>
      <c r="AU17" s="1"/>
      <c r="AV17" s="8"/>
      <c r="AW17" s="8"/>
      <c r="AX17" s="8"/>
      <c r="AY17" s="8"/>
      <c r="AZ17" s="8"/>
      <c r="BA17" s="8"/>
      <c r="BB17" s="44"/>
      <c r="BC17" s="44"/>
      <c r="BD17" s="8"/>
      <c r="BE17" s="8"/>
      <c r="BF17" s="8"/>
      <c r="BG17" s="44"/>
      <c r="BI17">
        <f t="shared" si="11"/>
        <v>0</v>
      </c>
    </row>
    <row r="18" spans="1:61" x14ac:dyDescent="0.25">
      <c r="A18">
        <v>16</v>
      </c>
      <c r="F18" s="47"/>
      <c r="G18" s="53"/>
      <c r="H18" s="53"/>
      <c r="I18" s="53"/>
      <c r="J18" s="50">
        <f>F18*Paramètres!$B$3</f>
        <v>0</v>
      </c>
      <c r="K18" s="56">
        <f t="shared" si="0"/>
        <v>0</v>
      </c>
      <c r="L18" s="56">
        <f t="shared" si="1"/>
        <v>0</v>
      </c>
      <c r="M18" s="56">
        <f t="shared" si="2"/>
        <v>0</v>
      </c>
      <c r="N18" s="3">
        <f>ROUNDUP(J18*Paramètres!$B$19,-1)</f>
        <v>0</v>
      </c>
      <c r="O18" s="1">
        <f t="shared" si="3"/>
        <v>0</v>
      </c>
      <c r="P18" s="1">
        <f t="shared" si="4"/>
        <v>0</v>
      </c>
      <c r="Q18" s="3">
        <f t="shared" si="5"/>
        <v>0</v>
      </c>
      <c r="R18" s="47">
        <f>ROUNDUP(+K18/Paramètres!$B$4/Paramètres!$B$53,0)</f>
        <v>0</v>
      </c>
      <c r="S18" s="47">
        <f>ROUNDUP(+L18/Paramètres!$B$6/Paramètres!$B$53,0)</f>
        <v>0</v>
      </c>
      <c r="T18" s="47"/>
      <c r="U18" s="2">
        <f t="shared" si="6"/>
        <v>0</v>
      </c>
      <c r="V18" s="1">
        <f>R18*Paramètres!$B$7</f>
        <v>0</v>
      </c>
      <c r="W18" s="1">
        <f>S18*Paramètres!$B$9</f>
        <v>0</v>
      </c>
      <c r="X18" s="1"/>
      <c r="Y18" s="2">
        <f t="shared" si="7"/>
        <v>0</v>
      </c>
      <c r="Z18" s="7">
        <f>R18*Paramètres!$B$10</f>
        <v>0</v>
      </c>
      <c r="AA18" s="7">
        <f>S18*Paramètres!$B$10</f>
        <v>0</v>
      </c>
      <c r="AB18" s="7"/>
      <c r="AC18" s="2">
        <f t="shared" si="8"/>
        <v>0</v>
      </c>
      <c r="AD18" s="1">
        <f t="shared" si="12"/>
        <v>0</v>
      </c>
      <c r="AE18" s="1">
        <f t="shared" si="9"/>
        <v>0</v>
      </c>
      <c r="AF18" s="1">
        <f>IF(B18="",0,Paramètres!$B$53*1.5)</f>
        <v>0</v>
      </c>
      <c r="AG18" s="1">
        <f>IF(C18="",0,Paramètres!$B$53*1.5)</f>
        <v>0</v>
      </c>
      <c r="AH18" s="1"/>
      <c r="AI18" s="1"/>
      <c r="AJ18" s="1"/>
      <c r="AK18" s="1"/>
      <c r="AL18" s="1">
        <f>(U18*Paramètres!$B$53)*3</f>
        <v>0</v>
      </c>
      <c r="AM18" s="1">
        <f t="shared" si="10"/>
        <v>0</v>
      </c>
      <c r="AN18" s="1">
        <f>U18*Paramètres!$B$75</f>
        <v>0</v>
      </c>
      <c r="AO18" s="1">
        <f>U18*Paramètres!$B$72*Paramètres!$B$73</f>
        <v>0</v>
      </c>
      <c r="AP18" s="1"/>
      <c r="AQ18" s="1">
        <f>(Y18+AC18)*Paramètres!$B$42*Paramètres!$B$53</f>
        <v>0</v>
      </c>
      <c r="AR18" s="1"/>
      <c r="AS18" s="7">
        <f>ROUNDUP(D18*Paramètres!$B$23*Paramètres!$B$26,-1)</f>
        <v>0</v>
      </c>
      <c r="AT18" s="7"/>
      <c r="AU18" s="1"/>
      <c r="AV18" s="8"/>
      <c r="AW18" s="8"/>
      <c r="AX18" s="8"/>
      <c r="AY18" s="8"/>
      <c r="AZ18" s="8"/>
      <c r="BA18" s="8"/>
      <c r="BB18" s="44"/>
      <c r="BC18" s="44"/>
      <c r="BD18" s="8"/>
      <c r="BE18" s="8"/>
      <c r="BF18" s="8"/>
      <c r="BG18" s="44"/>
      <c r="BI18">
        <f t="shared" si="11"/>
        <v>0</v>
      </c>
    </row>
    <row r="19" spans="1:61" x14ac:dyDescent="0.25">
      <c r="A19">
        <v>17</v>
      </c>
      <c r="F19" s="47"/>
      <c r="G19" s="53"/>
      <c r="H19" s="53"/>
      <c r="I19" s="53"/>
      <c r="J19" s="50">
        <f>F19*Paramètres!$B$3</f>
        <v>0</v>
      </c>
      <c r="K19" s="56">
        <f t="shared" si="0"/>
        <v>0</v>
      </c>
      <c r="L19" s="56">
        <f t="shared" si="1"/>
        <v>0</v>
      </c>
      <c r="M19" s="56">
        <f t="shared" si="2"/>
        <v>0</v>
      </c>
      <c r="N19" s="3">
        <f>ROUNDUP(J19*Paramètres!$B$19,-1)</f>
        <v>0</v>
      </c>
      <c r="O19" s="1">
        <f t="shared" si="3"/>
        <v>0</v>
      </c>
      <c r="P19" s="1">
        <f t="shared" si="4"/>
        <v>0</v>
      </c>
      <c r="Q19" s="3">
        <f t="shared" si="5"/>
        <v>0</v>
      </c>
      <c r="R19" s="47">
        <f>ROUNDUP(+K19/Paramètres!$B$4/Paramètres!$B$53,0)</f>
        <v>0</v>
      </c>
      <c r="S19" s="47">
        <f>ROUNDUP(+L19/Paramètres!$B$6/Paramètres!$B$53,0)</f>
        <v>0</v>
      </c>
      <c r="T19" s="47"/>
      <c r="U19" s="2">
        <f t="shared" si="6"/>
        <v>0</v>
      </c>
      <c r="V19" s="1">
        <f>R19*Paramètres!$B$7</f>
        <v>0</v>
      </c>
      <c r="W19" s="1">
        <f>S19*Paramètres!$B$9</f>
        <v>0</v>
      </c>
      <c r="X19" s="1"/>
      <c r="Y19" s="2">
        <f t="shared" si="7"/>
        <v>0</v>
      </c>
      <c r="Z19" s="7">
        <f>R19*Paramètres!$B$10</f>
        <v>0</v>
      </c>
      <c r="AA19" s="7">
        <f>S19*Paramètres!$B$10</f>
        <v>0</v>
      </c>
      <c r="AB19" s="7"/>
      <c r="AC19" s="2">
        <f t="shared" si="8"/>
        <v>0</v>
      </c>
      <c r="AD19" s="1">
        <f t="shared" si="12"/>
        <v>0</v>
      </c>
      <c r="AE19" s="1">
        <f t="shared" si="9"/>
        <v>0</v>
      </c>
      <c r="AF19" s="1">
        <f>IF(B19="",0,Paramètres!$B$53*1.5)</f>
        <v>0</v>
      </c>
      <c r="AG19" s="1">
        <f>IF(C19="",0,Paramètres!$B$53*1.5)</f>
        <v>0</v>
      </c>
      <c r="AH19" s="1"/>
      <c r="AI19" s="1"/>
      <c r="AJ19" s="1"/>
      <c r="AK19" s="1"/>
      <c r="AL19" s="1">
        <f>(U19*Paramètres!$B$53)*3</f>
        <v>0</v>
      </c>
      <c r="AM19" s="1">
        <f t="shared" si="10"/>
        <v>0</v>
      </c>
      <c r="AN19" s="1">
        <f>U19*Paramètres!$B$75</f>
        <v>0</v>
      </c>
      <c r="AO19" s="1">
        <f>U19*Paramètres!$B$72*Paramètres!$B$73</f>
        <v>0</v>
      </c>
      <c r="AP19" s="1"/>
      <c r="AQ19" s="1">
        <f>(Y19+AC19)*Paramètres!$B$42*Paramètres!$B$53</f>
        <v>0</v>
      </c>
      <c r="AR19" s="1"/>
      <c r="AS19" s="7">
        <f>ROUNDUP(D19*Paramètres!$B$23*Paramètres!$B$26,-1)</f>
        <v>0</v>
      </c>
      <c r="AT19" s="7"/>
      <c r="AU19" s="1"/>
      <c r="AV19" s="8"/>
      <c r="AW19" s="8"/>
      <c r="AX19" s="8"/>
      <c r="AY19" s="8"/>
      <c r="AZ19" s="8"/>
      <c r="BA19" s="8"/>
      <c r="BB19" s="44"/>
      <c r="BC19" s="44"/>
      <c r="BD19" s="8"/>
      <c r="BE19" s="8"/>
      <c r="BF19" s="8"/>
      <c r="BG19" s="44"/>
      <c r="BI19">
        <f t="shared" si="11"/>
        <v>0</v>
      </c>
    </row>
    <row r="20" spans="1:61" x14ac:dyDescent="0.25">
      <c r="A20">
        <v>18</v>
      </c>
      <c r="F20" s="47"/>
      <c r="G20" s="53"/>
      <c r="H20" s="53"/>
      <c r="I20" s="53"/>
      <c r="J20" s="50">
        <f>F20*Paramètres!$B$3</f>
        <v>0</v>
      </c>
      <c r="K20" s="56">
        <f t="shared" si="0"/>
        <v>0</v>
      </c>
      <c r="L20" s="56">
        <f t="shared" si="1"/>
        <v>0</v>
      </c>
      <c r="M20" s="56">
        <f t="shared" si="2"/>
        <v>0</v>
      </c>
      <c r="N20" s="3">
        <f>ROUNDUP(J20*Paramètres!$B$19,-1)</f>
        <v>0</v>
      </c>
      <c r="O20" s="1">
        <f t="shared" si="3"/>
        <v>0</v>
      </c>
      <c r="P20" s="1">
        <f t="shared" si="4"/>
        <v>0</v>
      </c>
      <c r="Q20" s="3">
        <f t="shared" si="5"/>
        <v>0</v>
      </c>
      <c r="R20" s="47">
        <f>ROUNDUP(+K20/Paramètres!$B$4/Paramètres!$B$53,0)</f>
        <v>0</v>
      </c>
      <c r="S20" s="47">
        <f>ROUNDUP(+L20/Paramètres!$B$6/Paramètres!$B$53,0)</f>
        <v>0</v>
      </c>
      <c r="T20" s="47"/>
      <c r="U20" s="2">
        <f t="shared" si="6"/>
        <v>0</v>
      </c>
      <c r="V20" s="1">
        <f>R20*Paramètres!$B$7</f>
        <v>0</v>
      </c>
      <c r="W20" s="1">
        <f>S20*Paramètres!$B$9</f>
        <v>0</v>
      </c>
      <c r="X20" s="1"/>
      <c r="Y20" s="2">
        <f t="shared" si="7"/>
        <v>0</v>
      </c>
      <c r="Z20" s="7">
        <f>R20*Paramètres!$B$10</f>
        <v>0</v>
      </c>
      <c r="AA20" s="7">
        <f>S20*Paramètres!$B$10</f>
        <v>0</v>
      </c>
      <c r="AB20" s="7"/>
      <c r="AC20" s="2">
        <f t="shared" si="8"/>
        <v>0</v>
      </c>
      <c r="AD20" s="1">
        <f t="shared" si="12"/>
        <v>0</v>
      </c>
      <c r="AE20" s="1">
        <f t="shared" si="9"/>
        <v>0</v>
      </c>
      <c r="AF20" s="1">
        <f>IF(B20="",0,Paramètres!$B$53*1.5)</f>
        <v>0</v>
      </c>
      <c r="AG20" s="1">
        <f>IF(C20="",0,Paramètres!$B$53*1.5)</f>
        <v>0</v>
      </c>
      <c r="AH20" s="1"/>
      <c r="AI20" s="1"/>
      <c r="AJ20" s="1"/>
      <c r="AK20" s="1"/>
      <c r="AL20" s="1">
        <f>(U20*Paramètres!$B$53)*3</f>
        <v>0</v>
      </c>
      <c r="AM20" s="1">
        <f t="shared" si="10"/>
        <v>0</v>
      </c>
      <c r="AN20" s="1">
        <f>U20*Paramètres!$B$75</f>
        <v>0</v>
      </c>
      <c r="AO20" s="1">
        <f>U20*Paramètres!$B$72*Paramètres!$B$73</f>
        <v>0</v>
      </c>
      <c r="AP20" s="1"/>
      <c r="AQ20" s="1">
        <f>(Y20+AC20)*Paramètres!$B$42*Paramètres!$B$53</f>
        <v>0</v>
      </c>
      <c r="AR20" s="1"/>
      <c r="AS20" s="7">
        <f>ROUNDUP(D20*Paramètres!$B$23*Paramètres!$B$26,-1)</f>
        <v>0</v>
      </c>
      <c r="AT20" s="7"/>
      <c r="AU20" s="1"/>
      <c r="AV20" s="8"/>
      <c r="AW20" s="8"/>
      <c r="AX20" s="8"/>
      <c r="AY20" s="8"/>
      <c r="AZ20" s="8"/>
      <c r="BA20" s="8"/>
      <c r="BB20" s="44"/>
      <c r="BC20" s="44"/>
      <c r="BD20" s="8"/>
      <c r="BE20" s="8"/>
      <c r="BF20" s="8"/>
      <c r="BG20" s="44"/>
      <c r="BI20">
        <f t="shared" si="11"/>
        <v>0</v>
      </c>
    </row>
    <row r="21" spans="1:61" x14ac:dyDescent="0.25">
      <c r="A21">
        <v>19</v>
      </c>
      <c r="F21" s="47"/>
      <c r="G21" s="53"/>
      <c r="H21" s="53"/>
      <c r="I21" s="53"/>
      <c r="J21" s="50">
        <f>F21*Paramètres!$B$3</f>
        <v>0</v>
      </c>
      <c r="K21" s="56">
        <f t="shared" si="0"/>
        <v>0</v>
      </c>
      <c r="L21" s="56">
        <f t="shared" si="1"/>
        <v>0</v>
      </c>
      <c r="M21" s="56">
        <f t="shared" si="2"/>
        <v>0</v>
      </c>
      <c r="N21" s="3">
        <f>ROUNDUP(J21*Paramètres!$B$19,-1)</f>
        <v>0</v>
      </c>
      <c r="O21" s="1">
        <f t="shared" si="3"/>
        <v>0</v>
      </c>
      <c r="P21" s="1">
        <f t="shared" si="4"/>
        <v>0</v>
      </c>
      <c r="Q21" s="3">
        <f t="shared" si="5"/>
        <v>0</v>
      </c>
      <c r="R21" s="47">
        <f>ROUNDUP(+K21/Paramètres!$B$4/Paramètres!$B$53,0)</f>
        <v>0</v>
      </c>
      <c r="S21" s="47">
        <f>ROUNDUP(+L21/Paramètres!$B$6/Paramètres!$B$53,0)</f>
        <v>0</v>
      </c>
      <c r="T21" s="47"/>
      <c r="U21" s="2">
        <f t="shared" si="6"/>
        <v>0</v>
      </c>
      <c r="V21" s="1">
        <f>R21*Paramètres!$B$7</f>
        <v>0</v>
      </c>
      <c r="W21" s="1">
        <f>S21*Paramètres!$B$9</f>
        <v>0</v>
      </c>
      <c r="X21" s="1"/>
      <c r="Y21" s="2">
        <f t="shared" si="7"/>
        <v>0</v>
      </c>
      <c r="Z21" s="7">
        <f>R21*Paramètres!$B$10</f>
        <v>0</v>
      </c>
      <c r="AA21" s="7">
        <f>S21*Paramètres!$B$10</f>
        <v>0</v>
      </c>
      <c r="AB21" s="7"/>
      <c r="AC21" s="2">
        <f t="shared" si="8"/>
        <v>0</v>
      </c>
      <c r="AD21" s="1">
        <f t="shared" si="12"/>
        <v>0</v>
      </c>
      <c r="AE21" s="1">
        <f t="shared" si="9"/>
        <v>0</v>
      </c>
      <c r="AF21" s="1">
        <f>IF(B21="",0,Paramètres!$B$53*1.5)</f>
        <v>0</v>
      </c>
      <c r="AG21" s="1">
        <f>IF(C21="",0,Paramètres!$B$53*1.5)</f>
        <v>0</v>
      </c>
      <c r="AH21" s="1"/>
      <c r="AI21" s="1"/>
      <c r="AJ21" s="1"/>
      <c r="AK21" s="1"/>
      <c r="AL21" s="1">
        <f>(U21*Paramètres!$B$53)*3</f>
        <v>0</v>
      </c>
      <c r="AM21" s="1">
        <f t="shared" si="10"/>
        <v>0</v>
      </c>
      <c r="AN21" s="1">
        <f>U21*Paramètres!$B$75</f>
        <v>0</v>
      </c>
      <c r="AO21" s="1">
        <f>U21*Paramètres!$B$72*Paramètres!$B$73</f>
        <v>0</v>
      </c>
      <c r="AP21" s="1"/>
      <c r="AQ21" s="1">
        <f>(Y21+AC21)*Paramètres!$B$42*Paramètres!$B$53</f>
        <v>0</v>
      </c>
      <c r="AR21" s="1"/>
      <c r="AS21" s="7">
        <f>ROUNDUP(D21*Paramètres!$B$23*Paramètres!$B$26,-1)</f>
        <v>0</v>
      </c>
      <c r="AT21" s="7"/>
      <c r="AU21" s="1"/>
      <c r="AV21" s="8"/>
      <c r="AW21" s="8"/>
      <c r="AX21" s="8"/>
      <c r="AY21" s="8"/>
      <c r="AZ21" s="8"/>
      <c r="BA21" s="8"/>
      <c r="BB21" s="44"/>
      <c r="BC21" s="44"/>
      <c r="BD21" s="8"/>
      <c r="BE21" s="8"/>
      <c r="BF21" s="8"/>
      <c r="BG21" s="44"/>
      <c r="BI21">
        <f t="shared" si="11"/>
        <v>0</v>
      </c>
    </row>
    <row r="22" spans="1:61" x14ac:dyDescent="0.25">
      <c r="A22">
        <v>20</v>
      </c>
      <c r="F22" s="47"/>
      <c r="G22" s="53"/>
      <c r="H22" s="53"/>
      <c r="I22" s="53"/>
      <c r="J22" s="50">
        <f>F22*Paramètres!$B$3</f>
        <v>0</v>
      </c>
      <c r="K22" s="56">
        <f t="shared" si="0"/>
        <v>0</v>
      </c>
      <c r="L22" s="56">
        <f t="shared" si="1"/>
        <v>0</v>
      </c>
      <c r="M22" s="56">
        <f t="shared" si="2"/>
        <v>0</v>
      </c>
      <c r="N22" s="3">
        <f>ROUNDUP(J22*Paramètres!$B$19,-1)</f>
        <v>0</v>
      </c>
      <c r="O22" s="1">
        <f t="shared" si="3"/>
        <v>0</v>
      </c>
      <c r="P22" s="1">
        <f t="shared" si="4"/>
        <v>0</v>
      </c>
      <c r="Q22" s="3">
        <f t="shared" si="5"/>
        <v>0</v>
      </c>
      <c r="R22" s="47">
        <f>ROUNDUP(+K22/Paramètres!$B$4/Paramètres!$B$53,0)</f>
        <v>0</v>
      </c>
      <c r="S22" s="47">
        <f>ROUNDUP(+L22/Paramètres!$B$6/Paramètres!$B$53,0)</f>
        <v>0</v>
      </c>
      <c r="T22" s="47"/>
      <c r="U22" s="2">
        <f t="shared" si="6"/>
        <v>0</v>
      </c>
      <c r="V22" s="1">
        <f>R22*Paramètres!$B$7</f>
        <v>0</v>
      </c>
      <c r="W22" s="1">
        <f>S22*Paramètres!$B$9</f>
        <v>0</v>
      </c>
      <c r="X22" s="1"/>
      <c r="Y22" s="2">
        <f t="shared" si="7"/>
        <v>0</v>
      </c>
      <c r="Z22" s="7">
        <f>R22*Paramètres!$B$10</f>
        <v>0</v>
      </c>
      <c r="AA22" s="7">
        <f>S22*Paramètres!$B$10</f>
        <v>0</v>
      </c>
      <c r="AB22" s="7"/>
      <c r="AC22" s="2">
        <f t="shared" si="8"/>
        <v>0</v>
      </c>
      <c r="AD22" s="1">
        <f t="shared" si="12"/>
        <v>0</v>
      </c>
      <c r="AE22" s="1">
        <f t="shared" si="9"/>
        <v>0</v>
      </c>
      <c r="AF22" s="1">
        <f>IF(B22="",0,Paramètres!$B$53*1.5)</f>
        <v>0</v>
      </c>
      <c r="AG22" s="1">
        <f>IF(C22="",0,Paramètres!$B$53*1.5)</f>
        <v>0</v>
      </c>
      <c r="AH22" s="1"/>
      <c r="AI22" s="1"/>
      <c r="AJ22" s="1"/>
      <c r="AK22" s="1"/>
      <c r="AL22" s="1">
        <f>(U22*Paramètres!$B$53)*3</f>
        <v>0</v>
      </c>
      <c r="AM22" s="1">
        <f t="shared" si="10"/>
        <v>0</v>
      </c>
      <c r="AN22" s="1">
        <f>U22*Paramètres!$B$75</f>
        <v>0</v>
      </c>
      <c r="AO22" s="1">
        <f>U22*Paramètres!$B$72*Paramètres!$B$73</f>
        <v>0</v>
      </c>
      <c r="AP22" s="1"/>
      <c r="AQ22" s="1">
        <f>(Y22+AC22)*Paramètres!$B$42*Paramètres!$B$53</f>
        <v>0</v>
      </c>
      <c r="AR22" s="1"/>
      <c r="AS22" s="7">
        <f>ROUNDUP(D22*Paramètres!$B$23*Paramètres!$B$26,-1)</f>
        <v>0</v>
      </c>
      <c r="AT22" s="7"/>
      <c r="AU22" s="1"/>
      <c r="AV22" s="8"/>
      <c r="AW22" s="8"/>
      <c r="AX22" s="8"/>
      <c r="AY22" s="8"/>
      <c r="AZ22" s="8"/>
      <c r="BA22" s="8"/>
      <c r="BB22" s="44"/>
      <c r="BC22" s="44"/>
      <c r="BD22" s="8"/>
      <c r="BE22" s="8"/>
      <c r="BF22" s="8"/>
      <c r="BG22" s="44"/>
      <c r="BI22">
        <f t="shared" si="11"/>
        <v>0</v>
      </c>
    </row>
    <row r="23" spans="1:61" x14ac:dyDescent="0.25">
      <c r="A23">
        <v>21</v>
      </c>
      <c r="C23" s="1"/>
      <c r="D23" s="1"/>
      <c r="E23" s="1"/>
      <c r="F23" s="47"/>
      <c r="G23" s="53"/>
      <c r="H23" s="53"/>
      <c r="I23" s="53"/>
      <c r="J23" s="50">
        <f>F23*Paramètres!$B$3</f>
        <v>0</v>
      </c>
      <c r="K23" s="56">
        <f t="shared" si="0"/>
        <v>0</v>
      </c>
      <c r="L23" s="56">
        <f t="shared" si="1"/>
        <v>0</v>
      </c>
      <c r="M23" s="56">
        <f t="shared" si="2"/>
        <v>0</v>
      </c>
      <c r="N23" s="3">
        <f>ROUNDUP(J23*Paramètres!$B$19,-1)</f>
        <v>0</v>
      </c>
      <c r="O23" s="1">
        <f t="shared" si="3"/>
        <v>0</v>
      </c>
      <c r="P23" s="1">
        <f t="shared" si="4"/>
        <v>0</v>
      </c>
      <c r="Q23" s="3">
        <f t="shared" si="5"/>
        <v>0</v>
      </c>
      <c r="R23" s="47">
        <f>ROUNDUP(+K23/Paramètres!$B$4/Paramètres!$B$53,0)</f>
        <v>0</v>
      </c>
      <c r="S23" s="47">
        <f>ROUNDUP(+L23/Paramètres!$B$6/Paramètres!$B$53,0)</f>
        <v>0</v>
      </c>
      <c r="T23" s="47"/>
      <c r="U23" s="2">
        <f t="shared" si="6"/>
        <v>0</v>
      </c>
      <c r="V23" s="1">
        <f>R23*Paramètres!$B$7</f>
        <v>0</v>
      </c>
      <c r="W23" s="1">
        <f>S23*Paramètres!$B$9</f>
        <v>0</v>
      </c>
      <c r="X23" s="1"/>
      <c r="Y23" s="2">
        <f t="shared" si="7"/>
        <v>0</v>
      </c>
      <c r="Z23" s="7">
        <f>R23*Paramètres!$B$10</f>
        <v>0</v>
      </c>
      <c r="AA23" s="7">
        <f>S23*Paramètres!$B$10</f>
        <v>0</v>
      </c>
      <c r="AB23" s="7"/>
      <c r="AC23" s="2">
        <f t="shared" si="8"/>
        <v>0</v>
      </c>
      <c r="AD23" s="1">
        <f t="shared" si="12"/>
        <v>0</v>
      </c>
      <c r="AE23" s="1">
        <f t="shared" si="9"/>
        <v>0</v>
      </c>
      <c r="AF23" s="1">
        <f>IF(B23="",0,Paramètres!$B$53*1.5)</f>
        <v>0</v>
      </c>
      <c r="AG23" s="1">
        <f>IF(C23="",0,Paramètres!$B$53*1.5)</f>
        <v>0</v>
      </c>
      <c r="AH23" s="1"/>
      <c r="AI23" s="1"/>
      <c r="AJ23" s="1"/>
      <c r="AK23" s="1"/>
      <c r="AL23" s="1">
        <f>(U23*Paramètres!$B$53)*3</f>
        <v>0</v>
      </c>
      <c r="AM23" s="1">
        <f t="shared" si="10"/>
        <v>0</v>
      </c>
      <c r="AN23" s="1">
        <f>U23*Paramètres!$B$75</f>
        <v>0</v>
      </c>
      <c r="AO23" s="1">
        <f>U23*Paramètres!$B$72*Paramètres!$B$73</f>
        <v>0</v>
      </c>
      <c r="AP23" s="1"/>
      <c r="AQ23" s="1">
        <f>(Y23+AC23)*Paramètres!$B$42*Paramètres!$B$53</f>
        <v>0</v>
      </c>
      <c r="AR23" s="1"/>
      <c r="AS23" s="7">
        <f>ROUNDUP(D23*Paramètres!$B$23*Paramètres!$B$26,-1)</f>
        <v>0</v>
      </c>
      <c r="AT23" s="7"/>
      <c r="AU23" s="1"/>
      <c r="AV23" s="8"/>
      <c r="AW23" s="8"/>
      <c r="AX23" s="8"/>
      <c r="AY23" s="8"/>
      <c r="AZ23" s="8"/>
      <c r="BA23" s="8"/>
      <c r="BB23" s="44"/>
      <c r="BC23" s="44"/>
      <c r="BD23" s="8"/>
      <c r="BE23" s="8"/>
      <c r="BF23" s="8"/>
      <c r="BG23" s="44"/>
      <c r="BI23">
        <f t="shared" si="11"/>
        <v>0</v>
      </c>
    </row>
    <row r="24" spans="1:61" x14ac:dyDescent="0.25">
      <c r="A24">
        <v>22</v>
      </c>
      <c r="C24" s="1"/>
      <c r="D24" s="1"/>
      <c r="E24" s="1"/>
      <c r="F24" s="47"/>
      <c r="G24" s="53"/>
      <c r="H24" s="53"/>
      <c r="I24" s="53"/>
      <c r="J24" s="50">
        <f>F24*Paramètres!$B$3</f>
        <v>0</v>
      </c>
      <c r="K24" s="56">
        <f t="shared" si="0"/>
        <v>0</v>
      </c>
      <c r="L24" s="56">
        <f t="shared" si="1"/>
        <v>0</v>
      </c>
      <c r="M24" s="56">
        <f t="shared" si="2"/>
        <v>0</v>
      </c>
      <c r="N24" s="3">
        <f>ROUNDUP(J24*Paramètres!$B$19,-1)</f>
        <v>0</v>
      </c>
      <c r="O24" s="1">
        <f t="shared" si="3"/>
        <v>0</v>
      </c>
      <c r="P24" s="1">
        <f t="shared" si="4"/>
        <v>0</v>
      </c>
      <c r="Q24" s="3">
        <f t="shared" si="5"/>
        <v>0</v>
      </c>
      <c r="R24" s="47">
        <f>ROUNDUP(+K24/Paramètres!$B$4/Paramètres!$B$53,0)</f>
        <v>0</v>
      </c>
      <c r="S24" s="47">
        <f>ROUNDUP(+L24/Paramètres!$B$6/Paramètres!$B$53,0)</f>
        <v>0</v>
      </c>
      <c r="T24" s="47"/>
      <c r="U24" s="2">
        <f t="shared" si="6"/>
        <v>0</v>
      </c>
      <c r="V24" s="1">
        <f>R24*Paramètres!$B$7</f>
        <v>0</v>
      </c>
      <c r="W24" s="1">
        <f>S24*Paramètres!$B$9</f>
        <v>0</v>
      </c>
      <c r="X24" s="1"/>
      <c r="Y24" s="2">
        <f t="shared" si="7"/>
        <v>0</v>
      </c>
      <c r="Z24" s="7">
        <f>R24*Paramètres!$B$10</f>
        <v>0</v>
      </c>
      <c r="AA24" s="7">
        <f>S24*Paramètres!$B$10</f>
        <v>0</v>
      </c>
      <c r="AB24" s="7"/>
      <c r="AC24" s="2">
        <f t="shared" si="8"/>
        <v>0</v>
      </c>
      <c r="AD24" s="1">
        <f t="shared" si="12"/>
        <v>0</v>
      </c>
      <c r="AE24" s="1">
        <f t="shared" si="9"/>
        <v>0</v>
      </c>
      <c r="AF24" s="1">
        <f>IF(B24="",0,Paramètres!$B$53*1.5)</f>
        <v>0</v>
      </c>
      <c r="AG24" s="1">
        <f>IF(C24="",0,Paramètres!$B$53*1.5)</f>
        <v>0</v>
      </c>
      <c r="AH24" s="1"/>
      <c r="AI24" s="1"/>
      <c r="AJ24" s="1"/>
      <c r="AK24" s="1"/>
      <c r="AL24" s="1">
        <f>(U24*Paramètres!$B$53)*3</f>
        <v>0</v>
      </c>
      <c r="AM24" s="1">
        <f t="shared" si="10"/>
        <v>0</v>
      </c>
      <c r="AN24" s="1">
        <f>U24*Paramètres!$B$75</f>
        <v>0</v>
      </c>
      <c r="AO24" s="1">
        <f>U24*Paramètres!$B$72*Paramètres!$B$73</f>
        <v>0</v>
      </c>
      <c r="AP24" s="1"/>
      <c r="AQ24" s="1">
        <f>(Y24+AC24)*Paramètres!$B$42*Paramètres!$B$53</f>
        <v>0</v>
      </c>
      <c r="AR24" s="1"/>
      <c r="AS24" s="7">
        <f>ROUNDUP(D24*Paramètres!$B$23*Paramètres!$B$26,-1)</f>
        <v>0</v>
      </c>
      <c r="AT24" s="7"/>
      <c r="AU24" s="1"/>
      <c r="AV24" s="8"/>
      <c r="AW24" s="8"/>
      <c r="AX24" s="8"/>
      <c r="AY24" s="8"/>
      <c r="AZ24" s="8"/>
      <c r="BA24" s="8"/>
      <c r="BB24" s="44"/>
      <c r="BC24" s="44"/>
      <c r="BD24" s="8"/>
      <c r="BE24" s="8"/>
      <c r="BF24" s="8"/>
      <c r="BG24" s="44"/>
      <c r="BI24">
        <f t="shared" si="11"/>
        <v>0</v>
      </c>
    </row>
    <row r="25" spans="1:61" x14ac:dyDescent="0.25">
      <c r="A25">
        <v>23</v>
      </c>
      <c r="B25" s="1"/>
      <c r="C25" s="1"/>
      <c r="D25" s="1"/>
      <c r="E25" s="1"/>
      <c r="F25" s="47"/>
      <c r="G25" s="53"/>
      <c r="H25" s="53"/>
      <c r="I25" s="53"/>
      <c r="J25" s="50">
        <f>F25*Paramètres!$B$3</f>
        <v>0</v>
      </c>
      <c r="K25" s="56">
        <f t="shared" si="0"/>
        <v>0</v>
      </c>
      <c r="L25" s="56">
        <f t="shared" si="1"/>
        <v>0</v>
      </c>
      <c r="M25" s="56">
        <f t="shared" si="2"/>
        <v>0</v>
      </c>
      <c r="N25" s="3">
        <f>ROUNDUP(J25*Paramètres!$B$19,-1)</f>
        <v>0</v>
      </c>
      <c r="O25" s="1">
        <f t="shared" si="3"/>
        <v>0</v>
      </c>
      <c r="P25" s="1">
        <f t="shared" si="4"/>
        <v>0</v>
      </c>
      <c r="Q25" s="3">
        <f t="shared" si="5"/>
        <v>0</v>
      </c>
      <c r="R25" s="47">
        <f>ROUNDUP(+K25/Paramètres!$B$4/Paramètres!$B$53,0)</f>
        <v>0</v>
      </c>
      <c r="S25" s="47">
        <f>ROUNDUP(+L25/Paramètres!$B$6/Paramètres!$B$53,0)</f>
        <v>0</v>
      </c>
      <c r="T25" s="47"/>
      <c r="U25" s="2">
        <f t="shared" si="6"/>
        <v>0</v>
      </c>
      <c r="V25" s="1">
        <f>R25*Paramètres!$B$7</f>
        <v>0</v>
      </c>
      <c r="W25" s="1">
        <f>S25*Paramètres!$B$9</f>
        <v>0</v>
      </c>
      <c r="X25" s="1"/>
      <c r="Y25" s="2">
        <f t="shared" si="7"/>
        <v>0</v>
      </c>
      <c r="Z25" s="7">
        <f>R25*Paramètres!$B$10</f>
        <v>0</v>
      </c>
      <c r="AA25" s="7">
        <f>S25*Paramètres!$B$10</f>
        <v>0</v>
      </c>
      <c r="AB25" s="7"/>
      <c r="AC25" s="2">
        <f t="shared" si="8"/>
        <v>0</v>
      </c>
      <c r="AD25" s="1">
        <f t="shared" si="12"/>
        <v>0</v>
      </c>
      <c r="AE25" s="1">
        <f t="shared" si="9"/>
        <v>0</v>
      </c>
      <c r="AF25" s="1">
        <f>IF(B25="",0,Paramètres!$B$53*1.5)</f>
        <v>0</v>
      </c>
      <c r="AG25" s="1">
        <f>IF(C25="",0,Paramètres!$B$53*1.5)</f>
        <v>0</v>
      </c>
      <c r="AH25" s="1"/>
      <c r="AI25" s="1"/>
      <c r="AJ25" s="1"/>
      <c r="AK25" s="1"/>
      <c r="AL25" s="1">
        <f>(U25*Paramètres!$B$53)*3</f>
        <v>0</v>
      </c>
      <c r="AM25" s="1">
        <f t="shared" si="10"/>
        <v>0</v>
      </c>
      <c r="AN25" s="1">
        <f>U25*Paramètres!$B$75</f>
        <v>0</v>
      </c>
      <c r="AO25" s="1">
        <f>U25*Paramètres!$B$72*Paramètres!$B$73</f>
        <v>0</v>
      </c>
      <c r="AP25" s="1"/>
      <c r="AQ25" s="1">
        <f>(Y25+AC25)*Paramètres!$B$42*Paramètres!$B$53</f>
        <v>0</v>
      </c>
      <c r="AR25" s="1"/>
      <c r="AS25" s="7">
        <f>ROUNDUP(D25*Paramètres!$B$23*Paramètres!$B$26,-1)</f>
        <v>0</v>
      </c>
      <c r="AT25" s="7"/>
      <c r="AU25" s="1"/>
      <c r="AV25" s="8"/>
      <c r="AW25" s="8"/>
      <c r="AX25" s="8"/>
      <c r="AY25" s="8"/>
      <c r="AZ25" s="8"/>
      <c r="BA25" s="8"/>
      <c r="BB25" s="44"/>
      <c r="BC25" s="44"/>
      <c r="BD25" s="8"/>
      <c r="BE25" s="8"/>
      <c r="BF25" s="8"/>
      <c r="BG25" s="44"/>
      <c r="BI25">
        <f t="shared" si="11"/>
        <v>0</v>
      </c>
    </row>
    <row r="26" spans="1:61" x14ac:dyDescent="0.25">
      <c r="A26">
        <v>24</v>
      </c>
      <c r="B26" s="1"/>
      <c r="C26" s="1"/>
      <c r="D26" s="1"/>
      <c r="E26" s="1"/>
      <c r="F26" s="47"/>
      <c r="G26" s="53"/>
      <c r="H26" s="53"/>
      <c r="I26" s="53"/>
      <c r="J26" s="50">
        <f>F26*Paramètres!$B$3</f>
        <v>0</v>
      </c>
      <c r="K26" s="56">
        <f t="shared" si="0"/>
        <v>0</v>
      </c>
      <c r="L26" s="56">
        <f t="shared" si="1"/>
        <v>0</v>
      </c>
      <c r="M26" s="56">
        <f t="shared" si="2"/>
        <v>0</v>
      </c>
      <c r="N26" s="3">
        <f>ROUNDUP(J26*Paramètres!$B$19,-1)</f>
        <v>0</v>
      </c>
      <c r="O26" s="1">
        <f t="shared" si="3"/>
        <v>0</v>
      </c>
      <c r="P26" s="1">
        <f t="shared" si="4"/>
        <v>0</v>
      </c>
      <c r="Q26" s="3">
        <f t="shared" si="5"/>
        <v>0</v>
      </c>
      <c r="R26" s="47">
        <f>ROUNDUP(+K26/Paramètres!$B$4/Paramètres!$B$53,0)</f>
        <v>0</v>
      </c>
      <c r="S26" s="47">
        <f>ROUNDUP(+L26/Paramètres!$B$6/Paramètres!$B$53,0)</f>
        <v>0</v>
      </c>
      <c r="T26" s="47"/>
      <c r="U26" s="2">
        <f t="shared" si="6"/>
        <v>0</v>
      </c>
      <c r="V26" s="1">
        <f>R26*Paramètres!$B$7</f>
        <v>0</v>
      </c>
      <c r="W26" s="1">
        <f>S26*Paramètres!$B$9</f>
        <v>0</v>
      </c>
      <c r="X26" s="1"/>
      <c r="Y26" s="2">
        <f t="shared" si="7"/>
        <v>0</v>
      </c>
      <c r="Z26" s="7">
        <f>R26*Paramètres!$B$10</f>
        <v>0</v>
      </c>
      <c r="AA26" s="7">
        <f>S26*Paramètres!$B$10</f>
        <v>0</v>
      </c>
      <c r="AB26" s="7"/>
      <c r="AC26" s="2">
        <f t="shared" si="8"/>
        <v>0</v>
      </c>
      <c r="AD26" s="1">
        <f t="shared" si="12"/>
        <v>0</v>
      </c>
      <c r="AE26" s="1">
        <f t="shared" si="9"/>
        <v>0</v>
      </c>
      <c r="AF26" s="1">
        <f>IF(B26="",0,Paramètres!$B$53*1.5)</f>
        <v>0</v>
      </c>
      <c r="AG26" s="1">
        <f>IF(C26="",0,Paramètres!$B$53*1.5)</f>
        <v>0</v>
      </c>
      <c r="AH26" s="1"/>
      <c r="AI26" s="1"/>
      <c r="AJ26" s="1"/>
      <c r="AK26" s="1"/>
      <c r="AL26" s="1">
        <f>(U26*Paramètres!$B$53)*3</f>
        <v>0</v>
      </c>
      <c r="AM26" s="1">
        <f t="shared" si="10"/>
        <v>0</v>
      </c>
      <c r="AN26" s="1">
        <f>U26*Paramètres!$B$75</f>
        <v>0</v>
      </c>
      <c r="AO26" s="1">
        <f>U26*Paramètres!$B$72*Paramètres!$B$73</f>
        <v>0</v>
      </c>
      <c r="AP26" s="1"/>
      <c r="AQ26" s="1">
        <f>(Y26+AC26)*Paramètres!$B$42*Paramètres!$B$53</f>
        <v>0</v>
      </c>
      <c r="AR26" s="1"/>
      <c r="AS26" s="7">
        <f>ROUNDUP(D26*Paramètres!$B$23*Paramètres!$B$26,-1)</f>
        <v>0</v>
      </c>
      <c r="AT26" s="7"/>
      <c r="AU26" s="1"/>
      <c r="AV26" s="8"/>
      <c r="AW26" s="8"/>
      <c r="AX26" s="8"/>
      <c r="AY26" s="8"/>
      <c r="AZ26" s="8"/>
      <c r="BA26" s="8"/>
      <c r="BB26" s="44"/>
      <c r="BC26" s="44"/>
      <c r="BD26" s="8"/>
      <c r="BE26" s="8"/>
      <c r="BF26" s="8"/>
      <c r="BG26" s="44"/>
      <c r="BI26">
        <f t="shared" si="11"/>
        <v>0</v>
      </c>
    </row>
    <row r="27" spans="1:61" x14ac:dyDescent="0.25">
      <c r="A27">
        <v>25</v>
      </c>
      <c r="B27" s="1"/>
      <c r="C27" s="1"/>
      <c r="D27" s="1"/>
      <c r="E27" s="1"/>
      <c r="F27" s="47"/>
      <c r="G27" s="53"/>
      <c r="H27" s="53"/>
      <c r="I27" s="53"/>
      <c r="J27" s="50">
        <f>F27*Paramètres!$B$3</f>
        <v>0</v>
      </c>
      <c r="K27" s="56">
        <f t="shared" si="0"/>
        <v>0</v>
      </c>
      <c r="L27" s="56">
        <f t="shared" si="1"/>
        <v>0</v>
      </c>
      <c r="M27" s="56">
        <f t="shared" si="2"/>
        <v>0</v>
      </c>
      <c r="N27" s="3">
        <f>ROUNDUP(J27*Paramètres!$B$19,-1)</f>
        <v>0</v>
      </c>
      <c r="O27" s="1">
        <f t="shared" si="3"/>
        <v>0</v>
      </c>
      <c r="P27" s="1">
        <f t="shared" si="4"/>
        <v>0</v>
      </c>
      <c r="Q27" s="3">
        <f t="shared" si="5"/>
        <v>0</v>
      </c>
      <c r="R27" s="47">
        <f>ROUNDUP(+K27/Paramètres!$B$4/Paramètres!$B$53,0)</f>
        <v>0</v>
      </c>
      <c r="S27" s="47">
        <f>ROUNDUP(+L27/Paramètres!$B$6/Paramètres!$B$53,0)</f>
        <v>0</v>
      </c>
      <c r="T27" s="47"/>
      <c r="U27" s="2">
        <f t="shared" si="6"/>
        <v>0</v>
      </c>
      <c r="V27" s="1">
        <f>R27*Paramètres!$B$7</f>
        <v>0</v>
      </c>
      <c r="W27" s="1">
        <f>S27*Paramètres!$B$9</f>
        <v>0</v>
      </c>
      <c r="X27" s="1"/>
      <c r="Y27" s="2">
        <f t="shared" si="7"/>
        <v>0</v>
      </c>
      <c r="Z27" s="7">
        <f>R27*Paramètres!$B$10</f>
        <v>0</v>
      </c>
      <c r="AA27" s="7">
        <f>S27*Paramètres!$B$10</f>
        <v>0</v>
      </c>
      <c r="AB27" s="7"/>
      <c r="AC27" s="2">
        <f t="shared" si="8"/>
        <v>0</v>
      </c>
      <c r="AD27" s="1">
        <f t="shared" si="12"/>
        <v>0</v>
      </c>
      <c r="AE27" s="1">
        <f t="shared" si="9"/>
        <v>0</v>
      </c>
      <c r="AF27" s="1">
        <f>IF(B27="",0,Paramètres!$B$53*1.5)</f>
        <v>0</v>
      </c>
      <c r="AG27" s="1">
        <f>IF(C27="",0,Paramètres!$B$53*1.5)</f>
        <v>0</v>
      </c>
      <c r="AH27" s="1"/>
      <c r="AI27" s="1"/>
      <c r="AJ27" s="1"/>
      <c r="AK27" s="1"/>
      <c r="AL27" s="1">
        <f>(U27*Paramètres!$B$53)*3</f>
        <v>0</v>
      </c>
      <c r="AM27" s="1">
        <f t="shared" si="10"/>
        <v>0</v>
      </c>
      <c r="AN27" s="1">
        <f>U27*Paramètres!$B$75</f>
        <v>0</v>
      </c>
      <c r="AO27" s="1">
        <f>U27*Paramètres!$B$72*Paramètres!$B$73</f>
        <v>0</v>
      </c>
      <c r="AP27" s="1"/>
      <c r="AQ27" s="1">
        <f>(Y27+AC27)*Paramètres!$B$42*Paramètres!$B$53</f>
        <v>0</v>
      </c>
      <c r="AR27" s="1"/>
      <c r="AS27" s="7">
        <f>ROUNDUP(D27*Paramètres!$B$23*Paramètres!$B$26,-1)</f>
        <v>0</v>
      </c>
      <c r="AT27" s="7"/>
      <c r="AU27" s="1"/>
      <c r="AV27" s="8"/>
      <c r="AW27" s="8"/>
      <c r="AX27" s="8"/>
      <c r="AY27" s="8"/>
      <c r="AZ27" s="8"/>
      <c r="BA27" s="8"/>
      <c r="BB27" s="44"/>
      <c r="BC27" s="44"/>
      <c r="BD27" s="8"/>
      <c r="BE27" s="8"/>
      <c r="BF27" s="8"/>
      <c r="BG27" s="44"/>
      <c r="BI27">
        <f t="shared" si="11"/>
        <v>0</v>
      </c>
    </row>
    <row r="28" spans="1:61" x14ac:dyDescent="0.25">
      <c r="A28">
        <v>26</v>
      </c>
      <c r="B28" s="1"/>
      <c r="C28" s="1"/>
      <c r="D28" s="1"/>
      <c r="E28" s="1"/>
      <c r="F28" s="47"/>
      <c r="G28" s="53"/>
      <c r="H28" s="53"/>
      <c r="I28" s="53"/>
      <c r="J28" s="50">
        <f>F28*Paramètres!$B$3</f>
        <v>0</v>
      </c>
      <c r="K28" s="56">
        <f t="shared" si="0"/>
        <v>0</v>
      </c>
      <c r="L28" s="56">
        <f t="shared" si="1"/>
        <v>0</v>
      </c>
      <c r="M28" s="56">
        <f t="shared" si="2"/>
        <v>0</v>
      </c>
      <c r="N28" s="3">
        <f>ROUNDUP(J28*Paramètres!$B$19,-1)</f>
        <v>0</v>
      </c>
      <c r="O28" s="1">
        <f t="shared" si="3"/>
        <v>0</v>
      </c>
      <c r="P28" s="1">
        <f t="shared" si="4"/>
        <v>0</v>
      </c>
      <c r="Q28" s="3">
        <f t="shared" si="5"/>
        <v>0</v>
      </c>
      <c r="R28" s="47">
        <f>ROUNDUP(+K28/Paramètres!$B$4/Paramètres!$B$53,0)</f>
        <v>0</v>
      </c>
      <c r="S28" s="47">
        <f>ROUNDUP(+L28/Paramètres!$B$6/Paramètres!$B$53,0)</f>
        <v>0</v>
      </c>
      <c r="T28" s="47"/>
      <c r="U28" s="2">
        <f t="shared" si="6"/>
        <v>0</v>
      </c>
      <c r="V28" s="1">
        <f>R28*Paramètres!$B$7</f>
        <v>0</v>
      </c>
      <c r="W28" s="1">
        <f>S28*Paramètres!$B$9</f>
        <v>0</v>
      </c>
      <c r="X28" s="1"/>
      <c r="Y28" s="2">
        <f t="shared" si="7"/>
        <v>0</v>
      </c>
      <c r="Z28" s="7">
        <f>R28*Paramètres!$B$10</f>
        <v>0</v>
      </c>
      <c r="AA28" s="7">
        <f>S28*Paramètres!$B$10</f>
        <v>0</v>
      </c>
      <c r="AB28" s="7"/>
      <c r="AC28" s="2">
        <f t="shared" si="8"/>
        <v>0</v>
      </c>
      <c r="AD28" s="1">
        <f t="shared" si="12"/>
        <v>0</v>
      </c>
      <c r="AE28" s="1">
        <f t="shared" si="9"/>
        <v>0</v>
      </c>
      <c r="AF28" s="1">
        <f>IF(B28="",0,Paramètres!$B$53*1.5)</f>
        <v>0</v>
      </c>
      <c r="AG28" s="1">
        <f>IF(C28="",0,Paramètres!$B$53*1.5)</f>
        <v>0</v>
      </c>
      <c r="AH28" s="1"/>
      <c r="AI28" s="1"/>
      <c r="AJ28" s="1"/>
      <c r="AK28" s="1"/>
      <c r="AL28" s="1">
        <f>(U28*Paramètres!$B$53)*3</f>
        <v>0</v>
      </c>
      <c r="AM28" s="1">
        <f t="shared" si="10"/>
        <v>0</v>
      </c>
      <c r="AN28" s="1">
        <f>U28*Paramètres!$B$75</f>
        <v>0</v>
      </c>
      <c r="AO28" s="1">
        <f>U28*Paramètres!$B$72*Paramètres!$B$73</f>
        <v>0</v>
      </c>
      <c r="AP28" s="1"/>
      <c r="AQ28" s="1">
        <f>(Y28+AC28)*Paramètres!$B$42*Paramètres!$B$53</f>
        <v>0</v>
      </c>
      <c r="AR28" s="1"/>
      <c r="AS28" s="7">
        <f>ROUNDUP(D28*Paramètres!$B$23*Paramètres!$B$26,-1)</f>
        <v>0</v>
      </c>
      <c r="AT28" s="7"/>
      <c r="AU28" s="1"/>
      <c r="AV28" s="8"/>
      <c r="AW28" s="8"/>
      <c r="AX28" s="8"/>
      <c r="AY28" s="8"/>
      <c r="AZ28" s="8"/>
      <c r="BA28" s="8"/>
      <c r="BB28" s="44"/>
      <c r="BC28" s="44"/>
      <c r="BD28" s="8"/>
      <c r="BE28" s="8"/>
      <c r="BF28" s="8"/>
      <c r="BG28" s="44"/>
      <c r="BI28">
        <f t="shared" si="11"/>
        <v>0</v>
      </c>
    </row>
    <row r="29" spans="1:61" x14ac:dyDescent="0.25">
      <c r="A29">
        <v>27</v>
      </c>
      <c r="B29" s="1"/>
      <c r="C29" s="1"/>
      <c r="D29" s="1"/>
      <c r="E29" s="1"/>
      <c r="F29" s="1"/>
      <c r="G29" s="53"/>
      <c r="H29" s="53"/>
      <c r="I29" s="53"/>
      <c r="J29" s="50">
        <f>F29*Paramètres!$B$3</f>
        <v>0</v>
      </c>
      <c r="K29" s="56">
        <f t="shared" si="0"/>
        <v>0</v>
      </c>
      <c r="L29" s="56">
        <f t="shared" si="1"/>
        <v>0</v>
      </c>
      <c r="M29" s="56">
        <f t="shared" si="2"/>
        <v>0</v>
      </c>
      <c r="N29" s="3">
        <f>ROUNDUP(J29*Paramètres!$B$19,-1)</f>
        <v>0</v>
      </c>
      <c r="O29" s="1">
        <f t="shared" si="3"/>
        <v>0</v>
      </c>
      <c r="P29" s="1">
        <f t="shared" si="4"/>
        <v>0</v>
      </c>
      <c r="Q29" s="3">
        <f t="shared" si="5"/>
        <v>0</v>
      </c>
      <c r="R29" s="47">
        <f>ROUNDUP(+K29/Paramètres!$B$4/Paramètres!$B$53,0)</f>
        <v>0</v>
      </c>
      <c r="S29" s="47">
        <f>ROUNDUP(+L29/Paramètres!$B$6/Paramètres!$B$53,0)</f>
        <v>0</v>
      </c>
      <c r="T29" s="47"/>
      <c r="U29" s="2">
        <f t="shared" si="6"/>
        <v>0</v>
      </c>
      <c r="V29" s="1">
        <f>R29*Paramètres!$B$7</f>
        <v>0</v>
      </c>
      <c r="W29" s="1">
        <f>S29*Paramètres!$B$9</f>
        <v>0</v>
      </c>
      <c r="X29" s="1"/>
      <c r="Y29" s="2">
        <f t="shared" si="7"/>
        <v>0</v>
      </c>
      <c r="Z29" s="7">
        <f>R29*Paramètres!$B$10</f>
        <v>0</v>
      </c>
      <c r="AA29" s="7">
        <f>S29*Paramètres!$B$10</f>
        <v>0</v>
      </c>
      <c r="AB29" s="7"/>
      <c r="AC29" s="2">
        <f t="shared" si="8"/>
        <v>0</v>
      </c>
      <c r="AD29" s="1">
        <f t="shared" si="12"/>
        <v>0</v>
      </c>
      <c r="AE29" s="1">
        <f t="shared" si="9"/>
        <v>0</v>
      </c>
      <c r="AF29" s="1">
        <f>IF(B29="",0,Paramètres!$B$53*1.5)</f>
        <v>0</v>
      </c>
      <c r="AG29" s="1">
        <f>IF(C29="",0,Paramètres!$B$53*1.5)</f>
        <v>0</v>
      </c>
      <c r="AH29" s="1"/>
      <c r="AI29" s="1"/>
      <c r="AJ29" s="1"/>
      <c r="AK29" s="1"/>
      <c r="AL29" s="1">
        <f>(U29*Paramètres!$B$53)*3</f>
        <v>0</v>
      </c>
      <c r="AM29" s="1">
        <f t="shared" si="10"/>
        <v>0</v>
      </c>
      <c r="AN29" s="1">
        <f>U29*Paramètres!$B$75</f>
        <v>0</v>
      </c>
      <c r="AO29" s="1">
        <f>U29*Paramètres!$B$72*Paramètres!$B$73</f>
        <v>0</v>
      </c>
      <c r="AP29" s="1"/>
      <c r="AQ29" s="1">
        <f>(Y29+AC29)*Paramètres!$B$42*Paramètres!$B$53</f>
        <v>0</v>
      </c>
      <c r="AR29" s="1"/>
      <c r="AS29" s="7">
        <f>ROUNDUP(D29*Paramètres!$B$23*Paramètres!$B$26,-1)</f>
        <v>0</v>
      </c>
      <c r="AT29" s="7"/>
      <c r="AU29" s="1"/>
      <c r="AV29" s="8"/>
      <c r="AW29" s="8"/>
      <c r="AX29" s="8"/>
      <c r="AY29" s="8"/>
      <c r="AZ29" s="8"/>
      <c r="BA29" s="8"/>
      <c r="BB29" s="44"/>
      <c r="BC29" s="44"/>
      <c r="BD29" s="8"/>
      <c r="BE29" s="8"/>
      <c r="BF29" s="8"/>
      <c r="BG29" s="44"/>
      <c r="BI29">
        <f t="shared" si="11"/>
        <v>0</v>
      </c>
    </row>
    <row r="30" spans="1:61" x14ac:dyDescent="0.25">
      <c r="A30">
        <v>28</v>
      </c>
      <c r="B30" s="1"/>
      <c r="C30" s="1"/>
      <c r="D30" s="1"/>
      <c r="E30" s="1"/>
      <c r="F30" s="1"/>
      <c r="G30" s="53"/>
      <c r="H30" s="53"/>
      <c r="I30" s="54"/>
      <c r="J30" s="50">
        <f>F30*Paramètres!$B$3</f>
        <v>0</v>
      </c>
      <c r="K30" s="56">
        <f t="shared" si="0"/>
        <v>0</v>
      </c>
      <c r="L30" s="56">
        <f t="shared" si="1"/>
        <v>0</v>
      </c>
      <c r="M30" s="56">
        <f t="shared" si="2"/>
        <v>0</v>
      </c>
      <c r="N30" s="3">
        <f>ROUNDUP(J30*Paramètres!$B$19,-1)</f>
        <v>0</v>
      </c>
      <c r="O30" s="1">
        <f t="shared" si="3"/>
        <v>0</v>
      </c>
      <c r="P30" s="1">
        <f t="shared" si="4"/>
        <v>0</v>
      </c>
      <c r="Q30" s="3">
        <f t="shared" si="5"/>
        <v>0</v>
      </c>
      <c r="R30" s="47">
        <f>ROUNDUP(+K30/Paramètres!$B$4/Paramètres!$B$53,0)</f>
        <v>0</v>
      </c>
      <c r="S30" s="47">
        <f>ROUNDUP(+L30/Paramètres!$B$6/Paramètres!$B$53,0)</f>
        <v>0</v>
      </c>
      <c r="T30" s="47"/>
      <c r="U30" s="2">
        <f t="shared" si="6"/>
        <v>0</v>
      </c>
      <c r="V30" s="1">
        <f>R30*Paramètres!$B$7</f>
        <v>0</v>
      </c>
      <c r="W30" s="1">
        <f>S30*Paramètres!$B$9</f>
        <v>0</v>
      </c>
      <c r="X30" s="1"/>
      <c r="Y30" s="2">
        <f t="shared" si="7"/>
        <v>0</v>
      </c>
      <c r="Z30" s="7">
        <f>R30*Paramètres!$B$10</f>
        <v>0</v>
      </c>
      <c r="AA30" s="7">
        <f>S30*Paramètres!$B$10</f>
        <v>0</v>
      </c>
      <c r="AB30" s="7"/>
      <c r="AC30" s="2">
        <f t="shared" si="8"/>
        <v>0</v>
      </c>
      <c r="AD30" s="1">
        <f t="shared" si="12"/>
        <v>0</v>
      </c>
      <c r="AE30" s="1">
        <f t="shared" si="9"/>
        <v>0</v>
      </c>
      <c r="AF30" s="1">
        <f>IF(B30="",0,Paramètres!$B$53*1.5)</f>
        <v>0</v>
      </c>
      <c r="AG30" s="1">
        <f>IF(C30="",0,Paramètres!$B$53*1.5)</f>
        <v>0</v>
      </c>
      <c r="AH30" s="1"/>
      <c r="AI30" s="1"/>
      <c r="AJ30" s="1"/>
      <c r="AK30" s="1"/>
      <c r="AL30" s="1">
        <f>(U30*Paramètres!$B$53)*3</f>
        <v>0</v>
      </c>
      <c r="AM30" s="1">
        <f t="shared" si="10"/>
        <v>0</v>
      </c>
      <c r="AN30" s="1">
        <f>U30*Paramètres!$B$75</f>
        <v>0</v>
      </c>
      <c r="AO30" s="1">
        <f>U30*Paramètres!$B$72*Paramètres!$B$73</f>
        <v>0</v>
      </c>
      <c r="AP30" s="1"/>
      <c r="AQ30" s="1">
        <f>(Y30+AC30)*Paramètres!$B$42*Paramètres!$B$53</f>
        <v>0</v>
      </c>
      <c r="AR30" s="1"/>
      <c r="AS30" s="7">
        <f>ROUNDUP(D30*Paramètres!$B$23*Paramètres!$B$26,-1)</f>
        <v>0</v>
      </c>
      <c r="AT30" s="7"/>
      <c r="AU30" s="1"/>
      <c r="AV30" s="8"/>
      <c r="AW30" s="8"/>
      <c r="AX30" s="8"/>
      <c r="AY30" s="8"/>
      <c r="AZ30" s="8"/>
      <c r="BA30" s="8"/>
      <c r="BB30" s="44"/>
      <c r="BC30" s="44"/>
      <c r="BD30" s="8"/>
      <c r="BE30" s="8"/>
      <c r="BF30" s="8"/>
      <c r="BG30" s="44"/>
      <c r="BI30">
        <f t="shared" si="11"/>
        <v>0</v>
      </c>
    </row>
    <row r="31" spans="1:61" x14ac:dyDescent="0.25">
      <c r="A31">
        <v>29</v>
      </c>
      <c r="B31" s="1"/>
      <c r="C31" s="1"/>
      <c r="D31" s="1"/>
      <c r="E31" s="1"/>
      <c r="F31" s="1"/>
      <c r="G31" s="53"/>
      <c r="H31" s="53"/>
      <c r="I31" s="54"/>
      <c r="J31" s="50">
        <f>F31*Paramètres!$B$3</f>
        <v>0</v>
      </c>
      <c r="K31" s="56">
        <f t="shared" si="0"/>
        <v>0</v>
      </c>
      <c r="L31" s="56">
        <f t="shared" si="1"/>
        <v>0</v>
      </c>
      <c r="M31" s="56">
        <f t="shared" si="2"/>
        <v>0</v>
      </c>
      <c r="N31" s="3">
        <f>ROUNDUP(J31*Paramètres!$B$19,-1)</f>
        <v>0</v>
      </c>
      <c r="O31" s="1">
        <f t="shared" si="3"/>
        <v>0</v>
      </c>
      <c r="P31" s="1">
        <f t="shared" si="4"/>
        <v>0</v>
      </c>
      <c r="Q31" s="3">
        <f t="shared" si="5"/>
        <v>0</v>
      </c>
      <c r="R31" s="47">
        <f>ROUNDUP(+K31/Paramètres!$B$4/Paramètres!$B$53,0)</f>
        <v>0</v>
      </c>
      <c r="S31" s="47">
        <f>ROUNDUP(+L31/Paramètres!$B$6/Paramètres!$B$53,0)</f>
        <v>0</v>
      </c>
      <c r="T31" s="47"/>
      <c r="U31" s="2">
        <f t="shared" si="6"/>
        <v>0</v>
      </c>
      <c r="V31" s="1">
        <f>R31*Paramètres!$B$7</f>
        <v>0</v>
      </c>
      <c r="W31" s="1">
        <f>S31*Paramètres!$B$9</f>
        <v>0</v>
      </c>
      <c r="X31" s="1"/>
      <c r="Y31" s="2">
        <f t="shared" si="7"/>
        <v>0</v>
      </c>
      <c r="Z31" s="7">
        <f>R31*Paramètres!$B$10</f>
        <v>0</v>
      </c>
      <c r="AA31" s="7">
        <f>S31*Paramètres!$B$10</f>
        <v>0</v>
      </c>
      <c r="AB31" s="7"/>
      <c r="AC31" s="2">
        <f t="shared" si="8"/>
        <v>0</v>
      </c>
      <c r="AD31" s="1">
        <f t="shared" si="12"/>
        <v>0</v>
      </c>
      <c r="AE31" s="1">
        <f t="shared" si="9"/>
        <v>0</v>
      </c>
      <c r="AF31" s="1">
        <f>IF(B31="",0,Paramètres!$B$53*1.5)</f>
        <v>0</v>
      </c>
      <c r="AG31" s="1">
        <f>IF(C31="",0,Paramètres!$B$53*1.5)</f>
        <v>0</v>
      </c>
      <c r="AH31" s="1"/>
      <c r="AI31" s="1"/>
      <c r="AJ31" s="1"/>
      <c r="AK31" s="1"/>
      <c r="AL31" s="1">
        <f>(U31*Paramètres!$B$53)*3</f>
        <v>0</v>
      </c>
      <c r="AM31" s="1">
        <f t="shared" si="10"/>
        <v>0</v>
      </c>
      <c r="AN31" s="1">
        <f>U31*Paramètres!$B$75</f>
        <v>0</v>
      </c>
      <c r="AO31" s="1">
        <f>U31*Paramètres!$B$72*Paramètres!$B$73</f>
        <v>0</v>
      </c>
      <c r="AP31" s="1"/>
      <c r="AQ31" s="1">
        <f>(Y31+AC31)*Paramètres!$B$42*Paramètres!$B$53</f>
        <v>0</v>
      </c>
      <c r="AR31" s="1"/>
      <c r="AS31" s="7">
        <f>ROUNDUP(D31*Paramètres!$B$23*Paramètres!$B$26,-1)</f>
        <v>0</v>
      </c>
      <c r="AT31" s="7"/>
      <c r="AU31" s="1"/>
      <c r="AV31" s="8"/>
      <c r="AW31" s="8"/>
      <c r="AX31" s="8"/>
      <c r="AY31" s="8"/>
      <c r="AZ31" s="8"/>
      <c r="BA31" s="8"/>
      <c r="BB31" s="44"/>
      <c r="BC31" s="44"/>
      <c r="BD31" s="8"/>
      <c r="BE31" s="8"/>
      <c r="BF31" s="8"/>
      <c r="BG31" s="44"/>
      <c r="BI31">
        <f t="shared" si="11"/>
        <v>0</v>
      </c>
    </row>
    <row r="32" spans="1:61" x14ac:dyDescent="0.25">
      <c r="A32">
        <v>30</v>
      </c>
      <c r="B32" s="1"/>
      <c r="C32" s="1"/>
      <c r="F32" s="1"/>
      <c r="G32" s="53"/>
      <c r="H32" s="53"/>
      <c r="I32" s="54"/>
      <c r="J32" s="50">
        <f>F32*Paramètres!$B$3</f>
        <v>0</v>
      </c>
      <c r="K32" s="56">
        <f t="shared" si="0"/>
        <v>0</v>
      </c>
      <c r="L32" s="56">
        <f t="shared" si="1"/>
        <v>0</v>
      </c>
      <c r="M32" s="56">
        <f t="shared" si="2"/>
        <v>0</v>
      </c>
      <c r="N32" s="3">
        <f>ROUNDUP(J32*Paramètres!$B$19,-1)</f>
        <v>0</v>
      </c>
      <c r="O32" s="1">
        <f t="shared" si="3"/>
        <v>0</v>
      </c>
      <c r="P32" s="1">
        <f t="shared" si="4"/>
        <v>0</v>
      </c>
      <c r="Q32" s="3">
        <f t="shared" si="5"/>
        <v>0</v>
      </c>
      <c r="R32" s="47">
        <f>ROUNDUP(+K32/Paramètres!$B$4/Paramètres!$B$53,0)</f>
        <v>0</v>
      </c>
      <c r="S32" s="47">
        <f>ROUNDUP(+L32/Paramètres!$B$6/Paramètres!$B$53,0)</f>
        <v>0</v>
      </c>
      <c r="T32" s="47"/>
      <c r="U32" s="2">
        <f t="shared" si="6"/>
        <v>0</v>
      </c>
      <c r="V32" s="1">
        <f>R32*Paramètres!$B$7</f>
        <v>0</v>
      </c>
      <c r="W32" s="1">
        <f>S32*Paramètres!$B$9</f>
        <v>0</v>
      </c>
      <c r="X32" s="1"/>
      <c r="Y32" s="2">
        <f t="shared" si="7"/>
        <v>0</v>
      </c>
      <c r="Z32" s="7">
        <f>R32*Paramètres!$B$10</f>
        <v>0</v>
      </c>
      <c r="AA32" s="7">
        <f>S32*Paramètres!$B$10</f>
        <v>0</v>
      </c>
      <c r="AB32" s="7"/>
      <c r="AC32" s="2">
        <f t="shared" si="8"/>
        <v>0</v>
      </c>
      <c r="AD32" s="1">
        <f t="shared" si="12"/>
        <v>0</v>
      </c>
      <c r="AE32" s="1">
        <f t="shared" si="9"/>
        <v>0</v>
      </c>
      <c r="AF32" s="1">
        <f>IF(B32="",0,Paramètres!$B$53*1.5)</f>
        <v>0</v>
      </c>
      <c r="AG32" s="1">
        <f>IF(C32="",0,Paramètres!$B$53*1.5)</f>
        <v>0</v>
      </c>
      <c r="AH32" s="1"/>
      <c r="AI32" s="1"/>
      <c r="AJ32" s="1"/>
      <c r="AK32" s="1"/>
      <c r="AL32" s="1">
        <f>(U32*Paramètres!$B$53)*3</f>
        <v>0</v>
      </c>
      <c r="AM32" s="1">
        <f t="shared" si="10"/>
        <v>0</v>
      </c>
      <c r="AN32" s="1">
        <f>U32*Paramètres!$B$75</f>
        <v>0</v>
      </c>
      <c r="AO32" s="1">
        <f>U32*Paramètres!$B$72*Paramètres!$B$73</f>
        <v>0</v>
      </c>
      <c r="AP32" s="1"/>
      <c r="AQ32" s="1">
        <f>(Y32+AC32)*Paramètres!$B$42*Paramètres!$B$53</f>
        <v>0</v>
      </c>
      <c r="AR32" s="1"/>
      <c r="AS32" s="7">
        <f>ROUNDUP(D32*Paramètres!$B$23*Paramètres!$B$26,-1)</f>
        <v>0</v>
      </c>
      <c r="AT32" s="7"/>
      <c r="AU32" s="1"/>
      <c r="AV32" s="8"/>
      <c r="AW32" s="8"/>
      <c r="AX32" s="8"/>
      <c r="AY32" s="8"/>
      <c r="AZ32" s="8"/>
      <c r="BA32" s="8"/>
      <c r="BB32" s="44"/>
      <c r="BC32" s="44"/>
      <c r="BD32" s="8"/>
      <c r="BE32" s="8"/>
      <c r="BF32" s="8"/>
      <c r="BG32" s="44"/>
      <c r="BI32">
        <f t="shared" si="11"/>
        <v>0</v>
      </c>
    </row>
    <row r="33" spans="1:61" x14ac:dyDescent="0.25">
      <c r="A33">
        <v>31</v>
      </c>
      <c r="B33" s="1"/>
      <c r="C33" s="1"/>
      <c r="F33" s="1"/>
      <c r="G33" s="53"/>
      <c r="H33" s="53"/>
      <c r="I33" s="54"/>
      <c r="J33" s="50">
        <f>F33*Paramètres!$B$3</f>
        <v>0</v>
      </c>
      <c r="K33" s="56">
        <f t="shared" si="0"/>
        <v>0</v>
      </c>
      <c r="L33" s="56">
        <f t="shared" si="1"/>
        <v>0</v>
      </c>
      <c r="M33" s="56">
        <f t="shared" si="2"/>
        <v>0</v>
      </c>
      <c r="N33" s="3">
        <f>ROUNDUP(J33*Paramètres!$B$19,-1)</f>
        <v>0</v>
      </c>
      <c r="O33" s="1">
        <f t="shared" si="3"/>
        <v>0</v>
      </c>
      <c r="P33" s="1">
        <f t="shared" si="4"/>
        <v>0</v>
      </c>
      <c r="Q33" s="3">
        <f t="shared" si="5"/>
        <v>0</v>
      </c>
      <c r="R33" s="47">
        <f>ROUNDUP(+K33/Paramètres!$B$4/Paramètres!$B$53,0)</f>
        <v>0</v>
      </c>
      <c r="S33" s="47">
        <f>ROUNDUP(+L33/Paramètres!$B$6/Paramètres!$B$53,0)</f>
        <v>0</v>
      </c>
      <c r="T33" s="47"/>
      <c r="U33" s="2">
        <f t="shared" si="6"/>
        <v>0</v>
      </c>
      <c r="V33" s="1">
        <f>R33*Paramètres!$B$7</f>
        <v>0</v>
      </c>
      <c r="W33" s="1">
        <f>S33*Paramètres!$B$9</f>
        <v>0</v>
      </c>
      <c r="X33" s="1"/>
      <c r="Y33" s="2">
        <f t="shared" si="7"/>
        <v>0</v>
      </c>
      <c r="Z33" s="7">
        <f>R33*Paramètres!$B$10</f>
        <v>0</v>
      </c>
      <c r="AA33" s="7">
        <f>S33*Paramètres!$B$10</f>
        <v>0</v>
      </c>
      <c r="AB33" s="7"/>
      <c r="AC33" s="2">
        <f t="shared" si="8"/>
        <v>0</v>
      </c>
      <c r="AD33" s="1">
        <f t="shared" si="12"/>
        <v>0</v>
      </c>
      <c r="AE33" s="1">
        <f t="shared" si="9"/>
        <v>0</v>
      </c>
      <c r="AF33" s="1">
        <f>IF(B33="",0,Paramètres!$B$53*1.5)</f>
        <v>0</v>
      </c>
      <c r="AG33" s="1">
        <f>IF(C33="",0,Paramètres!$B$53*1.5)</f>
        <v>0</v>
      </c>
      <c r="AH33" s="1"/>
      <c r="AI33" s="1"/>
      <c r="AJ33" s="1"/>
      <c r="AK33" s="1"/>
      <c r="AL33" s="1">
        <f>(U33*Paramètres!$B$53)*3</f>
        <v>0</v>
      </c>
      <c r="AM33" s="1">
        <f t="shared" si="10"/>
        <v>0</v>
      </c>
      <c r="AN33" s="1">
        <f>U33*Paramètres!$B$75</f>
        <v>0</v>
      </c>
      <c r="AO33" s="1">
        <f>U33*Paramètres!$B$72*Paramètres!$B$73</f>
        <v>0</v>
      </c>
      <c r="AP33" s="1"/>
      <c r="AQ33" s="1">
        <f>(Y33+AC33)*Paramètres!$B$42*Paramètres!$B$53</f>
        <v>0</v>
      </c>
      <c r="AR33" s="1"/>
      <c r="AS33" s="7">
        <f>ROUNDUP(D33*Paramètres!$B$23*Paramètres!$B$26,-1)</f>
        <v>0</v>
      </c>
      <c r="AT33" s="7"/>
      <c r="AU33" s="1"/>
      <c r="AV33" s="8"/>
      <c r="AW33" s="8"/>
      <c r="AX33" s="8"/>
      <c r="AY33" s="8"/>
      <c r="AZ33" s="8"/>
      <c r="BA33" s="8"/>
      <c r="BB33" s="44"/>
      <c r="BC33" s="44"/>
      <c r="BD33" s="8"/>
      <c r="BE33" s="8"/>
      <c r="BF33" s="8"/>
      <c r="BG33" s="44"/>
      <c r="BI33">
        <f t="shared" si="11"/>
        <v>0</v>
      </c>
    </row>
    <row r="34" spans="1:61" x14ac:dyDescent="0.25">
      <c r="A34">
        <v>32</v>
      </c>
      <c r="B34" s="1"/>
      <c r="C34" s="1"/>
      <c r="F34" s="1"/>
      <c r="G34" s="53"/>
      <c r="H34" s="53"/>
      <c r="I34" s="54"/>
      <c r="J34" s="50">
        <f>F34*Paramètres!$B$3</f>
        <v>0</v>
      </c>
      <c r="K34" s="56">
        <f t="shared" si="0"/>
        <v>0</v>
      </c>
      <c r="L34" s="56">
        <f t="shared" si="1"/>
        <v>0</v>
      </c>
      <c r="M34" s="56">
        <f t="shared" si="2"/>
        <v>0</v>
      </c>
      <c r="N34" s="3">
        <f>ROUNDUP(J34*Paramètres!$B$19,-1)</f>
        <v>0</v>
      </c>
      <c r="O34" s="1">
        <f t="shared" si="3"/>
        <v>0</v>
      </c>
      <c r="P34" s="1">
        <f t="shared" si="4"/>
        <v>0</v>
      </c>
      <c r="Q34" s="3">
        <f t="shared" si="5"/>
        <v>0</v>
      </c>
      <c r="R34" s="47">
        <f>ROUNDUP(+K34/Paramètres!$B$4/Paramètres!$B$53,0)</f>
        <v>0</v>
      </c>
      <c r="S34" s="47">
        <f>ROUNDUP(+L34/Paramètres!$B$6/Paramètres!$B$53,0)</f>
        <v>0</v>
      </c>
      <c r="T34" s="47"/>
      <c r="U34" s="2">
        <f t="shared" si="6"/>
        <v>0</v>
      </c>
      <c r="V34" s="1">
        <f>R34*Paramètres!$B$7</f>
        <v>0</v>
      </c>
      <c r="W34" s="1">
        <f>S34*Paramètres!$B$9</f>
        <v>0</v>
      </c>
      <c r="X34" s="1"/>
      <c r="Y34" s="2">
        <f t="shared" si="7"/>
        <v>0</v>
      </c>
      <c r="Z34" s="7">
        <f>R34*Paramètres!$B$10</f>
        <v>0</v>
      </c>
      <c r="AA34" s="7">
        <f>S34*Paramètres!$B$10</f>
        <v>0</v>
      </c>
      <c r="AB34" s="7"/>
      <c r="AC34" s="2">
        <f t="shared" si="8"/>
        <v>0</v>
      </c>
      <c r="AD34" s="1">
        <f t="shared" si="12"/>
        <v>0</v>
      </c>
      <c r="AE34" s="1">
        <f t="shared" si="9"/>
        <v>0</v>
      </c>
      <c r="AF34" s="1">
        <f>IF(B34="",0,Paramètres!$B$53*1.5)</f>
        <v>0</v>
      </c>
      <c r="AG34" s="1">
        <f>IF(C34="",0,Paramètres!$B$53*1.5)</f>
        <v>0</v>
      </c>
      <c r="AH34" s="1"/>
      <c r="AI34" s="1"/>
      <c r="AJ34" s="1"/>
      <c r="AK34" s="1"/>
      <c r="AL34" s="1">
        <f>(U34*Paramètres!$B$53)*3</f>
        <v>0</v>
      </c>
      <c r="AM34" s="1">
        <f t="shared" si="10"/>
        <v>0</v>
      </c>
      <c r="AN34" s="1">
        <f>U34*Paramètres!$B$75</f>
        <v>0</v>
      </c>
      <c r="AO34" s="1">
        <f>U34*Paramètres!$B$72*Paramètres!$B$73</f>
        <v>0</v>
      </c>
      <c r="AP34" s="1"/>
      <c r="AQ34" s="1">
        <f>(Y34+AC34)*Paramètres!$B$42*Paramètres!$B$53</f>
        <v>0</v>
      </c>
      <c r="AR34" s="1"/>
      <c r="AS34" s="7">
        <f>ROUNDUP(D34*Paramètres!$B$23*Paramètres!$B$26,-1)</f>
        <v>0</v>
      </c>
      <c r="AT34" s="7"/>
      <c r="AU34" s="1"/>
      <c r="AV34" s="8"/>
      <c r="AW34" s="8"/>
      <c r="AX34" s="8"/>
      <c r="AY34" s="8"/>
      <c r="AZ34" s="8"/>
      <c r="BA34" s="8"/>
      <c r="BB34" s="44"/>
      <c r="BC34" s="44"/>
      <c r="BD34" s="8"/>
      <c r="BE34" s="8"/>
      <c r="BF34" s="8"/>
      <c r="BG34" s="44"/>
      <c r="BI34">
        <f t="shared" si="11"/>
        <v>0</v>
      </c>
    </row>
    <row r="35" spans="1:61" x14ac:dyDescent="0.25">
      <c r="A35">
        <v>33</v>
      </c>
      <c r="B35" s="1"/>
      <c r="C35" s="1"/>
      <c r="F35" s="1"/>
      <c r="G35" s="53"/>
      <c r="H35" s="53"/>
      <c r="I35" s="54"/>
      <c r="J35" s="50">
        <f>F35*Paramètres!$B$3</f>
        <v>0</v>
      </c>
      <c r="K35" s="56">
        <f t="shared" si="0"/>
        <v>0</v>
      </c>
      <c r="L35" s="56">
        <f t="shared" si="1"/>
        <v>0</v>
      </c>
      <c r="M35" s="56">
        <f t="shared" si="2"/>
        <v>0</v>
      </c>
      <c r="N35" s="3">
        <f>ROUNDUP(J35*Paramètres!$B$19,-1)</f>
        <v>0</v>
      </c>
      <c r="O35" s="1">
        <f t="shared" si="3"/>
        <v>0</v>
      </c>
      <c r="P35" s="1">
        <f t="shared" si="4"/>
        <v>0</v>
      </c>
      <c r="Q35" s="3">
        <f t="shared" si="5"/>
        <v>0</v>
      </c>
      <c r="R35" s="47">
        <f>ROUNDUP(+K35/Paramètres!$B$4/Paramètres!$B$53,0)</f>
        <v>0</v>
      </c>
      <c r="S35" s="47">
        <f>ROUNDUP(+L35/Paramètres!$B$6/Paramètres!$B$53,0)</f>
        <v>0</v>
      </c>
      <c r="T35" s="47"/>
      <c r="U35" s="2">
        <f t="shared" si="6"/>
        <v>0</v>
      </c>
      <c r="V35" s="1">
        <f>R35*Paramètres!$B$7</f>
        <v>0</v>
      </c>
      <c r="W35" s="1">
        <f>S35*Paramètres!$B$9</f>
        <v>0</v>
      </c>
      <c r="X35" s="1"/>
      <c r="Y35" s="2">
        <f t="shared" si="7"/>
        <v>0</v>
      </c>
      <c r="Z35" s="7">
        <f>R35*Paramètres!$B$10</f>
        <v>0</v>
      </c>
      <c r="AA35" s="7">
        <f>S35*Paramètres!$B$10</f>
        <v>0</v>
      </c>
      <c r="AB35" s="7"/>
      <c r="AC35" s="2">
        <f t="shared" si="8"/>
        <v>0</v>
      </c>
      <c r="AD35" s="1">
        <f t="shared" si="12"/>
        <v>0</v>
      </c>
      <c r="AE35" s="1">
        <f t="shared" si="9"/>
        <v>0</v>
      </c>
      <c r="AF35" s="1">
        <f>IF(B35="",0,Paramètres!$B$53*1.5)</f>
        <v>0</v>
      </c>
      <c r="AG35" s="1">
        <f>IF(C35="",0,Paramètres!$B$53*1.5)</f>
        <v>0</v>
      </c>
      <c r="AH35" s="1"/>
      <c r="AI35" s="1"/>
      <c r="AJ35" s="1"/>
      <c r="AK35" s="1"/>
      <c r="AL35" s="1">
        <f>(U35*Paramètres!$B$53)*3</f>
        <v>0</v>
      </c>
      <c r="AM35" s="1">
        <f t="shared" si="10"/>
        <v>0</v>
      </c>
      <c r="AN35" s="1">
        <f>U35*Paramètres!$B$75</f>
        <v>0</v>
      </c>
      <c r="AO35" s="1">
        <f>U35*Paramètres!$B$72*Paramètres!$B$73</f>
        <v>0</v>
      </c>
      <c r="AP35" s="1"/>
      <c r="AQ35" s="1">
        <f>(Y35+AC35)*Paramètres!$B$42*Paramètres!$B$53</f>
        <v>0</v>
      </c>
      <c r="AR35" s="1"/>
      <c r="AS35" s="7">
        <f>ROUNDUP(D35*Paramètres!$B$23*Paramètres!$B$26,-1)</f>
        <v>0</v>
      </c>
      <c r="AT35" s="7"/>
      <c r="AU35" s="1"/>
      <c r="AV35" s="8"/>
      <c r="AW35" s="8"/>
      <c r="AX35" s="8"/>
      <c r="AY35" s="8"/>
      <c r="AZ35" s="8"/>
      <c r="BA35" s="8"/>
      <c r="BB35" s="44"/>
      <c r="BC35" s="44"/>
      <c r="BD35" s="8"/>
      <c r="BE35" s="8"/>
      <c r="BF35" s="8"/>
      <c r="BG35" s="44"/>
      <c r="BI35">
        <f t="shared" si="11"/>
        <v>0</v>
      </c>
    </row>
    <row r="36" spans="1:61" x14ac:dyDescent="0.25">
      <c r="A36">
        <v>34</v>
      </c>
      <c r="B36" s="1"/>
      <c r="C36" s="1"/>
      <c r="F36" s="1"/>
      <c r="G36" s="53"/>
      <c r="H36" s="53"/>
      <c r="I36" s="54"/>
      <c r="J36" s="50">
        <f>F36*Paramètres!$B$3</f>
        <v>0</v>
      </c>
      <c r="K36" s="56">
        <f t="shared" si="0"/>
        <v>0</v>
      </c>
      <c r="L36" s="56">
        <f t="shared" si="1"/>
        <v>0</v>
      </c>
      <c r="M36" s="56">
        <f t="shared" si="2"/>
        <v>0</v>
      </c>
      <c r="N36" s="3">
        <f>ROUNDUP(J36*Paramètres!$B$19,-1)</f>
        <v>0</v>
      </c>
      <c r="O36" s="1">
        <f t="shared" si="3"/>
        <v>0</v>
      </c>
      <c r="P36" s="1">
        <f t="shared" si="4"/>
        <v>0</v>
      </c>
      <c r="Q36" s="3">
        <f t="shared" si="5"/>
        <v>0</v>
      </c>
      <c r="R36" s="47">
        <f>ROUNDUP(+K36/Paramètres!$B$4/Paramètres!$B$53,0)</f>
        <v>0</v>
      </c>
      <c r="S36" s="47">
        <f>ROUNDUP(+L36/Paramètres!$B$6/Paramètres!$B$53,0)</f>
        <v>0</v>
      </c>
      <c r="T36" s="47"/>
      <c r="U36" s="2">
        <f t="shared" si="6"/>
        <v>0</v>
      </c>
      <c r="V36" s="1">
        <f>R36*Paramètres!$B$7</f>
        <v>0</v>
      </c>
      <c r="W36" s="1">
        <f>S36*Paramètres!$B$9</f>
        <v>0</v>
      </c>
      <c r="X36" s="1"/>
      <c r="Y36" s="2">
        <f t="shared" si="7"/>
        <v>0</v>
      </c>
      <c r="Z36" s="7">
        <f>R36*Paramètres!$B$10</f>
        <v>0</v>
      </c>
      <c r="AA36" s="7">
        <f>S36*Paramètres!$B$10</f>
        <v>0</v>
      </c>
      <c r="AB36" s="7"/>
      <c r="AC36" s="2">
        <f t="shared" si="8"/>
        <v>0</v>
      </c>
      <c r="AD36" s="1">
        <f t="shared" si="12"/>
        <v>0</v>
      </c>
      <c r="AE36" s="1">
        <f t="shared" si="9"/>
        <v>0</v>
      </c>
      <c r="AF36" s="1">
        <f>IF(B36="",0,Paramètres!$B$53*1.5)</f>
        <v>0</v>
      </c>
      <c r="AG36" s="1">
        <f>IF(C36="",0,Paramètres!$B$53*1.5)</f>
        <v>0</v>
      </c>
      <c r="AH36" s="1"/>
      <c r="AI36" s="1"/>
      <c r="AJ36" s="1"/>
      <c r="AK36" s="1"/>
      <c r="AL36" s="1">
        <f>(U36*Paramètres!$B$53)*3</f>
        <v>0</v>
      </c>
      <c r="AM36" s="1">
        <f t="shared" si="10"/>
        <v>0</v>
      </c>
      <c r="AN36" s="1">
        <f>U36*Paramètres!$B$75</f>
        <v>0</v>
      </c>
      <c r="AO36" s="1">
        <f>U36*Paramètres!$B$72*Paramètres!$B$73</f>
        <v>0</v>
      </c>
      <c r="AP36" s="1"/>
      <c r="AQ36" s="1">
        <f>(Y36+AC36)*Paramètres!$B$42*Paramètres!$B$53</f>
        <v>0</v>
      </c>
      <c r="AR36" s="1"/>
      <c r="AS36" s="7">
        <f>ROUNDUP(D36*Paramètres!$B$23*Paramètres!$B$26,-1)</f>
        <v>0</v>
      </c>
      <c r="AT36" s="7"/>
      <c r="AU36" s="1"/>
      <c r="AV36" s="8"/>
      <c r="AW36" s="8"/>
      <c r="AX36" s="8"/>
      <c r="AY36" s="8"/>
      <c r="AZ36" s="8"/>
      <c r="BA36" s="8"/>
      <c r="BB36" s="44"/>
      <c r="BC36" s="44"/>
      <c r="BD36" s="8"/>
      <c r="BE36" s="8"/>
      <c r="BF36" s="8"/>
      <c r="BG36" s="44"/>
      <c r="BI36">
        <f t="shared" si="11"/>
        <v>0</v>
      </c>
    </row>
    <row r="37" spans="1:61" x14ac:dyDescent="0.25">
      <c r="A37">
        <v>35</v>
      </c>
      <c r="B37" s="1"/>
      <c r="C37" s="1"/>
      <c r="F37" s="1"/>
      <c r="G37" s="53"/>
      <c r="H37" s="53"/>
      <c r="I37" s="54"/>
      <c r="J37" s="50">
        <f>F37*Paramètres!$B$3</f>
        <v>0</v>
      </c>
      <c r="K37" s="56">
        <f t="shared" si="0"/>
        <v>0</v>
      </c>
      <c r="L37" s="56">
        <f t="shared" si="1"/>
        <v>0</v>
      </c>
      <c r="M37" s="56">
        <f t="shared" si="2"/>
        <v>0</v>
      </c>
      <c r="N37" s="3">
        <f>ROUNDUP(J37*Paramètres!$B$19,-1)</f>
        <v>0</v>
      </c>
      <c r="O37" s="1">
        <f t="shared" si="3"/>
        <v>0</v>
      </c>
      <c r="P37" s="1">
        <f t="shared" si="4"/>
        <v>0</v>
      </c>
      <c r="Q37" s="3">
        <f t="shared" si="5"/>
        <v>0</v>
      </c>
      <c r="R37" s="47">
        <f>ROUNDUP(+K37/Paramètres!$B$4/Paramètres!$B$53,0)</f>
        <v>0</v>
      </c>
      <c r="S37" s="47">
        <f>ROUNDUP(+L37/Paramètres!$B$6/Paramètres!$B$53,0)</f>
        <v>0</v>
      </c>
      <c r="T37" s="47"/>
      <c r="U37" s="2">
        <f t="shared" si="6"/>
        <v>0</v>
      </c>
      <c r="V37" s="1">
        <f>R37*Paramètres!$B$7</f>
        <v>0</v>
      </c>
      <c r="W37" s="1">
        <f>S37*Paramètres!$B$9</f>
        <v>0</v>
      </c>
      <c r="X37" s="1"/>
      <c r="Y37" s="2">
        <f t="shared" si="7"/>
        <v>0</v>
      </c>
      <c r="Z37" s="7">
        <f>R37*Paramètres!$B$10</f>
        <v>0</v>
      </c>
      <c r="AA37" s="7">
        <f>S37*Paramètres!$B$10</f>
        <v>0</v>
      </c>
      <c r="AB37" s="7"/>
      <c r="AC37" s="2">
        <f t="shared" si="8"/>
        <v>0</v>
      </c>
      <c r="AD37" s="1">
        <f t="shared" si="12"/>
        <v>0</v>
      </c>
      <c r="AE37" s="1">
        <f t="shared" si="9"/>
        <v>0</v>
      </c>
      <c r="AF37" s="1">
        <f>IF(B37="",0,Paramètres!$B$53*1.5)</f>
        <v>0</v>
      </c>
      <c r="AG37" s="1">
        <f>IF(C37="",0,Paramètres!$B$53*1.5)</f>
        <v>0</v>
      </c>
      <c r="AH37" s="1"/>
      <c r="AI37" s="1"/>
      <c r="AJ37" s="1"/>
      <c r="AK37" s="1"/>
      <c r="AL37" s="1">
        <f>(U37*Paramètres!$B$53)*3</f>
        <v>0</v>
      </c>
      <c r="AM37" s="1">
        <f t="shared" si="10"/>
        <v>0</v>
      </c>
      <c r="AN37" s="1">
        <f>U37*Paramètres!$B$75</f>
        <v>0</v>
      </c>
      <c r="AO37" s="1">
        <f>U37*Paramètres!$B$72*Paramètres!$B$73</f>
        <v>0</v>
      </c>
      <c r="AP37" s="1"/>
      <c r="AQ37" s="1">
        <f>(Y37+AC37)*Paramètres!$B$42*Paramètres!$B$53</f>
        <v>0</v>
      </c>
      <c r="AR37" s="1"/>
      <c r="AS37" s="7">
        <f>ROUNDUP(D37*Paramètres!$B$23*Paramètres!$B$26,-1)</f>
        <v>0</v>
      </c>
      <c r="AT37" s="7"/>
      <c r="AU37" s="1"/>
      <c r="AV37" s="8"/>
      <c r="AW37" s="8"/>
      <c r="AX37" s="8"/>
      <c r="AY37" s="8"/>
      <c r="AZ37" s="8"/>
      <c r="BA37" s="8"/>
      <c r="BB37" s="44"/>
      <c r="BC37" s="44"/>
      <c r="BD37" s="8"/>
      <c r="BE37" s="8"/>
      <c r="BF37" s="8"/>
      <c r="BG37" s="44"/>
      <c r="BI37">
        <f t="shared" si="11"/>
        <v>0</v>
      </c>
    </row>
    <row r="38" spans="1:61" x14ac:dyDescent="0.25">
      <c r="A38">
        <v>36</v>
      </c>
      <c r="B38" s="1"/>
      <c r="C38" s="1"/>
      <c r="D38" s="1"/>
      <c r="E38" s="1"/>
      <c r="F38" s="1"/>
      <c r="G38" s="53"/>
      <c r="H38" s="53"/>
      <c r="I38" s="54"/>
      <c r="J38" s="50">
        <f>F38*Paramètres!$B$3</f>
        <v>0</v>
      </c>
      <c r="K38" s="56">
        <f t="shared" si="0"/>
        <v>0</v>
      </c>
      <c r="L38" s="56">
        <f t="shared" si="1"/>
        <v>0</v>
      </c>
      <c r="M38" s="56">
        <f t="shared" si="2"/>
        <v>0</v>
      </c>
      <c r="N38" s="3">
        <f>ROUNDUP(J38*Paramètres!$B$19,-1)</f>
        <v>0</v>
      </c>
      <c r="O38" s="1">
        <f t="shared" si="3"/>
        <v>0</v>
      </c>
      <c r="P38" s="1">
        <f t="shared" si="4"/>
        <v>0</v>
      </c>
      <c r="Q38" s="3">
        <f t="shared" si="5"/>
        <v>0</v>
      </c>
      <c r="R38" s="47">
        <f>ROUNDUP(+K38/Paramètres!$B$4/Paramètres!$B$53,0)</f>
        <v>0</v>
      </c>
      <c r="S38" s="47">
        <f>ROUNDUP(+L38/Paramètres!$B$6/Paramètres!$B$53,0)</f>
        <v>0</v>
      </c>
      <c r="T38" s="47"/>
      <c r="U38" s="2">
        <f t="shared" si="6"/>
        <v>0</v>
      </c>
      <c r="V38" s="1">
        <f>R38*Paramètres!$B$7</f>
        <v>0</v>
      </c>
      <c r="W38" s="1">
        <f>S38*Paramètres!$B$9</f>
        <v>0</v>
      </c>
      <c r="X38" s="1"/>
      <c r="Y38" s="2">
        <f t="shared" si="7"/>
        <v>0</v>
      </c>
      <c r="Z38" s="7">
        <f>R38*Paramètres!$B$10</f>
        <v>0</v>
      </c>
      <c r="AA38" s="7">
        <f>S38*Paramètres!$B$10</f>
        <v>0</v>
      </c>
      <c r="AB38" s="7"/>
      <c r="AC38" s="2">
        <f t="shared" si="8"/>
        <v>0</v>
      </c>
      <c r="AD38" s="1">
        <f t="shared" si="12"/>
        <v>0</v>
      </c>
      <c r="AE38" s="1">
        <f t="shared" si="9"/>
        <v>0</v>
      </c>
      <c r="AF38" s="1">
        <f>IF(B38="",0,Paramètres!$B$53*1.5)</f>
        <v>0</v>
      </c>
      <c r="AG38" s="1">
        <f>IF(C38="",0,Paramètres!$B$53*1.5)</f>
        <v>0</v>
      </c>
      <c r="AH38" s="1"/>
      <c r="AI38" s="1"/>
      <c r="AJ38" s="1"/>
      <c r="AK38" s="1"/>
      <c r="AL38" s="1">
        <f>(U38*Paramètres!$B$53)*3</f>
        <v>0</v>
      </c>
      <c r="AM38" s="1">
        <f t="shared" si="10"/>
        <v>0</v>
      </c>
      <c r="AN38" s="1">
        <f>U38*Paramètres!$B$75</f>
        <v>0</v>
      </c>
      <c r="AO38" s="1">
        <f>U38*Paramètres!$B$72*Paramètres!$B$73</f>
        <v>0</v>
      </c>
      <c r="AP38" s="1"/>
      <c r="AQ38" s="1">
        <f>(Y38+AC38)*Paramètres!$B$42*Paramètres!$B$53</f>
        <v>0</v>
      </c>
      <c r="AR38" s="1"/>
      <c r="AS38" s="7">
        <f>ROUNDUP(D38*Paramètres!$B$23*Paramètres!$B$26,-1)</f>
        <v>0</v>
      </c>
      <c r="AT38" s="7"/>
      <c r="AU38" s="1"/>
      <c r="AV38" s="8"/>
      <c r="AW38" s="8"/>
      <c r="AX38" s="8"/>
      <c r="AY38" s="8"/>
      <c r="AZ38" s="8"/>
      <c r="BA38" s="8"/>
      <c r="BB38" s="44"/>
      <c r="BC38" s="44"/>
      <c r="BD38" s="8"/>
      <c r="BE38" s="8"/>
      <c r="BF38" s="8"/>
      <c r="BG38" s="44"/>
      <c r="BI38">
        <f t="shared" si="11"/>
        <v>0</v>
      </c>
    </row>
    <row r="39" spans="1:61" x14ac:dyDescent="0.25">
      <c r="A39">
        <v>37</v>
      </c>
      <c r="B39" s="1"/>
      <c r="C39" s="1"/>
      <c r="D39" s="1"/>
      <c r="E39" s="1"/>
      <c r="F39" s="1"/>
      <c r="G39" s="53"/>
      <c r="H39" s="53"/>
      <c r="I39" s="54"/>
      <c r="J39" s="50">
        <f>F39*Paramètres!$B$3</f>
        <v>0</v>
      </c>
      <c r="K39" s="56">
        <f t="shared" si="0"/>
        <v>0</v>
      </c>
      <c r="L39" s="56">
        <f t="shared" si="1"/>
        <v>0</v>
      </c>
      <c r="M39" s="56">
        <f t="shared" si="2"/>
        <v>0</v>
      </c>
      <c r="N39" s="3">
        <f>ROUNDUP(J39*Paramètres!$B$19,-1)</f>
        <v>0</v>
      </c>
      <c r="O39" s="1">
        <f t="shared" si="3"/>
        <v>0</v>
      </c>
      <c r="P39" s="1">
        <f t="shared" si="4"/>
        <v>0</v>
      </c>
      <c r="Q39" s="3">
        <f t="shared" si="5"/>
        <v>0</v>
      </c>
      <c r="R39" s="47">
        <f>ROUNDUP(+K39/Paramètres!$B$4/Paramètres!$B$53,0)</f>
        <v>0</v>
      </c>
      <c r="S39" s="47">
        <f>ROUNDUP(+L39/Paramètres!$B$6/Paramètres!$B$53,0)</f>
        <v>0</v>
      </c>
      <c r="T39" s="47"/>
      <c r="U39" s="2">
        <f t="shared" si="6"/>
        <v>0</v>
      </c>
      <c r="V39" s="1">
        <f>R39*Paramètres!$B$7</f>
        <v>0</v>
      </c>
      <c r="W39" s="1">
        <f>S39*Paramètres!$B$9</f>
        <v>0</v>
      </c>
      <c r="X39" s="1"/>
      <c r="Y39" s="2">
        <f t="shared" si="7"/>
        <v>0</v>
      </c>
      <c r="Z39" s="7">
        <f>R39*Paramètres!$B$10</f>
        <v>0</v>
      </c>
      <c r="AA39" s="7">
        <f>S39*Paramètres!$B$10</f>
        <v>0</v>
      </c>
      <c r="AB39" s="7"/>
      <c r="AC39" s="2">
        <f t="shared" si="8"/>
        <v>0</v>
      </c>
      <c r="AD39" s="1">
        <f t="shared" si="12"/>
        <v>0</v>
      </c>
      <c r="AE39" s="1">
        <f t="shared" si="9"/>
        <v>0</v>
      </c>
      <c r="AF39" s="1">
        <f>IF(B39="",0,Paramètres!$B$53*1.5)</f>
        <v>0</v>
      </c>
      <c r="AG39" s="1">
        <f>IF(C39="",0,Paramètres!$B$53*1.5)</f>
        <v>0</v>
      </c>
      <c r="AH39" s="1"/>
      <c r="AI39" s="1"/>
      <c r="AJ39" s="1"/>
      <c r="AK39" s="1"/>
      <c r="AL39" s="1">
        <f>(U39*Paramètres!$B$53)*3</f>
        <v>0</v>
      </c>
      <c r="AM39" s="1">
        <f t="shared" si="10"/>
        <v>0</v>
      </c>
      <c r="AN39" s="1">
        <f>U39*Paramètres!$B$75</f>
        <v>0</v>
      </c>
      <c r="AO39" s="1">
        <f>U39*Paramètres!$B$72*Paramètres!$B$73</f>
        <v>0</v>
      </c>
      <c r="AP39" s="1"/>
      <c r="AQ39" s="1">
        <f>(Y39+AC39)*Paramètres!$B$42*Paramètres!$B$53</f>
        <v>0</v>
      </c>
      <c r="AR39" s="1"/>
      <c r="AS39" s="7">
        <f>ROUNDUP(D39*Paramètres!$B$23*Paramètres!$B$26,-1)</f>
        <v>0</v>
      </c>
      <c r="AT39" s="7"/>
      <c r="AU39" s="1"/>
      <c r="AV39" s="8"/>
      <c r="AW39" s="8"/>
      <c r="AX39" s="8"/>
      <c r="AY39" s="8"/>
      <c r="AZ39" s="8"/>
      <c r="BA39" s="8"/>
      <c r="BB39" s="44"/>
      <c r="BC39" s="44"/>
      <c r="BD39" s="8"/>
      <c r="BE39" s="8"/>
      <c r="BF39" s="8"/>
      <c r="BG39" s="44"/>
      <c r="BI39">
        <f t="shared" si="11"/>
        <v>0</v>
      </c>
    </row>
    <row r="40" spans="1:61" x14ac:dyDescent="0.25">
      <c r="A40">
        <v>38</v>
      </c>
      <c r="B40" s="1"/>
      <c r="C40" s="1"/>
      <c r="D40" s="1"/>
      <c r="E40" s="1"/>
      <c r="F40" s="1"/>
      <c r="G40" s="53"/>
      <c r="H40" s="53"/>
      <c r="I40" s="54"/>
      <c r="J40" s="50">
        <f>F40*Paramètres!$B$3</f>
        <v>0</v>
      </c>
      <c r="K40" s="56">
        <f t="shared" si="0"/>
        <v>0</v>
      </c>
      <c r="L40" s="56">
        <f t="shared" si="1"/>
        <v>0</v>
      </c>
      <c r="M40" s="56">
        <f t="shared" si="2"/>
        <v>0</v>
      </c>
      <c r="N40" s="3">
        <f>ROUNDUP(J40*Paramètres!$B$19,-1)</f>
        <v>0</v>
      </c>
      <c r="O40" s="1">
        <f t="shared" si="3"/>
        <v>0</v>
      </c>
      <c r="P40" s="1">
        <f t="shared" si="4"/>
        <v>0</v>
      </c>
      <c r="Q40" s="3">
        <f t="shared" si="5"/>
        <v>0</v>
      </c>
      <c r="R40" s="47">
        <f>ROUNDUP(+K40/Paramètres!$B$4/Paramètres!$B$53,0)</f>
        <v>0</v>
      </c>
      <c r="S40" s="47">
        <f>ROUNDUP(+L40/Paramètres!$B$6/Paramètres!$B$53,0)</f>
        <v>0</v>
      </c>
      <c r="T40" s="47"/>
      <c r="U40" s="2">
        <f t="shared" si="6"/>
        <v>0</v>
      </c>
      <c r="V40" s="1">
        <f>R40*Paramètres!$B$7</f>
        <v>0</v>
      </c>
      <c r="W40" s="1">
        <f>S40*Paramètres!$B$9</f>
        <v>0</v>
      </c>
      <c r="X40" s="1"/>
      <c r="Y40" s="2">
        <f t="shared" si="7"/>
        <v>0</v>
      </c>
      <c r="Z40" s="7">
        <f>R40*Paramètres!$B$10</f>
        <v>0</v>
      </c>
      <c r="AA40" s="7">
        <f>S40*Paramètres!$B$10</f>
        <v>0</v>
      </c>
      <c r="AB40" s="7"/>
      <c r="AC40" s="2">
        <f t="shared" si="8"/>
        <v>0</v>
      </c>
      <c r="AD40" s="1">
        <f t="shared" si="12"/>
        <v>0</v>
      </c>
      <c r="AE40" s="1">
        <f t="shared" si="9"/>
        <v>0</v>
      </c>
      <c r="AF40" s="1">
        <f>IF(B40="",0,Paramètres!$B$53*1.5)</f>
        <v>0</v>
      </c>
      <c r="AG40" s="1">
        <f>IF(C40="",0,Paramètres!$B$53*1.5)</f>
        <v>0</v>
      </c>
      <c r="AH40" s="1"/>
      <c r="AI40" s="1"/>
      <c r="AJ40" s="1"/>
      <c r="AK40" s="1"/>
      <c r="AL40" s="1">
        <f>(U40*Paramètres!$B$53)*3</f>
        <v>0</v>
      </c>
      <c r="AM40" s="1">
        <f t="shared" si="10"/>
        <v>0</v>
      </c>
      <c r="AN40" s="1">
        <f>U40*Paramètres!$B$75</f>
        <v>0</v>
      </c>
      <c r="AO40" s="1">
        <f>U40*Paramètres!$B$72*Paramètres!$B$73</f>
        <v>0</v>
      </c>
      <c r="AP40" s="1"/>
      <c r="AQ40" s="1">
        <f>(Y40+AC40)*Paramètres!$B$42*Paramètres!$B$53</f>
        <v>0</v>
      </c>
      <c r="AR40" s="1"/>
      <c r="AS40" s="7">
        <f>ROUNDUP(D40*Paramètres!$B$23*Paramètres!$B$26,-1)</f>
        <v>0</v>
      </c>
      <c r="AT40" s="7"/>
      <c r="AU40" s="1"/>
      <c r="AV40" s="8"/>
      <c r="AW40" s="8"/>
      <c r="AX40" s="8"/>
      <c r="AY40" s="8"/>
      <c r="AZ40" s="8"/>
      <c r="BA40" s="8"/>
      <c r="BB40" s="44"/>
      <c r="BC40" s="44"/>
      <c r="BD40" s="8"/>
      <c r="BE40" s="8"/>
      <c r="BF40" s="8"/>
      <c r="BG40" s="44"/>
      <c r="BI40">
        <f t="shared" si="11"/>
        <v>0</v>
      </c>
    </row>
    <row r="41" spans="1:61" x14ac:dyDescent="0.25">
      <c r="A41">
        <v>39</v>
      </c>
      <c r="B41" s="1"/>
      <c r="C41" s="1"/>
      <c r="D41" s="1"/>
      <c r="E41" s="1"/>
      <c r="F41" s="1"/>
      <c r="G41" s="53"/>
      <c r="H41" s="53"/>
      <c r="I41" s="54"/>
      <c r="J41" s="50">
        <f>F41*Paramètres!$B$3</f>
        <v>0</v>
      </c>
      <c r="K41" s="56">
        <f t="shared" si="0"/>
        <v>0</v>
      </c>
      <c r="L41" s="56">
        <f t="shared" si="1"/>
        <v>0</v>
      </c>
      <c r="M41" s="56">
        <f t="shared" si="2"/>
        <v>0</v>
      </c>
      <c r="N41" s="3">
        <f>ROUNDUP(J41*Paramètres!$B$19,-1)</f>
        <v>0</v>
      </c>
      <c r="O41" s="1">
        <f t="shared" si="3"/>
        <v>0</v>
      </c>
      <c r="P41" s="1">
        <f t="shared" si="4"/>
        <v>0</v>
      </c>
      <c r="Q41" s="3">
        <f t="shared" si="5"/>
        <v>0</v>
      </c>
      <c r="R41" s="47">
        <f>ROUNDUP(+K41/Paramètres!$B$4/Paramètres!$B$53,0)</f>
        <v>0</v>
      </c>
      <c r="S41" s="47">
        <f>ROUNDUP(+L41/Paramètres!$B$6/Paramètres!$B$53,0)</f>
        <v>0</v>
      </c>
      <c r="T41" s="47"/>
      <c r="U41" s="2">
        <f t="shared" si="6"/>
        <v>0</v>
      </c>
      <c r="V41" s="1">
        <f>R41*Paramètres!$B$7</f>
        <v>0</v>
      </c>
      <c r="W41" s="1">
        <f>S41*Paramètres!$B$9</f>
        <v>0</v>
      </c>
      <c r="X41" s="1"/>
      <c r="Y41" s="2">
        <f t="shared" si="7"/>
        <v>0</v>
      </c>
      <c r="Z41" s="7">
        <f>R41*Paramètres!$B$10</f>
        <v>0</v>
      </c>
      <c r="AA41" s="7">
        <f>S41*Paramètres!$B$10</f>
        <v>0</v>
      </c>
      <c r="AB41" s="7"/>
      <c r="AC41" s="2">
        <f t="shared" si="8"/>
        <v>0</v>
      </c>
      <c r="AD41" s="1">
        <f t="shared" si="12"/>
        <v>0</v>
      </c>
      <c r="AE41" s="1">
        <f t="shared" si="9"/>
        <v>0</v>
      </c>
      <c r="AF41" s="1">
        <f>IF(B41="",0,Paramètres!$B$53*1.5)</f>
        <v>0</v>
      </c>
      <c r="AG41" s="1">
        <f>IF(C41="",0,Paramètres!$B$53*1.5)</f>
        <v>0</v>
      </c>
      <c r="AH41" s="1"/>
      <c r="AI41" s="1"/>
      <c r="AJ41" s="1"/>
      <c r="AK41" s="1"/>
      <c r="AL41" s="1">
        <f>(U41*Paramètres!$B$53)*3</f>
        <v>0</v>
      </c>
      <c r="AM41" s="1">
        <f t="shared" si="10"/>
        <v>0</v>
      </c>
      <c r="AN41" s="1">
        <f>U41*Paramètres!$B$75</f>
        <v>0</v>
      </c>
      <c r="AO41" s="1">
        <f>U41*Paramètres!$B$72*Paramètres!$B$73</f>
        <v>0</v>
      </c>
      <c r="AP41" s="1"/>
      <c r="AQ41" s="1">
        <f>(Y41+AC41)*Paramètres!$B$42*Paramètres!$B$53</f>
        <v>0</v>
      </c>
      <c r="AR41" s="1"/>
      <c r="AS41" s="7">
        <f>ROUNDUP(D41*Paramètres!$B$23*Paramètres!$B$26,-1)</f>
        <v>0</v>
      </c>
      <c r="AT41" s="7"/>
      <c r="AU41" s="1"/>
      <c r="AV41" s="8"/>
      <c r="AW41" s="8"/>
      <c r="AX41" s="8"/>
      <c r="AY41" s="8"/>
      <c r="AZ41" s="8"/>
      <c r="BA41" s="8"/>
      <c r="BB41" s="44"/>
      <c r="BC41" s="44"/>
      <c r="BD41" s="8"/>
      <c r="BE41" s="8"/>
      <c r="BF41" s="8"/>
      <c r="BG41" s="44"/>
      <c r="BI41">
        <f t="shared" si="11"/>
        <v>0</v>
      </c>
    </row>
    <row r="42" spans="1:61" x14ac:dyDescent="0.25">
      <c r="A42">
        <v>40</v>
      </c>
      <c r="B42" s="1"/>
      <c r="C42" s="1"/>
      <c r="D42" s="1"/>
      <c r="E42" s="1"/>
      <c r="F42" s="1"/>
      <c r="G42" s="53"/>
      <c r="H42" s="53"/>
      <c r="I42" s="54"/>
      <c r="J42" s="50">
        <f>F42*Paramètres!$B$3</f>
        <v>0</v>
      </c>
      <c r="K42" s="56">
        <f t="shared" si="0"/>
        <v>0</v>
      </c>
      <c r="L42" s="56">
        <f t="shared" si="1"/>
        <v>0</v>
      </c>
      <c r="M42" s="56">
        <f t="shared" si="2"/>
        <v>0</v>
      </c>
      <c r="N42" s="3">
        <f>ROUNDUP(J42*Paramètres!$B$19,-1)</f>
        <v>0</v>
      </c>
      <c r="O42" s="1">
        <f t="shared" si="3"/>
        <v>0</v>
      </c>
      <c r="P42" s="1">
        <f t="shared" si="4"/>
        <v>0</v>
      </c>
      <c r="Q42" s="3">
        <f t="shared" si="5"/>
        <v>0</v>
      </c>
      <c r="R42" s="47">
        <f>ROUNDUP(+K42/Paramètres!$B$4/Paramètres!$B$53,0)</f>
        <v>0</v>
      </c>
      <c r="S42" s="47">
        <f>ROUNDUP(+L42/Paramètres!$B$6/Paramètres!$B$53,0)</f>
        <v>0</v>
      </c>
      <c r="T42" s="47"/>
      <c r="U42" s="2">
        <f t="shared" si="6"/>
        <v>0</v>
      </c>
      <c r="V42" s="1">
        <f>R42*Paramètres!$B$7</f>
        <v>0</v>
      </c>
      <c r="W42" s="1">
        <f>S42*Paramètres!$B$9</f>
        <v>0</v>
      </c>
      <c r="X42" s="1"/>
      <c r="Y42" s="2">
        <f t="shared" si="7"/>
        <v>0</v>
      </c>
      <c r="Z42" s="7">
        <f>R42*Paramètres!$B$10</f>
        <v>0</v>
      </c>
      <c r="AA42" s="7">
        <f>S42*Paramètres!$B$10</f>
        <v>0</v>
      </c>
      <c r="AB42" s="7"/>
      <c r="AC42" s="2">
        <f t="shared" si="8"/>
        <v>0</v>
      </c>
      <c r="AD42" s="1">
        <f t="shared" si="12"/>
        <v>0</v>
      </c>
      <c r="AE42" s="1">
        <f t="shared" si="9"/>
        <v>0</v>
      </c>
      <c r="AF42" s="1">
        <f>IF(B42="",0,Paramètres!$B$53*1.5)</f>
        <v>0</v>
      </c>
      <c r="AG42" s="1">
        <f>IF(C42="",0,Paramètres!$B$53*1.5)</f>
        <v>0</v>
      </c>
      <c r="AH42" s="1"/>
      <c r="AI42" s="1"/>
      <c r="AJ42" s="1"/>
      <c r="AK42" s="1"/>
      <c r="AL42" s="1">
        <f>(U42*Paramètres!$B$53)*3</f>
        <v>0</v>
      </c>
      <c r="AM42" s="1">
        <f t="shared" si="10"/>
        <v>0</v>
      </c>
      <c r="AN42" s="1">
        <f>U42*Paramètres!$B$75</f>
        <v>0</v>
      </c>
      <c r="AO42" s="1">
        <f>U42*Paramètres!$B$72*Paramètres!$B$73</f>
        <v>0</v>
      </c>
      <c r="AP42" s="1"/>
      <c r="AQ42" s="1">
        <f>(Y42+AC42)*Paramètres!$B$42*Paramètres!$B$53</f>
        <v>0</v>
      </c>
      <c r="AR42" s="1"/>
      <c r="AS42" s="7">
        <f>ROUNDUP(D42*Paramètres!$B$23*Paramètres!$B$26,-1)</f>
        <v>0</v>
      </c>
      <c r="AT42" s="7"/>
      <c r="AU42" s="1"/>
      <c r="AV42" s="8"/>
      <c r="AW42" s="8"/>
      <c r="AX42" s="8"/>
      <c r="AY42" s="8"/>
      <c r="AZ42" s="8"/>
      <c r="BA42" s="8"/>
      <c r="BB42" s="44"/>
      <c r="BC42" s="44"/>
      <c r="BD42" s="8"/>
      <c r="BE42" s="8"/>
      <c r="BF42" s="8"/>
      <c r="BG42" s="44"/>
      <c r="BI42">
        <f t="shared" si="11"/>
        <v>0</v>
      </c>
    </row>
    <row r="43" spans="1:61" x14ac:dyDescent="0.25">
      <c r="A43">
        <v>41</v>
      </c>
      <c r="B43" s="1"/>
      <c r="C43" s="1"/>
      <c r="D43" s="1"/>
      <c r="E43" s="1"/>
      <c r="F43" s="1"/>
      <c r="G43" s="53"/>
      <c r="H43" s="53"/>
      <c r="I43" s="54"/>
      <c r="J43" s="50">
        <f>F43*Paramètres!$B$3</f>
        <v>0</v>
      </c>
      <c r="K43" s="56">
        <f t="shared" si="0"/>
        <v>0</v>
      </c>
      <c r="L43" s="56">
        <f t="shared" si="1"/>
        <v>0</v>
      </c>
      <c r="M43" s="56">
        <f t="shared" si="2"/>
        <v>0</v>
      </c>
      <c r="N43" s="3">
        <f>ROUNDUP(J43*Paramètres!$B$19,-1)</f>
        <v>0</v>
      </c>
      <c r="O43" s="1">
        <f t="shared" si="3"/>
        <v>0</v>
      </c>
      <c r="P43" s="1">
        <f t="shared" si="4"/>
        <v>0</v>
      </c>
      <c r="Q43" s="3">
        <f t="shared" si="5"/>
        <v>0</v>
      </c>
      <c r="R43" s="47">
        <f>ROUNDUP(+K43/Paramètres!$B$4/Paramètres!$B$53,0)</f>
        <v>0</v>
      </c>
      <c r="S43" s="47">
        <f>ROUNDUP(+L43/Paramètres!$B$6/Paramètres!$B$53,0)</f>
        <v>0</v>
      </c>
      <c r="T43" s="47"/>
      <c r="U43" s="2">
        <f t="shared" si="6"/>
        <v>0</v>
      </c>
      <c r="V43" s="1">
        <f>R43*Paramètres!$B$7</f>
        <v>0</v>
      </c>
      <c r="W43" s="1">
        <f>S43*Paramètres!$B$9</f>
        <v>0</v>
      </c>
      <c r="X43" s="1"/>
      <c r="Y43" s="2">
        <f t="shared" si="7"/>
        <v>0</v>
      </c>
      <c r="Z43" s="7">
        <f>R43*Paramètres!$B$10</f>
        <v>0</v>
      </c>
      <c r="AA43" s="7">
        <f>S43*Paramètres!$B$10</f>
        <v>0</v>
      </c>
      <c r="AB43" s="7"/>
      <c r="AC43" s="2">
        <f t="shared" si="8"/>
        <v>0</v>
      </c>
      <c r="AD43" s="1">
        <f t="shared" si="12"/>
        <v>0</v>
      </c>
      <c r="AE43" s="1">
        <f t="shared" si="9"/>
        <v>0</v>
      </c>
      <c r="AF43" s="1">
        <f>IF(B43="",0,Paramètres!$B$53*1.5)</f>
        <v>0</v>
      </c>
      <c r="AG43" s="1">
        <f>IF(C43="",0,Paramètres!$B$53*1.5)</f>
        <v>0</v>
      </c>
      <c r="AH43" s="1"/>
      <c r="AI43" s="1"/>
      <c r="AJ43" s="1"/>
      <c r="AK43" s="1"/>
      <c r="AL43" s="1">
        <f>(U43*Paramètres!$B$53)*3</f>
        <v>0</v>
      </c>
      <c r="AM43" s="1">
        <f t="shared" si="10"/>
        <v>0</v>
      </c>
      <c r="AN43" s="1">
        <f>U43*Paramètres!$B$75</f>
        <v>0</v>
      </c>
      <c r="AO43" s="1">
        <f>U43*Paramètres!$B$72*Paramètres!$B$73</f>
        <v>0</v>
      </c>
      <c r="AP43" s="1"/>
      <c r="AQ43" s="1">
        <f>(Y43+AC43)*Paramètres!$B$42*Paramètres!$B$53</f>
        <v>0</v>
      </c>
      <c r="AR43" s="1"/>
      <c r="AS43" s="7">
        <f>ROUNDUP(D43*Paramètres!$B$23*Paramètres!$B$26,-1)</f>
        <v>0</v>
      </c>
      <c r="AT43" s="7"/>
      <c r="AU43" s="1"/>
      <c r="AV43" s="8"/>
      <c r="AW43" s="8"/>
      <c r="AX43" s="8"/>
      <c r="AY43" s="8"/>
      <c r="AZ43" s="8"/>
      <c r="BA43" s="8"/>
      <c r="BB43" s="44"/>
      <c r="BC43" s="44"/>
      <c r="BD43" s="8"/>
      <c r="BE43" s="8"/>
      <c r="BF43" s="8"/>
      <c r="BG43" s="44"/>
      <c r="BI43">
        <f t="shared" si="11"/>
        <v>0</v>
      </c>
    </row>
    <row r="44" spans="1:61" x14ac:dyDescent="0.25">
      <c r="A44">
        <v>42</v>
      </c>
      <c r="B44" s="1"/>
      <c r="C44" s="1"/>
      <c r="D44" s="1"/>
      <c r="E44" s="1"/>
      <c r="F44" s="1"/>
      <c r="G44" s="53"/>
      <c r="H44" s="53"/>
      <c r="I44" s="54"/>
      <c r="J44" s="50">
        <f>F44*Paramètres!$B$3</f>
        <v>0</v>
      </c>
      <c r="K44" s="56">
        <f t="shared" si="0"/>
        <v>0</v>
      </c>
      <c r="L44" s="56">
        <f t="shared" si="1"/>
        <v>0</v>
      </c>
      <c r="M44" s="56">
        <f t="shared" si="2"/>
        <v>0</v>
      </c>
      <c r="N44" s="3">
        <f>ROUNDUP(J44*Paramètres!$B$19,-1)</f>
        <v>0</v>
      </c>
      <c r="O44" s="1">
        <f t="shared" si="3"/>
        <v>0</v>
      </c>
      <c r="P44" s="1">
        <f t="shared" si="4"/>
        <v>0</v>
      </c>
      <c r="Q44" s="3">
        <f t="shared" si="5"/>
        <v>0</v>
      </c>
      <c r="R44" s="47">
        <f>ROUNDUP(+K44/Paramètres!$B$4/Paramètres!$B$53,0)</f>
        <v>0</v>
      </c>
      <c r="S44" s="47">
        <f>ROUNDUP(+L44/Paramètres!$B$6/Paramètres!$B$53,0)</f>
        <v>0</v>
      </c>
      <c r="T44" s="47"/>
      <c r="U44" s="2">
        <f t="shared" si="6"/>
        <v>0</v>
      </c>
      <c r="V44" s="1">
        <f>R44*Paramètres!$B$7</f>
        <v>0</v>
      </c>
      <c r="W44" s="1">
        <f>S44*Paramètres!$B$9</f>
        <v>0</v>
      </c>
      <c r="X44" s="1"/>
      <c r="Y44" s="2">
        <f t="shared" si="7"/>
        <v>0</v>
      </c>
      <c r="Z44" s="7">
        <f>R44*Paramètres!$B$10</f>
        <v>0</v>
      </c>
      <c r="AA44" s="7">
        <f>S44*Paramètres!$B$10</f>
        <v>0</v>
      </c>
      <c r="AB44" s="7"/>
      <c r="AC44" s="2">
        <f t="shared" si="8"/>
        <v>0</v>
      </c>
      <c r="AD44" s="1">
        <f t="shared" si="12"/>
        <v>0</v>
      </c>
      <c r="AE44" s="1">
        <f t="shared" si="9"/>
        <v>0</v>
      </c>
      <c r="AF44" s="1">
        <f>IF(B44="",0,Paramètres!$B$53*1.5)</f>
        <v>0</v>
      </c>
      <c r="AG44" s="1">
        <f>IF(C44="",0,Paramètres!$B$53*1.5)</f>
        <v>0</v>
      </c>
      <c r="AH44" s="1"/>
      <c r="AI44" s="1"/>
      <c r="AJ44" s="1"/>
      <c r="AK44" s="1"/>
      <c r="AL44" s="1">
        <f>(U44*Paramètres!$B$53)*3</f>
        <v>0</v>
      </c>
      <c r="AM44" s="1">
        <f t="shared" si="10"/>
        <v>0</v>
      </c>
      <c r="AN44" s="1">
        <f>U44*Paramètres!$B$75</f>
        <v>0</v>
      </c>
      <c r="AO44" s="1">
        <f>U44*Paramètres!$B$72*Paramètres!$B$73</f>
        <v>0</v>
      </c>
      <c r="AP44" s="1"/>
      <c r="AQ44" s="1">
        <f>(Y44+AC44)*Paramètres!$B$42*Paramètres!$B$53</f>
        <v>0</v>
      </c>
      <c r="AR44" s="1"/>
      <c r="AS44" s="7">
        <f>ROUNDUP(D44*Paramètres!$B$23*Paramètres!$B$26,-1)</f>
        <v>0</v>
      </c>
      <c r="AT44" s="7"/>
      <c r="AU44" s="1"/>
      <c r="AV44" s="8"/>
      <c r="AW44" s="8"/>
      <c r="AX44" s="8"/>
      <c r="AY44" s="8"/>
      <c r="AZ44" s="8"/>
      <c r="BA44" s="8"/>
      <c r="BB44" s="44"/>
      <c r="BC44" s="44"/>
      <c r="BD44" s="8"/>
      <c r="BE44" s="8"/>
      <c r="BF44" s="8"/>
      <c r="BG44" s="44"/>
      <c r="BI44">
        <f t="shared" si="11"/>
        <v>0</v>
      </c>
    </row>
    <row r="45" spans="1:61" x14ac:dyDescent="0.25">
      <c r="A45">
        <v>43</v>
      </c>
      <c r="B45" s="1"/>
      <c r="C45" s="1"/>
      <c r="D45" s="1"/>
      <c r="E45" s="1"/>
      <c r="F45" s="1"/>
      <c r="G45" s="53"/>
      <c r="H45" s="53"/>
      <c r="I45" s="54"/>
      <c r="J45" s="50">
        <f>F45*Paramètres!$B$3</f>
        <v>0</v>
      </c>
      <c r="K45" s="56">
        <f t="shared" si="0"/>
        <v>0</v>
      </c>
      <c r="L45" s="56">
        <f t="shared" si="1"/>
        <v>0</v>
      </c>
      <c r="M45" s="56">
        <f t="shared" si="2"/>
        <v>0</v>
      </c>
      <c r="N45" s="3">
        <f>ROUNDUP(J45*Paramètres!$B$19,-1)</f>
        <v>0</v>
      </c>
      <c r="O45" s="1">
        <f t="shared" si="3"/>
        <v>0</v>
      </c>
      <c r="P45" s="1">
        <f t="shared" si="4"/>
        <v>0</v>
      </c>
      <c r="Q45" s="3">
        <f t="shared" si="5"/>
        <v>0</v>
      </c>
      <c r="R45" s="47">
        <f>ROUNDUP(+K45/Paramètres!$B$4/Paramètres!$B$53,0)</f>
        <v>0</v>
      </c>
      <c r="S45" s="47">
        <f>ROUNDUP(+L45/Paramètres!$B$6/Paramètres!$B$53,0)</f>
        <v>0</v>
      </c>
      <c r="T45" s="47"/>
      <c r="U45" s="2">
        <f t="shared" si="6"/>
        <v>0</v>
      </c>
      <c r="V45" s="1">
        <f>R45*Paramètres!$B$7</f>
        <v>0</v>
      </c>
      <c r="W45" s="1">
        <f>S45*Paramètres!$B$9</f>
        <v>0</v>
      </c>
      <c r="X45" s="1"/>
      <c r="Y45" s="2">
        <f t="shared" si="7"/>
        <v>0</v>
      </c>
      <c r="Z45" s="7">
        <f>R45*Paramètres!$B$10</f>
        <v>0</v>
      </c>
      <c r="AA45" s="7">
        <f>S45*Paramètres!$B$10</f>
        <v>0</v>
      </c>
      <c r="AB45" s="7"/>
      <c r="AC45" s="2">
        <f t="shared" si="8"/>
        <v>0</v>
      </c>
      <c r="AD45" s="1">
        <f t="shared" si="12"/>
        <v>0</v>
      </c>
      <c r="AE45" s="1">
        <f t="shared" si="9"/>
        <v>0</v>
      </c>
      <c r="AF45" s="1">
        <f>IF(B45="",0,Paramètres!$B$53*1.5)</f>
        <v>0</v>
      </c>
      <c r="AG45" s="1">
        <f>IF(C45="",0,Paramètres!$B$53*1.5)</f>
        <v>0</v>
      </c>
      <c r="AH45" s="1"/>
      <c r="AI45" s="1"/>
      <c r="AJ45" s="1"/>
      <c r="AK45" s="1"/>
      <c r="AL45" s="1">
        <f>(U45*Paramètres!$B$53)*3</f>
        <v>0</v>
      </c>
      <c r="AM45" s="1">
        <f t="shared" si="10"/>
        <v>0</v>
      </c>
      <c r="AN45" s="1">
        <f>U45*Paramètres!$B$75</f>
        <v>0</v>
      </c>
      <c r="AO45" s="1">
        <f>U45*Paramètres!$B$72*Paramètres!$B$73</f>
        <v>0</v>
      </c>
      <c r="AP45" s="1"/>
      <c r="AQ45" s="1">
        <f>(Y45+AC45)*Paramètres!$B$42*Paramètres!$B$53</f>
        <v>0</v>
      </c>
      <c r="AR45" s="1"/>
      <c r="AS45" s="7">
        <f>ROUNDUP(D45*Paramètres!$B$23*Paramètres!$B$26,-1)</f>
        <v>0</v>
      </c>
      <c r="AT45" s="7"/>
      <c r="AU45" s="1"/>
      <c r="AV45" s="8"/>
      <c r="AW45" s="8"/>
      <c r="AX45" s="8"/>
      <c r="AY45" s="8"/>
      <c r="AZ45" s="8"/>
      <c r="BA45" s="8"/>
      <c r="BB45" s="44"/>
      <c r="BC45" s="44"/>
      <c r="BD45" s="8"/>
      <c r="BE45" s="8"/>
      <c r="BF45" s="8"/>
      <c r="BG45" s="44"/>
      <c r="BI45">
        <f t="shared" si="11"/>
        <v>0</v>
      </c>
    </row>
    <row r="46" spans="1:61" x14ac:dyDescent="0.25">
      <c r="A46">
        <v>44</v>
      </c>
      <c r="B46" s="1"/>
      <c r="C46" s="1"/>
      <c r="D46" s="1"/>
      <c r="E46" s="1"/>
      <c r="F46" s="1"/>
      <c r="G46" s="53"/>
      <c r="H46" s="53"/>
      <c r="I46" s="54"/>
      <c r="J46" s="50">
        <f>F46*Paramètres!$B$3</f>
        <v>0</v>
      </c>
      <c r="K46" s="56">
        <f t="shared" si="0"/>
        <v>0</v>
      </c>
      <c r="L46" s="56">
        <f t="shared" si="1"/>
        <v>0</v>
      </c>
      <c r="M46" s="56">
        <f t="shared" si="2"/>
        <v>0</v>
      </c>
      <c r="N46" s="3">
        <f>ROUNDUP(J46*Paramètres!$B$19,-1)</f>
        <v>0</v>
      </c>
      <c r="O46" s="1">
        <f t="shared" si="3"/>
        <v>0</v>
      </c>
      <c r="P46" s="1">
        <f t="shared" si="4"/>
        <v>0</v>
      </c>
      <c r="Q46" s="3">
        <f t="shared" si="5"/>
        <v>0</v>
      </c>
      <c r="R46" s="47">
        <f>ROUNDUP(+K46/Paramètres!$B$4/Paramètres!$B$53,0)</f>
        <v>0</v>
      </c>
      <c r="S46" s="47">
        <f>ROUNDUP(+L46/Paramètres!$B$6/Paramètres!$B$53,0)</f>
        <v>0</v>
      </c>
      <c r="T46" s="47"/>
      <c r="U46" s="2">
        <f t="shared" si="6"/>
        <v>0</v>
      </c>
      <c r="V46" s="1">
        <f>R46*Paramètres!$B$7</f>
        <v>0</v>
      </c>
      <c r="W46" s="1">
        <f>S46*Paramètres!$B$9</f>
        <v>0</v>
      </c>
      <c r="X46" s="1"/>
      <c r="Y46" s="2">
        <f t="shared" si="7"/>
        <v>0</v>
      </c>
      <c r="Z46" s="7">
        <f>R46*Paramètres!$B$10</f>
        <v>0</v>
      </c>
      <c r="AA46" s="7">
        <f>S46*Paramètres!$B$10</f>
        <v>0</v>
      </c>
      <c r="AB46" s="7"/>
      <c r="AC46" s="2">
        <f t="shared" si="8"/>
        <v>0</v>
      </c>
      <c r="AD46" s="1">
        <f t="shared" si="12"/>
        <v>0</v>
      </c>
      <c r="AE46" s="1">
        <f t="shared" si="9"/>
        <v>0</v>
      </c>
      <c r="AF46" s="1">
        <f>IF(B46="",0,Paramètres!$B$53*1.5)</f>
        <v>0</v>
      </c>
      <c r="AG46" s="1">
        <f>IF(C46="",0,Paramètres!$B$53*1.5)</f>
        <v>0</v>
      </c>
      <c r="AH46" s="1"/>
      <c r="AI46" s="1"/>
      <c r="AJ46" s="1"/>
      <c r="AK46" s="1"/>
      <c r="AL46" s="1">
        <f>(U46*Paramètres!$B$53)*3</f>
        <v>0</v>
      </c>
      <c r="AM46" s="1">
        <f t="shared" si="10"/>
        <v>0</v>
      </c>
      <c r="AN46" s="1">
        <f>U46*Paramètres!$B$75</f>
        <v>0</v>
      </c>
      <c r="AO46" s="1">
        <f>U46*Paramètres!$B$72*Paramètres!$B$73</f>
        <v>0</v>
      </c>
      <c r="AP46" s="1"/>
      <c r="AQ46" s="1">
        <f>(Y46+AC46)*Paramètres!$B$42*Paramètres!$B$53</f>
        <v>0</v>
      </c>
      <c r="AR46" s="1"/>
      <c r="AS46" s="7">
        <f>ROUNDUP(D46*Paramètres!$B$23*Paramètres!$B$26,-1)</f>
        <v>0</v>
      </c>
      <c r="AT46" s="7"/>
      <c r="AU46" s="1"/>
      <c r="AV46" s="8"/>
      <c r="AW46" s="8"/>
      <c r="AX46" s="8"/>
      <c r="AY46" s="8"/>
      <c r="AZ46" s="8"/>
      <c r="BA46" s="8"/>
      <c r="BB46" s="44"/>
      <c r="BC46" s="44"/>
      <c r="BD46" s="8"/>
      <c r="BE46" s="8"/>
      <c r="BF46" s="8"/>
      <c r="BG46" s="44"/>
      <c r="BI46">
        <f t="shared" si="11"/>
        <v>0</v>
      </c>
    </row>
    <row r="47" spans="1:61" x14ac:dyDescent="0.25">
      <c r="A47">
        <v>45</v>
      </c>
      <c r="B47" s="1"/>
      <c r="C47" s="1"/>
      <c r="D47" s="1"/>
      <c r="E47" s="1"/>
      <c r="F47" s="1"/>
      <c r="G47" s="53"/>
      <c r="H47" s="53"/>
      <c r="I47" s="54"/>
      <c r="J47" s="50">
        <f>F47*Paramètres!$B$3</f>
        <v>0</v>
      </c>
      <c r="K47" s="56">
        <f t="shared" si="0"/>
        <v>0</v>
      </c>
      <c r="L47" s="56">
        <f t="shared" si="1"/>
        <v>0</v>
      </c>
      <c r="M47" s="56">
        <f t="shared" si="2"/>
        <v>0</v>
      </c>
      <c r="N47" s="3">
        <f>ROUNDUP(J47*Paramètres!$B$19,-1)</f>
        <v>0</v>
      </c>
      <c r="O47" s="1">
        <f t="shared" si="3"/>
        <v>0</v>
      </c>
      <c r="P47" s="1">
        <f t="shared" si="4"/>
        <v>0</v>
      </c>
      <c r="Q47" s="3">
        <f t="shared" si="5"/>
        <v>0</v>
      </c>
      <c r="R47" s="47">
        <f>ROUNDUP(+K47/Paramètres!$B$4/Paramètres!$B$53,0)</f>
        <v>0</v>
      </c>
      <c r="S47" s="47">
        <f>ROUNDUP(+L47/Paramètres!$B$6/Paramètres!$B$53,0)</f>
        <v>0</v>
      </c>
      <c r="T47" s="47"/>
      <c r="U47" s="2">
        <f t="shared" si="6"/>
        <v>0</v>
      </c>
      <c r="V47" s="1">
        <f>R47*Paramètres!$B$7</f>
        <v>0</v>
      </c>
      <c r="W47" s="1">
        <f>S47*Paramètres!$B$9</f>
        <v>0</v>
      </c>
      <c r="X47" s="1"/>
      <c r="Y47" s="2">
        <f t="shared" si="7"/>
        <v>0</v>
      </c>
      <c r="Z47" s="7">
        <f>R47*Paramètres!$B$10</f>
        <v>0</v>
      </c>
      <c r="AA47" s="7">
        <f>S47*Paramètres!$B$10</f>
        <v>0</v>
      </c>
      <c r="AB47" s="7"/>
      <c r="AC47" s="2">
        <f t="shared" si="8"/>
        <v>0</v>
      </c>
      <c r="AD47" s="1">
        <f t="shared" si="12"/>
        <v>0</v>
      </c>
      <c r="AE47" s="1">
        <f t="shared" si="9"/>
        <v>0</v>
      </c>
      <c r="AF47" s="1">
        <f>IF(B47="",0,Paramètres!$B$53*1.5)</f>
        <v>0</v>
      </c>
      <c r="AG47" s="1">
        <f>IF(C47="",0,Paramètres!$B$53*1.5)</f>
        <v>0</v>
      </c>
      <c r="AH47" s="1"/>
      <c r="AI47" s="1"/>
      <c r="AJ47" s="1"/>
      <c r="AK47" s="1"/>
      <c r="AL47" s="1">
        <f>(U47*Paramètres!$B$53)*3</f>
        <v>0</v>
      </c>
      <c r="AM47" s="1">
        <f t="shared" si="10"/>
        <v>0</v>
      </c>
      <c r="AN47" s="1">
        <f>U47*Paramètres!$B$75</f>
        <v>0</v>
      </c>
      <c r="AO47" s="1">
        <f>U47*Paramètres!$B$72*Paramètres!$B$73</f>
        <v>0</v>
      </c>
      <c r="AP47" s="1"/>
      <c r="AQ47" s="1">
        <f>(Y47+AC47)*Paramètres!$B$42*Paramètres!$B$53</f>
        <v>0</v>
      </c>
      <c r="AR47" s="1"/>
      <c r="AS47" s="7">
        <f>ROUNDUP(D47*Paramètres!$B$23*Paramètres!$B$26,-1)</f>
        <v>0</v>
      </c>
      <c r="AT47" s="7"/>
      <c r="AU47" s="1"/>
      <c r="AV47" s="8"/>
      <c r="AW47" s="8"/>
      <c r="AX47" s="8"/>
      <c r="AY47" s="8"/>
      <c r="AZ47" s="8"/>
      <c r="BA47" s="8"/>
      <c r="BB47" s="44"/>
      <c r="BC47" s="44"/>
      <c r="BD47" s="8"/>
      <c r="BE47" s="8"/>
      <c r="BF47" s="8"/>
      <c r="BG47" s="44"/>
      <c r="BI47">
        <f t="shared" si="11"/>
        <v>0</v>
      </c>
    </row>
    <row r="48" spans="1:61" x14ac:dyDescent="0.25">
      <c r="A48">
        <v>46</v>
      </c>
      <c r="B48" s="1"/>
      <c r="C48" s="1"/>
      <c r="D48" s="1"/>
      <c r="E48" s="1"/>
      <c r="F48" s="1"/>
      <c r="G48" s="53"/>
      <c r="H48" s="53"/>
      <c r="I48" s="54"/>
      <c r="J48" s="50">
        <f>F48*Paramètres!$B$3</f>
        <v>0</v>
      </c>
      <c r="K48" s="56">
        <f t="shared" si="0"/>
        <v>0</v>
      </c>
      <c r="L48" s="56">
        <f t="shared" si="1"/>
        <v>0</v>
      </c>
      <c r="M48" s="56">
        <f t="shared" si="2"/>
        <v>0</v>
      </c>
      <c r="N48" s="3">
        <f>ROUNDUP(J48*Paramètres!$B$19,-1)</f>
        <v>0</v>
      </c>
      <c r="O48" s="1">
        <f t="shared" si="3"/>
        <v>0</v>
      </c>
      <c r="P48" s="1">
        <f t="shared" si="4"/>
        <v>0</v>
      </c>
      <c r="Q48" s="3">
        <f t="shared" si="5"/>
        <v>0</v>
      </c>
      <c r="R48" s="47">
        <f>ROUNDUP(+K48/Paramètres!$B$4/Paramètres!$B$53,0)</f>
        <v>0</v>
      </c>
      <c r="S48" s="47">
        <f>ROUNDUP(+L48/Paramètres!$B$6/Paramètres!$B$53,0)</f>
        <v>0</v>
      </c>
      <c r="T48" s="47"/>
      <c r="U48" s="2">
        <f t="shared" si="6"/>
        <v>0</v>
      </c>
      <c r="V48" s="1">
        <f>R48*Paramètres!$B$7</f>
        <v>0</v>
      </c>
      <c r="W48" s="1">
        <f>S48*Paramètres!$B$9</f>
        <v>0</v>
      </c>
      <c r="X48" s="1"/>
      <c r="Y48" s="2">
        <f t="shared" si="7"/>
        <v>0</v>
      </c>
      <c r="Z48" s="7">
        <f>R48*Paramètres!$B$10</f>
        <v>0</v>
      </c>
      <c r="AA48" s="7">
        <f>S48*Paramètres!$B$10</f>
        <v>0</v>
      </c>
      <c r="AB48" s="7"/>
      <c r="AC48" s="2">
        <f t="shared" si="8"/>
        <v>0</v>
      </c>
      <c r="AD48" s="1">
        <f t="shared" si="12"/>
        <v>0</v>
      </c>
      <c r="AE48" s="1">
        <f t="shared" si="9"/>
        <v>0</v>
      </c>
      <c r="AF48" s="1">
        <f>IF(B48="",0,Paramètres!$B$53*1.5)</f>
        <v>0</v>
      </c>
      <c r="AG48" s="1">
        <f>IF(C48="",0,Paramètres!$B$53*1.5)</f>
        <v>0</v>
      </c>
      <c r="AH48" s="1"/>
      <c r="AI48" s="1"/>
      <c r="AJ48" s="1"/>
      <c r="AK48" s="1"/>
      <c r="AL48" s="1">
        <f>(U48*Paramètres!$B$53)*3</f>
        <v>0</v>
      </c>
      <c r="AM48" s="1">
        <f t="shared" si="10"/>
        <v>0</v>
      </c>
      <c r="AN48" s="1">
        <f>U48*Paramètres!$B$75</f>
        <v>0</v>
      </c>
      <c r="AO48" s="1">
        <f>U48*Paramètres!$B$72*Paramètres!$B$73</f>
        <v>0</v>
      </c>
      <c r="AP48" s="1"/>
      <c r="AQ48" s="1">
        <f>(Y48+AC48)*Paramètres!$B$42*Paramètres!$B$53</f>
        <v>0</v>
      </c>
      <c r="AR48" s="1"/>
      <c r="AS48" s="7">
        <f>ROUNDUP(D48*Paramètres!$B$23*Paramètres!$B$26,-1)</f>
        <v>0</v>
      </c>
      <c r="AT48" s="7"/>
      <c r="AU48" s="1"/>
      <c r="AV48" s="8"/>
      <c r="AW48" s="8"/>
      <c r="AX48" s="8"/>
      <c r="AY48" s="8"/>
      <c r="AZ48" s="8"/>
      <c r="BA48" s="8"/>
      <c r="BB48" s="44"/>
      <c r="BC48" s="44"/>
      <c r="BD48" s="8"/>
      <c r="BE48" s="8"/>
      <c r="BF48" s="8"/>
      <c r="BG48" s="44"/>
      <c r="BI48">
        <f t="shared" si="11"/>
        <v>0</v>
      </c>
    </row>
    <row r="49" spans="1:61" x14ac:dyDescent="0.25">
      <c r="A49">
        <v>47</v>
      </c>
      <c r="B49" s="1"/>
      <c r="C49" s="1"/>
      <c r="D49" s="1"/>
      <c r="E49" s="1"/>
      <c r="F49" s="1"/>
      <c r="G49" s="53"/>
      <c r="H49" s="53"/>
      <c r="I49" s="54"/>
      <c r="J49" s="50">
        <f>F49*Paramètres!$B$3</f>
        <v>0</v>
      </c>
      <c r="K49" s="56">
        <f t="shared" si="0"/>
        <v>0</v>
      </c>
      <c r="L49" s="56">
        <f t="shared" si="1"/>
        <v>0</v>
      </c>
      <c r="M49" s="56">
        <f t="shared" si="2"/>
        <v>0</v>
      </c>
      <c r="N49" s="3">
        <f>ROUNDUP(J49*Paramètres!$B$19,-1)</f>
        <v>0</v>
      </c>
      <c r="O49" s="1">
        <f t="shared" si="3"/>
        <v>0</v>
      </c>
      <c r="P49" s="1">
        <f t="shared" si="4"/>
        <v>0</v>
      </c>
      <c r="Q49" s="3">
        <f t="shared" si="5"/>
        <v>0</v>
      </c>
      <c r="R49" s="47">
        <f>ROUNDUP(+K49/Paramètres!$B$4/Paramètres!$B$53,0)</f>
        <v>0</v>
      </c>
      <c r="S49" s="47">
        <f>ROUNDUP(+L49/Paramètres!$B$6/Paramètres!$B$53,0)</f>
        <v>0</v>
      </c>
      <c r="T49" s="47"/>
      <c r="U49" s="2">
        <f t="shared" si="6"/>
        <v>0</v>
      </c>
      <c r="V49" s="1">
        <f>R49*Paramètres!$B$7</f>
        <v>0</v>
      </c>
      <c r="W49" s="1">
        <f>S49*Paramètres!$B$9</f>
        <v>0</v>
      </c>
      <c r="X49" s="1"/>
      <c r="Y49" s="2">
        <f t="shared" si="7"/>
        <v>0</v>
      </c>
      <c r="Z49" s="7">
        <f>R49*Paramètres!$B$10</f>
        <v>0</v>
      </c>
      <c r="AA49" s="7">
        <f>S49*Paramètres!$B$10</f>
        <v>0</v>
      </c>
      <c r="AB49" s="7"/>
      <c r="AC49" s="2">
        <f t="shared" si="8"/>
        <v>0</v>
      </c>
      <c r="AD49" s="1">
        <f t="shared" si="12"/>
        <v>0</v>
      </c>
      <c r="AE49" s="1">
        <f t="shared" si="9"/>
        <v>0</v>
      </c>
      <c r="AF49" s="1">
        <f>IF(B49="",0,Paramètres!$B$53*1.5)</f>
        <v>0</v>
      </c>
      <c r="AG49" s="1">
        <f>IF(C49="",0,Paramètres!$B$53*1.5)</f>
        <v>0</v>
      </c>
      <c r="AH49" s="1"/>
      <c r="AI49" s="1"/>
      <c r="AJ49" s="1"/>
      <c r="AK49" s="1"/>
      <c r="AL49" s="1">
        <f>(U49*Paramètres!$B$53)*3</f>
        <v>0</v>
      </c>
      <c r="AM49" s="1">
        <f t="shared" si="10"/>
        <v>0</v>
      </c>
      <c r="AN49" s="1">
        <f>U49*Paramètres!$B$75</f>
        <v>0</v>
      </c>
      <c r="AO49" s="1">
        <f>U49*Paramètres!$B$72*Paramètres!$B$73</f>
        <v>0</v>
      </c>
      <c r="AP49" s="1"/>
      <c r="AQ49" s="1">
        <f>(Y49+AC49)*Paramètres!$B$42*Paramètres!$B$53</f>
        <v>0</v>
      </c>
      <c r="AR49" s="1"/>
      <c r="AS49" s="7">
        <f>ROUNDUP(D49*Paramètres!$B$23*Paramètres!$B$26,-1)</f>
        <v>0</v>
      </c>
      <c r="AT49" s="7"/>
      <c r="AU49" s="1"/>
      <c r="AV49" s="8"/>
      <c r="AW49" s="8"/>
      <c r="AX49" s="8"/>
      <c r="AY49" s="8"/>
      <c r="AZ49" s="8"/>
      <c r="BA49" s="8"/>
      <c r="BB49" s="44"/>
      <c r="BC49" s="44"/>
      <c r="BD49" s="8"/>
      <c r="BE49" s="8"/>
      <c r="BF49" s="8"/>
      <c r="BG49" s="44"/>
      <c r="BI49">
        <f t="shared" si="11"/>
        <v>0</v>
      </c>
    </row>
    <row r="50" spans="1:61" x14ac:dyDescent="0.25">
      <c r="A50">
        <v>48</v>
      </c>
      <c r="B50" s="1"/>
      <c r="C50" s="1"/>
      <c r="D50" s="1"/>
      <c r="E50" s="1"/>
      <c r="F50" s="1"/>
      <c r="G50" s="53"/>
      <c r="H50" s="53"/>
      <c r="I50" s="54"/>
      <c r="J50" s="50">
        <f>F50*Paramètres!$B$3</f>
        <v>0</v>
      </c>
      <c r="K50" s="56">
        <f t="shared" si="0"/>
        <v>0</v>
      </c>
      <c r="L50" s="56">
        <f t="shared" si="1"/>
        <v>0</v>
      </c>
      <c r="M50" s="56">
        <f t="shared" si="2"/>
        <v>0</v>
      </c>
      <c r="N50" s="3">
        <f>ROUNDUP(J50*Paramètres!$B$19,-1)</f>
        <v>0</v>
      </c>
      <c r="O50" s="1">
        <f t="shared" si="3"/>
        <v>0</v>
      </c>
      <c r="P50" s="1">
        <f t="shared" si="4"/>
        <v>0</v>
      </c>
      <c r="Q50" s="3">
        <f t="shared" si="5"/>
        <v>0</v>
      </c>
      <c r="R50" s="47">
        <f>ROUNDUP(+K50/Paramètres!$B$4/Paramètres!$B$53,0)</f>
        <v>0</v>
      </c>
      <c r="S50" s="47">
        <f>ROUNDUP(+L50/Paramètres!$B$6/Paramètres!$B$53,0)</f>
        <v>0</v>
      </c>
      <c r="T50" s="47"/>
      <c r="U50" s="2">
        <f t="shared" si="6"/>
        <v>0</v>
      </c>
      <c r="V50" s="1">
        <f>R50*Paramètres!$B$7</f>
        <v>0</v>
      </c>
      <c r="W50" s="1">
        <f>S50*Paramètres!$B$9</f>
        <v>0</v>
      </c>
      <c r="X50" s="1"/>
      <c r="Y50" s="2">
        <f t="shared" si="7"/>
        <v>0</v>
      </c>
      <c r="Z50" s="7">
        <f>R50*Paramètres!$B$10</f>
        <v>0</v>
      </c>
      <c r="AA50" s="7">
        <f>S50*Paramètres!$B$10</f>
        <v>0</v>
      </c>
      <c r="AB50" s="7"/>
      <c r="AC50" s="2">
        <f t="shared" si="8"/>
        <v>0</v>
      </c>
      <c r="AD50" s="1">
        <f t="shared" si="12"/>
        <v>0</v>
      </c>
      <c r="AE50" s="1">
        <f t="shared" si="9"/>
        <v>0</v>
      </c>
      <c r="AF50" s="1">
        <f>IF(B50="",0,Paramètres!$B$53*1.5)</f>
        <v>0</v>
      </c>
      <c r="AG50" s="1">
        <f>IF(C50="",0,Paramètres!$B$53*1.5)</f>
        <v>0</v>
      </c>
      <c r="AH50" s="1"/>
      <c r="AI50" s="1"/>
      <c r="AJ50" s="1"/>
      <c r="AK50" s="1"/>
      <c r="AL50" s="1">
        <f>(U50*Paramètres!$B$53)*3</f>
        <v>0</v>
      </c>
      <c r="AM50" s="1">
        <f t="shared" si="10"/>
        <v>0</v>
      </c>
      <c r="AN50" s="1">
        <f>U50*Paramètres!$B$75</f>
        <v>0</v>
      </c>
      <c r="AO50" s="1">
        <f>U50*Paramètres!$B$72*Paramètres!$B$73</f>
        <v>0</v>
      </c>
      <c r="AP50" s="1"/>
      <c r="AQ50" s="1">
        <f>(Y50+AC50)*Paramètres!$B$42*Paramètres!$B$53</f>
        <v>0</v>
      </c>
      <c r="AR50" s="1"/>
      <c r="AS50" s="7">
        <f>ROUNDUP(D50*Paramètres!$B$23*Paramètres!$B$26,-1)</f>
        <v>0</v>
      </c>
      <c r="AT50" s="7"/>
      <c r="AU50" s="1"/>
      <c r="AV50" s="8"/>
      <c r="AW50" s="8"/>
      <c r="AX50" s="8"/>
      <c r="AY50" s="8"/>
      <c r="AZ50" s="8"/>
      <c r="BA50" s="8"/>
      <c r="BB50" s="44"/>
      <c r="BC50" s="44"/>
      <c r="BD50" s="8"/>
      <c r="BE50" s="8"/>
      <c r="BF50" s="8"/>
      <c r="BG50" s="44"/>
      <c r="BI50">
        <f t="shared" si="11"/>
        <v>0</v>
      </c>
    </row>
    <row r="51" spans="1:61" x14ac:dyDescent="0.25">
      <c r="A51">
        <v>49</v>
      </c>
      <c r="B51" s="1"/>
      <c r="C51" s="1"/>
      <c r="D51" s="1"/>
      <c r="E51" s="1"/>
      <c r="F51" s="1"/>
      <c r="G51" s="53"/>
      <c r="H51" s="53"/>
      <c r="I51" s="54"/>
      <c r="J51" s="50">
        <f>F51*Paramètres!$B$3</f>
        <v>0</v>
      </c>
      <c r="K51" s="56">
        <f t="shared" si="0"/>
        <v>0</v>
      </c>
      <c r="L51" s="56">
        <f t="shared" si="1"/>
        <v>0</v>
      </c>
      <c r="M51" s="56">
        <f t="shared" si="2"/>
        <v>0</v>
      </c>
      <c r="N51" s="3">
        <f>ROUNDUP(J51*Paramètres!$B$19,-1)</f>
        <v>0</v>
      </c>
      <c r="O51" s="1">
        <f t="shared" si="3"/>
        <v>0</v>
      </c>
      <c r="P51" s="1">
        <f t="shared" si="4"/>
        <v>0</v>
      </c>
      <c r="Q51" s="3">
        <f t="shared" si="5"/>
        <v>0</v>
      </c>
      <c r="R51" s="47">
        <f>ROUNDUP(+K51/Paramètres!$B$4/Paramètres!$B$53,0)</f>
        <v>0</v>
      </c>
      <c r="S51" s="47">
        <f>ROUNDUP(+L51/Paramètres!$B$6/Paramètres!$B$53,0)</f>
        <v>0</v>
      </c>
      <c r="T51" s="47"/>
      <c r="U51" s="2">
        <f t="shared" si="6"/>
        <v>0</v>
      </c>
      <c r="V51" s="1">
        <f>R51*Paramètres!$B$7</f>
        <v>0</v>
      </c>
      <c r="W51" s="1">
        <f>S51*Paramètres!$B$9</f>
        <v>0</v>
      </c>
      <c r="X51" s="1"/>
      <c r="Y51" s="2">
        <f t="shared" si="7"/>
        <v>0</v>
      </c>
      <c r="Z51" s="7">
        <f>R51*Paramètres!$B$10</f>
        <v>0</v>
      </c>
      <c r="AA51" s="7">
        <f>S51*Paramètres!$B$10</f>
        <v>0</v>
      </c>
      <c r="AB51" s="7"/>
      <c r="AC51" s="2">
        <f t="shared" si="8"/>
        <v>0</v>
      </c>
      <c r="AD51" s="1">
        <f t="shared" si="12"/>
        <v>0</v>
      </c>
      <c r="AE51" s="1">
        <f t="shared" si="9"/>
        <v>0</v>
      </c>
      <c r="AF51" s="1">
        <f>IF(B51="",0,Paramètres!$B$53*1.5)</f>
        <v>0</v>
      </c>
      <c r="AG51" s="1">
        <f>IF(C51="",0,Paramètres!$B$53*1.5)</f>
        <v>0</v>
      </c>
      <c r="AH51" s="1"/>
      <c r="AI51" s="1"/>
      <c r="AJ51" s="1"/>
      <c r="AK51" s="1"/>
      <c r="AL51" s="1">
        <f>(U51*Paramètres!$B$53)*3</f>
        <v>0</v>
      </c>
      <c r="AM51" s="1">
        <f t="shared" si="10"/>
        <v>0</v>
      </c>
      <c r="AN51" s="1">
        <f>U51*Paramètres!$B$75</f>
        <v>0</v>
      </c>
      <c r="AO51" s="1">
        <f>U51*Paramètres!$B$72*Paramètres!$B$73</f>
        <v>0</v>
      </c>
      <c r="AP51" s="1"/>
      <c r="AQ51" s="1">
        <f>(Y51+AC51)*Paramètres!$B$42*Paramètres!$B$53</f>
        <v>0</v>
      </c>
      <c r="AR51" s="1"/>
      <c r="AS51" s="7">
        <f>ROUNDUP(D51*Paramètres!$B$23*Paramètres!$B$26,-1)</f>
        <v>0</v>
      </c>
      <c r="AT51" s="7"/>
      <c r="AU51" s="1"/>
      <c r="AV51" s="8"/>
      <c r="AW51" s="8"/>
      <c r="AX51" s="8"/>
      <c r="AY51" s="8"/>
      <c r="AZ51" s="8"/>
      <c r="BA51" s="8"/>
      <c r="BB51" s="44"/>
      <c r="BC51" s="44"/>
      <c r="BD51" s="8"/>
      <c r="BE51" s="8"/>
      <c r="BF51" s="8"/>
      <c r="BG51" s="44"/>
      <c r="BI51">
        <f t="shared" si="11"/>
        <v>0</v>
      </c>
    </row>
    <row r="52" spans="1:61" x14ac:dyDescent="0.25">
      <c r="A52">
        <v>50</v>
      </c>
      <c r="B52" s="1"/>
      <c r="C52" s="1"/>
      <c r="D52" s="1"/>
      <c r="E52" s="1"/>
      <c r="F52" s="1"/>
      <c r="G52" s="53"/>
      <c r="H52" s="53"/>
      <c r="I52" s="54"/>
      <c r="J52" s="50">
        <f>F52*Paramètres!$B$3</f>
        <v>0</v>
      </c>
      <c r="K52" s="56">
        <f t="shared" si="0"/>
        <v>0</v>
      </c>
      <c r="L52" s="56">
        <f t="shared" si="1"/>
        <v>0</v>
      </c>
      <c r="M52" s="56">
        <f t="shared" si="2"/>
        <v>0</v>
      </c>
      <c r="N52" s="3">
        <f>ROUNDUP(J52*Paramètres!$B$19,-1)</f>
        <v>0</v>
      </c>
      <c r="O52" s="1">
        <f t="shared" si="3"/>
        <v>0</v>
      </c>
      <c r="P52" s="1">
        <f t="shared" si="4"/>
        <v>0</v>
      </c>
      <c r="Q52" s="3">
        <f t="shared" si="5"/>
        <v>0</v>
      </c>
      <c r="R52" s="47">
        <f>ROUNDUP(+K52/Paramètres!$B$4/Paramètres!$B$53,0)</f>
        <v>0</v>
      </c>
      <c r="S52" s="47">
        <f>ROUNDUP(+L52/Paramètres!$B$6/Paramètres!$B$53,0)</f>
        <v>0</v>
      </c>
      <c r="T52" s="47"/>
      <c r="U52" s="2">
        <f t="shared" si="6"/>
        <v>0</v>
      </c>
      <c r="V52" s="1">
        <f>R52*Paramètres!$B$7</f>
        <v>0</v>
      </c>
      <c r="W52" s="1">
        <f>S52*Paramètres!$B$9</f>
        <v>0</v>
      </c>
      <c r="X52" s="1"/>
      <c r="Y52" s="2">
        <f t="shared" si="7"/>
        <v>0</v>
      </c>
      <c r="Z52" s="7">
        <f>R52*Paramètres!$B$10</f>
        <v>0</v>
      </c>
      <c r="AA52" s="7">
        <f>S52*Paramètres!$B$10</f>
        <v>0</v>
      </c>
      <c r="AB52" s="7"/>
      <c r="AC52" s="2">
        <f t="shared" si="8"/>
        <v>0</v>
      </c>
      <c r="AD52" s="1">
        <f t="shared" si="12"/>
        <v>0</v>
      </c>
      <c r="AE52" s="1">
        <f t="shared" si="9"/>
        <v>0</v>
      </c>
      <c r="AF52" s="1">
        <f>IF(B52="",0,Paramètres!$B$53*1.5)</f>
        <v>0</v>
      </c>
      <c r="AG52" s="1">
        <f>IF(C52="",0,Paramètres!$B$53*1.5)</f>
        <v>0</v>
      </c>
      <c r="AH52" s="1"/>
      <c r="AI52" s="1"/>
      <c r="AJ52" s="1"/>
      <c r="AK52" s="1"/>
      <c r="AL52" s="1">
        <f>(U52*Paramètres!$B$53)*3</f>
        <v>0</v>
      </c>
      <c r="AM52" s="1">
        <f t="shared" si="10"/>
        <v>0</v>
      </c>
      <c r="AN52" s="1">
        <f>U52*Paramètres!$B$75</f>
        <v>0</v>
      </c>
      <c r="AO52" s="1">
        <f>U52*Paramètres!$B$72*Paramètres!$B$73</f>
        <v>0</v>
      </c>
      <c r="AP52" s="1"/>
      <c r="AQ52" s="1">
        <f>(Y52+AC52)*Paramètres!$B$42*Paramètres!$B$53</f>
        <v>0</v>
      </c>
      <c r="AR52" s="1"/>
      <c r="AS52" s="7">
        <f>ROUNDUP(D52*Paramètres!$B$23*Paramètres!$B$26,-1)</f>
        <v>0</v>
      </c>
      <c r="AT52" s="7"/>
      <c r="AU52" s="1"/>
      <c r="AV52" s="8"/>
      <c r="AW52" s="8"/>
      <c r="AX52" s="8"/>
      <c r="AY52" s="8"/>
      <c r="AZ52" s="8"/>
      <c r="BA52" s="8"/>
      <c r="BB52" s="44"/>
      <c r="BC52" s="44"/>
      <c r="BD52" s="8"/>
      <c r="BE52" s="8"/>
      <c r="BF52" s="8"/>
      <c r="BG52" s="44"/>
      <c r="BI52">
        <f t="shared" si="11"/>
        <v>0</v>
      </c>
    </row>
    <row r="53" spans="1:61" x14ac:dyDescent="0.25">
      <c r="A53">
        <v>51</v>
      </c>
      <c r="B53" s="1"/>
      <c r="C53" s="1"/>
      <c r="D53" s="1"/>
      <c r="E53" s="1"/>
      <c r="F53" s="1"/>
      <c r="G53" s="53"/>
      <c r="H53" s="53"/>
      <c r="I53" s="54"/>
      <c r="J53" s="50">
        <f>F53*Paramètres!$B$3</f>
        <v>0</v>
      </c>
      <c r="K53" s="56">
        <f t="shared" si="0"/>
        <v>0</v>
      </c>
      <c r="L53" s="56">
        <f t="shared" si="1"/>
        <v>0</v>
      </c>
      <c r="M53" s="56">
        <f t="shared" si="2"/>
        <v>0</v>
      </c>
      <c r="N53" s="3">
        <f>ROUNDUP(J53*Paramètres!$B$19,-1)</f>
        <v>0</v>
      </c>
      <c r="O53" s="1">
        <f t="shared" si="3"/>
        <v>0</v>
      </c>
      <c r="P53" s="1">
        <f t="shared" si="4"/>
        <v>0</v>
      </c>
      <c r="Q53" s="3">
        <f t="shared" si="5"/>
        <v>0</v>
      </c>
      <c r="R53" s="47">
        <f>ROUNDUP(+K53/Paramètres!$B$4/Paramètres!$B$53,0)</f>
        <v>0</v>
      </c>
      <c r="S53" s="47">
        <f>ROUNDUP(+L53/Paramètres!$B$6/Paramètres!$B$53,0)</f>
        <v>0</v>
      </c>
      <c r="T53" s="47"/>
      <c r="U53" s="2">
        <f t="shared" si="6"/>
        <v>0</v>
      </c>
      <c r="V53" s="1">
        <f>R53*Paramètres!$B$7</f>
        <v>0</v>
      </c>
      <c r="W53" s="1">
        <f>S53*Paramètres!$B$9</f>
        <v>0</v>
      </c>
      <c r="X53" s="1"/>
      <c r="Y53" s="2">
        <f t="shared" si="7"/>
        <v>0</v>
      </c>
      <c r="Z53" s="7">
        <f>R53*Paramètres!$B$10</f>
        <v>0</v>
      </c>
      <c r="AA53" s="7">
        <f>S53*Paramètres!$B$10</f>
        <v>0</v>
      </c>
      <c r="AB53" s="7"/>
      <c r="AC53" s="2">
        <f t="shared" si="8"/>
        <v>0</v>
      </c>
      <c r="AD53" s="1">
        <f t="shared" si="12"/>
        <v>0</v>
      </c>
      <c r="AE53" s="1">
        <f t="shared" si="9"/>
        <v>0</v>
      </c>
      <c r="AF53" s="1">
        <f>IF(B53="",0,Paramètres!$B$53*1.5)</f>
        <v>0</v>
      </c>
      <c r="AG53" s="1">
        <f>IF(C53="",0,Paramètres!$B$53*1.5)</f>
        <v>0</v>
      </c>
      <c r="AH53" s="1"/>
      <c r="AI53" s="1"/>
      <c r="AJ53" s="1"/>
      <c r="AK53" s="1"/>
      <c r="AL53" s="1">
        <f>(U53*Paramètres!$B$53)*3</f>
        <v>0</v>
      </c>
      <c r="AM53" s="1">
        <f t="shared" si="10"/>
        <v>0</v>
      </c>
      <c r="AN53" s="1">
        <f>U53*Paramètres!$B$75</f>
        <v>0</v>
      </c>
      <c r="AO53" s="1">
        <f>U53*Paramètres!$B$72*Paramètres!$B$73</f>
        <v>0</v>
      </c>
      <c r="AP53" s="1"/>
      <c r="AQ53" s="1">
        <f>(Y53+AC53)*Paramètres!$B$42*Paramètres!$B$53</f>
        <v>0</v>
      </c>
      <c r="AR53" s="1"/>
      <c r="AS53" s="7">
        <f>ROUNDUP(D53*Paramètres!$B$23*Paramètres!$B$26,-1)</f>
        <v>0</v>
      </c>
      <c r="AT53" s="7"/>
      <c r="AU53" s="1"/>
      <c r="AV53" s="8"/>
      <c r="AW53" s="8"/>
      <c r="AX53" s="8"/>
      <c r="AY53" s="8"/>
      <c r="AZ53" s="8"/>
      <c r="BA53" s="8"/>
      <c r="BB53" s="44"/>
      <c r="BC53" s="44"/>
      <c r="BD53" s="8"/>
      <c r="BE53" s="8"/>
      <c r="BF53" s="8"/>
      <c r="BG53" s="44"/>
      <c r="BI53">
        <f t="shared" si="11"/>
        <v>0</v>
      </c>
    </row>
    <row r="54" spans="1:61" x14ac:dyDescent="0.25">
      <c r="B54" s="1"/>
      <c r="C54" s="1"/>
      <c r="D54" s="1"/>
      <c r="E54" s="1"/>
      <c r="F54" s="1"/>
      <c r="G54" s="54"/>
      <c r="H54" s="54"/>
      <c r="I54" s="54"/>
      <c r="J54" s="50">
        <f>F54*Paramètres!$B$3</f>
        <v>0</v>
      </c>
      <c r="K54" s="56">
        <f t="shared" si="0"/>
        <v>0</v>
      </c>
      <c r="L54" s="56">
        <f t="shared" si="1"/>
        <v>0</v>
      </c>
      <c r="M54" s="56">
        <f t="shared" si="2"/>
        <v>0</v>
      </c>
      <c r="N54" s="3">
        <f>ROUNDUP(J54*Paramètres!$B$19,-1)</f>
        <v>0</v>
      </c>
      <c r="O54" s="1">
        <f t="shared" si="3"/>
        <v>0</v>
      </c>
      <c r="P54" s="1">
        <f t="shared" si="4"/>
        <v>0</v>
      </c>
      <c r="Q54" s="3">
        <f t="shared" si="5"/>
        <v>0</v>
      </c>
      <c r="R54" s="47">
        <f>ROUNDUP(+K54/Paramètres!$B$4/Paramètres!$B$53,0)</f>
        <v>0</v>
      </c>
      <c r="S54" s="47">
        <f>ROUNDUP(+L54/Paramètres!$B$6/Paramètres!$B$53,0)</f>
        <v>0</v>
      </c>
      <c r="T54" s="47"/>
      <c r="U54" s="2">
        <f t="shared" si="6"/>
        <v>0</v>
      </c>
      <c r="V54" s="1">
        <f>R54*Paramètres!$B$7</f>
        <v>0</v>
      </c>
      <c r="W54" s="1">
        <f>S54*Paramètres!$B$9</f>
        <v>0</v>
      </c>
      <c r="X54" s="1"/>
      <c r="Y54" s="2">
        <f t="shared" si="7"/>
        <v>0</v>
      </c>
      <c r="Z54" s="7">
        <f>R54*Paramètres!$B$10</f>
        <v>0</v>
      </c>
      <c r="AA54" s="7">
        <f>S54*Paramètres!$B$10</f>
        <v>0</v>
      </c>
      <c r="AB54" s="7"/>
      <c r="AC54" s="2">
        <f t="shared" si="8"/>
        <v>0</v>
      </c>
      <c r="AD54" s="1">
        <f t="shared" si="12"/>
        <v>0</v>
      </c>
      <c r="AE54" s="1">
        <f t="shared" si="9"/>
        <v>0</v>
      </c>
      <c r="AF54" s="1">
        <f>IF(B54="",0,Paramètres!$B$53*1.5)</f>
        <v>0</v>
      </c>
      <c r="AG54" s="1">
        <f>IF(C54="",0,Paramètres!$B$53*1.5)</f>
        <v>0</v>
      </c>
      <c r="AH54" s="1"/>
      <c r="AI54" s="1"/>
      <c r="AJ54" s="1"/>
      <c r="AK54" s="1"/>
      <c r="AL54" s="1">
        <f>(U54*Paramètres!$B$53)*3</f>
        <v>0</v>
      </c>
      <c r="AM54" s="1">
        <f t="shared" si="10"/>
        <v>0</v>
      </c>
      <c r="AN54" s="1">
        <f>U54*Paramètres!$B$75</f>
        <v>0</v>
      </c>
      <c r="AO54" s="1">
        <f>U54*Paramètres!$B$72*Paramètres!$B$73</f>
        <v>0</v>
      </c>
      <c r="AP54" s="1"/>
      <c r="AQ54" s="1">
        <f>(Y54+AC54)*Paramètres!$B$42*Paramètres!$B$53</f>
        <v>0</v>
      </c>
      <c r="AR54" s="1"/>
      <c r="AS54" s="7">
        <f>ROUNDUP(D54*Paramètres!$B$23*Paramètres!$B$26,-1)</f>
        <v>0</v>
      </c>
      <c r="AT54" s="7"/>
      <c r="AU54" s="1"/>
      <c r="AV54" s="8"/>
      <c r="AW54" s="8"/>
      <c r="AX54" s="8"/>
      <c r="AY54" s="8"/>
      <c r="AZ54" s="8"/>
      <c r="BA54" s="8"/>
      <c r="BB54" s="44"/>
      <c r="BC54" s="44"/>
      <c r="BD54" s="8"/>
      <c r="BE54" s="8"/>
      <c r="BF54" s="8"/>
      <c r="BG54" s="44"/>
      <c r="BI54">
        <f t="shared" si="11"/>
        <v>0</v>
      </c>
    </row>
    <row r="55" spans="1:61" x14ac:dyDescent="0.25">
      <c r="B55" s="1"/>
      <c r="C55" s="1"/>
      <c r="D55" s="1"/>
      <c r="E55" s="1"/>
      <c r="F55" s="1"/>
      <c r="G55" s="54"/>
      <c r="H55" s="54"/>
      <c r="I55" s="54"/>
      <c r="J55" s="50">
        <f>F55*Paramètres!$B$3</f>
        <v>0</v>
      </c>
      <c r="K55" s="56">
        <f t="shared" si="0"/>
        <v>0</v>
      </c>
      <c r="L55" s="56">
        <f t="shared" si="1"/>
        <v>0</v>
      </c>
      <c r="M55" s="56">
        <f t="shared" si="2"/>
        <v>0</v>
      </c>
      <c r="N55" s="3">
        <f>ROUNDUP(J55*Paramètres!$B$19,-1)</f>
        <v>0</v>
      </c>
      <c r="O55" s="1">
        <f t="shared" si="3"/>
        <v>0</v>
      </c>
      <c r="P55" s="1">
        <f t="shared" si="4"/>
        <v>0</v>
      </c>
      <c r="Q55" s="3">
        <f t="shared" si="5"/>
        <v>0</v>
      </c>
      <c r="R55" s="47">
        <f>ROUNDUP(+K55/Paramètres!$B$4/Paramètres!$B$53,0)</f>
        <v>0</v>
      </c>
      <c r="S55" s="47">
        <f>ROUNDUP(+L55/Paramètres!$B$6/Paramètres!$B$53,0)</f>
        <v>0</v>
      </c>
      <c r="T55" s="47"/>
      <c r="U55" s="2">
        <f t="shared" si="6"/>
        <v>0</v>
      </c>
      <c r="V55" s="1">
        <f>R55*Paramètres!$B$7</f>
        <v>0</v>
      </c>
      <c r="W55" s="1">
        <f>S55*Paramètres!$B$9</f>
        <v>0</v>
      </c>
      <c r="X55" s="1"/>
      <c r="Y55" s="2">
        <f t="shared" si="7"/>
        <v>0</v>
      </c>
      <c r="Z55" s="7">
        <f>R55*Paramètres!$B$10</f>
        <v>0</v>
      </c>
      <c r="AA55" s="7">
        <f>S55*Paramètres!$B$10</f>
        <v>0</v>
      </c>
      <c r="AB55" s="7"/>
      <c r="AC55" s="2">
        <f t="shared" si="8"/>
        <v>0</v>
      </c>
      <c r="AD55" s="1">
        <f t="shared" si="12"/>
        <v>0</v>
      </c>
      <c r="AE55" s="1">
        <f t="shared" si="9"/>
        <v>0</v>
      </c>
      <c r="AF55" s="1">
        <f>IF(B55="",0,Paramètres!$B$53*1.5)</f>
        <v>0</v>
      </c>
      <c r="AG55" s="1">
        <f>IF(C55="",0,Paramètres!$B$53*1.5)</f>
        <v>0</v>
      </c>
      <c r="AH55" s="1"/>
      <c r="AI55" s="1"/>
      <c r="AJ55" s="1"/>
      <c r="AK55" s="1"/>
      <c r="AL55" s="1">
        <f>(U55*Paramètres!$B$53)*3</f>
        <v>0</v>
      </c>
      <c r="AM55" s="1">
        <f t="shared" si="10"/>
        <v>0</v>
      </c>
      <c r="AN55" s="1">
        <f>U55*Paramètres!$B$75</f>
        <v>0</v>
      </c>
      <c r="AO55" s="1">
        <f>U55*Paramètres!$B$72*Paramètres!$B$73</f>
        <v>0</v>
      </c>
      <c r="AP55" s="1"/>
      <c r="AQ55" s="1">
        <f>(Y55+AC55)*Paramètres!$B$42*Paramètres!$B$53</f>
        <v>0</v>
      </c>
      <c r="AR55" s="1"/>
      <c r="AS55" s="7">
        <f>ROUNDUP(D55*Paramètres!$B$23*Paramètres!$B$26,-1)</f>
        <v>0</v>
      </c>
      <c r="AT55" s="7"/>
      <c r="AU55" s="1"/>
      <c r="AV55" s="8"/>
      <c r="AW55" s="8"/>
      <c r="AX55" s="8"/>
      <c r="AY55" s="8"/>
      <c r="AZ55" s="8"/>
      <c r="BA55" s="8"/>
      <c r="BB55" s="44"/>
      <c r="BC55" s="44"/>
      <c r="BD55" s="8"/>
      <c r="BE55" s="8"/>
      <c r="BF55" s="8"/>
      <c r="BG55" s="44"/>
      <c r="BI55">
        <f t="shared" si="11"/>
        <v>0</v>
      </c>
    </row>
    <row r="56" spans="1:61" x14ac:dyDescent="0.25">
      <c r="B56" s="1"/>
      <c r="C56" s="1"/>
      <c r="D56" s="1"/>
      <c r="E56" s="1"/>
      <c r="F56" s="1"/>
      <c r="G56" s="54"/>
      <c r="H56" s="54"/>
      <c r="I56" s="54"/>
      <c r="J56" s="50">
        <f>F56*Paramètres!$B$3</f>
        <v>0</v>
      </c>
      <c r="K56" s="56">
        <f t="shared" si="0"/>
        <v>0</v>
      </c>
      <c r="L56" s="56">
        <f t="shared" si="1"/>
        <v>0</v>
      </c>
      <c r="M56" s="56">
        <f t="shared" si="2"/>
        <v>0</v>
      </c>
      <c r="N56" s="3">
        <f>ROUNDUP(J56*Paramètres!$B$19,-1)</f>
        <v>0</v>
      </c>
      <c r="O56" s="1">
        <f t="shared" si="3"/>
        <v>0</v>
      </c>
      <c r="P56" s="1">
        <f t="shared" si="4"/>
        <v>0</v>
      </c>
      <c r="Q56" s="3">
        <f t="shared" si="5"/>
        <v>0</v>
      </c>
      <c r="R56" s="47">
        <f>ROUNDUP(+K56/Paramètres!$B$4/Paramètres!$B$53,0)</f>
        <v>0</v>
      </c>
      <c r="S56" s="47">
        <f>ROUNDUP(+L56/Paramètres!$B$6/Paramètres!$B$53,0)</f>
        <v>0</v>
      </c>
      <c r="T56" s="47"/>
      <c r="U56" s="2">
        <f t="shared" si="6"/>
        <v>0</v>
      </c>
      <c r="V56" s="1">
        <f>R56*Paramètres!$B$7</f>
        <v>0</v>
      </c>
      <c r="W56" s="1">
        <f>S56*Paramètres!$B$9</f>
        <v>0</v>
      </c>
      <c r="X56" s="1"/>
      <c r="Y56" s="2">
        <f t="shared" si="7"/>
        <v>0</v>
      </c>
      <c r="Z56" s="7">
        <f>R56*Paramètres!$B$10</f>
        <v>0</v>
      </c>
      <c r="AA56" s="7">
        <f>S56*Paramètres!$B$10</f>
        <v>0</v>
      </c>
      <c r="AB56" s="7"/>
      <c r="AC56" s="2">
        <f t="shared" si="8"/>
        <v>0</v>
      </c>
      <c r="AD56" s="1">
        <f t="shared" si="12"/>
        <v>0</v>
      </c>
      <c r="AE56" s="1">
        <f t="shared" si="9"/>
        <v>0</v>
      </c>
      <c r="AF56" s="1">
        <f>IF(B56="",0,Paramètres!$B$53*1.5)</f>
        <v>0</v>
      </c>
      <c r="AG56" s="1">
        <f>IF(C56="",0,Paramètres!$B$53*1.5)</f>
        <v>0</v>
      </c>
      <c r="AH56" s="1"/>
      <c r="AI56" s="1"/>
      <c r="AJ56" s="1"/>
      <c r="AK56" s="1"/>
      <c r="AL56" s="1">
        <f>(U56*Paramètres!$B$53)*3</f>
        <v>0</v>
      </c>
      <c r="AM56" s="1">
        <f t="shared" si="10"/>
        <v>0</v>
      </c>
      <c r="AN56" s="1">
        <f>U56*Paramètres!$B$75</f>
        <v>0</v>
      </c>
      <c r="AO56" s="1">
        <f>U56*Paramètres!$B$72*Paramètres!$B$73</f>
        <v>0</v>
      </c>
      <c r="AP56" s="1"/>
      <c r="AQ56" s="1">
        <f>(Y56+AC56)*Paramètres!$B$42*Paramètres!$B$53</f>
        <v>0</v>
      </c>
      <c r="AR56" s="1"/>
      <c r="AS56" s="7">
        <f>ROUNDUP(D56*Paramètres!$B$23*Paramètres!$B$26,-1)</f>
        <v>0</v>
      </c>
      <c r="AT56" s="7"/>
      <c r="AU56" s="1"/>
      <c r="AV56" s="8"/>
      <c r="AW56" s="8"/>
      <c r="AX56" s="8"/>
      <c r="AY56" s="8"/>
      <c r="AZ56" s="8"/>
      <c r="BA56" s="8"/>
      <c r="BB56" s="44"/>
      <c r="BC56" s="44"/>
      <c r="BD56" s="8"/>
      <c r="BE56" s="8"/>
      <c r="BF56" s="8"/>
      <c r="BG56" s="44"/>
      <c r="BI56">
        <f t="shared" si="11"/>
        <v>0</v>
      </c>
    </row>
    <row r="57" spans="1:61" x14ac:dyDescent="0.25">
      <c r="B57" s="1"/>
      <c r="C57" s="1"/>
      <c r="D57" s="1"/>
      <c r="E57" s="1"/>
      <c r="F57" s="1"/>
      <c r="G57" s="54"/>
      <c r="H57" s="54"/>
      <c r="I57" s="54"/>
      <c r="J57" s="50">
        <f>F57*Paramètres!$B$3</f>
        <v>0</v>
      </c>
      <c r="K57" s="56">
        <f t="shared" si="0"/>
        <v>0</v>
      </c>
      <c r="L57" s="56">
        <f t="shared" si="1"/>
        <v>0</v>
      </c>
      <c r="M57" s="56">
        <f t="shared" si="2"/>
        <v>0</v>
      </c>
      <c r="N57" s="3">
        <f>ROUNDUP(J57*Paramètres!$B$19,-1)</f>
        <v>0</v>
      </c>
      <c r="O57" s="1">
        <f t="shared" si="3"/>
        <v>0</v>
      </c>
      <c r="P57" s="1">
        <f t="shared" si="4"/>
        <v>0</v>
      </c>
      <c r="Q57" s="3">
        <f t="shared" si="5"/>
        <v>0</v>
      </c>
      <c r="R57" s="47">
        <f>ROUNDUP(+K57/Paramètres!$B$4/Paramètres!$B$53,0)</f>
        <v>0</v>
      </c>
      <c r="S57" s="47">
        <f>ROUNDUP(+L57/Paramètres!$B$6/Paramètres!$B$53,0)</f>
        <v>0</v>
      </c>
      <c r="T57" s="47"/>
      <c r="U57" s="2">
        <f t="shared" si="6"/>
        <v>0</v>
      </c>
      <c r="V57" s="1">
        <f>R57*Paramètres!$B$7</f>
        <v>0</v>
      </c>
      <c r="W57" s="1">
        <f>S57*Paramètres!$B$9</f>
        <v>0</v>
      </c>
      <c r="X57" s="1"/>
      <c r="Y57" s="2">
        <f t="shared" si="7"/>
        <v>0</v>
      </c>
      <c r="Z57" s="7">
        <f>R57*Paramètres!$B$10</f>
        <v>0</v>
      </c>
      <c r="AA57" s="7">
        <f>S57*Paramètres!$B$10</f>
        <v>0</v>
      </c>
      <c r="AB57" s="7"/>
      <c r="AC57" s="2">
        <f t="shared" si="8"/>
        <v>0</v>
      </c>
      <c r="AD57" s="1">
        <f t="shared" si="12"/>
        <v>0</v>
      </c>
      <c r="AE57" s="1">
        <f t="shared" si="9"/>
        <v>0</v>
      </c>
      <c r="AF57" s="1">
        <f>IF(B57="",0,Paramètres!$B$53*1.5)</f>
        <v>0</v>
      </c>
      <c r="AG57" s="1">
        <f>IF(C57="",0,Paramètres!$B$53*1.5)</f>
        <v>0</v>
      </c>
      <c r="AH57" s="1"/>
      <c r="AI57" s="1"/>
      <c r="AJ57" s="1"/>
      <c r="AK57" s="1"/>
      <c r="AL57" s="1">
        <f>(U57*Paramètres!$B$53)*3</f>
        <v>0</v>
      </c>
      <c r="AM57" s="1">
        <f t="shared" si="10"/>
        <v>0</v>
      </c>
      <c r="AN57" s="1">
        <f>U57*Paramètres!$B$75</f>
        <v>0</v>
      </c>
      <c r="AO57" s="1">
        <f>U57*Paramètres!$B$72*Paramètres!$B$73</f>
        <v>0</v>
      </c>
      <c r="AP57" s="1"/>
      <c r="AQ57" s="1">
        <f>(Y57+AC57)*Paramètres!$B$42*Paramètres!$B$53</f>
        <v>0</v>
      </c>
      <c r="AR57" s="1"/>
      <c r="AS57" s="7">
        <f>ROUNDUP(D57*Paramètres!$B$23*Paramètres!$B$26,-1)</f>
        <v>0</v>
      </c>
      <c r="AT57" s="7"/>
      <c r="AU57" s="1"/>
      <c r="AV57" s="8"/>
      <c r="AW57" s="8"/>
      <c r="AX57" s="8"/>
      <c r="AY57" s="8"/>
      <c r="AZ57" s="8"/>
      <c r="BA57" s="8"/>
      <c r="BB57" s="44"/>
      <c r="BC57" s="44"/>
      <c r="BD57" s="8"/>
      <c r="BE57" s="8"/>
      <c r="BF57" s="8"/>
      <c r="BG57" s="44"/>
      <c r="BI57">
        <f t="shared" si="11"/>
        <v>0</v>
      </c>
    </row>
    <row r="58" spans="1:61" x14ac:dyDescent="0.25">
      <c r="B58" s="1"/>
      <c r="C58" s="1"/>
      <c r="D58" s="1"/>
      <c r="E58" s="1"/>
      <c r="F58" s="1"/>
      <c r="G58" s="54"/>
      <c r="H58" s="54"/>
      <c r="I58" s="54"/>
      <c r="J58" s="50">
        <f>F58*Paramètres!$B$3</f>
        <v>0</v>
      </c>
      <c r="K58" s="56">
        <f t="shared" si="0"/>
        <v>0</v>
      </c>
      <c r="L58" s="56">
        <f t="shared" si="1"/>
        <v>0</v>
      </c>
      <c r="M58" s="56">
        <f t="shared" si="2"/>
        <v>0</v>
      </c>
      <c r="N58" s="3">
        <f>ROUNDUP(J58*Paramètres!$B$19,-1)</f>
        <v>0</v>
      </c>
      <c r="O58" s="1">
        <f t="shared" si="3"/>
        <v>0</v>
      </c>
      <c r="P58" s="1">
        <f t="shared" si="4"/>
        <v>0</v>
      </c>
      <c r="Q58" s="3">
        <f t="shared" si="5"/>
        <v>0</v>
      </c>
      <c r="R58" s="47">
        <f>ROUNDUP(+K58/Paramètres!$B$4/Paramètres!$B$53,0)</f>
        <v>0</v>
      </c>
      <c r="S58" s="47">
        <f>ROUNDUP(+L58/Paramètres!$B$6/Paramètres!$B$53,0)</f>
        <v>0</v>
      </c>
      <c r="T58" s="47"/>
      <c r="U58" s="2">
        <f t="shared" si="6"/>
        <v>0</v>
      </c>
      <c r="V58" s="1">
        <f>R58*Paramètres!$B$7</f>
        <v>0</v>
      </c>
      <c r="W58" s="1">
        <f>S58*Paramètres!$B$9</f>
        <v>0</v>
      </c>
      <c r="X58" s="1"/>
      <c r="Y58" s="2">
        <f t="shared" si="7"/>
        <v>0</v>
      </c>
      <c r="Z58" s="7">
        <f>R58*Paramètres!$B$10</f>
        <v>0</v>
      </c>
      <c r="AA58" s="7">
        <f>S58*Paramètres!$B$10</f>
        <v>0</v>
      </c>
      <c r="AB58" s="7"/>
      <c r="AC58" s="2">
        <f t="shared" si="8"/>
        <v>0</v>
      </c>
      <c r="AD58" s="1">
        <f t="shared" si="12"/>
        <v>0</v>
      </c>
      <c r="AE58" s="1">
        <f t="shared" si="9"/>
        <v>0</v>
      </c>
      <c r="AF58" s="1">
        <f>IF(B58="",0,Paramètres!$B$53*1.5)</f>
        <v>0</v>
      </c>
      <c r="AG58" s="1">
        <f>IF(C58="",0,Paramètres!$B$53*1.5)</f>
        <v>0</v>
      </c>
      <c r="AH58" s="1"/>
      <c r="AI58" s="1"/>
      <c r="AJ58" s="1"/>
      <c r="AK58" s="1"/>
      <c r="AL58" s="1">
        <f>(U58*Paramètres!$B$53)*3</f>
        <v>0</v>
      </c>
      <c r="AM58" s="1">
        <f t="shared" si="10"/>
        <v>0</v>
      </c>
      <c r="AN58" s="1">
        <f>U58*Paramètres!$B$75</f>
        <v>0</v>
      </c>
      <c r="AO58" s="1">
        <f>U58*Paramètres!$B$72*Paramètres!$B$73</f>
        <v>0</v>
      </c>
      <c r="AP58" s="1"/>
      <c r="AQ58" s="1">
        <f>(Y58+AC58)*Paramètres!$B$42*Paramètres!$B$53</f>
        <v>0</v>
      </c>
      <c r="AR58" s="1"/>
      <c r="AS58" s="7">
        <f>ROUNDUP(D58*Paramètres!$B$23*Paramètres!$B$26,-1)</f>
        <v>0</v>
      </c>
      <c r="AT58" s="7"/>
      <c r="AU58" s="1"/>
      <c r="AV58" s="8"/>
      <c r="AW58" s="8"/>
      <c r="AX58" s="8"/>
      <c r="AY58" s="8"/>
      <c r="AZ58" s="8"/>
      <c r="BA58" s="8"/>
      <c r="BB58" s="44"/>
      <c r="BC58" s="44"/>
      <c r="BD58" s="8"/>
      <c r="BE58" s="8"/>
      <c r="BF58" s="8"/>
      <c r="BG58" s="44"/>
      <c r="BI58">
        <f t="shared" si="11"/>
        <v>0</v>
      </c>
    </row>
    <row r="59" spans="1:61" x14ac:dyDescent="0.25">
      <c r="B59" s="1"/>
      <c r="C59" s="1"/>
      <c r="D59" s="1"/>
      <c r="E59" s="1"/>
      <c r="F59" s="1"/>
      <c r="G59" s="54"/>
      <c r="H59" s="54"/>
      <c r="I59" s="54"/>
      <c r="J59" s="50">
        <f>F59*Paramètres!$B$3</f>
        <v>0</v>
      </c>
      <c r="K59" s="56">
        <f t="shared" si="0"/>
        <v>0</v>
      </c>
      <c r="L59" s="56">
        <f t="shared" si="1"/>
        <v>0</v>
      </c>
      <c r="M59" s="56">
        <f t="shared" si="2"/>
        <v>0</v>
      </c>
      <c r="N59" s="3">
        <f>ROUNDUP(J59*Paramètres!$B$19,-1)</f>
        <v>0</v>
      </c>
      <c r="O59" s="1">
        <f t="shared" si="3"/>
        <v>0</v>
      </c>
      <c r="P59" s="1">
        <f t="shared" si="4"/>
        <v>0</v>
      </c>
      <c r="Q59" s="3">
        <f t="shared" si="5"/>
        <v>0</v>
      </c>
      <c r="R59" s="47">
        <f>ROUNDUP(+K59/Paramètres!$B$4/Paramètres!$B$53,0)</f>
        <v>0</v>
      </c>
      <c r="S59" s="47">
        <f>ROUNDUP(+L59/Paramètres!$B$6/Paramètres!$B$53,0)</f>
        <v>0</v>
      </c>
      <c r="T59" s="47"/>
      <c r="U59" s="2">
        <f t="shared" si="6"/>
        <v>0</v>
      </c>
      <c r="V59" s="1">
        <f>R59*Paramètres!$B$7</f>
        <v>0</v>
      </c>
      <c r="W59" s="1">
        <f>S59*Paramètres!$B$9</f>
        <v>0</v>
      </c>
      <c r="X59" s="1"/>
      <c r="Y59" s="2">
        <f t="shared" si="7"/>
        <v>0</v>
      </c>
      <c r="Z59" s="7">
        <f>R59*Paramètres!$B$10</f>
        <v>0</v>
      </c>
      <c r="AA59" s="7">
        <f>S59*Paramètres!$B$10</f>
        <v>0</v>
      </c>
      <c r="AB59" s="7"/>
      <c r="AC59" s="2">
        <f t="shared" si="8"/>
        <v>0</v>
      </c>
      <c r="AD59" s="1">
        <f t="shared" si="12"/>
        <v>0</v>
      </c>
      <c r="AE59" s="1">
        <f t="shared" si="9"/>
        <v>0</v>
      </c>
      <c r="AF59" s="1">
        <f>IF(B59="",0,Paramètres!$B$53*1.5)</f>
        <v>0</v>
      </c>
      <c r="AG59" s="1">
        <f>IF(C59="",0,Paramètres!$B$53*1.5)</f>
        <v>0</v>
      </c>
      <c r="AH59" s="1"/>
      <c r="AI59" s="1"/>
      <c r="AJ59" s="1"/>
      <c r="AK59" s="1"/>
      <c r="AL59" s="1">
        <f>(U59*Paramètres!$B$53)*3</f>
        <v>0</v>
      </c>
      <c r="AM59" s="1">
        <f t="shared" si="10"/>
        <v>0</v>
      </c>
      <c r="AN59" s="1">
        <f>U59*Paramètres!$B$75</f>
        <v>0</v>
      </c>
      <c r="AO59" s="1">
        <f>U59*Paramètres!$B$72*Paramètres!$B$73</f>
        <v>0</v>
      </c>
      <c r="AP59" s="1"/>
      <c r="AQ59" s="1">
        <f>(Y59+AC59)*Paramètres!$B$42*Paramètres!$B$53</f>
        <v>0</v>
      </c>
      <c r="AR59" s="1"/>
      <c r="AS59" s="7">
        <f>ROUNDUP(D59*Paramètres!$B$23*Paramètres!$B$26,-1)</f>
        <v>0</v>
      </c>
      <c r="AT59" s="7"/>
      <c r="AU59" s="1"/>
      <c r="AV59" s="8"/>
      <c r="AW59" s="8"/>
      <c r="AX59" s="8"/>
      <c r="AY59" s="8"/>
      <c r="AZ59" s="8"/>
      <c r="BA59" s="8"/>
      <c r="BB59" s="44"/>
      <c r="BC59" s="44"/>
      <c r="BD59" s="8"/>
      <c r="BE59" s="8"/>
      <c r="BF59" s="8"/>
      <c r="BG59" s="44"/>
      <c r="BI59">
        <f t="shared" si="11"/>
        <v>0</v>
      </c>
    </row>
    <row r="60" spans="1:61" x14ac:dyDescent="0.25">
      <c r="B60" s="1"/>
      <c r="C60" s="1"/>
      <c r="D60" s="1"/>
      <c r="E60" s="1"/>
      <c r="F60" s="1"/>
      <c r="G60" s="54"/>
      <c r="H60" s="54"/>
      <c r="I60" s="54"/>
      <c r="J60" s="50">
        <f>F60*Paramètres!$B$3</f>
        <v>0</v>
      </c>
      <c r="K60" s="56">
        <f t="shared" si="0"/>
        <v>0</v>
      </c>
      <c r="L60" s="56">
        <f t="shared" si="1"/>
        <v>0</v>
      </c>
      <c r="M60" s="56">
        <f t="shared" si="2"/>
        <v>0</v>
      </c>
      <c r="N60" s="3">
        <f>ROUNDUP(J60*Paramètres!$B$19,-1)</f>
        <v>0</v>
      </c>
      <c r="O60" s="1">
        <f t="shared" si="3"/>
        <v>0</v>
      </c>
      <c r="P60" s="1">
        <f t="shared" si="4"/>
        <v>0</v>
      </c>
      <c r="Q60" s="3">
        <f t="shared" si="5"/>
        <v>0</v>
      </c>
      <c r="R60" s="47">
        <f>ROUNDUP(+K60/Paramètres!$B$4/Paramètres!$B$53,0)</f>
        <v>0</v>
      </c>
      <c r="S60" s="47">
        <f>ROUNDUP(+L60/Paramètres!$B$6/Paramètres!$B$53,0)</f>
        <v>0</v>
      </c>
      <c r="T60" s="47"/>
      <c r="U60" s="2">
        <f t="shared" si="6"/>
        <v>0</v>
      </c>
      <c r="V60" s="1">
        <f>R60*Paramètres!$B$7</f>
        <v>0</v>
      </c>
      <c r="W60" s="1">
        <f>S60*Paramètres!$B$9</f>
        <v>0</v>
      </c>
      <c r="X60" s="1"/>
      <c r="Y60" s="2">
        <f t="shared" si="7"/>
        <v>0</v>
      </c>
      <c r="Z60" s="7">
        <f>R60*Paramètres!$B$10</f>
        <v>0</v>
      </c>
      <c r="AA60" s="7">
        <f>S60*Paramètres!$B$10</f>
        <v>0</v>
      </c>
      <c r="AB60" s="7"/>
      <c r="AC60" s="2">
        <f t="shared" si="8"/>
        <v>0</v>
      </c>
      <c r="AD60" s="1">
        <f t="shared" si="12"/>
        <v>0</v>
      </c>
      <c r="AE60" s="1">
        <f t="shared" si="9"/>
        <v>0</v>
      </c>
      <c r="AF60" s="1">
        <f>IF(B60="",0,Paramètres!$B$53*1.5)</f>
        <v>0</v>
      </c>
      <c r="AG60" s="1">
        <f>IF(C60="",0,Paramètres!$B$53*1.5)</f>
        <v>0</v>
      </c>
      <c r="AH60" s="1"/>
      <c r="AI60" s="1"/>
      <c r="AJ60" s="1"/>
      <c r="AK60" s="1"/>
      <c r="AL60" s="1">
        <f>(U60*Paramètres!$B$53)*3</f>
        <v>0</v>
      </c>
      <c r="AM60" s="1">
        <f t="shared" si="10"/>
        <v>0</v>
      </c>
      <c r="AN60" s="1">
        <f>U60*Paramètres!$B$75</f>
        <v>0</v>
      </c>
      <c r="AO60" s="1">
        <f>U60*Paramètres!$B$72*Paramètres!$B$73</f>
        <v>0</v>
      </c>
      <c r="AP60" s="1"/>
      <c r="AQ60" s="1">
        <f>(Y60+AC60)*Paramètres!$B$42*Paramètres!$B$53</f>
        <v>0</v>
      </c>
      <c r="AR60" s="1"/>
      <c r="AS60" s="7">
        <f>ROUNDUP(D60*Paramètres!$B$23*Paramètres!$B$26,-1)</f>
        <v>0</v>
      </c>
      <c r="AT60" s="7"/>
      <c r="AU60" s="1"/>
      <c r="AV60" s="8"/>
      <c r="AW60" s="8"/>
      <c r="AX60" s="8"/>
      <c r="AY60" s="8"/>
      <c r="AZ60" s="8"/>
      <c r="BA60" s="8"/>
      <c r="BB60" s="44"/>
      <c r="BC60" s="44"/>
      <c r="BD60" s="8"/>
      <c r="BE60" s="8"/>
      <c r="BF60" s="8"/>
      <c r="BG60" s="44"/>
      <c r="BI60">
        <f t="shared" si="11"/>
        <v>0</v>
      </c>
    </row>
    <row r="61" spans="1:61" x14ac:dyDescent="0.25">
      <c r="B61" s="1"/>
      <c r="C61" s="1"/>
      <c r="D61" s="1"/>
      <c r="E61" s="1"/>
      <c r="F61" s="1"/>
      <c r="G61" s="54"/>
      <c r="H61" s="54"/>
      <c r="I61" s="54"/>
      <c r="J61" s="50">
        <f>F61*Paramètres!$B$3</f>
        <v>0</v>
      </c>
      <c r="K61" s="56">
        <f t="shared" si="0"/>
        <v>0</v>
      </c>
      <c r="L61" s="56">
        <f t="shared" si="1"/>
        <v>0</v>
      </c>
      <c r="M61" s="56">
        <f t="shared" si="2"/>
        <v>0</v>
      </c>
      <c r="N61" s="3">
        <f>ROUNDUP(J61*Paramètres!$B$19,-1)</f>
        <v>0</v>
      </c>
      <c r="O61" s="1">
        <f t="shared" si="3"/>
        <v>0</v>
      </c>
      <c r="P61" s="1">
        <f t="shared" si="4"/>
        <v>0</v>
      </c>
      <c r="Q61" s="3">
        <f t="shared" si="5"/>
        <v>0</v>
      </c>
      <c r="R61" s="47">
        <f>ROUNDUP(+K61/Paramètres!$B$4/Paramètres!$B$53,0)</f>
        <v>0</v>
      </c>
      <c r="S61" s="47">
        <f>ROUNDUP(+L61/Paramètres!$B$6/Paramètres!$B$53,0)</f>
        <v>0</v>
      </c>
      <c r="T61" s="47"/>
      <c r="U61" s="2">
        <f t="shared" si="6"/>
        <v>0</v>
      </c>
      <c r="V61" s="1">
        <f>R61*Paramètres!$B$7</f>
        <v>0</v>
      </c>
      <c r="W61" s="1">
        <f>S61*Paramètres!$B$9</f>
        <v>0</v>
      </c>
      <c r="X61" s="1"/>
      <c r="Y61" s="2">
        <f t="shared" si="7"/>
        <v>0</v>
      </c>
      <c r="Z61" s="7">
        <f>R61*Paramètres!$B$10</f>
        <v>0</v>
      </c>
      <c r="AA61" s="7">
        <f>S61*Paramètres!$B$10</f>
        <v>0</v>
      </c>
      <c r="AB61" s="7"/>
      <c r="AC61" s="2">
        <f t="shared" si="8"/>
        <v>0</v>
      </c>
      <c r="AD61" s="1">
        <f t="shared" si="12"/>
        <v>0</v>
      </c>
      <c r="AE61" s="1">
        <f t="shared" si="9"/>
        <v>0</v>
      </c>
      <c r="AF61" s="1">
        <f>IF(B61="",0,Paramètres!$B$53*1.5)</f>
        <v>0</v>
      </c>
      <c r="AG61" s="1">
        <f>IF(C61="",0,Paramètres!$B$53*1.5)</f>
        <v>0</v>
      </c>
      <c r="AH61" s="1"/>
      <c r="AI61" s="1"/>
      <c r="AJ61" s="1"/>
      <c r="AK61" s="1"/>
      <c r="AL61" s="1">
        <f>(U61*Paramètres!$B$53)*3</f>
        <v>0</v>
      </c>
      <c r="AM61" s="1">
        <f t="shared" si="10"/>
        <v>0</v>
      </c>
      <c r="AN61" s="1">
        <f>U61*Paramètres!$B$75</f>
        <v>0</v>
      </c>
      <c r="AO61" s="1">
        <f>U61*Paramètres!$B$72*Paramètres!$B$73</f>
        <v>0</v>
      </c>
      <c r="AP61" s="1"/>
      <c r="AQ61" s="1">
        <f>(Y61+AC61)*Paramètres!$B$42*Paramètres!$B$53</f>
        <v>0</v>
      </c>
      <c r="AR61" s="1"/>
      <c r="AS61" s="7">
        <f>ROUNDUP(D61*Paramètres!$B$23*Paramètres!$B$26,-1)</f>
        <v>0</v>
      </c>
      <c r="AT61" s="7"/>
      <c r="AU61" s="1"/>
      <c r="AV61" s="8"/>
      <c r="AW61" s="8"/>
      <c r="AX61" s="8"/>
      <c r="AY61" s="8"/>
      <c r="AZ61" s="8"/>
      <c r="BA61" s="8"/>
      <c r="BB61" s="44"/>
      <c r="BC61" s="44"/>
      <c r="BD61" s="8"/>
      <c r="BE61" s="8"/>
      <c r="BF61" s="8"/>
      <c r="BG61" s="44"/>
      <c r="BI61">
        <f t="shared" si="11"/>
        <v>0</v>
      </c>
    </row>
    <row r="62" spans="1:61" x14ac:dyDescent="0.25">
      <c r="B62" s="1"/>
      <c r="C62" s="1"/>
      <c r="D62" s="1"/>
      <c r="E62" s="1"/>
      <c r="F62" s="1"/>
      <c r="G62" s="54"/>
      <c r="H62" s="54"/>
      <c r="I62" s="54"/>
      <c r="J62" s="50">
        <f>F62*Paramètres!$B$3</f>
        <v>0</v>
      </c>
      <c r="K62" s="56">
        <f t="shared" si="0"/>
        <v>0</v>
      </c>
      <c r="L62" s="56">
        <f t="shared" si="1"/>
        <v>0</v>
      </c>
      <c r="M62" s="56">
        <f t="shared" si="2"/>
        <v>0</v>
      </c>
      <c r="N62" s="3">
        <f>ROUNDUP(J62*Paramètres!$B$19,-1)</f>
        <v>0</v>
      </c>
      <c r="O62" s="1">
        <f t="shared" si="3"/>
        <v>0</v>
      </c>
      <c r="P62" s="1">
        <f t="shared" si="4"/>
        <v>0</v>
      </c>
      <c r="Q62" s="3">
        <f t="shared" si="5"/>
        <v>0</v>
      </c>
      <c r="R62" s="47">
        <f>ROUNDUP(+K62/Paramètres!$B$4/Paramètres!$B$53,0)</f>
        <v>0</v>
      </c>
      <c r="S62" s="47">
        <f>ROUNDUP(+L62/Paramètres!$B$6/Paramètres!$B$53,0)</f>
        <v>0</v>
      </c>
      <c r="T62" s="47"/>
      <c r="U62" s="2">
        <f t="shared" si="6"/>
        <v>0</v>
      </c>
      <c r="V62" s="1">
        <f>R62*Paramètres!$B$7</f>
        <v>0</v>
      </c>
      <c r="W62" s="1">
        <f>S62*Paramètres!$B$9</f>
        <v>0</v>
      </c>
      <c r="X62" s="1"/>
      <c r="Y62" s="2">
        <f t="shared" si="7"/>
        <v>0</v>
      </c>
      <c r="Z62" s="7">
        <f>R62*Paramètres!$B$10</f>
        <v>0</v>
      </c>
      <c r="AA62" s="7">
        <f>S62*Paramètres!$B$10</f>
        <v>0</v>
      </c>
      <c r="AB62" s="7"/>
      <c r="AC62" s="2">
        <f t="shared" si="8"/>
        <v>0</v>
      </c>
      <c r="AD62" s="1">
        <f t="shared" si="12"/>
        <v>0</v>
      </c>
      <c r="AE62" s="1">
        <f t="shared" si="9"/>
        <v>0</v>
      </c>
      <c r="AF62" s="1">
        <f>IF(B62="",0,Paramètres!$B$53*1.5)</f>
        <v>0</v>
      </c>
      <c r="AG62" s="1">
        <f>IF(C62="",0,Paramètres!$B$53*1.5)</f>
        <v>0</v>
      </c>
      <c r="AH62" s="1"/>
      <c r="AI62" s="1"/>
      <c r="AJ62" s="1"/>
      <c r="AK62" s="1"/>
      <c r="AL62" s="1">
        <f>(U62*Paramètres!$B$53)*3</f>
        <v>0</v>
      </c>
      <c r="AM62" s="1">
        <f t="shared" si="10"/>
        <v>0</v>
      </c>
      <c r="AN62" s="1">
        <f>U62*Paramètres!$B$75</f>
        <v>0</v>
      </c>
      <c r="AO62" s="1">
        <f>U62*Paramètres!$B$72*Paramètres!$B$73</f>
        <v>0</v>
      </c>
      <c r="AP62" s="1"/>
      <c r="AQ62" s="1">
        <f>(Y62+AC62)*Paramètres!$B$42*Paramètres!$B$53</f>
        <v>0</v>
      </c>
      <c r="AR62" s="1"/>
      <c r="AS62" s="7">
        <f>ROUNDUP(D62*Paramètres!$B$23*Paramètres!$B$26,-1)</f>
        <v>0</v>
      </c>
      <c r="AT62" s="7"/>
      <c r="AU62" s="1"/>
      <c r="AV62" s="8"/>
      <c r="AW62" s="8"/>
      <c r="AX62" s="8"/>
      <c r="AY62" s="8"/>
      <c r="AZ62" s="8"/>
      <c r="BA62" s="8"/>
      <c r="BB62" s="44"/>
      <c r="BC62" s="44"/>
      <c r="BD62" s="8"/>
      <c r="BE62" s="8"/>
      <c r="BF62" s="8"/>
      <c r="BG62" s="44"/>
      <c r="BI62">
        <f t="shared" si="11"/>
        <v>0</v>
      </c>
    </row>
    <row r="63" spans="1:61" x14ac:dyDescent="0.25">
      <c r="B63" s="1"/>
      <c r="C63" s="1"/>
      <c r="D63" s="1"/>
      <c r="E63" s="1"/>
      <c r="F63" s="1"/>
      <c r="G63" s="54"/>
      <c r="H63" s="54"/>
      <c r="I63" s="54"/>
      <c r="J63" s="50">
        <f>F63*Paramètres!$B$3</f>
        <v>0</v>
      </c>
      <c r="K63" s="56">
        <f t="shared" si="0"/>
        <v>0</v>
      </c>
      <c r="L63" s="56">
        <f t="shared" si="1"/>
        <v>0</v>
      </c>
      <c r="M63" s="56">
        <f t="shared" si="2"/>
        <v>0</v>
      </c>
      <c r="N63" s="3">
        <f>ROUNDUP(J63*Paramètres!$B$19,-1)</f>
        <v>0</v>
      </c>
      <c r="O63" s="1">
        <f t="shared" si="3"/>
        <v>0</v>
      </c>
      <c r="P63" s="1">
        <f t="shared" si="4"/>
        <v>0</v>
      </c>
      <c r="Q63" s="3">
        <f t="shared" si="5"/>
        <v>0</v>
      </c>
      <c r="R63" s="47">
        <f>ROUNDUP(+K63/Paramètres!$B$4/Paramètres!$B$53,0)</f>
        <v>0</v>
      </c>
      <c r="S63" s="47">
        <f>ROUNDUP(+L63/Paramètres!$B$6/Paramètres!$B$53,0)</f>
        <v>0</v>
      </c>
      <c r="T63" s="47"/>
      <c r="U63" s="2">
        <f t="shared" si="6"/>
        <v>0</v>
      </c>
      <c r="V63" s="1">
        <f>R63*Paramètres!$B$7</f>
        <v>0</v>
      </c>
      <c r="W63" s="1">
        <f>S63*Paramètres!$B$9</f>
        <v>0</v>
      </c>
      <c r="X63" s="1"/>
      <c r="Y63" s="2">
        <f t="shared" si="7"/>
        <v>0</v>
      </c>
      <c r="Z63" s="7">
        <f>R63*Paramètres!$B$10</f>
        <v>0</v>
      </c>
      <c r="AA63" s="7">
        <f>S63*Paramètres!$B$10</f>
        <v>0</v>
      </c>
      <c r="AB63" s="7"/>
      <c r="AC63" s="2">
        <f t="shared" si="8"/>
        <v>0</v>
      </c>
      <c r="AD63" s="1">
        <f t="shared" si="12"/>
        <v>0</v>
      </c>
      <c r="AE63" s="1">
        <f t="shared" si="9"/>
        <v>0</v>
      </c>
      <c r="AF63" s="1">
        <f>IF(B63="",0,Paramètres!$B$53*1.5)</f>
        <v>0</v>
      </c>
      <c r="AG63" s="1">
        <f>IF(C63="",0,Paramètres!$B$53*1.5)</f>
        <v>0</v>
      </c>
      <c r="AH63" s="1"/>
      <c r="AI63" s="1"/>
      <c r="AJ63" s="1"/>
      <c r="AK63" s="1"/>
      <c r="AL63" s="1">
        <f>(U63*Paramètres!$B$53)*3</f>
        <v>0</v>
      </c>
      <c r="AM63" s="1">
        <f t="shared" si="10"/>
        <v>0</v>
      </c>
      <c r="AN63" s="1">
        <f>U63*Paramètres!$B$75</f>
        <v>0</v>
      </c>
      <c r="AO63" s="1">
        <f>U63*Paramètres!$B$72*Paramètres!$B$73</f>
        <v>0</v>
      </c>
      <c r="AP63" s="1"/>
      <c r="AQ63" s="1">
        <f>(Y63+AC63)*Paramètres!$B$42*Paramètres!$B$53</f>
        <v>0</v>
      </c>
      <c r="AR63" s="1"/>
      <c r="AS63" s="7">
        <f>ROUNDUP(D63*Paramètres!$B$23*Paramètres!$B$26,-1)</f>
        <v>0</v>
      </c>
      <c r="AT63" s="7"/>
      <c r="AU63" s="1"/>
      <c r="AV63" s="8"/>
      <c r="AW63" s="8"/>
      <c r="AX63" s="8"/>
      <c r="AY63" s="8"/>
      <c r="AZ63" s="8"/>
      <c r="BA63" s="8"/>
      <c r="BB63" s="44"/>
      <c r="BC63" s="44"/>
      <c r="BD63" s="8"/>
      <c r="BE63" s="8"/>
      <c r="BF63" s="8"/>
      <c r="BG63" s="44"/>
      <c r="BI63">
        <f t="shared" si="11"/>
        <v>0</v>
      </c>
    </row>
    <row r="64" spans="1:61" x14ac:dyDescent="0.25">
      <c r="B64" s="1"/>
      <c r="C64" s="1"/>
      <c r="D64" s="1"/>
      <c r="E64" s="1"/>
      <c r="F64" s="1"/>
      <c r="G64" s="54"/>
      <c r="H64" s="54"/>
      <c r="I64" s="54"/>
      <c r="J64" s="50">
        <f>F64*Paramètres!$B$3</f>
        <v>0</v>
      </c>
      <c r="K64" s="56">
        <f t="shared" si="0"/>
        <v>0</v>
      </c>
      <c r="L64" s="56">
        <f t="shared" si="1"/>
        <v>0</v>
      </c>
      <c r="M64" s="56">
        <f t="shared" si="2"/>
        <v>0</v>
      </c>
      <c r="N64" s="3">
        <f>ROUNDUP(J64*Paramètres!$B$19,-1)</f>
        <v>0</v>
      </c>
      <c r="O64" s="1">
        <f t="shared" si="3"/>
        <v>0</v>
      </c>
      <c r="P64" s="1">
        <f t="shared" si="4"/>
        <v>0</v>
      </c>
      <c r="Q64" s="3">
        <f t="shared" si="5"/>
        <v>0</v>
      </c>
      <c r="R64" s="47">
        <f>ROUNDUP(+K64/Paramètres!$B$4/Paramètres!$B$53,0)</f>
        <v>0</v>
      </c>
      <c r="S64" s="47">
        <f>ROUNDUP(+L64/Paramètres!$B$6/Paramètres!$B$53,0)</f>
        <v>0</v>
      </c>
      <c r="T64" s="47"/>
      <c r="U64" s="2">
        <f t="shared" si="6"/>
        <v>0</v>
      </c>
      <c r="V64" s="1">
        <f>R64*Paramètres!$B$7</f>
        <v>0</v>
      </c>
      <c r="W64" s="1">
        <f>S64*Paramètres!$B$9</f>
        <v>0</v>
      </c>
      <c r="X64" s="1"/>
      <c r="Y64" s="2">
        <f t="shared" si="7"/>
        <v>0</v>
      </c>
      <c r="Z64" s="7">
        <f>R64*Paramètres!$B$10</f>
        <v>0</v>
      </c>
      <c r="AA64" s="7">
        <f>S64*Paramètres!$B$10</f>
        <v>0</v>
      </c>
      <c r="AB64" s="7"/>
      <c r="AC64" s="2">
        <f t="shared" si="8"/>
        <v>0</v>
      </c>
      <c r="AD64" s="1">
        <f t="shared" si="12"/>
        <v>0</v>
      </c>
      <c r="AE64" s="1">
        <f t="shared" si="9"/>
        <v>0</v>
      </c>
      <c r="AF64" s="1">
        <f>IF(B64="",0,Paramètres!$B$53*1.5)</f>
        <v>0</v>
      </c>
      <c r="AG64" s="1">
        <f>IF(C64="",0,Paramètres!$B$53*1.5)</f>
        <v>0</v>
      </c>
      <c r="AH64" s="1"/>
      <c r="AI64" s="1"/>
      <c r="AJ64" s="1"/>
      <c r="AK64" s="1"/>
      <c r="AL64" s="1">
        <f>(U64*Paramètres!$B$53)*3</f>
        <v>0</v>
      </c>
      <c r="AM64" s="1">
        <f t="shared" si="10"/>
        <v>0</v>
      </c>
      <c r="AN64" s="1">
        <f>U64*Paramètres!$B$75</f>
        <v>0</v>
      </c>
      <c r="AO64" s="1">
        <f>U64*Paramètres!$B$72*Paramètres!$B$73</f>
        <v>0</v>
      </c>
      <c r="AP64" s="1"/>
      <c r="AQ64" s="1">
        <f>(Y64+AC64)*Paramètres!$B$42*Paramètres!$B$53</f>
        <v>0</v>
      </c>
      <c r="AR64" s="1"/>
      <c r="AS64" s="7">
        <f>ROUNDUP(D64*Paramètres!$B$23*Paramètres!$B$26,-1)</f>
        <v>0</v>
      </c>
      <c r="AT64" s="7"/>
      <c r="AU64" s="1"/>
      <c r="AV64" s="8"/>
      <c r="AW64" s="8"/>
      <c r="AX64" s="8"/>
      <c r="AY64" s="8"/>
      <c r="AZ64" s="8"/>
      <c r="BA64" s="8"/>
      <c r="BB64" s="44"/>
      <c r="BC64" s="44"/>
      <c r="BD64" s="8"/>
      <c r="BE64" s="8"/>
      <c r="BF64" s="8"/>
      <c r="BG64" s="44"/>
      <c r="BI64">
        <f t="shared" si="11"/>
        <v>0</v>
      </c>
    </row>
    <row r="65" spans="1:61" x14ac:dyDescent="0.25">
      <c r="B65" s="1"/>
      <c r="C65" s="1"/>
      <c r="D65" s="1"/>
      <c r="E65" s="1"/>
      <c r="F65" s="1"/>
      <c r="G65" s="54"/>
      <c r="H65" s="54"/>
      <c r="I65" s="54"/>
      <c r="J65" s="50">
        <f>F65*Paramètres!$B$3</f>
        <v>0</v>
      </c>
      <c r="K65" s="56">
        <f t="shared" si="0"/>
        <v>0</v>
      </c>
      <c r="L65" s="56">
        <f t="shared" si="1"/>
        <v>0</v>
      </c>
      <c r="M65" s="56">
        <f t="shared" si="2"/>
        <v>0</v>
      </c>
      <c r="N65" s="3">
        <f>ROUNDUP(J65*Paramètres!$B$19,-1)</f>
        <v>0</v>
      </c>
      <c r="O65" s="1">
        <f t="shared" si="3"/>
        <v>0</v>
      </c>
      <c r="P65" s="1">
        <f t="shared" si="4"/>
        <v>0</v>
      </c>
      <c r="Q65" s="3">
        <f t="shared" si="5"/>
        <v>0</v>
      </c>
      <c r="R65" s="47">
        <f>ROUNDUP(+K65/Paramètres!$B$4/Paramètres!$B$53,0)</f>
        <v>0</v>
      </c>
      <c r="S65" s="47">
        <f>ROUNDUP(+L65/Paramètres!$B$6/Paramètres!$B$53,0)</f>
        <v>0</v>
      </c>
      <c r="T65" s="47"/>
      <c r="U65" s="2">
        <f t="shared" si="6"/>
        <v>0</v>
      </c>
      <c r="V65" s="1">
        <f>R65*Paramètres!$B$7</f>
        <v>0</v>
      </c>
      <c r="W65" s="1">
        <f>S65*Paramètres!$B$9</f>
        <v>0</v>
      </c>
      <c r="X65" s="1"/>
      <c r="Y65" s="2">
        <f t="shared" si="7"/>
        <v>0</v>
      </c>
      <c r="Z65" s="7">
        <f>R65*Paramètres!$B$10</f>
        <v>0</v>
      </c>
      <c r="AA65" s="7">
        <f>S65*Paramètres!$B$10</f>
        <v>0</v>
      </c>
      <c r="AB65" s="7"/>
      <c r="AC65" s="2">
        <f t="shared" si="8"/>
        <v>0</v>
      </c>
      <c r="AD65" s="1">
        <f t="shared" si="12"/>
        <v>0</v>
      </c>
      <c r="AE65" s="1">
        <f t="shared" si="9"/>
        <v>0</v>
      </c>
      <c r="AF65" s="1">
        <f>IF(B65="",0,Paramètres!$B$53*1.5)</f>
        <v>0</v>
      </c>
      <c r="AG65" s="1">
        <f>IF(C65="",0,Paramètres!$B$53*1.5)</f>
        <v>0</v>
      </c>
      <c r="AH65" s="1"/>
      <c r="AI65" s="1"/>
      <c r="AJ65" s="1"/>
      <c r="AK65" s="1"/>
      <c r="AL65" s="1">
        <f>(U65*Paramètres!$B$53)*3</f>
        <v>0</v>
      </c>
      <c r="AM65" s="1">
        <f t="shared" si="10"/>
        <v>0</v>
      </c>
      <c r="AN65" s="1">
        <f>U65*Paramètres!$B$75</f>
        <v>0</v>
      </c>
      <c r="AO65" s="1">
        <f>U65*Paramètres!$B$72*Paramètres!$B$73</f>
        <v>0</v>
      </c>
      <c r="AP65" s="1"/>
      <c r="AQ65" s="1">
        <f>(Y65+AC65)*Paramètres!$B$42*Paramètres!$B$53</f>
        <v>0</v>
      </c>
      <c r="AR65" s="1"/>
      <c r="AS65" s="7">
        <f>ROUNDUP(D65*Paramètres!$B$23*Paramètres!$B$26,-1)</f>
        <v>0</v>
      </c>
      <c r="AT65" s="7"/>
      <c r="AU65" s="1"/>
      <c r="AV65" s="8"/>
      <c r="AW65" s="8"/>
      <c r="AX65" s="8"/>
      <c r="AY65" s="8"/>
      <c r="AZ65" s="8"/>
      <c r="BA65" s="8"/>
      <c r="BB65" s="44"/>
      <c r="BC65" s="44"/>
      <c r="BD65" s="8"/>
      <c r="BE65" s="8"/>
      <c r="BF65" s="8"/>
      <c r="BG65" s="44"/>
      <c r="BI65">
        <f t="shared" si="11"/>
        <v>0</v>
      </c>
    </row>
    <row r="66" spans="1:61" x14ac:dyDescent="0.25">
      <c r="B66" s="1"/>
      <c r="C66" s="1"/>
      <c r="D66" s="1"/>
      <c r="E66" s="1"/>
      <c r="F66" s="1"/>
      <c r="G66" s="54"/>
      <c r="H66" s="54"/>
      <c r="I66" s="54"/>
      <c r="J66" s="50">
        <f>F66*Paramètres!$B$3</f>
        <v>0</v>
      </c>
      <c r="K66" s="56">
        <f t="shared" si="0"/>
        <v>0</v>
      </c>
      <c r="L66" s="56">
        <f t="shared" si="1"/>
        <v>0</v>
      </c>
      <c r="M66" s="56">
        <f t="shared" si="2"/>
        <v>0</v>
      </c>
      <c r="N66" s="3">
        <f>ROUNDUP(J66*Paramètres!$B$19,-1)</f>
        <v>0</v>
      </c>
      <c r="O66" s="1">
        <f t="shared" si="3"/>
        <v>0</v>
      </c>
      <c r="P66" s="1">
        <f t="shared" si="4"/>
        <v>0</v>
      </c>
      <c r="Q66" s="3">
        <f t="shared" si="5"/>
        <v>0</v>
      </c>
      <c r="R66" s="47">
        <f>ROUNDUP(+K66/Paramètres!$B$4/Paramètres!$B$53,0)</f>
        <v>0</v>
      </c>
      <c r="S66" s="47">
        <f>ROUNDUP(+L66/Paramètres!$B$6/Paramètres!$B$53,0)</f>
        <v>0</v>
      </c>
      <c r="T66" s="47"/>
      <c r="U66" s="2">
        <f t="shared" si="6"/>
        <v>0</v>
      </c>
      <c r="V66" s="1">
        <f>R66*Paramètres!$B$7</f>
        <v>0</v>
      </c>
      <c r="W66" s="1">
        <f>S66*Paramètres!$B$9</f>
        <v>0</v>
      </c>
      <c r="X66" s="1"/>
      <c r="Y66" s="2">
        <f t="shared" si="7"/>
        <v>0</v>
      </c>
      <c r="Z66" s="7">
        <f>R66*Paramètres!$B$10</f>
        <v>0</v>
      </c>
      <c r="AA66" s="7">
        <f>S66*Paramètres!$B$10</f>
        <v>0</v>
      </c>
      <c r="AB66" s="7"/>
      <c r="AC66" s="2">
        <f t="shared" si="8"/>
        <v>0</v>
      </c>
      <c r="AD66" s="1">
        <f t="shared" si="12"/>
        <v>0</v>
      </c>
      <c r="AE66" s="1">
        <f t="shared" si="9"/>
        <v>0</v>
      </c>
      <c r="AF66" s="1">
        <f>IF(B66="",0,Paramètres!$B$53*1.5)</f>
        <v>0</v>
      </c>
      <c r="AG66" s="1">
        <f>IF(C66="",0,Paramètres!$B$53*1.5)</f>
        <v>0</v>
      </c>
      <c r="AH66" s="1"/>
      <c r="AI66" s="1"/>
      <c r="AJ66" s="1"/>
      <c r="AK66" s="1"/>
      <c r="AL66" s="1">
        <f>(U66*Paramètres!$B$53)*3</f>
        <v>0</v>
      </c>
      <c r="AM66" s="1">
        <f t="shared" si="10"/>
        <v>0</v>
      </c>
      <c r="AN66" s="1">
        <f>U66*Paramètres!$B$75</f>
        <v>0</v>
      </c>
      <c r="AO66" s="1">
        <f>U66*Paramètres!$B$72*Paramètres!$B$73</f>
        <v>0</v>
      </c>
      <c r="AP66" s="1"/>
      <c r="AQ66" s="1">
        <f>(Y66+AC66)*Paramètres!$B$42*Paramètres!$B$53</f>
        <v>0</v>
      </c>
      <c r="AR66" s="1"/>
      <c r="AS66" s="7">
        <f>ROUNDUP(D66*Paramètres!$B$23*Paramètres!$B$26,-1)</f>
        <v>0</v>
      </c>
      <c r="AT66" s="7"/>
      <c r="AU66" s="1"/>
      <c r="AV66" s="8"/>
      <c r="AW66" s="8"/>
      <c r="AX66" s="8"/>
      <c r="AY66" s="8"/>
      <c r="AZ66" s="8"/>
      <c r="BA66" s="8"/>
      <c r="BB66" s="44"/>
      <c r="BC66" s="44"/>
      <c r="BD66" s="8"/>
      <c r="BE66" s="8"/>
      <c r="BF66" s="8"/>
      <c r="BG66" s="44"/>
      <c r="BI66">
        <f t="shared" si="11"/>
        <v>0</v>
      </c>
    </row>
    <row r="67" spans="1:61" x14ac:dyDescent="0.25">
      <c r="B67" s="1"/>
      <c r="C67" s="1"/>
      <c r="D67" s="1"/>
      <c r="E67" s="1"/>
      <c r="F67" s="1"/>
      <c r="G67" s="54"/>
      <c r="H67" s="54"/>
      <c r="I67" s="54"/>
      <c r="J67" s="50">
        <f>F67*Paramètres!$B$3</f>
        <v>0</v>
      </c>
      <c r="K67" s="56">
        <f t="shared" si="0"/>
        <v>0</v>
      </c>
      <c r="L67" s="56">
        <f t="shared" si="1"/>
        <v>0</v>
      </c>
      <c r="M67" s="56">
        <f t="shared" si="2"/>
        <v>0</v>
      </c>
      <c r="N67" s="3">
        <f>ROUNDUP(J67*Paramètres!$B$19,-1)</f>
        <v>0</v>
      </c>
      <c r="O67" s="1">
        <f t="shared" si="3"/>
        <v>0</v>
      </c>
      <c r="P67" s="1">
        <f t="shared" si="4"/>
        <v>0</v>
      </c>
      <c r="Q67" s="3">
        <f t="shared" si="5"/>
        <v>0</v>
      </c>
      <c r="R67" s="47">
        <f>ROUNDUP(+K67/Paramètres!$B$4/Paramètres!$B$53,0)</f>
        <v>0</v>
      </c>
      <c r="S67" s="47">
        <f>ROUNDUP(+L67/Paramètres!$B$6/Paramètres!$B$53,0)</f>
        <v>0</v>
      </c>
      <c r="T67" s="47"/>
      <c r="U67" s="2">
        <f t="shared" si="6"/>
        <v>0</v>
      </c>
      <c r="V67" s="1">
        <f>R67*Paramètres!$B$7</f>
        <v>0</v>
      </c>
      <c r="W67" s="1">
        <f>S67*Paramètres!$B$9</f>
        <v>0</v>
      </c>
      <c r="X67" s="1"/>
      <c r="Y67" s="2">
        <f t="shared" si="7"/>
        <v>0</v>
      </c>
      <c r="Z67" s="7">
        <f>R67*Paramètres!$B$10</f>
        <v>0</v>
      </c>
      <c r="AA67" s="7">
        <f>S67*Paramètres!$B$10</f>
        <v>0</v>
      </c>
      <c r="AB67" s="7"/>
      <c r="AC67" s="2">
        <f t="shared" si="8"/>
        <v>0</v>
      </c>
      <c r="AD67" s="1">
        <f t="shared" si="12"/>
        <v>0</v>
      </c>
      <c r="AE67" s="1">
        <f t="shared" si="9"/>
        <v>0</v>
      </c>
      <c r="AF67" s="1">
        <f>IF(B67="",0,Paramètres!$B$53*1.5)</f>
        <v>0</v>
      </c>
      <c r="AG67" s="1">
        <f>IF(C67="",0,Paramètres!$B$53*1.5)</f>
        <v>0</v>
      </c>
      <c r="AH67" s="1"/>
      <c r="AI67" s="1"/>
      <c r="AJ67" s="1"/>
      <c r="AK67" s="1"/>
      <c r="AL67" s="1">
        <f>(U67*Paramètres!$B$53)*3</f>
        <v>0</v>
      </c>
      <c r="AM67" s="1">
        <f t="shared" si="10"/>
        <v>0</v>
      </c>
      <c r="AN67" s="1">
        <f>U67*Paramètres!$B$75</f>
        <v>0</v>
      </c>
      <c r="AO67" s="1">
        <f>U67*Paramètres!$B$72*Paramètres!$B$73</f>
        <v>0</v>
      </c>
      <c r="AP67" s="1"/>
      <c r="AQ67" s="1">
        <f>(Y67+AC67)*Paramètres!$B$42*Paramètres!$B$53</f>
        <v>0</v>
      </c>
      <c r="AR67" s="1"/>
      <c r="AS67" s="7">
        <f>ROUNDUP(D67*Paramètres!$B$23*Paramètres!$B$26,-1)</f>
        <v>0</v>
      </c>
      <c r="AT67" s="7"/>
      <c r="AU67" s="1"/>
      <c r="AV67" s="8"/>
      <c r="AW67" s="8"/>
      <c r="AX67" s="8"/>
      <c r="AY67" s="8"/>
      <c r="AZ67" s="8"/>
      <c r="BA67" s="8"/>
      <c r="BB67" s="44"/>
      <c r="BC67" s="44"/>
      <c r="BD67" s="8"/>
      <c r="BE67" s="8"/>
      <c r="BF67" s="8"/>
      <c r="BG67" s="44"/>
      <c r="BI67">
        <f t="shared" si="11"/>
        <v>0</v>
      </c>
    </row>
    <row r="68" spans="1:61" x14ac:dyDescent="0.25">
      <c r="B68" s="1"/>
      <c r="C68" s="1"/>
      <c r="D68" s="1"/>
      <c r="E68" s="1"/>
      <c r="F68" s="1"/>
      <c r="G68" s="54"/>
      <c r="H68" s="54"/>
      <c r="I68" s="54"/>
      <c r="J68" s="50">
        <f>F68*Paramètres!$B$3</f>
        <v>0</v>
      </c>
      <c r="K68" s="56">
        <f>J68*G68</f>
        <v>0</v>
      </c>
      <c r="L68" s="56">
        <f>J68*H68</f>
        <v>0</v>
      </c>
      <c r="M68" s="56">
        <f>J68*I68</f>
        <v>0</v>
      </c>
      <c r="N68" s="3">
        <f>ROUNDUP(J68*Paramètres!$B$19,-1)</f>
        <v>0</v>
      </c>
      <c r="O68" s="1">
        <f>N68</f>
        <v>0</v>
      </c>
      <c r="P68" s="1">
        <f>O68/10</f>
        <v>0</v>
      </c>
      <c r="Q68" s="3">
        <f>ROUNDUP((O68+P68)/100,-1)</f>
        <v>0</v>
      </c>
      <c r="R68" s="47">
        <f>ROUNDUP(+K68/Paramètres!$B$4/Paramètres!$B$53,0)</f>
        <v>0</v>
      </c>
      <c r="S68" s="47">
        <f>ROUNDUP(+L68/Paramètres!$B$6/Paramètres!$B$53,0)</f>
        <v>0</v>
      </c>
      <c r="T68" s="47"/>
      <c r="U68" s="2">
        <f>R68+S68+T68</f>
        <v>0</v>
      </c>
      <c r="V68" s="1">
        <f>R68*Paramètres!$B$7</f>
        <v>0</v>
      </c>
      <c r="W68" s="1">
        <f>S68*Paramètres!$B$9</f>
        <v>0</v>
      </c>
      <c r="X68" s="1"/>
      <c r="Y68" s="2">
        <f>V68+W68+X68</f>
        <v>0</v>
      </c>
      <c r="Z68" s="7">
        <f>R68*Paramètres!$B$10</f>
        <v>0</v>
      </c>
      <c r="AA68" s="7">
        <f>S68*Paramètres!$B$10</f>
        <v>0</v>
      </c>
      <c r="AB68" s="7"/>
      <c r="AC68" s="2">
        <f>Z68+AA68+AB68</f>
        <v>0</v>
      </c>
      <c r="AD68" s="1">
        <f t="shared" si="12"/>
        <v>0</v>
      </c>
      <c r="AE68" s="1">
        <f>ROUNDUP((U68/200)*2,0)*10</f>
        <v>0</v>
      </c>
      <c r="AF68" s="1">
        <f>IF(B68="",0,Paramètres!$B$53*1.5)</f>
        <v>0</v>
      </c>
      <c r="AG68" s="1">
        <f>IF(C68="",0,Paramètres!$B$53*1.5)</f>
        <v>0</v>
      </c>
      <c r="AH68" s="1"/>
      <c r="AI68" s="1"/>
      <c r="AJ68" s="1"/>
      <c r="AK68" s="1"/>
      <c r="AL68" s="1">
        <f>(U68*Paramètres!$B$53)*3</f>
        <v>0</v>
      </c>
      <c r="AM68" s="1">
        <f>N68</f>
        <v>0</v>
      </c>
      <c r="AN68" s="1">
        <f>U68*Paramètres!$B$75</f>
        <v>0</v>
      </c>
      <c r="AO68" s="1">
        <f>U68*Paramètres!$B$72*Paramètres!$B$73</f>
        <v>0</v>
      </c>
      <c r="AP68" s="1"/>
      <c r="AQ68" s="1">
        <f>(Y68+AC68)*Paramètres!$B$42*Paramètres!$B$53</f>
        <v>0</v>
      </c>
      <c r="AR68" s="1"/>
      <c r="AS68" s="7">
        <f>ROUNDUP(D68*Paramètres!$B$23*Paramètres!$B$26,-1)</f>
        <v>0</v>
      </c>
      <c r="AT68" s="7"/>
      <c r="AU68" s="1"/>
      <c r="AV68" s="8"/>
      <c r="AW68" s="8"/>
      <c r="AX68" s="8"/>
      <c r="AY68" s="8"/>
      <c r="AZ68" s="8"/>
      <c r="BA68" s="8"/>
      <c r="BB68" s="44"/>
      <c r="BC68" s="44"/>
      <c r="BD68" s="8"/>
      <c r="BE68" s="8"/>
      <c r="BF68" s="8"/>
      <c r="BG68" s="44"/>
      <c r="BI68">
        <f>AQ68+AS68</f>
        <v>0</v>
      </c>
    </row>
    <row r="69" spans="1:61" x14ac:dyDescent="0.25">
      <c r="B69" s="1"/>
      <c r="C69" s="1"/>
      <c r="D69" s="1"/>
      <c r="E69" s="1"/>
      <c r="F69" s="1"/>
      <c r="G69" s="54"/>
      <c r="H69" s="54"/>
      <c r="I69" s="54"/>
      <c r="J69" s="50">
        <f>F69*Paramètres!$B$3</f>
        <v>0</v>
      </c>
      <c r="K69" s="56">
        <f>J69*G69</f>
        <v>0</v>
      </c>
      <c r="L69" s="56">
        <f>J69*H69</f>
        <v>0</v>
      </c>
      <c r="M69" s="56">
        <f>J69*I69</f>
        <v>0</v>
      </c>
      <c r="N69" s="3">
        <f>ROUNDUP(J69*Paramètres!$B$19,-1)</f>
        <v>0</v>
      </c>
      <c r="O69" s="1">
        <f>N69</f>
        <v>0</v>
      </c>
      <c r="P69" s="1">
        <f>O69/10</f>
        <v>0</v>
      </c>
      <c r="Q69" s="3">
        <f>ROUNDUP((O69+P69)/100,-1)</f>
        <v>0</v>
      </c>
      <c r="R69" s="47">
        <f>ROUNDUP(+K69/Paramètres!$B$4/Paramètres!$B$53,0)</f>
        <v>0</v>
      </c>
      <c r="S69" s="47">
        <f>ROUNDUP(+L69/Paramètres!$B$6/Paramètres!$B$53,0)</f>
        <v>0</v>
      </c>
      <c r="T69" s="47"/>
      <c r="U69" s="2">
        <f>R69+S69+T69</f>
        <v>0</v>
      </c>
      <c r="V69" s="1">
        <f>R69*Paramètres!$B$7</f>
        <v>0</v>
      </c>
      <c r="W69" s="1">
        <f>S69*Paramètres!$B$9</f>
        <v>0</v>
      </c>
      <c r="X69" s="1"/>
      <c r="Y69" s="2">
        <f>V69+W69+X69</f>
        <v>0</v>
      </c>
      <c r="Z69" s="7">
        <f>R69*Paramètres!$B$10</f>
        <v>0</v>
      </c>
      <c r="AA69" s="7">
        <f>S69*Paramètres!$B$10</f>
        <v>0</v>
      </c>
      <c r="AB69" s="7"/>
      <c r="AC69" s="2">
        <f>Z69+AA69+AB69</f>
        <v>0</v>
      </c>
      <c r="AD69" s="1">
        <f>U69</f>
        <v>0</v>
      </c>
      <c r="AE69" s="1">
        <f>ROUNDUP((U69/200)*2,0)*10</f>
        <v>0</v>
      </c>
      <c r="AF69" s="1">
        <f>IF(B69="",0,Paramètres!$B$53*1.5)</f>
        <v>0</v>
      </c>
      <c r="AG69" s="1">
        <f>IF(C69="",0,Paramètres!$B$53*1.5)</f>
        <v>0</v>
      </c>
      <c r="AH69" s="1"/>
      <c r="AI69" s="1"/>
      <c r="AJ69" s="1"/>
      <c r="AK69" s="1"/>
      <c r="AL69" s="1">
        <f>(U69*Paramètres!$B$53)*3</f>
        <v>0</v>
      </c>
      <c r="AM69" s="1">
        <f>N69</f>
        <v>0</v>
      </c>
      <c r="AN69" s="1">
        <f>U69*Paramètres!$B$75</f>
        <v>0</v>
      </c>
      <c r="AO69" s="1">
        <f>U69*Paramètres!$B$72*Paramètres!$B$73</f>
        <v>0</v>
      </c>
      <c r="AP69" s="1"/>
      <c r="AQ69" s="1">
        <f>(Y69+AC69)*Paramètres!$B$42*Paramètres!$B$53</f>
        <v>0</v>
      </c>
      <c r="AR69" s="1"/>
      <c r="AS69" s="7">
        <f>ROUNDUP(D69*Paramètres!$B$23*Paramètres!$B$26,-1)</f>
        <v>0</v>
      </c>
      <c r="AT69" s="7"/>
      <c r="AU69" s="1"/>
      <c r="AV69" s="8"/>
      <c r="AW69" s="8"/>
      <c r="AX69" s="8"/>
      <c r="AY69" s="8"/>
      <c r="AZ69" s="8"/>
      <c r="BA69" s="8"/>
      <c r="BB69" s="44"/>
      <c r="BC69" s="44"/>
      <c r="BD69" s="8"/>
      <c r="BE69" s="8"/>
      <c r="BF69" s="8"/>
      <c r="BG69" s="44"/>
      <c r="BI69">
        <f>AQ69+AS69</f>
        <v>0</v>
      </c>
    </row>
    <row r="70" spans="1:61" x14ac:dyDescent="0.25">
      <c r="B70" s="1"/>
      <c r="C70" s="1"/>
      <c r="D70" s="1"/>
      <c r="E70" s="1"/>
      <c r="F70" s="1"/>
      <c r="G70" s="54"/>
      <c r="H70" s="54"/>
      <c r="I70" s="54"/>
      <c r="J70" s="50">
        <f>F70*Paramètres!$B$3</f>
        <v>0</v>
      </c>
      <c r="K70" s="56">
        <f>J70*G70</f>
        <v>0</v>
      </c>
      <c r="L70" s="56">
        <f>J70*H70</f>
        <v>0</v>
      </c>
      <c r="M70" s="56">
        <f>J70*I70</f>
        <v>0</v>
      </c>
      <c r="N70" s="3">
        <f>ROUNDUP(J70*Paramètres!$B$19,-1)</f>
        <v>0</v>
      </c>
      <c r="O70" s="1">
        <f>N70</f>
        <v>0</v>
      </c>
      <c r="P70" s="1">
        <f>O70/10</f>
        <v>0</v>
      </c>
      <c r="Q70" s="3">
        <f>ROUNDUP((O70+P70)/100,-1)</f>
        <v>0</v>
      </c>
      <c r="R70" s="47">
        <f>ROUNDUP(+K70/Paramètres!$B$4/Paramètres!$B$53,0)</f>
        <v>0</v>
      </c>
      <c r="S70" s="47">
        <f>ROUNDUP(+L70/Paramètres!$B$6/Paramètres!$B$53,0)</f>
        <v>0</v>
      </c>
      <c r="T70" s="47"/>
      <c r="U70" s="2">
        <f>R70+S70+T70</f>
        <v>0</v>
      </c>
      <c r="V70" s="1">
        <f>R70*Paramètres!$B$7</f>
        <v>0</v>
      </c>
      <c r="W70" s="1">
        <f>S70*Paramètres!$B$9</f>
        <v>0</v>
      </c>
      <c r="X70" s="1"/>
      <c r="Y70" s="2">
        <f>V70+W70+X70</f>
        <v>0</v>
      </c>
      <c r="Z70" s="7">
        <f>R70*Paramètres!$B$10</f>
        <v>0</v>
      </c>
      <c r="AA70" s="7">
        <f>S70*Paramètres!$B$10</f>
        <v>0</v>
      </c>
      <c r="AB70" s="7"/>
      <c r="AC70" s="2">
        <f>Z70+AA70+AB70</f>
        <v>0</v>
      </c>
      <c r="AD70" s="1">
        <f>U70</f>
        <v>0</v>
      </c>
      <c r="AE70" s="1">
        <f>ROUNDUP((U70/200)*2,0)*10</f>
        <v>0</v>
      </c>
      <c r="AF70" s="1">
        <f>IF(B70="",0,Paramètres!$B$53*1.5)</f>
        <v>0</v>
      </c>
      <c r="AG70" s="1">
        <f>IF(C70="",0,Paramètres!$B$53*1.5)</f>
        <v>0</v>
      </c>
      <c r="AH70" s="1"/>
      <c r="AI70" s="1"/>
      <c r="AJ70" s="1"/>
      <c r="AK70" s="1"/>
      <c r="AL70" s="1">
        <f>(U70*Paramètres!$B$53)*3</f>
        <v>0</v>
      </c>
      <c r="AM70" s="1">
        <f>N70</f>
        <v>0</v>
      </c>
      <c r="AN70" s="1">
        <f>U70*Paramètres!$B$75</f>
        <v>0</v>
      </c>
      <c r="AO70" s="1">
        <f>U70*Paramètres!$B$72*Paramètres!$B$73</f>
        <v>0</v>
      </c>
      <c r="AP70" s="1"/>
      <c r="AQ70" s="1">
        <f>(Y70+AC70)*Paramètres!$B$42*Paramètres!$B$53</f>
        <v>0</v>
      </c>
      <c r="AR70" s="1"/>
      <c r="AS70" s="7">
        <f>ROUNDUP(D70*Paramètres!$B$23*Paramètres!$B$26,-1)</f>
        <v>0</v>
      </c>
      <c r="AT70" s="7"/>
      <c r="AU70" s="1"/>
      <c r="AV70" s="8"/>
      <c r="AW70" s="8"/>
      <c r="AX70" s="8"/>
      <c r="AY70" s="8"/>
      <c r="AZ70" s="8"/>
      <c r="BA70" s="8"/>
      <c r="BB70" s="44"/>
      <c r="BC70" s="44"/>
      <c r="BD70" s="8"/>
      <c r="BE70" s="8"/>
      <c r="BF70" s="8"/>
      <c r="BG70" s="44"/>
      <c r="BI70">
        <f>AQ70+AS70</f>
        <v>0</v>
      </c>
    </row>
    <row r="71" spans="1:61" x14ac:dyDescent="0.25">
      <c r="B71" s="1"/>
      <c r="C71" s="1"/>
      <c r="D71" s="1"/>
      <c r="E71" s="1"/>
      <c r="F71" s="1"/>
      <c r="G71" s="54"/>
      <c r="H71" s="54"/>
      <c r="I71" s="54"/>
      <c r="J71" s="50">
        <f>F71*Paramètres!$B$3</f>
        <v>0</v>
      </c>
      <c r="K71" s="56">
        <f>J71*G71</f>
        <v>0</v>
      </c>
      <c r="L71" s="56">
        <f>J71*H71</f>
        <v>0</v>
      </c>
      <c r="M71" s="56">
        <f>J71*I71</f>
        <v>0</v>
      </c>
      <c r="N71" s="3">
        <f>ROUNDUP(J71*Paramètres!$B$19,-1)</f>
        <v>0</v>
      </c>
      <c r="O71" s="1">
        <f>N71</f>
        <v>0</v>
      </c>
      <c r="P71" s="1">
        <f>O71/10</f>
        <v>0</v>
      </c>
      <c r="Q71" s="3">
        <f>ROUNDUP((O71+P71)/100,-1)</f>
        <v>0</v>
      </c>
      <c r="R71" s="47">
        <f>ROUNDUP(+K71/Paramètres!$B$4/Paramètres!$B$53,0)</f>
        <v>0</v>
      </c>
      <c r="S71" s="47">
        <f>ROUNDUP(+L71/Paramètres!$B$6/Paramètres!$B$53,0)</f>
        <v>0</v>
      </c>
      <c r="T71" s="47"/>
      <c r="U71" s="2">
        <f>R71+S71+T71</f>
        <v>0</v>
      </c>
      <c r="V71" s="1">
        <f>R71*Paramètres!$B$7</f>
        <v>0</v>
      </c>
      <c r="W71" s="1">
        <f>S71*Paramètres!$B$9</f>
        <v>0</v>
      </c>
      <c r="X71" s="1"/>
      <c r="Y71" s="2">
        <f>V71+W71+X71</f>
        <v>0</v>
      </c>
      <c r="Z71" s="7">
        <f>R71*Paramètres!$B$10</f>
        <v>0</v>
      </c>
      <c r="AA71" s="7">
        <f>S71*Paramètres!$B$10</f>
        <v>0</v>
      </c>
      <c r="AB71" s="7"/>
      <c r="AC71" s="2">
        <f>Z71+AA71+AB71</f>
        <v>0</v>
      </c>
      <c r="AD71" s="1">
        <f>U71</f>
        <v>0</v>
      </c>
      <c r="AE71" s="1">
        <f>ROUNDUP((U71/200)*2,0)*10</f>
        <v>0</v>
      </c>
      <c r="AF71" s="1">
        <f>IF(B71="",0,Paramètres!$B$53*1.5)</f>
        <v>0</v>
      </c>
      <c r="AG71" s="1">
        <f>IF(C71="",0,Paramètres!$B$53*1.5)</f>
        <v>0</v>
      </c>
      <c r="AH71" s="1"/>
      <c r="AI71" s="1"/>
      <c r="AJ71" s="1"/>
      <c r="AK71" s="1"/>
      <c r="AL71" s="1">
        <f>(U71*Paramètres!$B$53)*3</f>
        <v>0</v>
      </c>
      <c r="AM71" s="1">
        <f>N71</f>
        <v>0</v>
      </c>
      <c r="AN71" s="1">
        <f>U71*Paramètres!$B$75</f>
        <v>0</v>
      </c>
      <c r="AO71" s="1">
        <f>U71*Paramètres!$B$72*Paramètres!$B$73</f>
        <v>0</v>
      </c>
      <c r="AP71" s="1"/>
      <c r="AQ71" s="1">
        <f>(Y71+AC71)*Paramètres!$B$42*Paramètres!$B$53</f>
        <v>0</v>
      </c>
      <c r="AR71" s="1"/>
      <c r="AS71" s="7">
        <f>ROUNDUP(D71*Paramètres!$B$23*Paramètres!$B$26,-1)</f>
        <v>0</v>
      </c>
      <c r="AT71" s="7"/>
      <c r="AU71" s="1"/>
      <c r="AV71" s="8"/>
      <c r="AW71" s="8"/>
      <c r="AX71" s="8"/>
      <c r="AY71" s="8"/>
      <c r="AZ71" s="8"/>
      <c r="BA71" s="8"/>
      <c r="BB71" s="44"/>
      <c r="BC71" s="44"/>
      <c r="BD71" s="8"/>
      <c r="BE71" s="8"/>
      <c r="BF71" s="8"/>
      <c r="BG71" s="44"/>
      <c r="BI71">
        <f>AQ71+AS71</f>
        <v>0</v>
      </c>
    </row>
    <row r="72" spans="1:61" x14ac:dyDescent="0.25">
      <c r="A72" s="5">
        <v>0</v>
      </c>
      <c r="B72" s="5" t="s">
        <v>5</v>
      </c>
      <c r="C72" s="5">
        <f>SUM(C3:C71)</f>
        <v>0</v>
      </c>
      <c r="D72" s="5">
        <f t="shared" ref="D72:S72" si="13">SUM(D3:D71)</f>
        <v>0</v>
      </c>
      <c r="E72" s="5">
        <f t="shared" si="13"/>
        <v>0</v>
      </c>
      <c r="F72" s="5"/>
      <c r="G72" s="55"/>
      <c r="H72" s="55"/>
      <c r="I72" s="55"/>
      <c r="J72" s="51">
        <f>SUM(J3:J71)</f>
        <v>0</v>
      </c>
      <c r="K72" s="57">
        <f t="shared" si="13"/>
        <v>0</v>
      </c>
      <c r="L72" s="57">
        <f t="shared" si="13"/>
        <v>0</v>
      </c>
      <c r="M72" s="57">
        <f t="shared" si="13"/>
        <v>0</v>
      </c>
      <c r="N72" s="5">
        <f t="shared" si="13"/>
        <v>0</v>
      </c>
      <c r="O72" s="5">
        <f t="shared" si="13"/>
        <v>0</v>
      </c>
      <c r="P72" s="5">
        <f t="shared" si="13"/>
        <v>0</v>
      </c>
      <c r="Q72" s="5">
        <f t="shared" si="13"/>
        <v>0</v>
      </c>
      <c r="R72" s="5">
        <f t="shared" si="13"/>
        <v>0</v>
      </c>
      <c r="S72" s="5">
        <f t="shared" si="13"/>
        <v>0</v>
      </c>
      <c r="T72" s="5">
        <f>ROUNDUP(+M72/Paramètres!$B$5/Paramètres!$B$53,0)</f>
        <v>0</v>
      </c>
      <c r="U72" s="6">
        <f>R72+S72+T72</f>
        <v>0</v>
      </c>
      <c r="V72" s="6">
        <f>SUM(V3:V71)</f>
        <v>0</v>
      </c>
      <c r="W72" s="6">
        <f>SUM(W3:W71)</f>
        <v>0</v>
      </c>
      <c r="X72" s="6">
        <f>(T72*Paramètres!B8+T72)</f>
        <v>0</v>
      </c>
      <c r="Y72" s="6">
        <f>SUM(Y3:Y71)</f>
        <v>0</v>
      </c>
      <c r="Z72" s="6">
        <f>SUM(Z3:Z71)</f>
        <v>0</v>
      </c>
      <c r="AA72" s="6">
        <f>SUM(AA3:AA71)</f>
        <v>0</v>
      </c>
      <c r="AB72" s="6">
        <f>T72*Paramètres!B10</f>
        <v>0</v>
      </c>
      <c r="AC72" s="6">
        <f>SUM(AC3:AC71)</f>
        <v>0</v>
      </c>
      <c r="AD72" s="6">
        <f>SUM(AD3:AD71)</f>
        <v>0</v>
      </c>
      <c r="AE72" s="6">
        <f>SUM(AE3:AE71)</f>
        <v>0</v>
      </c>
      <c r="AF72" s="6">
        <f>SUM(AF3:AF71)</f>
        <v>0</v>
      </c>
      <c r="AG72" s="6">
        <f>SUM(AG3:AG71)</f>
        <v>0</v>
      </c>
      <c r="AH72" s="6">
        <f>IF(Q72=0,0,Paramètres!$B$53*2)</f>
        <v>0</v>
      </c>
      <c r="AI72" s="5">
        <f>IF(N72=0,0,Paramètres!$B$53*3)</f>
        <v>0</v>
      </c>
      <c r="AJ72" s="6"/>
      <c r="AK72" s="6"/>
      <c r="AL72" s="6">
        <f>SUM(AL3:AL71)</f>
        <v>0</v>
      </c>
      <c r="AM72" s="6">
        <f>SUM(AM3:AM71)</f>
        <v>0</v>
      </c>
      <c r="AN72" s="6">
        <f>SUM(AN3:AN71)</f>
        <v>0</v>
      </c>
      <c r="AO72" s="6">
        <f>SUM(AO3:AO71)</f>
        <v>0</v>
      </c>
      <c r="AP72" s="6">
        <f>ROUNDUP(AO72/Paramètres!B74,-1)</f>
        <v>0</v>
      </c>
      <c r="AQ72" s="6">
        <f>SUM(AQ3:AQ71)</f>
        <v>0</v>
      </c>
      <c r="AR72" s="6">
        <f>(X72+AB72)*Paramètres!B42*Paramètres!$B$53</f>
        <v>0</v>
      </c>
      <c r="AS72" s="45">
        <f>SUM(AS3:AS71)</f>
        <v>0</v>
      </c>
      <c r="AT72" s="45">
        <f>ROUNDUP(E72*Paramètres!$B$22*Paramètres!$B$25,-1)</f>
        <v>0</v>
      </c>
      <c r="AU72" s="45">
        <f>Paramètres!B51*0</f>
        <v>0</v>
      </c>
      <c r="AV72" s="45">
        <f>ROUNDUP(Q72*Paramètres!$B$52+Paramètres!$B$27*30,-3)*0</f>
        <v>0</v>
      </c>
      <c r="AW72" s="6">
        <f>(A72+Y72+AB72+AC72)*Paramètres!$B$60*0</f>
        <v>0</v>
      </c>
      <c r="AX72" s="6">
        <f>(A72+X72+Y72+AB72+AC72)*Paramètres!$B$63*Paramètres!$B$66*0</f>
        <v>0</v>
      </c>
      <c r="AY72" s="6">
        <f>Paramètres!$B$64*Paramètres!$B$66*Paramètres!$B$63*0</f>
        <v>0</v>
      </c>
      <c r="AZ72" s="6">
        <f>Paramètres!$B$64*Paramètres!$B$66*Paramètres!$B$79*0</f>
        <v>0</v>
      </c>
      <c r="BA72" s="6">
        <f>(X72+Y72+AB72+AC72+Paramètres!$B$64)*Paramètres!$B$61*Paramètres!$B$66*0</f>
        <v>0</v>
      </c>
      <c r="BB72" s="45">
        <f>AW72+AX72+AY72+BA72+AZ72</f>
        <v>0</v>
      </c>
      <c r="BC72" s="45">
        <f>A72*Paramètres!$B$69*Paramètres!$B$53*0</f>
        <v>0</v>
      </c>
      <c r="BD72" s="6">
        <f>AP72*Paramètres!$B$70</f>
        <v>0</v>
      </c>
      <c r="BE72" s="6">
        <f>Paramètres!B76*Paramètres!$B$66*Paramètres!$B$62*0</f>
        <v>0</v>
      </c>
      <c r="BF72" s="6">
        <f>Paramètres!B76*Paramètres!$B$61*0</f>
        <v>0</v>
      </c>
      <c r="BG72" s="45">
        <f>BE72+BF72</f>
        <v>0</v>
      </c>
      <c r="BH72" s="45">
        <f>Paramètres!B77*0</f>
        <v>0</v>
      </c>
      <c r="BI72" s="6">
        <f>AQ72+AS72+AU72+AV72</f>
        <v>0</v>
      </c>
    </row>
    <row r="73" spans="1:6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61" x14ac:dyDescent="0.25">
      <c r="U74" s="41"/>
    </row>
    <row r="79" spans="1:61" x14ac:dyDescent="0.25">
      <c r="V79" s="41"/>
    </row>
  </sheetData>
  <mergeCells count="1">
    <mergeCell ref="G1:I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I79"/>
  <sheetViews>
    <sheetView topLeftCell="AV56" workbookViewId="0">
      <selection activeCell="AV73" sqref="AV73"/>
    </sheetView>
  </sheetViews>
  <sheetFormatPr defaultColWidth="11.42578125" defaultRowHeight="15" x14ac:dyDescent="0.25"/>
  <cols>
    <col min="1" max="1" width="5.7109375" customWidth="1"/>
    <col min="2" max="2" width="16.85546875" customWidth="1"/>
    <col min="3" max="3" width="10.7109375" customWidth="1"/>
    <col min="4" max="13" width="11.140625" customWidth="1"/>
    <col min="14" max="14" width="11.7109375" customWidth="1"/>
    <col min="15" max="15" width="14.85546875" customWidth="1"/>
    <col min="16" max="16" width="17.42578125" customWidth="1"/>
    <col min="17" max="17" width="11.140625" customWidth="1"/>
    <col min="18" max="18" width="13.7109375" customWidth="1"/>
    <col min="19" max="32" width="11.140625" customWidth="1"/>
    <col min="33" max="36" width="11.5703125" bestFit="1" customWidth="1"/>
    <col min="37" max="42" width="11.5703125" customWidth="1"/>
    <col min="43" max="44" width="14.42578125" customWidth="1"/>
    <col min="45" max="47" width="11.5703125" customWidth="1"/>
    <col min="48" max="48" width="12.85546875" bestFit="1" customWidth="1"/>
    <col min="49" max="60" width="12.85546875" customWidth="1"/>
    <col min="61" max="61" width="12.7109375" bestFit="1" customWidth="1"/>
  </cols>
  <sheetData>
    <row r="1" spans="1:61" ht="39" customHeight="1" x14ac:dyDescent="0.25">
      <c r="B1" s="1"/>
      <c r="C1" s="1"/>
      <c r="D1" s="1"/>
      <c r="E1" s="1"/>
      <c r="F1" s="1"/>
      <c r="G1" s="136" t="s">
        <v>148</v>
      </c>
      <c r="H1" s="136"/>
      <c r="I1" s="136"/>
      <c r="J1" s="1"/>
      <c r="K1" s="1" t="s">
        <v>146</v>
      </c>
      <c r="L1" s="1"/>
      <c r="M1" s="1"/>
      <c r="N1" s="1"/>
      <c r="O1" s="3" t="s">
        <v>48</v>
      </c>
      <c r="P1" s="1"/>
      <c r="Q1" s="1"/>
      <c r="R1" s="1" t="s">
        <v>0</v>
      </c>
      <c r="S1" s="1"/>
      <c r="T1" s="1"/>
      <c r="U1" s="1"/>
      <c r="V1" s="3" t="s">
        <v>63</v>
      </c>
      <c r="W1" s="1"/>
      <c r="X1" s="1"/>
      <c r="Y1" s="1"/>
      <c r="Z1" s="3" t="s">
        <v>64</v>
      </c>
      <c r="AA1" s="1"/>
      <c r="AB1" s="1"/>
      <c r="AC1" s="1"/>
      <c r="AD1" s="3" t="s">
        <v>59</v>
      </c>
      <c r="AE1" s="1"/>
      <c r="AF1" s="1"/>
      <c r="AG1" s="1"/>
      <c r="AH1" s="1"/>
      <c r="AI1" s="1"/>
      <c r="AJ1" s="1"/>
      <c r="AK1" s="3"/>
      <c r="AL1" s="1"/>
      <c r="AM1" s="1"/>
      <c r="AN1" s="1"/>
      <c r="AO1" s="1"/>
      <c r="AP1" s="1"/>
      <c r="AQ1" s="3" t="s">
        <v>62</v>
      </c>
      <c r="AR1" s="3"/>
      <c r="AS1" s="1"/>
      <c r="AT1" s="1"/>
      <c r="AU1" s="3" t="s">
        <v>66</v>
      </c>
      <c r="AW1" t="s">
        <v>123</v>
      </c>
      <c r="BD1" s="9"/>
      <c r="BE1" s="9" t="s">
        <v>137</v>
      </c>
    </row>
    <row r="2" spans="1:61" ht="90" x14ac:dyDescent="0.25">
      <c r="A2" t="s">
        <v>98</v>
      </c>
      <c r="B2" s="1" t="s">
        <v>1</v>
      </c>
      <c r="C2" s="7" t="s">
        <v>46</v>
      </c>
      <c r="D2" s="9" t="s">
        <v>104</v>
      </c>
      <c r="E2" s="9" t="s">
        <v>105</v>
      </c>
      <c r="F2" s="9" t="s">
        <v>145</v>
      </c>
      <c r="G2" s="52" t="s">
        <v>2</v>
      </c>
      <c r="H2" s="52" t="s">
        <v>3</v>
      </c>
      <c r="I2" s="52" t="s">
        <v>144</v>
      </c>
      <c r="J2" s="49" t="s">
        <v>147</v>
      </c>
      <c r="K2" s="48" t="s">
        <v>2</v>
      </c>
      <c r="L2" s="48" t="s">
        <v>3</v>
      </c>
      <c r="M2" s="48" t="s">
        <v>4</v>
      </c>
      <c r="N2" s="9" t="s">
        <v>150</v>
      </c>
      <c r="O2" s="7" t="s">
        <v>49</v>
      </c>
      <c r="P2" s="7" t="s">
        <v>50</v>
      </c>
      <c r="Q2" s="7" t="s">
        <v>51</v>
      </c>
      <c r="R2" s="1" t="s">
        <v>2</v>
      </c>
      <c r="S2" s="1" t="s">
        <v>3</v>
      </c>
      <c r="T2" s="1" t="s">
        <v>4</v>
      </c>
      <c r="U2" s="2" t="s">
        <v>6</v>
      </c>
      <c r="V2" s="1" t="s">
        <v>2</v>
      </c>
      <c r="W2" s="1" t="s">
        <v>3</v>
      </c>
      <c r="X2" s="9" t="s">
        <v>106</v>
      </c>
      <c r="Y2" s="42" t="s">
        <v>121</v>
      </c>
      <c r="Z2" s="1" t="s">
        <v>2</v>
      </c>
      <c r="AA2" s="1" t="s">
        <v>3</v>
      </c>
      <c r="AB2" s="1" t="s">
        <v>4</v>
      </c>
      <c r="AC2" s="42" t="s">
        <v>122</v>
      </c>
      <c r="AD2" s="7" t="s">
        <v>52</v>
      </c>
      <c r="AE2" s="7" t="s">
        <v>53</v>
      </c>
      <c r="AF2" s="7" t="s">
        <v>54</v>
      </c>
      <c r="AG2" s="7" t="s">
        <v>55</v>
      </c>
      <c r="AH2" s="7" t="s">
        <v>56</v>
      </c>
      <c r="AI2" s="7" t="s">
        <v>57</v>
      </c>
      <c r="AJ2" s="7" t="s">
        <v>58</v>
      </c>
      <c r="AK2" s="7" t="s">
        <v>60</v>
      </c>
      <c r="AL2" s="7" t="s">
        <v>61</v>
      </c>
      <c r="AM2" s="9" t="s">
        <v>149</v>
      </c>
      <c r="AN2" s="9" t="s">
        <v>134</v>
      </c>
      <c r="AO2" s="9" t="s">
        <v>135</v>
      </c>
      <c r="AP2" s="9" t="s">
        <v>136</v>
      </c>
      <c r="AQ2" s="9" t="s">
        <v>107</v>
      </c>
      <c r="AR2" s="9" t="s">
        <v>108</v>
      </c>
      <c r="AS2" s="7" t="s">
        <v>65</v>
      </c>
      <c r="AT2" s="9" t="s">
        <v>97</v>
      </c>
      <c r="AU2" s="7" t="s">
        <v>67</v>
      </c>
      <c r="AV2" s="7" t="s">
        <v>68</v>
      </c>
      <c r="AW2" s="9" t="s">
        <v>119</v>
      </c>
      <c r="AX2" s="9" t="s">
        <v>118</v>
      </c>
      <c r="AY2" s="9" t="s">
        <v>120</v>
      </c>
      <c r="AZ2" s="9" t="s">
        <v>143</v>
      </c>
      <c r="BA2" s="9" t="s">
        <v>117</v>
      </c>
      <c r="BB2" s="43" t="s">
        <v>124</v>
      </c>
      <c r="BC2" s="43" t="s">
        <v>125</v>
      </c>
      <c r="BD2" s="9" t="s">
        <v>132</v>
      </c>
      <c r="BE2" s="9" t="s">
        <v>85</v>
      </c>
      <c r="BF2" s="9" t="s">
        <v>110</v>
      </c>
      <c r="BG2" s="43" t="s">
        <v>6</v>
      </c>
      <c r="BH2" s="46" t="s">
        <v>139</v>
      </c>
      <c r="BI2" s="9" t="s">
        <v>69</v>
      </c>
    </row>
    <row r="3" spans="1:61" x14ac:dyDescent="0.25">
      <c r="A3">
        <v>1</v>
      </c>
      <c r="C3" s="1"/>
      <c r="D3" s="1"/>
      <c r="E3" s="1"/>
      <c r="F3" s="47"/>
      <c r="G3" s="53"/>
      <c r="H3" s="53"/>
      <c r="I3" s="53"/>
      <c r="J3" s="50">
        <f>F3*Paramètres!$B$3</f>
        <v>0</v>
      </c>
      <c r="K3" s="56">
        <f>J3*G3</f>
        <v>0</v>
      </c>
      <c r="L3" s="56">
        <f>J3*H3</f>
        <v>0</v>
      </c>
      <c r="M3" s="56">
        <f>J3*I3</f>
        <v>0</v>
      </c>
      <c r="N3" s="3">
        <f>ROUNDUP(J3*Paramètres!$B$19,-1)</f>
        <v>0</v>
      </c>
      <c r="O3" s="1">
        <f>N3</f>
        <v>0</v>
      </c>
      <c r="P3" s="1">
        <f>O3/10</f>
        <v>0</v>
      </c>
      <c r="Q3" s="3">
        <f>ROUNDUP((O3+P3)/100,-1)</f>
        <v>0</v>
      </c>
      <c r="R3" s="47">
        <f>ROUNDUP(+K3/Paramètres!$B$4/Paramètres!$B$53,0)</f>
        <v>0</v>
      </c>
      <c r="S3" s="47">
        <f>ROUNDUP(+L3/Paramètres!$B$6/Paramètres!$B$53,0)</f>
        <v>0</v>
      </c>
      <c r="T3" s="47"/>
      <c r="U3" s="2">
        <f>R3+S3+T3</f>
        <v>0</v>
      </c>
      <c r="V3" s="1">
        <f>R3*Paramètres!$B$7</f>
        <v>0</v>
      </c>
      <c r="W3" s="1">
        <f>S3*Paramètres!$B$9</f>
        <v>0</v>
      </c>
      <c r="X3" s="1"/>
      <c r="Y3" s="2">
        <f>V3+W3+X3</f>
        <v>0</v>
      </c>
      <c r="Z3" s="7">
        <f>R3*Paramètres!$B$10</f>
        <v>0</v>
      </c>
      <c r="AA3" s="7">
        <f>S3*Paramètres!$B$10</f>
        <v>0</v>
      </c>
      <c r="AB3" s="7"/>
      <c r="AC3" s="2">
        <f>Z3+AA3+AB3</f>
        <v>0</v>
      </c>
      <c r="AD3" s="1">
        <f>U3</f>
        <v>0</v>
      </c>
      <c r="AE3" s="1">
        <f>ROUNDUP((U3/200)*2,0)*10</f>
        <v>0</v>
      </c>
      <c r="AF3" s="1">
        <f>IF(B3="",0,Paramètres!$B$53*1.5)</f>
        <v>0</v>
      </c>
      <c r="AG3" s="1">
        <f>IF(C3="",0,Paramètres!$B$53*1.5)</f>
        <v>0</v>
      </c>
      <c r="AH3" s="1"/>
      <c r="AI3" s="1"/>
      <c r="AJ3" s="1"/>
      <c r="AK3" s="1"/>
      <c r="AL3" s="1">
        <f>(U3*Paramètres!$B$53)*3</f>
        <v>0</v>
      </c>
      <c r="AM3" s="1">
        <f>N3</f>
        <v>0</v>
      </c>
      <c r="AN3" s="1">
        <f>U3*Paramètres!$B$75</f>
        <v>0</v>
      </c>
      <c r="AO3" s="1">
        <f>U3*Paramètres!$B$72*Paramètres!$B$73</f>
        <v>0</v>
      </c>
      <c r="AP3" s="1"/>
      <c r="AQ3" s="1">
        <f>(Y3+AC3)*Paramètres!$B$42*Paramètres!$B$53</f>
        <v>0</v>
      </c>
      <c r="AR3" s="1"/>
      <c r="AS3" s="7">
        <f>ROUNDUP(D3*Paramètres!$B$23*Paramètres!$B$26,-1)</f>
        <v>0</v>
      </c>
      <c r="AT3" s="7"/>
      <c r="AU3" s="1"/>
      <c r="AV3" s="8"/>
      <c r="AW3" s="8"/>
      <c r="AX3" s="8"/>
      <c r="AY3" s="8"/>
      <c r="AZ3" s="8"/>
      <c r="BA3" s="8"/>
      <c r="BB3" s="44"/>
      <c r="BC3" s="44"/>
      <c r="BD3" s="8"/>
      <c r="BE3" s="8"/>
      <c r="BF3" s="8"/>
      <c r="BG3" s="44"/>
      <c r="BI3">
        <f>AQ3+AS3</f>
        <v>0</v>
      </c>
    </row>
    <row r="4" spans="1:61" x14ac:dyDescent="0.25">
      <c r="A4">
        <v>2</v>
      </c>
      <c r="C4" s="1"/>
      <c r="D4" s="1"/>
      <c r="E4" s="1"/>
      <c r="F4" s="47"/>
      <c r="G4" s="53"/>
      <c r="H4" s="53"/>
      <c r="I4" s="53"/>
      <c r="J4" s="50">
        <f>F4*Paramètres!$B$3</f>
        <v>0</v>
      </c>
      <c r="K4" s="56">
        <f t="shared" ref="K4:K67" si="0">J4*G4</f>
        <v>0</v>
      </c>
      <c r="L4" s="56">
        <f t="shared" ref="L4:L67" si="1">J4*H4</f>
        <v>0</v>
      </c>
      <c r="M4" s="56">
        <f t="shared" ref="M4:M67" si="2">J4*I4</f>
        <v>0</v>
      </c>
      <c r="N4" s="3">
        <f>ROUNDUP(J4*Paramètres!$B$19,-1)</f>
        <v>0</v>
      </c>
      <c r="O4" s="1">
        <f t="shared" ref="O4:O67" si="3">N4</f>
        <v>0</v>
      </c>
      <c r="P4" s="1">
        <f t="shared" ref="P4:P67" si="4">O4/10</f>
        <v>0</v>
      </c>
      <c r="Q4" s="3">
        <f t="shared" ref="Q4:Q67" si="5">ROUNDUP((O4+P4)/100,-1)</f>
        <v>0</v>
      </c>
      <c r="R4" s="47">
        <f>ROUNDUP(+K4/Paramètres!$B$4/Paramètres!$B$53,0)</f>
        <v>0</v>
      </c>
      <c r="S4" s="47">
        <f>ROUNDUP(+L4/Paramètres!$B$6/Paramètres!$B$53,0)</f>
        <v>0</v>
      </c>
      <c r="T4" s="47"/>
      <c r="U4" s="2">
        <f t="shared" ref="U4:U67" si="6">R4+S4+T4</f>
        <v>0</v>
      </c>
      <c r="V4" s="1">
        <f>R4*Paramètres!$B$7</f>
        <v>0</v>
      </c>
      <c r="W4" s="1">
        <f>S4*Paramètres!$B$9</f>
        <v>0</v>
      </c>
      <c r="X4" s="1"/>
      <c r="Y4" s="2">
        <f t="shared" ref="Y4:Y67" si="7">V4+W4+X4</f>
        <v>0</v>
      </c>
      <c r="Z4" s="7">
        <f>R4*Paramètres!$B$10</f>
        <v>0</v>
      </c>
      <c r="AA4" s="7">
        <f>S4*Paramètres!$B$10</f>
        <v>0</v>
      </c>
      <c r="AB4" s="7"/>
      <c r="AC4" s="2">
        <f t="shared" ref="AC4:AC67" si="8">Z4+AA4+AB4</f>
        <v>0</v>
      </c>
      <c r="AD4" s="1">
        <f>U4</f>
        <v>0</v>
      </c>
      <c r="AE4" s="1">
        <f t="shared" ref="AE4:AE67" si="9">ROUNDUP((U4/200)*2,0)*10</f>
        <v>0</v>
      </c>
      <c r="AF4" s="1">
        <f>IF(B4="",0,Paramètres!$B$53*1.5)</f>
        <v>0</v>
      </c>
      <c r="AG4" s="1">
        <f>IF(C4="",0,Paramètres!$B$53*1.5)</f>
        <v>0</v>
      </c>
      <c r="AH4" s="1"/>
      <c r="AI4" s="1"/>
      <c r="AJ4" s="1"/>
      <c r="AK4" s="1"/>
      <c r="AL4" s="1">
        <f>(U4*Paramètres!$B$53)*3</f>
        <v>0</v>
      </c>
      <c r="AM4" s="1">
        <f t="shared" ref="AM4:AM67" si="10">N4</f>
        <v>0</v>
      </c>
      <c r="AN4" s="1">
        <f>U4*Paramètres!$B$75</f>
        <v>0</v>
      </c>
      <c r="AO4" s="1">
        <f>U4*Paramètres!$B$72*Paramètres!$B$73</f>
        <v>0</v>
      </c>
      <c r="AP4" s="1"/>
      <c r="AQ4" s="1">
        <f>(Y4+AC4)*Paramètres!$B$42*Paramètres!$B$53</f>
        <v>0</v>
      </c>
      <c r="AR4" s="1"/>
      <c r="AS4" s="7">
        <f>ROUNDUP(D4*Paramètres!$B$23*Paramètres!$B$26,-1)</f>
        <v>0</v>
      </c>
      <c r="AT4" s="7"/>
      <c r="AU4" s="1"/>
      <c r="AV4" s="8"/>
      <c r="AW4" s="8"/>
      <c r="AX4" s="8"/>
      <c r="AY4" s="8"/>
      <c r="AZ4" s="8"/>
      <c r="BA4" s="8"/>
      <c r="BB4" s="44"/>
      <c r="BC4" s="44"/>
      <c r="BD4" s="8"/>
      <c r="BE4" s="8"/>
      <c r="BF4" s="8"/>
      <c r="BG4" s="44"/>
      <c r="BI4">
        <f t="shared" ref="BI4:BI67" si="11">AQ4+AS4</f>
        <v>0</v>
      </c>
    </row>
    <row r="5" spans="1:61" x14ac:dyDescent="0.25">
      <c r="A5">
        <v>3</v>
      </c>
      <c r="C5" s="1"/>
      <c r="D5" s="1"/>
      <c r="E5" s="1"/>
      <c r="F5" s="47"/>
      <c r="G5" s="53"/>
      <c r="H5" s="53"/>
      <c r="I5" s="53"/>
      <c r="J5" s="50">
        <f>F5*Paramètres!$B$3</f>
        <v>0</v>
      </c>
      <c r="K5" s="56">
        <f t="shared" si="0"/>
        <v>0</v>
      </c>
      <c r="L5" s="56">
        <f t="shared" si="1"/>
        <v>0</v>
      </c>
      <c r="M5" s="56">
        <f t="shared" si="2"/>
        <v>0</v>
      </c>
      <c r="N5" s="3">
        <f>ROUNDUP(J5*Paramètres!$B$19,-1)</f>
        <v>0</v>
      </c>
      <c r="O5" s="1">
        <f t="shared" si="3"/>
        <v>0</v>
      </c>
      <c r="P5" s="1">
        <f t="shared" si="4"/>
        <v>0</v>
      </c>
      <c r="Q5" s="3">
        <f t="shared" si="5"/>
        <v>0</v>
      </c>
      <c r="R5" s="47">
        <f>ROUNDUP(+K5/Paramètres!$B$4/Paramètres!$B$53,0)</f>
        <v>0</v>
      </c>
      <c r="S5" s="47">
        <f>ROUNDUP(+L5/Paramètres!$B$6/Paramètres!$B$53,0)</f>
        <v>0</v>
      </c>
      <c r="T5" s="47"/>
      <c r="U5" s="2">
        <f t="shared" si="6"/>
        <v>0</v>
      </c>
      <c r="V5" s="1">
        <f>R5*Paramètres!$B$7</f>
        <v>0</v>
      </c>
      <c r="W5" s="1">
        <f>S5*Paramètres!$B$9</f>
        <v>0</v>
      </c>
      <c r="X5" s="1"/>
      <c r="Y5" s="2">
        <f t="shared" si="7"/>
        <v>0</v>
      </c>
      <c r="Z5" s="7">
        <f>R5*Paramètres!$B$10</f>
        <v>0</v>
      </c>
      <c r="AA5" s="7">
        <f>S5*Paramètres!$B$10</f>
        <v>0</v>
      </c>
      <c r="AB5" s="7"/>
      <c r="AC5" s="2">
        <f t="shared" si="8"/>
        <v>0</v>
      </c>
      <c r="AD5" s="1">
        <f t="shared" ref="AD5:AD68" si="12">U5</f>
        <v>0</v>
      </c>
      <c r="AE5" s="1">
        <f t="shared" si="9"/>
        <v>0</v>
      </c>
      <c r="AF5" s="1">
        <f>IF(B5="",0,Paramètres!$B$53*1.5)</f>
        <v>0</v>
      </c>
      <c r="AG5" s="1">
        <f>IF(C5="",0,Paramètres!$B$53*1.5)</f>
        <v>0</v>
      </c>
      <c r="AH5" s="1"/>
      <c r="AI5" s="1"/>
      <c r="AJ5" s="1"/>
      <c r="AK5" s="1"/>
      <c r="AL5" s="1">
        <f>(U5*Paramètres!$B$53)*3</f>
        <v>0</v>
      </c>
      <c r="AM5" s="1">
        <f t="shared" si="10"/>
        <v>0</v>
      </c>
      <c r="AN5" s="1">
        <f>U5*Paramètres!$B$75</f>
        <v>0</v>
      </c>
      <c r="AO5" s="1">
        <f>U5*Paramètres!$B$72*Paramètres!$B$73</f>
        <v>0</v>
      </c>
      <c r="AP5" s="1"/>
      <c r="AQ5" s="1">
        <f>(Y5+AC5)*Paramètres!$B$42*Paramètres!$B$53</f>
        <v>0</v>
      </c>
      <c r="AR5" s="1"/>
      <c r="AS5" s="7">
        <f>ROUNDUP(D5*Paramètres!$B$23*Paramètres!$B$26,-1)</f>
        <v>0</v>
      </c>
      <c r="AT5" s="7"/>
      <c r="AU5" s="1"/>
      <c r="AV5" s="8"/>
      <c r="AW5" s="8"/>
      <c r="AX5" s="8"/>
      <c r="AY5" s="8"/>
      <c r="AZ5" s="8"/>
      <c r="BA5" s="8"/>
      <c r="BB5" s="44"/>
      <c r="BC5" s="44"/>
      <c r="BD5" s="8"/>
      <c r="BE5" s="8"/>
      <c r="BF5" s="8"/>
      <c r="BG5" s="44"/>
      <c r="BI5">
        <f t="shared" si="11"/>
        <v>0</v>
      </c>
    </row>
    <row r="6" spans="1:61" x14ac:dyDescent="0.25">
      <c r="A6">
        <v>4</v>
      </c>
      <c r="C6" s="1"/>
      <c r="D6" s="1"/>
      <c r="E6" s="1"/>
      <c r="F6" s="47"/>
      <c r="G6" s="53"/>
      <c r="H6" s="53"/>
      <c r="I6" s="53"/>
      <c r="J6" s="50">
        <f>F6*Paramètres!$B$3</f>
        <v>0</v>
      </c>
      <c r="K6" s="56">
        <f t="shared" si="0"/>
        <v>0</v>
      </c>
      <c r="L6" s="56">
        <f t="shared" si="1"/>
        <v>0</v>
      </c>
      <c r="M6" s="56">
        <f t="shared" si="2"/>
        <v>0</v>
      </c>
      <c r="N6" s="3">
        <f>ROUNDUP(J6*Paramètres!$B$19,-1)</f>
        <v>0</v>
      </c>
      <c r="O6" s="1">
        <f t="shared" si="3"/>
        <v>0</v>
      </c>
      <c r="P6" s="1">
        <f t="shared" si="4"/>
        <v>0</v>
      </c>
      <c r="Q6" s="3">
        <f t="shared" si="5"/>
        <v>0</v>
      </c>
      <c r="R6" s="47">
        <f>ROUNDUP(+K6/Paramètres!$B$4/Paramètres!$B$53,0)</f>
        <v>0</v>
      </c>
      <c r="S6" s="47">
        <f>ROUNDUP(+L6/Paramètres!$B$6/Paramètres!$B$53,0)</f>
        <v>0</v>
      </c>
      <c r="T6" s="47"/>
      <c r="U6" s="2">
        <f t="shared" si="6"/>
        <v>0</v>
      </c>
      <c r="V6" s="1">
        <f>R6*Paramètres!$B$7</f>
        <v>0</v>
      </c>
      <c r="W6" s="1">
        <f>S6*Paramètres!$B$9</f>
        <v>0</v>
      </c>
      <c r="X6" s="1"/>
      <c r="Y6" s="2">
        <f t="shared" si="7"/>
        <v>0</v>
      </c>
      <c r="Z6" s="7">
        <f>R6*Paramètres!$B$10</f>
        <v>0</v>
      </c>
      <c r="AA6" s="7">
        <f>S6*Paramètres!$B$10</f>
        <v>0</v>
      </c>
      <c r="AB6" s="7"/>
      <c r="AC6" s="2">
        <f t="shared" si="8"/>
        <v>0</v>
      </c>
      <c r="AD6" s="1">
        <f t="shared" si="12"/>
        <v>0</v>
      </c>
      <c r="AE6" s="1">
        <f t="shared" si="9"/>
        <v>0</v>
      </c>
      <c r="AF6" s="1">
        <f>IF(B6="",0,Paramètres!$B$53*1.5)</f>
        <v>0</v>
      </c>
      <c r="AG6" s="1">
        <f>IF(C6="",0,Paramètres!$B$53*1.5)</f>
        <v>0</v>
      </c>
      <c r="AH6" s="1"/>
      <c r="AI6" s="1"/>
      <c r="AJ6" s="1"/>
      <c r="AK6" s="1"/>
      <c r="AL6" s="1">
        <f>(U6*Paramètres!$B$53)*3</f>
        <v>0</v>
      </c>
      <c r="AM6" s="1">
        <f t="shared" si="10"/>
        <v>0</v>
      </c>
      <c r="AN6" s="1">
        <f>U6*Paramètres!$B$75</f>
        <v>0</v>
      </c>
      <c r="AO6" s="1">
        <f>U6*Paramètres!$B$72*Paramètres!$B$73</f>
        <v>0</v>
      </c>
      <c r="AP6" s="1"/>
      <c r="AQ6" s="1">
        <f>(Y6+AC6)*Paramètres!$B$42*Paramètres!$B$53</f>
        <v>0</v>
      </c>
      <c r="AR6" s="1"/>
      <c r="AS6" s="7">
        <f>ROUNDUP(D6*Paramètres!$B$23*Paramètres!$B$26,-1)</f>
        <v>0</v>
      </c>
      <c r="AT6" s="7"/>
      <c r="AU6" s="1"/>
      <c r="AV6" s="8"/>
      <c r="AW6" s="8"/>
      <c r="AX6" s="8"/>
      <c r="AY6" s="8"/>
      <c r="AZ6" s="8"/>
      <c r="BA6" s="8"/>
      <c r="BB6" s="44"/>
      <c r="BC6" s="44"/>
      <c r="BD6" s="8"/>
      <c r="BE6" s="8"/>
      <c r="BF6" s="8"/>
      <c r="BG6" s="44"/>
      <c r="BI6">
        <f t="shared" si="11"/>
        <v>0</v>
      </c>
    </row>
    <row r="7" spans="1:61" x14ac:dyDescent="0.25">
      <c r="A7">
        <v>5</v>
      </c>
      <c r="C7" s="1"/>
      <c r="D7" s="1"/>
      <c r="E7" s="1"/>
      <c r="F7" s="47"/>
      <c r="G7" s="53"/>
      <c r="H7" s="53"/>
      <c r="I7" s="53"/>
      <c r="J7" s="50">
        <f>F7*Paramètres!$B$3</f>
        <v>0</v>
      </c>
      <c r="K7" s="56">
        <f t="shared" si="0"/>
        <v>0</v>
      </c>
      <c r="L7" s="56">
        <f t="shared" si="1"/>
        <v>0</v>
      </c>
      <c r="M7" s="56">
        <f t="shared" si="2"/>
        <v>0</v>
      </c>
      <c r="N7" s="3">
        <f>ROUNDUP(J7*Paramètres!$B$19,-1)</f>
        <v>0</v>
      </c>
      <c r="O7" s="1">
        <f t="shared" si="3"/>
        <v>0</v>
      </c>
      <c r="P7" s="1">
        <f t="shared" si="4"/>
        <v>0</v>
      </c>
      <c r="Q7" s="3">
        <f t="shared" si="5"/>
        <v>0</v>
      </c>
      <c r="R7" s="47">
        <f>ROUNDUP(+K7/Paramètres!$B$4/Paramètres!$B$53,0)</f>
        <v>0</v>
      </c>
      <c r="S7" s="47">
        <f>ROUNDUP(+L7/Paramètres!$B$6/Paramètres!$B$53,0)</f>
        <v>0</v>
      </c>
      <c r="T7" s="47"/>
      <c r="U7" s="2">
        <f t="shared" si="6"/>
        <v>0</v>
      </c>
      <c r="V7" s="1">
        <f>R7*Paramètres!$B$7</f>
        <v>0</v>
      </c>
      <c r="W7" s="1">
        <f>S7*Paramètres!$B$9</f>
        <v>0</v>
      </c>
      <c r="X7" s="1"/>
      <c r="Y7" s="2">
        <f t="shared" si="7"/>
        <v>0</v>
      </c>
      <c r="Z7" s="7">
        <f>R7*Paramètres!$B$10</f>
        <v>0</v>
      </c>
      <c r="AA7" s="7">
        <f>S7*Paramètres!$B$10</f>
        <v>0</v>
      </c>
      <c r="AB7" s="7"/>
      <c r="AC7" s="2">
        <f t="shared" si="8"/>
        <v>0</v>
      </c>
      <c r="AD7" s="1">
        <f t="shared" si="12"/>
        <v>0</v>
      </c>
      <c r="AE7" s="1">
        <f t="shared" si="9"/>
        <v>0</v>
      </c>
      <c r="AF7" s="1">
        <f>IF(B7="",0,Paramètres!$B$53*1.5)</f>
        <v>0</v>
      </c>
      <c r="AG7" s="1">
        <f>IF(C7="",0,Paramètres!$B$53*1.5)</f>
        <v>0</v>
      </c>
      <c r="AH7" s="1"/>
      <c r="AI7" s="1"/>
      <c r="AJ7" s="1"/>
      <c r="AK7" s="1"/>
      <c r="AL7" s="1">
        <f>(U7*Paramètres!$B$53)*3</f>
        <v>0</v>
      </c>
      <c r="AM7" s="1">
        <f t="shared" si="10"/>
        <v>0</v>
      </c>
      <c r="AN7" s="1">
        <f>U7*Paramètres!$B$75</f>
        <v>0</v>
      </c>
      <c r="AO7" s="1">
        <f>U7*Paramètres!$B$72*Paramètres!$B$73</f>
        <v>0</v>
      </c>
      <c r="AP7" s="1"/>
      <c r="AQ7" s="1">
        <f>(Y7+AC7)*Paramètres!$B$42*Paramètres!$B$53</f>
        <v>0</v>
      </c>
      <c r="AR7" s="1"/>
      <c r="AS7" s="7">
        <f>ROUNDUP(D7*Paramètres!$B$23*Paramètres!$B$26,-1)</f>
        <v>0</v>
      </c>
      <c r="AT7" s="7"/>
      <c r="AU7" s="1"/>
      <c r="AV7" s="8"/>
      <c r="AW7" s="8"/>
      <c r="AX7" s="8"/>
      <c r="AY7" s="8"/>
      <c r="AZ7" s="8"/>
      <c r="BA7" s="8"/>
      <c r="BB7" s="44"/>
      <c r="BC7" s="44"/>
      <c r="BD7" s="8"/>
      <c r="BE7" s="8"/>
      <c r="BF7" s="8"/>
      <c r="BG7" s="44"/>
      <c r="BI7">
        <f t="shared" si="11"/>
        <v>0</v>
      </c>
    </row>
    <row r="8" spans="1:61" x14ac:dyDescent="0.25">
      <c r="A8">
        <v>6</v>
      </c>
      <c r="C8" s="1"/>
      <c r="D8" s="1"/>
      <c r="E8" s="1"/>
      <c r="F8" s="47"/>
      <c r="G8" s="53"/>
      <c r="H8" s="53"/>
      <c r="I8" s="53"/>
      <c r="J8" s="50">
        <f>F8*Paramètres!$B$3</f>
        <v>0</v>
      </c>
      <c r="K8" s="56">
        <f t="shared" si="0"/>
        <v>0</v>
      </c>
      <c r="L8" s="56">
        <f t="shared" si="1"/>
        <v>0</v>
      </c>
      <c r="M8" s="56">
        <f t="shared" si="2"/>
        <v>0</v>
      </c>
      <c r="N8" s="3">
        <f>ROUNDUP(J8*Paramètres!$B$19,-1)</f>
        <v>0</v>
      </c>
      <c r="O8" s="1">
        <f t="shared" si="3"/>
        <v>0</v>
      </c>
      <c r="P8" s="1">
        <f t="shared" si="4"/>
        <v>0</v>
      </c>
      <c r="Q8" s="3">
        <f t="shared" si="5"/>
        <v>0</v>
      </c>
      <c r="R8" s="47">
        <f>ROUNDUP(+K8/Paramètres!$B$4/Paramètres!$B$53,0)</f>
        <v>0</v>
      </c>
      <c r="S8" s="47">
        <f>ROUNDUP(+L8/Paramètres!$B$6/Paramètres!$B$53,0)</f>
        <v>0</v>
      </c>
      <c r="T8" s="47"/>
      <c r="U8" s="2">
        <f t="shared" si="6"/>
        <v>0</v>
      </c>
      <c r="V8" s="1">
        <f>R8*Paramètres!$B$7</f>
        <v>0</v>
      </c>
      <c r="W8" s="1">
        <f>S8*Paramètres!$B$9</f>
        <v>0</v>
      </c>
      <c r="X8" s="1"/>
      <c r="Y8" s="2">
        <f t="shared" si="7"/>
        <v>0</v>
      </c>
      <c r="Z8" s="7">
        <f>R8*Paramètres!$B$10</f>
        <v>0</v>
      </c>
      <c r="AA8" s="7">
        <f>S8*Paramètres!$B$10</f>
        <v>0</v>
      </c>
      <c r="AB8" s="7"/>
      <c r="AC8" s="2">
        <f t="shared" si="8"/>
        <v>0</v>
      </c>
      <c r="AD8" s="1">
        <f t="shared" si="12"/>
        <v>0</v>
      </c>
      <c r="AE8" s="1">
        <f t="shared" si="9"/>
        <v>0</v>
      </c>
      <c r="AF8" s="1">
        <f>IF(B8="",0,Paramètres!$B$53*1.5)</f>
        <v>0</v>
      </c>
      <c r="AG8" s="1">
        <f>IF(C8="",0,Paramètres!$B$53*1.5)</f>
        <v>0</v>
      </c>
      <c r="AH8" s="1"/>
      <c r="AI8" s="1"/>
      <c r="AJ8" s="1"/>
      <c r="AK8" s="1"/>
      <c r="AL8" s="1">
        <f>(U8*Paramètres!$B$53)*3</f>
        <v>0</v>
      </c>
      <c r="AM8" s="1">
        <f t="shared" si="10"/>
        <v>0</v>
      </c>
      <c r="AN8" s="1">
        <f>U8*Paramètres!$B$75</f>
        <v>0</v>
      </c>
      <c r="AO8" s="1">
        <f>U8*Paramètres!$B$72*Paramètres!$B$73</f>
        <v>0</v>
      </c>
      <c r="AP8" s="1"/>
      <c r="AQ8" s="1">
        <f>(Y8+AC8)*Paramètres!$B$42*Paramètres!$B$53</f>
        <v>0</v>
      </c>
      <c r="AR8" s="1"/>
      <c r="AS8" s="7">
        <f>ROUNDUP(D8*Paramètres!$B$23*Paramètres!$B$26,-1)</f>
        <v>0</v>
      </c>
      <c r="AT8" s="7"/>
      <c r="AU8" s="1"/>
      <c r="AV8" s="8"/>
      <c r="AW8" s="8"/>
      <c r="AX8" s="8"/>
      <c r="AY8" s="8"/>
      <c r="AZ8" s="8"/>
      <c r="BA8" s="8"/>
      <c r="BB8" s="44"/>
      <c r="BC8" s="44"/>
      <c r="BD8" s="8"/>
      <c r="BE8" s="8"/>
      <c r="BF8" s="8"/>
      <c r="BG8" s="44"/>
      <c r="BI8">
        <f t="shared" si="11"/>
        <v>0</v>
      </c>
    </row>
    <row r="9" spans="1:61" x14ac:dyDescent="0.25">
      <c r="A9">
        <v>7</v>
      </c>
      <c r="F9" s="47"/>
      <c r="G9" s="53"/>
      <c r="H9" s="53"/>
      <c r="I9" s="53"/>
      <c r="J9" s="50">
        <f>F9*Paramètres!$B$3</f>
        <v>0</v>
      </c>
      <c r="K9" s="56">
        <f t="shared" si="0"/>
        <v>0</v>
      </c>
      <c r="L9" s="56">
        <f t="shared" si="1"/>
        <v>0</v>
      </c>
      <c r="M9" s="56">
        <f t="shared" si="2"/>
        <v>0</v>
      </c>
      <c r="N9" s="3">
        <f>ROUNDUP(J9*Paramètres!$B$19,-1)</f>
        <v>0</v>
      </c>
      <c r="O9" s="1">
        <f t="shared" si="3"/>
        <v>0</v>
      </c>
      <c r="P9" s="1">
        <f t="shared" si="4"/>
        <v>0</v>
      </c>
      <c r="Q9" s="3">
        <f t="shared" si="5"/>
        <v>0</v>
      </c>
      <c r="R9" s="47">
        <f>ROUNDUP(+K9/Paramètres!$B$4/Paramètres!$B$53,0)</f>
        <v>0</v>
      </c>
      <c r="S9" s="47">
        <f>ROUNDUP(+L9/Paramètres!$B$6/Paramètres!$B$53,0)</f>
        <v>0</v>
      </c>
      <c r="T9" s="47"/>
      <c r="U9" s="2">
        <f t="shared" si="6"/>
        <v>0</v>
      </c>
      <c r="V9" s="1">
        <f>R9*Paramètres!$B$7</f>
        <v>0</v>
      </c>
      <c r="W9" s="1">
        <f>S9*Paramètres!$B$9</f>
        <v>0</v>
      </c>
      <c r="X9" s="1"/>
      <c r="Y9" s="2">
        <f t="shared" si="7"/>
        <v>0</v>
      </c>
      <c r="Z9" s="7">
        <f>R9*Paramètres!$B$10</f>
        <v>0</v>
      </c>
      <c r="AA9" s="7">
        <f>S9*Paramètres!$B$10</f>
        <v>0</v>
      </c>
      <c r="AB9" s="7"/>
      <c r="AC9" s="2">
        <f t="shared" si="8"/>
        <v>0</v>
      </c>
      <c r="AD9" s="1">
        <f t="shared" si="12"/>
        <v>0</v>
      </c>
      <c r="AE9" s="1">
        <f t="shared" si="9"/>
        <v>0</v>
      </c>
      <c r="AF9" s="1">
        <f>IF(B9="",0,Paramètres!$B$53*1.5)</f>
        <v>0</v>
      </c>
      <c r="AG9" s="1">
        <f>IF(C9="",0,Paramètres!$B$53*1.5)</f>
        <v>0</v>
      </c>
      <c r="AH9" s="1"/>
      <c r="AI9" s="1"/>
      <c r="AJ9" s="1"/>
      <c r="AK9" s="1"/>
      <c r="AL9" s="1">
        <f>(U9*Paramètres!$B$53)*3</f>
        <v>0</v>
      </c>
      <c r="AM9" s="1">
        <f t="shared" si="10"/>
        <v>0</v>
      </c>
      <c r="AN9" s="1">
        <f>U9*Paramètres!$B$75</f>
        <v>0</v>
      </c>
      <c r="AO9" s="1">
        <f>U9*Paramètres!$B$72*Paramètres!$B$73</f>
        <v>0</v>
      </c>
      <c r="AP9" s="1"/>
      <c r="AQ9" s="1">
        <f>(Y9+AC9)*Paramètres!$B$42*Paramètres!$B$53</f>
        <v>0</v>
      </c>
      <c r="AR9" s="1"/>
      <c r="AS9" s="7">
        <f>ROUNDUP(D9*Paramètres!$B$23*Paramètres!$B$26,-1)</f>
        <v>0</v>
      </c>
      <c r="AT9" s="7"/>
      <c r="AU9" s="1"/>
      <c r="AV9" s="8"/>
      <c r="AW9" s="8"/>
      <c r="AX9" s="8"/>
      <c r="AY9" s="8"/>
      <c r="AZ9" s="8"/>
      <c r="BA9" s="8"/>
      <c r="BB9" s="44"/>
      <c r="BC9" s="44"/>
      <c r="BD9" s="8"/>
      <c r="BE9" s="8"/>
      <c r="BF9" s="8"/>
      <c r="BG9" s="44"/>
      <c r="BI9">
        <f t="shared" si="11"/>
        <v>0</v>
      </c>
    </row>
    <row r="10" spans="1:61" x14ac:dyDescent="0.25">
      <c r="A10">
        <v>8</v>
      </c>
      <c r="F10" s="47"/>
      <c r="G10" s="53"/>
      <c r="H10" s="53"/>
      <c r="I10" s="53"/>
      <c r="J10" s="50">
        <f>F10*Paramètres!$B$3</f>
        <v>0</v>
      </c>
      <c r="K10" s="56">
        <f t="shared" si="0"/>
        <v>0</v>
      </c>
      <c r="L10" s="56">
        <f t="shared" si="1"/>
        <v>0</v>
      </c>
      <c r="M10" s="56">
        <f t="shared" si="2"/>
        <v>0</v>
      </c>
      <c r="N10" s="3">
        <f>ROUNDUP(J10*Paramètres!$B$19,-1)</f>
        <v>0</v>
      </c>
      <c r="O10" s="1">
        <f t="shared" si="3"/>
        <v>0</v>
      </c>
      <c r="P10" s="1">
        <f t="shared" si="4"/>
        <v>0</v>
      </c>
      <c r="Q10" s="3">
        <f t="shared" si="5"/>
        <v>0</v>
      </c>
      <c r="R10" s="47">
        <f>ROUNDUP(+K10/Paramètres!$B$4/Paramètres!$B$53,0)</f>
        <v>0</v>
      </c>
      <c r="S10" s="47">
        <f>ROUNDUP(+L10/Paramètres!$B$6/Paramètres!$B$53,0)</f>
        <v>0</v>
      </c>
      <c r="T10" s="47"/>
      <c r="U10" s="2">
        <f t="shared" si="6"/>
        <v>0</v>
      </c>
      <c r="V10" s="1">
        <f>R10*Paramètres!$B$7</f>
        <v>0</v>
      </c>
      <c r="W10" s="1">
        <f>S10*Paramètres!$B$9</f>
        <v>0</v>
      </c>
      <c r="X10" s="1"/>
      <c r="Y10" s="2">
        <f t="shared" si="7"/>
        <v>0</v>
      </c>
      <c r="Z10" s="7">
        <f>R10*Paramètres!$B$10</f>
        <v>0</v>
      </c>
      <c r="AA10" s="7">
        <f>S10*Paramètres!$B$10</f>
        <v>0</v>
      </c>
      <c r="AB10" s="7"/>
      <c r="AC10" s="2">
        <f t="shared" si="8"/>
        <v>0</v>
      </c>
      <c r="AD10" s="1">
        <f t="shared" si="12"/>
        <v>0</v>
      </c>
      <c r="AE10" s="1">
        <f t="shared" si="9"/>
        <v>0</v>
      </c>
      <c r="AF10" s="1">
        <f>IF(B10="",0,Paramètres!$B$53*1.5)</f>
        <v>0</v>
      </c>
      <c r="AG10" s="1">
        <f>IF(C10="",0,Paramètres!$B$53*1.5)</f>
        <v>0</v>
      </c>
      <c r="AH10" s="1"/>
      <c r="AI10" s="1"/>
      <c r="AJ10" s="1"/>
      <c r="AK10" s="1"/>
      <c r="AL10" s="1">
        <f>(U10*Paramètres!$B$53)*3</f>
        <v>0</v>
      </c>
      <c r="AM10" s="1">
        <f t="shared" si="10"/>
        <v>0</v>
      </c>
      <c r="AN10" s="1">
        <f>U10*Paramètres!$B$75</f>
        <v>0</v>
      </c>
      <c r="AO10" s="1">
        <f>U10*Paramètres!$B$72*Paramètres!$B$73</f>
        <v>0</v>
      </c>
      <c r="AP10" s="1"/>
      <c r="AQ10" s="1">
        <f>(Y10+AC10)*Paramètres!$B$42*Paramètres!$B$53</f>
        <v>0</v>
      </c>
      <c r="AR10" s="1"/>
      <c r="AS10" s="7">
        <f>ROUNDUP(D10*Paramètres!$B$23*Paramètres!$B$26,-1)</f>
        <v>0</v>
      </c>
      <c r="AT10" s="7"/>
      <c r="AU10" s="1"/>
      <c r="AV10" s="8"/>
      <c r="AW10" s="8"/>
      <c r="AX10" s="8"/>
      <c r="AY10" s="8"/>
      <c r="AZ10" s="8"/>
      <c r="BA10" s="8"/>
      <c r="BB10" s="44"/>
      <c r="BC10" s="44"/>
      <c r="BD10" s="8"/>
      <c r="BE10" s="8"/>
      <c r="BF10" s="8"/>
      <c r="BG10" s="44"/>
      <c r="BI10">
        <f t="shared" si="11"/>
        <v>0</v>
      </c>
    </row>
    <row r="11" spans="1:61" x14ac:dyDescent="0.25">
      <c r="A11">
        <v>9</v>
      </c>
      <c r="C11" s="1"/>
      <c r="D11" s="1"/>
      <c r="E11" s="1"/>
      <c r="F11" s="47"/>
      <c r="G11" s="53"/>
      <c r="H11" s="53"/>
      <c r="I11" s="53"/>
      <c r="J11" s="50">
        <f>F11*Paramètres!$B$3</f>
        <v>0</v>
      </c>
      <c r="K11" s="56">
        <f t="shared" si="0"/>
        <v>0</v>
      </c>
      <c r="L11" s="56">
        <f t="shared" si="1"/>
        <v>0</v>
      </c>
      <c r="M11" s="56">
        <f t="shared" si="2"/>
        <v>0</v>
      </c>
      <c r="N11" s="3">
        <f>ROUNDUP(J11*Paramètres!$B$19,-1)</f>
        <v>0</v>
      </c>
      <c r="O11" s="1">
        <f t="shared" si="3"/>
        <v>0</v>
      </c>
      <c r="P11" s="1">
        <f t="shared" si="4"/>
        <v>0</v>
      </c>
      <c r="Q11" s="3">
        <f t="shared" si="5"/>
        <v>0</v>
      </c>
      <c r="R11" s="47">
        <f>ROUNDUP(+K11/Paramètres!$B$4/Paramètres!$B$53,0)</f>
        <v>0</v>
      </c>
      <c r="S11" s="47">
        <f>ROUNDUP(+L11/Paramètres!$B$6/Paramètres!$B$53,0)</f>
        <v>0</v>
      </c>
      <c r="T11" s="47"/>
      <c r="U11" s="2">
        <f t="shared" si="6"/>
        <v>0</v>
      </c>
      <c r="V11" s="1">
        <f>R11*Paramètres!$B$7</f>
        <v>0</v>
      </c>
      <c r="W11" s="1">
        <f>S11*Paramètres!$B$9</f>
        <v>0</v>
      </c>
      <c r="X11" s="1"/>
      <c r="Y11" s="2">
        <f t="shared" si="7"/>
        <v>0</v>
      </c>
      <c r="Z11" s="7">
        <f>R11*Paramètres!$B$10</f>
        <v>0</v>
      </c>
      <c r="AA11" s="7">
        <f>S11*Paramètres!$B$10</f>
        <v>0</v>
      </c>
      <c r="AB11" s="7"/>
      <c r="AC11" s="2">
        <f t="shared" si="8"/>
        <v>0</v>
      </c>
      <c r="AD11" s="1">
        <f t="shared" si="12"/>
        <v>0</v>
      </c>
      <c r="AE11" s="1">
        <f t="shared" si="9"/>
        <v>0</v>
      </c>
      <c r="AF11" s="1">
        <f>IF(B11="",0,Paramètres!$B$53*1.5)</f>
        <v>0</v>
      </c>
      <c r="AG11" s="1">
        <f>IF(C11="",0,Paramètres!$B$53*1.5)</f>
        <v>0</v>
      </c>
      <c r="AH11" s="1"/>
      <c r="AI11" s="1"/>
      <c r="AJ11" s="1"/>
      <c r="AK11" s="1"/>
      <c r="AL11" s="1">
        <f>(U11*Paramètres!$B$53)*3</f>
        <v>0</v>
      </c>
      <c r="AM11" s="1">
        <f t="shared" si="10"/>
        <v>0</v>
      </c>
      <c r="AN11" s="1">
        <f>U11*Paramètres!$B$75</f>
        <v>0</v>
      </c>
      <c r="AO11" s="1">
        <f>U11*Paramètres!$B$72*Paramètres!$B$73</f>
        <v>0</v>
      </c>
      <c r="AP11" s="1"/>
      <c r="AQ11" s="1">
        <f>(Y11+AC11)*Paramètres!$B$42*Paramètres!$B$53</f>
        <v>0</v>
      </c>
      <c r="AR11" s="1"/>
      <c r="AS11" s="7">
        <f>ROUNDUP(D11*Paramètres!$B$23*Paramètres!$B$26,-1)</f>
        <v>0</v>
      </c>
      <c r="AT11" s="7"/>
      <c r="AU11" s="1"/>
      <c r="AV11" s="8"/>
      <c r="AW11" s="8"/>
      <c r="AX11" s="8"/>
      <c r="AY11" s="8"/>
      <c r="AZ11" s="8"/>
      <c r="BA11" s="8"/>
      <c r="BB11" s="44"/>
      <c r="BC11" s="44"/>
      <c r="BD11" s="8"/>
      <c r="BE11" s="8"/>
      <c r="BF11" s="8"/>
      <c r="BG11" s="44"/>
      <c r="BI11">
        <f t="shared" si="11"/>
        <v>0</v>
      </c>
    </row>
    <row r="12" spans="1:61" x14ac:dyDescent="0.25">
      <c r="A12">
        <v>10</v>
      </c>
      <c r="C12" s="1"/>
      <c r="D12" s="1"/>
      <c r="E12" s="1"/>
      <c r="F12" s="47"/>
      <c r="G12" s="53"/>
      <c r="H12" s="53"/>
      <c r="I12" s="53"/>
      <c r="J12" s="50">
        <f>F12*Paramètres!$B$3</f>
        <v>0</v>
      </c>
      <c r="K12" s="56">
        <f t="shared" si="0"/>
        <v>0</v>
      </c>
      <c r="L12" s="56">
        <f t="shared" si="1"/>
        <v>0</v>
      </c>
      <c r="M12" s="56">
        <f t="shared" si="2"/>
        <v>0</v>
      </c>
      <c r="N12" s="3">
        <f>ROUNDUP(J12*Paramètres!$B$19,-1)</f>
        <v>0</v>
      </c>
      <c r="O12" s="1">
        <f t="shared" si="3"/>
        <v>0</v>
      </c>
      <c r="P12" s="1">
        <f t="shared" si="4"/>
        <v>0</v>
      </c>
      <c r="Q12" s="3">
        <f t="shared" si="5"/>
        <v>0</v>
      </c>
      <c r="R12" s="47">
        <f>ROUNDUP(+K12/Paramètres!$B$4/Paramètres!$B$53,0)</f>
        <v>0</v>
      </c>
      <c r="S12" s="47">
        <f>ROUNDUP(+L12/Paramètres!$B$6/Paramètres!$B$53,0)</f>
        <v>0</v>
      </c>
      <c r="T12" s="47"/>
      <c r="U12" s="2">
        <f t="shared" si="6"/>
        <v>0</v>
      </c>
      <c r="V12" s="1">
        <f>R12*Paramètres!$B$7</f>
        <v>0</v>
      </c>
      <c r="W12" s="1">
        <f>S12*Paramètres!$B$9</f>
        <v>0</v>
      </c>
      <c r="X12" s="1"/>
      <c r="Y12" s="2">
        <f t="shared" si="7"/>
        <v>0</v>
      </c>
      <c r="Z12" s="7">
        <f>R12*Paramètres!$B$10</f>
        <v>0</v>
      </c>
      <c r="AA12" s="7">
        <f>S12*Paramètres!$B$10</f>
        <v>0</v>
      </c>
      <c r="AB12" s="7"/>
      <c r="AC12" s="2">
        <f t="shared" si="8"/>
        <v>0</v>
      </c>
      <c r="AD12" s="1">
        <f t="shared" si="12"/>
        <v>0</v>
      </c>
      <c r="AE12" s="1">
        <f t="shared" si="9"/>
        <v>0</v>
      </c>
      <c r="AF12" s="1">
        <f>IF(B12="",0,Paramètres!$B$53*1.5)</f>
        <v>0</v>
      </c>
      <c r="AG12" s="1">
        <f>IF(C12="",0,Paramètres!$B$53*1.5)</f>
        <v>0</v>
      </c>
      <c r="AH12" s="1"/>
      <c r="AI12" s="1"/>
      <c r="AJ12" s="1"/>
      <c r="AK12" s="1"/>
      <c r="AL12" s="1">
        <f>(U12*Paramètres!$B$53)*3</f>
        <v>0</v>
      </c>
      <c r="AM12" s="1">
        <f t="shared" si="10"/>
        <v>0</v>
      </c>
      <c r="AN12" s="1">
        <f>U12*Paramètres!$B$75</f>
        <v>0</v>
      </c>
      <c r="AO12" s="1">
        <f>U12*Paramètres!$B$72*Paramètres!$B$73</f>
        <v>0</v>
      </c>
      <c r="AP12" s="1"/>
      <c r="AQ12" s="1">
        <f>(Y12+AC12)*Paramètres!$B$42*Paramètres!$B$53</f>
        <v>0</v>
      </c>
      <c r="AR12" s="1"/>
      <c r="AS12" s="7">
        <f>ROUNDUP(D12*Paramètres!$B$23*Paramètres!$B$26,-1)</f>
        <v>0</v>
      </c>
      <c r="AT12" s="7"/>
      <c r="AU12" s="1"/>
      <c r="AV12" s="8"/>
      <c r="AW12" s="8"/>
      <c r="AX12" s="8"/>
      <c r="AY12" s="8"/>
      <c r="AZ12" s="8"/>
      <c r="BA12" s="8"/>
      <c r="BB12" s="44"/>
      <c r="BC12" s="44"/>
      <c r="BD12" s="8"/>
      <c r="BE12" s="8"/>
      <c r="BF12" s="8"/>
      <c r="BG12" s="44"/>
      <c r="BI12">
        <f t="shared" si="11"/>
        <v>0</v>
      </c>
    </row>
    <row r="13" spans="1:61" x14ac:dyDescent="0.25">
      <c r="A13">
        <v>11</v>
      </c>
      <c r="F13" s="47"/>
      <c r="G13" s="53"/>
      <c r="H13" s="53"/>
      <c r="I13" s="53"/>
      <c r="J13" s="50">
        <f>F13*Paramètres!$B$3</f>
        <v>0</v>
      </c>
      <c r="K13" s="56">
        <f t="shared" si="0"/>
        <v>0</v>
      </c>
      <c r="L13" s="56">
        <f t="shared" si="1"/>
        <v>0</v>
      </c>
      <c r="M13" s="56">
        <f t="shared" si="2"/>
        <v>0</v>
      </c>
      <c r="N13" s="3">
        <f>ROUNDUP(J13*Paramètres!$B$19,-1)</f>
        <v>0</v>
      </c>
      <c r="O13" s="1">
        <f t="shared" si="3"/>
        <v>0</v>
      </c>
      <c r="P13" s="1">
        <f t="shared" si="4"/>
        <v>0</v>
      </c>
      <c r="Q13" s="3">
        <f t="shared" si="5"/>
        <v>0</v>
      </c>
      <c r="R13" s="47">
        <f>ROUNDUP(+K13/Paramètres!$B$4/Paramètres!$B$53,0)</f>
        <v>0</v>
      </c>
      <c r="S13" s="47">
        <f>ROUNDUP(+L13/Paramètres!$B$6/Paramètres!$B$53,0)</f>
        <v>0</v>
      </c>
      <c r="T13" s="47"/>
      <c r="U13" s="2">
        <f t="shared" si="6"/>
        <v>0</v>
      </c>
      <c r="V13" s="1">
        <f>R13*Paramètres!$B$7</f>
        <v>0</v>
      </c>
      <c r="W13" s="1">
        <f>S13*Paramètres!$B$9</f>
        <v>0</v>
      </c>
      <c r="X13" s="1"/>
      <c r="Y13" s="2">
        <f t="shared" si="7"/>
        <v>0</v>
      </c>
      <c r="Z13" s="7">
        <f>R13*Paramètres!$B$10</f>
        <v>0</v>
      </c>
      <c r="AA13" s="7">
        <f>S13*Paramètres!$B$10</f>
        <v>0</v>
      </c>
      <c r="AB13" s="7"/>
      <c r="AC13" s="2">
        <f t="shared" si="8"/>
        <v>0</v>
      </c>
      <c r="AD13" s="1">
        <f t="shared" si="12"/>
        <v>0</v>
      </c>
      <c r="AE13" s="1">
        <f t="shared" si="9"/>
        <v>0</v>
      </c>
      <c r="AF13" s="1">
        <f>IF(B13="",0,Paramètres!$B$53*1.5)</f>
        <v>0</v>
      </c>
      <c r="AG13" s="1">
        <f>IF(C13="",0,Paramètres!$B$53*1.5)</f>
        <v>0</v>
      </c>
      <c r="AH13" s="1"/>
      <c r="AI13" s="1"/>
      <c r="AJ13" s="1"/>
      <c r="AK13" s="1"/>
      <c r="AL13" s="1">
        <f>(U13*Paramètres!$B$53)*3</f>
        <v>0</v>
      </c>
      <c r="AM13" s="1">
        <f t="shared" si="10"/>
        <v>0</v>
      </c>
      <c r="AN13" s="1">
        <f>U13*Paramètres!$B$75</f>
        <v>0</v>
      </c>
      <c r="AO13" s="1">
        <f>U13*Paramètres!$B$72*Paramètres!$B$73</f>
        <v>0</v>
      </c>
      <c r="AP13" s="1"/>
      <c r="AQ13" s="1">
        <f>(Y13+AC13)*Paramètres!$B$42*Paramètres!$B$53</f>
        <v>0</v>
      </c>
      <c r="AR13" s="1"/>
      <c r="AS13" s="7">
        <f>ROUNDUP(D13*Paramètres!$B$23*Paramètres!$B$26,-1)</f>
        <v>0</v>
      </c>
      <c r="AT13" s="7"/>
      <c r="AU13" s="1"/>
      <c r="AV13" s="8"/>
      <c r="AW13" s="8"/>
      <c r="AX13" s="8"/>
      <c r="AY13" s="8"/>
      <c r="AZ13" s="8"/>
      <c r="BA13" s="8"/>
      <c r="BB13" s="44"/>
      <c r="BC13" s="44"/>
      <c r="BD13" s="8"/>
      <c r="BE13" s="8"/>
      <c r="BF13" s="8"/>
      <c r="BG13" s="44"/>
      <c r="BI13">
        <f t="shared" si="11"/>
        <v>0</v>
      </c>
    </row>
    <row r="14" spans="1:61" x14ac:dyDescent="0.25">
      <c r="A14">
        <v>12</v>
      </c>
      <c r="F14" s="47"/>
      <c r="G14" s="53"/>
      <c r="H14" s="53"/>
      <c r="I14" s="53"/>
      <c r="J14" s="50">
        <f>F14*Paramètres!$B$3</f>
        <v>0</v>
      </c>
      <c r="K14" s="56">
        <f t="shared" si="0"/>
        <v>0</v>
      </c>
      <c r="L14" s="56">
        <f t="shared" si="1"/>
        <v>0</v>
      </c>
      <c r="M14" s="56">
        <f t="shared" si="2"/>
        <v>0</v>
      </c>
      <c r="N14" s="3">
        <f>ROUNDUP(J14*Paramètres!$B$19,-1)</f>
        <v>0</v>
      </c>
      <c r="O14" s="1">
        <f t="shared" si="3"/>
        <v>0</v>
      </c>
      <c r="P14" s="1">
        <f t="shared" si="4"/>
        <v>0</v>
      </c>
      <c r="Q14" s="3">
        <f t="shared" si="5"/>
        <v>0</v>
      </c>
      <c r="R14" s="47">
        <f>ROUNDUP(+K14/Paramètres!$B$4/Paramètres!$B$53,0)</f>
        <v>0</v>
      </c>
      <c r="S14" s="47">
        <f>ROUNDUP(+L14/Paramètres!$B$6/Paramètres!$B$53,0)</f>
        <v>0</v>
      </c>
      <c r="T14" s="47"/>
      <c r="U14" s="2">
        <f t="shared" si="6"/>
        <v>0</v>
      </c>
      <c r="V14" s="1">
        <f>R14*Paramètres!$B$7</f>
        <v>0</v>
      </c>
      <c r="W14" s="1">
        <f>S14*Paramètres!$B$9</f>
        <v>0</v>
      </c>
      <c r="X14" s="1"/>
      <c r="Y14" s="2">
        <f t="shared" si="7"/>
        <v>0</v>
      </c>
      <c r="Z14" s="7">
        <f>R14*Paramètres!$B$10</f>
        <v>0</v>
      </c>
      <c r="AA14" s="7">
        <f>S14*Paramètres!$B$10</f>
        <v>0</v>
      </c>
      <c r="AB14" s="7"/>
      <c r="AC14" s="2">
        <f t="shared" si="8"/>
        <v>0</v>
      </c>
      <c r="AD14" s="1">
        <f t="shared" si="12"/>
        <v>0</v>
      </c>
      <c r="AE14" s="1">
        <f t="shared" si="9"/>
        <v>0</v>
      </c>
      <c r="AF14" s="1">
        <f>IF(B14="",0,Paramètres!$B$53*1.5)</f>
        <v>0</v>
      </c>
      <c r="AG14" s="1">
        <f>IF(C14="",0,Paramètres!$B$53*1.5)</f>
        <v>0</v>
      </c>
      <c r="AH14" s="1"/>
      <c r="AI14" s="1"/>
      <c r="AJ14" s="1"/>
      <c r="AK14" s="1"/>
      <c r="AL14" s="1">
        <f>(U14*Paramètres!$B$53)*3</f>
        <v>0</v>
      </c>
      <c r="AM14" s="1">
        <f t="shared" si="10"/>
        <v>0</v>
      </c>
      <c r="AN14" s="1">
        <f>U14*Paramètres!$B$75</f>
        <v>0</v>
      </c>
      <c r="AO14" s="1">
        <f>U14*Paramètres!$B$72*Paramètres!$B$73</f>
        <v>0</v>
      </c>
      <c r="AP14" s="1"/>
      <c r="AQ14" s="1">
        <f>(Y14+AC14)*Paramètres!$B$42*Paramètres!$B$53</f>
        <v>0</v>
      </c>
      <c r="AR14" s="1"/>
      <c r="AS14" s="7">
        <f>ROUNDUP(D14*Paramètres!$B$23*Paramètres!$B$26,-1)</f>
        <v>0</v>
      </c>
      <c r="AT14" s="7"/>
      <c r="AU14" s="1"/>
      <c r="AV14" s="8"/>
      <c r="AW14" s="8"/>
      <c r="AX14" s="8"/>
      <c r="AY14" s="8"/>
      <c r="AZ14" s="8"/>
      <c r="BA14" s="8"/>
      <c r="BB14" s="44"/>
      <c r="BC14" s="44"/>
      <c r="BD14" s="8"/>
      <c r="BE14" s="8"/>
      <c r="BF14" s="8"/>
      <c r="BG14" s="44"/>
      <c r="BI14">
        <f t="shared" si="11"/>
        <v>0</v>
      </c>
    </row>
    <row r="15" spans="1:61" x14ac:dyDescent="0.25">
      <c r="A15">
        <v>13</v>
      </c>
      <c r="F15" s="47"/>
      <c r="G15" s="53"/>
      <c r="H15" s="53"/>
      <c r="I15" s="53"/>
      <c r="J15" s="50">
        <f>F15*Paramètres!$B$3</f>
        <v>0</v>
      </c>
      <c r="K15" s="56">
        <f t="shared" si="0"/>
        <v>0</v>
      </c>
      <c r="L15" s="56">
        <f t="shared" si="1"/>
        <v>0</v>
      </c>
      <c r="M15" s="56">
        <f t="shared" si="2"/>
        <v>0</v>
      </c>
      <c r="N15" s="3">
        <f>ROUNDUP(J15*Paramètres!$B$19,-1)</f>
        <v>0</v>
      </c>
      <c r="O15" s="1">
        <f t="shared" si="3"/>
        <v>0</v>
      </c>
      <c r="P15" s="1">
        <f t="shared" si="4"/>
        <v>0</v>
      </c>
      <c r="Q15" s="3">
        <f t="shared" si="5"/>
        <v>0</v>
      </c>
      <c r="R15" s="47">
        <f>ROUNDUP(+K15/Paramètres!$B$4/Paramètres!$B$53,0)</f>
        <v>0</v>
      </c>
      <c r="S15" s="47">
        <f>ROUNDUP(+L15/Paramètres!$B$6/Paramètres!$B$53,0)</f>
        <v>0</v>
      </c>
      <c r="T15" s="47"/>
      <c r="U15" s="2">
        <f t="shared" si="6"/>
        <v>0</v>
      </c>
      <c r="V15" s="1">
        <f>R15*Paramètres!$B$7</f>
        <v>0</v>
      </c>
      <c r="W15" s="1">
        <f>S15*Paramètres!$B$9</f>
        <v>0</v>
      </c>
      <c r="X15" s="1"/>
      <c r="Y15" s="2">
        <f t="shared" si="7"/>
        <v>0</v>
      </c>
      <c r="Z15" s="7">
        <f>R15*Paramètres!$B$10</f>
        <v>0</v>
      </c>
      <c r="AA15" s="7">
        <f>S15*Paramètres!$B$10</f>
        <v>0</v>
      </c>
      <c r="AB15" s="7"/>
      <c r="AC15" s="2">
        <f t="shared" si="8"/>
        <v>0</v>
      </c>
      <c r="AD15" s="1">
        <f t="shared" si="12"/>
        <v>0</v>
      </c>
      <c r="AE15" s="1">
        <f t="shared" si="9"/>
        <v>0</v>
      </c>
      <c r="AF15" s="1">
        <f>IF(B15="",0,Paramètres!$B$53*1.5)</f>
        <v>0</v>
      </c>
      <c r="AG15" s="1">
        <f>IF(C15="",0,Paramètres!$B$53*1.5)</f>
        <v>0</v>
      </c>
      <c r="AH15" s="1"/>
      <c r="AI15" s="1"/>
      <c r="AJ15" s="1"/>
      <c r="AK15" s="1"/>
      <c r="AL15" s="1">
        <f>(U15*Paramètres!$B$53)*3</f>
        <v>0</v>
      </c>
      <c r="AM15" s="1">
        <f t="shared" si="10"/>
        <v>0</v>
      </c>
      <c r="AN15" s="1">
        <f>U15*Paramètres!$B$75</f>
        <v>0</v>
      </c>
      <c r="AO15" s="1">
        <f>U15*Paramètres!$B$72*Paramètres!$B$73</f>
        <v>0</v>
      </c>
      <c r="AP15" s="1"/>
      <c r="AQ15" s="1">
        <f>(Y15+AC15)*Paramètres!$B$42*Paramètres!$B$53</f>
        <v>0</v>
      </c>
      <c r="AR15" s="1"/>
      <c r="AS15" s="7">
        <f>ROUNDUP(D15*Paramètres!$B$23*Paramètres!$B$26,-1)</f>
        <v>0</v>
      </c>
      <c r="AT15" s="7"/>
      <c r="AU15" s="1"/>
      <c r="AV15" s="8"/>
      <c r="AW15" s="8"/>
      <c r="AX15" s="8"/>
      <c r="AY15" s="8"/>
      <c r="AZ15" s="8"/>
      <c r="BA15" s="8"/>
      <c r="BB15" s="44"/>
      <c r="BC15" s="44"/>
      <c r="BD15" s="8"/>
      <c r="BE15" s="8"/>
      <c r="BF15" s="8"/>
      <c r="BG15" s="44"/>
      <c r="BI15">
        <f t="shared" si="11"/>
        <v>0</v>
      </c>
    </row>
    <row r="16" spans="1:61" x14ac:dyDescent="0.25">
      <c r="A16">
        <v>14</v>
      </c>
      <c r="F16" s="47"/>
      <c r="G16" s="53"/>
      <c r="H16" s="53"/>
      <c r="I16" s="53"/>
      <c r="J16" s="50">
        <f>F16*Paramètres!$B$3</f>
        <v>0</v>
      </c>
      <c r="K16" s="56">
        <f t="shared" si="0"/>
        <v>0</v>
      </c>
      <c r="L16" s="56">
        <f t="shared" si="1"/>
        <v>0</v>
      </c>
      <c r="M16" s="56">
        <f t="shared" si="2"/>
        <v>0</v>
      </c>
      <c r="N16" s="3">
        <f>ROUNDUP(J16*Paramètres!$B$19,-1)</f>
        <v>0</v>
      </c>
      <c r="O16" s="1">
        <f t="shared" si="3"/>
        <v>0</v>
      </c>
      <c r="P16" s="1">
        <f t="shared" si="4"/>
        <v>0</v>
      </c>
      <c r="Q16" s="3">
        <f t="shared" si="5"/>
        <v>0</v>
      </c>
      <c r="R16" s="47">
        <f>ROUNDUP(+K16/Paramètres!$B$4/Paramètres!$B$53,0)</f>
        <v>0</v>
      </c>
      <c r="S16" s="47">
        <f>ROUNDUP(+L16/Paramètres!$B$6/Paramètres!$B$53,0)</f>
        <v>0</v>
      </c>
      <c r="T16" s="47"/>
      <c r="U16" s="2">
        <f t="shared" si="6"/>
        <v>0</v>
      </c>
      <c r="V16" s="1">
        <f>R16*Paramètres!$B$7</f>
        <v>0</v>
      </c>
      <c r="W16" s="1">
        <f>S16*Paramètres!$B$9</f>
        <v>0</v>
      </c>
      <c r="X16" s="1"/>
      <c r="Y16" s="2">
        <f t="shared" si="7"/>
        <v>0</v>
      </c>
      <c r="Z16" s="7">
        <f>R16*Paramètres!$B$10</f>
        <v>0</v>
      </c>
      <c r="AA16" s="7">
        <f>S16*Paramètres!$B$10</f>
        <v>0</v>
      </c>
      <c r="AB16" s="7"/>
      <c r="AC16" s="2">
        <f t="shared" si="8"/>
        <v>0</v>
      </c>
      <c r="AD16" s="1">
        <f t="shared" si="12"/>
        <v>0</v>
      </c>
      <c r="AE16" s="1">
        <f t="shared" si="9"/>
        <v>0</v>
      </c>
      <c r="AF16" s="1">
        <f>IF(B16="",0,Paramètres!$B$53*1.5)</f>
        <v>0</v>
      </c>
      <c r="AG16" s="1">
        <f>IF(C16="",0,Paramètres!$B$53*1.5)</f>
        <v>0</v>
      </c>
      <c r="AH16" s="1"/>
      <c r="AI16" s="1"/>
      <c r="AJ16" s="1"/>
      <c r="AK16" s="1"/>
      <c r="AL16" s="1">
        <f>(U16*Paramètres!$B$53)*3</f>
        <v>0</v>
      </c>
      <c r="AM16" s="1">
        <f t="shared" si="10"/>
        <v>0</v>
      </c>
      <c r="AN16" s="1">
        <f>U16*Paramètres!$B$75</f>
        <v>0</v>
      </c>
      <c r="AO16" s="1">
        <f>U16*Paramètres!$B$72*Paramètres!$B$73</f>
        <v>0</v>
      </c>
      <c r="AP16" s="1"/>
      <c r="AQ16" s="1">
        <f>(Y16+AC16)*Paramètres!$B$42*Paramètres!$B$53</f>
        <v>0</v>
      </c>
      <c r="AR16" s="1"/>
      <c r="AS16" s="7">
        <f>ROUNDUP(D16*Paramètres!$B$23*Paramètres!$B$26,-1)</f>
        <v>0</v>
      </c>
      <c r="AT16" s="7"/>
      <c r="AU16" s="1"/>
      <c r="AV16" s="8"/>
      <c r="AW16" s="8"/>
      <c r="AX16" s="8"/>
      <c r="AY16" s="8"/>
      <c r="AZ16" s="8"/>
      <c r="BA16" s="8"/>
      <c r="BB16" s="44"/>
      <c r="BC16" s="44"/>
      <c r="BD16" s="8"/>
      <c r="BE16" s="8"/>
      <c r="BF16" s="8"/>
      <c r="BG16" s="44"/>
      <c r="BI16">
        <f t="shared" si="11"/>
        <v>0</v>
      </c>
    </row>
    <row r="17" spans="1:61" x14ac:dyDescent="0.25">
      <c r="A17">
        <v>15</v>
      </c>
      <c r="F17" s="47"/>
      <c r="G17" s="53"/>
      <c r="H17" s="53"/>
      <c r="I17" s="53"/>
      <c r="J17" s="50">
        <f>F17*Paramètres!$B$3</f>
        <v>0</v>
      </c>
      <c r="K17" s="56">
        <f t="shared" si="0"/>
        <v>0</v>
      </c>
      <c r="L17" s="56">
        <f t="shared" si="1"/>
        <v>0</v>
      </c>
      <c r="M17" s="56">
        <f t="shared" si="2"/>
        <v>0</v>
      </c>
      <c r="N17" s="3">
        <f>ROUNDUP(J17*Paramètres!$B$19,-1)</f>
        <v>0</v>
      </c>
      <c r="O17" s="1">
        <f t="shared" si="3"/>
        <v>0</v>
      </c>
      <c r="P17" s="1">
        <f t="shared" si="4"/>
        <v>0</v>
      </c>
      <c r="Q17" s="3">
        <f t="shared" si="5"/>
        <v>0</v>
      </c>
      <c r="R17" s="47">
        <f>ROUNDUP(+K17/Paramètres!$B$4/Paramètres!$B$53,0)</f>
        <v>0</v>
      </c>
      <c r="S17" s="47">
        <f>ROUNDUP(+L17/Paramètres!$B$6/Paramètres!$B$53,0)</f>
        <v>0</v>
      </c>
      <c r="T17" s="47"/>
      <c r="U17" s="2">
        <f t="shared" si="6"/>
        <v>0</v>
      </c>
      <c r="V17" s="1">
        <f>R17*Paramètres!$B$7</f>
        <v>0</v>
      </c>
      <c r="W17" s="1">
        <f>S17*Paramètres!$B$9</f>
        <v>0</v>
      </c>
      <c r="X17" s="1"/>
      <c r="Y17" s="2">
        <f t="shared" si="7"/>
        <v>0</v>
      </c>
      <c r="Z17" s="7">
        <f>R17*Paramètres!$B$10</f>
        <v>0</v>
      </c>
      <c r="AA17" s="7">
        <f>S17*Paramètres!$B$10</f>
        <v>0</v>
      </c>
      <c r="AB17" s="7"/>
      <c r="AC17" s="2">
        <f t="shared" si="8"/>
        <v>0</v>
      </c>
      <c r="AD17" s="1">
        <f t="shared" si="12"/>
        <v>0</v>
      </c>
      <c r="AE17" s="1">
        <f t="shared" si="9"/>
        <v>0</v>
      </c>
      <c r="AF17" s="1">
        <f>IF(B17="",0,Paramètres!$B$53*1.5)</f>
        <v>0</v>
      </c>
      <c r="AG17" s="1">
        <f>IF(C17="",0,Paramètres!$B$53*1.5)</f>
        <v>0</v>
      </c>
      <c r="AH17" s="1"/>
      <c r="AI17" s="1"/>
      <c r="AJ17" s="1"/>
      <c r="AK17" s="1"/>
      <c r="AL17" s="1">
        <f>(U17*Paramètres!$B$53)*3</f>
        <v>0</v>
      </c>
      <c r="AM17" s="1">
        <f t="shared" si="10"/>
        <v>0</v>
      </c>
      <c r="AN17" s="1">
        <f>U17*Paramètres!$B$75</f>
        <v>0</v>
      </c>
      <c r="AO17" s="1">
        <f>U17*Paramètres!$B$72*Paramètres!$B$73</f>
        <v>0</v>
      </c>
      <c r="AP17" s="1"/>
      <c r="AQ17" s="1">
        <f>(Y17+AC17)*Paramètres!$B$42*Paramètres!$B$53</f>
        <v>0</v>
      </c>
      <c r="AR17" s="1"/>
      <c r="AS17" s="7">
        <f>ROUNDUP(D17*Paramètres!$B$23*Paramètres!$B$26,-1)</f>
        <v>0</v>
      </c>
      <c r="AT17" s="7"/>
      <c r="AU17" s="1"/>
      <c r="AV17" s="8"/>
      <c r="AW17" s="8"/>
      <c r="AX17" s="8"/>
      <c r="AY17" s="8"/>
      <c r="AZ17" s="8"/>
      <c r="BA17" s="8"/>
      <c r="BB17" s="44"/>
      <c r="BC17" s="44"/>
      <c r="BD17" s="8"/>
      <c r="BE17" s="8"/>
      <c r="BF17" s="8"/>
      <c r="BG17" s="44"/>
      <c r="BI17">
        <f t="shared" si="11"/>
        <v>0</v>
      </c>
    </row>
    <row r="18" spans="1:61" x14ac:dyDescent="0.25">
      <c r="A18">
        <v>16</v>
      </c>
      <c r="F18" s="47"/>
      <c r="G18" s="53"/>
      <c r="H18" s="53"/>
      <c r="I18" s="53"/>
      <c r="J18" s="50">
        <f>F18*Paramètres!$B$3</f>
        <v>0</v>
      </c>
      <c r="K18" s="56">
        <f t="shared" si="0"/>
        <v>0</v>
      </c>
      <c r="L18" s="56">
        <f t="shared" si="1"/>
        <v>0</v>
      </c>
      <c r="M18" s="56">
        <f t="shared" si="2"/>
        <v>0</v>
      </c>
      <c r="N18" s="3">
        <f>ROUNDUP(J18*Paramètres!$B$19,-1)</f>
        <v>0</v>
      </c>
      <c r="O18" s="1">
        <f t="shared" si="3"/>
        <v>0</v>
      </c>
      <c r="P18" s="1">
        <f t="shared" si="4"/>
        <v>0</v>
      </c>
      <c r="Q18" s="3">
        <f t="shared" si="5"/>
        <v>0</v>
      </c>
      <c r="R18" s="47">
        <f>ROUNDUP(+K18/Paramètres!$B$4/Paramètres!$B$53,0)</f>
        <v>0</v>
      </c>
      <c r="S18" s="47">
        <f>ROUNDUP(+L18/Paramètres!$B$6/Paramètres!$B$53,0)</f>
        <v>0</v>
      </c>
      <c r="T18" s="47"/>
      <c r="U18" s="2">
        <f t="shared" si="6"/>
        <v>0</v>
      </c>
      <c r="V18" s="1">
        <f>R18*Paramètres!$B$7</f>
        <v>0</v>
      </c>
      <c r="W18" s="1">
        <f>S18*Paramètres!$B$9</f>
        <v>0</v>
      </c>
      <c r="X18" s="1"/>
      <c r="Y18" s="2">
        <f t="shared" si="7"/>
        <v>0</v>
      </c>
      <c r="Z18" s="7">
        <f>R18*Paramètres!$B$10</f>
        <v>0</v>
      </c>
      <c r="AA18" s="7">
        <f>S18*Paramètres!$B$10</f>
        <v>0</v>
      </c>
      <c r="AB18" s="7"/>
      <c r="AC18" s="2">
        <f t="shared" si="8"/>
        <v>0</v>
      </c>
      <c r="AD18" s="1">
        <f t="shared" si="12"/>
        <v>0</v>
      </c>
      <c r="AE18" s="1">
        <f t="shared" si="9"/>
        <v>0</v>
      </c>
      <c r="AF18" s="1">
        <f>IF(B18="",0,Paramètres!$B$53*1.5)</f>
        <v>0</v>
      </c>
      <c r="AG18" s="1">
        <f>IF(C18="",0,Paramètres!$B$53*1.5)</f>
        <v>0</v>
      </c>
      <c r="AH18" s="1"/>
      <c r="AI18" s="1"/>
      <c r="AJ18" s="1"/>
      <c r="AK18" s="1"/>
      <c r="AL18" s="1">
        <f>(U18*Paramètres!$B$53)*3</f>
        <v>0</v>
      </c>
      <c r="AM18" s="1">
        <f t="shared" si="10"/>
        <v>0</v>
      </c>
      <c r="AN18" s="1">
        <f>U18*Paramètres!$B$75</f>
        <v>0</v>
      </c>
      <c r="AO18" s="1">
        <f>U18*Paramètres!$B$72*Paramètres!$B$73</f>
        <v>0</v>
      </c>
      <c r="AP18" s="1"/>
      <c r="AQ18" s="1">
        <f>(Y18+AC18)*Paramètres!$B$42*Paramètres!$B$53</f>
        <v>0</v>
      </c>
      <c r="AR18" s="1"/>
      <c r="AS18" s="7">
        <f>ROUNDUP(D18*Paramètres!$B$23*Paramètres!$B$26,-1)</f>
        <v>0</v>
      </c>
      <c r="AT18" s="7"/>
      <c r="AU18" s="1"/>
      <c r="AV18" s="8"/>
      <c r="AW18" s="8"/>
      <c r="AX18" s="8"/>
      <c r="AY18" s="8"/>
      <c r="AZ18" s="8"/>
      <c r="BA18" s="8"/>
      <c r="BB18" s="44"/>
      <c r="BC18" s="44"/>
      <c r="BD18" s="8"/>
      <c r="BE18" s="8"/>
      <c r="BF18" s="8"/>
      <c r="BG18" s="44"/>
      <c r="BI18">
        <f t="shared" si="11"/>
        <v>0</v>
      </c>
    </row>
    <row r="19" spans="1:61" x14ac:dyDescent="0.25">
      <c r="A19">
        <v>17</v>
      </c>
      <c r="F19" s="47"/>
      <c r="G19" s="53"/>
      <c r="H19" s="53"/>
      <c r="I19" s="53"/>
      <c r="J19" s="50">
        <f>F19*Paramètres!$B$3</f>
        <v>0</v>
      </c>
      <c r="K19" s="56">
        <f t="shared" si="0"/>
        <v>0</v>
      </c>
      <c r="L19" s="56">
        <f t="shared" si="1"/>
        <v>0</v>
      </c>
      <c r="M19" s="56">
        <f t="shared" si="2"/>
        <v>0</v>
      </c>
      <c r="N19" s="3">
        <f>ROUNDUP(J19*Paramètres!$B$19,-1)</f>
        <v>0</v>
      </c>
      <c r="O19" s="1">
        <f t="shared" si="3"/>
        <v>0</v>
      </c>
      <c r="P19" s="1">
        <f t="shared" si="4"/>
        <v>0</v>
      </c>
      <c r="Q19" s="3">
        <f t="shared" si="5"/>
        <v>0</v>
      </c>
      <c r="R19" s="47">
        <f>ROUNDUP(+K19/Paramètres!$B$4/Paramètres!$B$53,0)</f>
        <v>0</v>
      </c>
      <c r="S19" s="47">
        <f>ROUNDUP(+L19/Paramètres!$B$6/Paramètres!$B$53,0)</f>
        <v>0</v>
      </c>
      <c r="T19" s="47"/>
      <c r="U19" s="2">
        <f t="shared" si="6"/>
        <v>0</v>
      </c>
      <c r="V19" s="1">
        <f>R19*Paramètres!$B$7</f>
        <v>0</v>
      </c>
      <c r="W19" s="1">
        <f>S19*Paramètres!$B$9</f>
        <v>0</v>
      </c>
      <c r="X19" s="1"/>
      <c r="Y19" s="2">
        <f t="shared" si="7"/>
        <v>0</v>
      </c>
      <c r="Z19" s="7">
        <f>R19*Paramètres!$B$10</f>
        <v>0</v>
      </c>
      <c r="AA19" s="7">
        <f>S19*Paramètres!$B$10</f>
        <v>0</v>
      </c>
      <c r="AB19" s="7"/>
      <c r="AC19" s="2">
        <f t="shared" si="8"/>
        <v>0</v>
      </c>
      <c r="AD19" s="1">
        <f t="shared" si="12"/>
        <v>0</v>
      </c>
      <c r="AE19" s="1">
        <f t="shared" si="9"/>
        <v>0</v>
      </c>
      <c r="AF19" s="1">
        <f>IF(B19="",0,Paramètres!$B$53*1.5)</f>
        <v>0</v>
      </c>
      <c r="AG19" s="1">
        <f>IF(C19="",0,Paramètres!$B$53*1.5)</f>
        <v>0</v>
      </c>
      <c r="AH19" s="1"/>
      <c r="AI19" s="1"/>
      <c r="AJ19" s="1"/>
      <c r="AK19" s="1"/>
      <c r="AL19" s="1">
        <f>(U19*Paramètres!$B$53)*3</f>
        <v>0</v>
      </c>
      <c r="AM19" s="1">
        <f t="shared" si="10"/>
        <v>0</v>
      </c>
      <c r="AN19" s="1">
        <f>U19*Paramètres!$B$75</f>
        <v>0</v>
      </c>
      <c r="AO19" s="1">
        <f>U19*Paramètres!$B$72*Paramètres!$B$73</f>
        <v>0</v>
      </c>
      <c r="AP19" s="1"/>
      <c r="AQ19" s="1">
        <f>(Y19+AC19)*Paramètres!$B$42*Paramètres!$B$53</f>
        <v>0</v>
      </c>
      <c r="AR19" s="1"/>
      <c r="AS19" s="7">
        <f>ROUNDUP(D19*Paramètres!$B$23*Paramètres!$B$26,-1)</f>
        <v>0</v>
      </c>
      <c r="AT19" s="7"/>
      <c r="AU19" s="1"/>
      <c r="AV19" s="8"/>
      <c r="AW19" s="8"/>
      <c r="AX19" s="8"/>
      <c r="AY19" s="8"/>
      <c r="AZ19" s="8"/>
      <c r="BA19" s="8"/>
      <c r="BB19" s="44"/>
      <c r="BC19" s="44"/>
      <c r="BD19" s="8"/>
      <c r="BE19" s="8"/>
      <c r="BF19" s="8"/>
      <c r="BG19" s="44"/>
      <c r="BI19">
        <f t="shared" si="11"/>
        <v>0</v>
      </c>
    </row>
    <row r="20" spans="1:61" x14ac:dyDescent="0.25">
      <c r="A20">
        <v>18</v>
      </c>
      <c r="F20" s="47"/>
      <c r="G20" s="53"/>
      <c r="H20" s="53"/>
      <c r="I20" s="53"/>
      <c r="J20" s="50">
        <f>F20*Paramètres!$B$3</f>
        <v>0</v>
      </c>
      <c r="K20" s="56">
        <f t="shared" si="0"/>
        <v>0</v>
      </c>
      <c r="L20" s="56">
        <f t="shared" si="1"/>
        <v>0</v>
      </c>
      <c r="M20" s="56">
        <f t="shared" si="2"/>
        <v>0</v>
      </c>
      <c r="N20" s="3">
        <f>ROUNDUP(J20*Paramètres!$B$19,-1)</f>
        <v>0</v>
      </c>
      <c r="O20" s="1">
        <f t="shared" si="3"/>
        <v>0</v>
      </c>
      <c r="P20" s="1">
        <f t="shared" si="4"/>
        <v>0</v>
      </c>
      <c r="Q20" s="3">
        <f t="shared" si="5"/>
        <v>0</v>
      </c>
      <c r="R20" s="47">
        <f>ROUNDUP(+K20/Paramètres!$B$4/Paramètres!$B$53,0)</f>
        <v>0</v>
      </c>
      <c r="S20" s="47">
        <f>ROUNDUP(+L20/Paramètres!$B$6/Paramètres!$B$53,0)</f>
        <v>0</v>
      </c>
      <c r="T20" s="47"/>
      <c r="U20" s="2">
        <f t="shared" si="6"/>
        <v>0</v>
      </c>
      <c r="V20" s="1">
        <f>R20*Paramètres!$B$7</f>
        <v>0</v>
      </c>
      <c r="W20" s="1">
        <f>S20*Paramètres!$B$9</f>
        <v>0</v>
      </c>
      <c r="X20" s="1"/>
      <c r="Y20" s="2">
        <f t="shared" si="7"/>
        <v>0</v>
      </c>
      <c r="Z20" s="7">
        <f>R20*Paramètres!$B$10</f>
        <v>0</v>
      </c>
      <c r="AA20" s="7">
        <f>S20*Paramètres!$B$10</f>
        <v>0</v>
      </c>
      <c r="AB20" s="7"/>
      <c r="AC20" s="2">
        <f t="shared" si="8"/>
        <v>0</v>
      </c>
      <c r="AD20" s="1">
        <f t="shared" si="12"/>
        <v>0</v>
      </c>
      <c r="AE20" s="1">
        <f t="shared" si="9"/>
        <v>0</v>
      </c>
      <c r="AF20" s="1">
        <f>IF(B20="",0,Paramètres!$B$53*1.5)</f>
        <v>0</v>
      </c>
      <c r="AG20" s="1">
        <f>IF(C20="",0,Paramètres!$B$53*1.5)</f>
        <v>0</v>
      </c>
      <c r="AH20" s="1"/>
      <c r="AI20" s="1"/>
      <c r="AJ20" s="1"/>
      <c r="AK20" s="1"/>
      <c r="AL20" s="1">
        <f>(U20*Paramètres!$B$53)*3</f>
        <v>0</v>
      </c>
      <c r="AM20" s="1">
        <f t="shared" si="10"/>
        <v>0</v>
      </c>
      <c r="AN20" s="1">
        <f>U20*Paramètres!$B$75</f>
        <v>0</v>
      </c>
      <c r="AO20" s="1">
        <f>U20*Paramètres!$B$72*Paramètres!$B$73</f>
        <v>0</v>
      </c>
      <c r="AP20" s="1"/>
      <c r="AQ20" s="1">
        <f>(Y20+AC20)*Paramètres!$B$42*Paramètres!$B$53</f>
        <v>0</v>
      </c>
      <c r="AR20" s="1"/>
      <c r="AS20" s="7">
        <f>ROUNDUP(D20*Paramètres!$B$23*Paramètres!$B$26,-1)</f>
        <v>0</v>
      </c>
      <c r="AT20" s="7"/>
      <c r="AU20" s="1"/>
      <c r="AV20" s="8"/>
      <c r="AW20" s="8"/>
      <c r="AX20" s="8"/>
      <c r="AY20" s="8"/>
      <c r="AZ20" s="8"/>
      <c r="BA20" s="8"/>
      <c r="BB20" s="44"/>
      <c r="BC20" s="44"/>
      <c r="BD20" s="8"/>
      <c r="BE20" s="8"/>
      <c r="BF20" s="8"/>
      <c r="BG20" s="44"/>
      <c r="BI20">
        <f t="shared" si="11"/>
        <v>0</v>
      </c>
    </row>
    <row r="21" spans="1:61" x14ac:dyDescent="0.25">
      <c r="A21">
        <v>19</v>
      </c>
      <c r="F21" s="47"/>
      <c r="G21" s="53"/>
      <c r="H21" s="53"/>
      <c r="I21" s="53"/>
      <c r="J21" s="50">
        <f>F21*Paramètres!$B$3</f>
        <v>0</v>
      </c>
      <c r="K21" s="56">
        <f t="shared" si="0"/>
        <v>0</v>
      </c>
      <c r="L21" s="56">
        <f t="shared" si="1"/>
        <v>0</v>
      </c>
      <c r="M21" s="56">
        <f t="shared" si="2"/>
        <v>0</v>
      </c>
      <c r="N21" s="3">
        <f>ROUNDUP(J21*Paramètres!$B$19,-1)</f>
        <v>0</v>
      </c>
      <c r="O21" s="1">
        <f t="shared" si="3"/>
        <v>0</v>
      </c>
      <c r="P21" s="1">
        <f t="shared" si="4"/>
        <v>0</v>
      </c>
      <c r="Q21" s="3">
        <f t="shared" si="5"/>
        <v>0</v>
      </c>
      <c r="R21" s="47">
        <f>ROUNDUP(+K21/Paramètres!$B$4/Paramètres!$B$53,0)</f>
        <v>0</v>
      </c>
      <c r="S21" s="47">
        <f>ROUNDUP(+L21/Paramètres!$B$6/Paramètres!$B$53,0)</f>
        <v>0</v>
      </c>
      <c r="T21" s="47"/>
      <c r="U21" s="2">
        <f t="shared" si="6"/>
        <v>0</v>
      </c>
      <c r="V21" s="1">
        <f>R21*Paramètres!$B$7</f>
        <v>0</v>
      </c>
      <c r="W21" s="1">
        <f>S21*Paramètres!$B$9</f>
        <v>0</v>
      </c>
      <c r="X21" s="1"/>
      <c r="Y21" s="2">
        <f t="shared" si="7"/>
        <v>0</v>
      </c>
      <c r="Z21" s="7">
        <f>R21*Paramètres!$B$10</f>
        <v>0</v>
      </c>
      <c r="AA21" s="7">
        <f>S21*Paramètres!$B$10</f>
        <v>0</v>
      </c>
      <c r="AB21" s="7"/>
      <c r="AC21" s="2">
        <f t="shared" si="8"/>
        <v>0</v>
      </c>
      <c r="AD21" s="1">
        <f t="shared" si="12"/>
        <v>0</v>
      </c>
      <c r="AE21" s="1">
        <f t="shared" si="9"/>
        <v>0</v>
      </c>
      <c r="AF21" s="1">
        <f>IF(B21="",0,Paramètres!$B$53*1.5)</f>
        <v>0</v>
      </c>
      <c r="AG21" s="1">
        <f>IF(C21="",0,Paramètres!$B$53*1.5)</f>
        <v>0</v>
      </c>
      <c r="AH21" s="1"/>
      <c r="AI21" s="1"/>
      <c r="AJ21" s="1"/>
      <c r="AK21" s="1"/>
      <c r="AL21" s="1">
        <f>(U21*Paramètres!$B$53)*3</f>
        <v>0</v>
      </c>
      <c r="AM21" s="1">
        <f t="shared" si="10"/>
        <v>0</v>
      </c>
      <c r="AN21" s="1">
        <f>U21*Paramètres!$B$75</f>
        <v>0</v>
      </c>
      <c r="AO21" s="1">
        <f>U21*Paramètres!$B$72*Paramètres!$B$73</f>
        <v>0</v>
      </c>
      <c r="AP21" s="1"/>
      <c r="AQ21" s="1">
        <f>(Y21+AC21)*Paramètres!$B$42*Paramètres!$B$53</f>
        <v>0</v>
      </c>
      <c r="AR21" s="1"/>
      <c r="AS21" s="7">
        <f>ROUNDUP(D21*Paramètres!$B$23*Paramètres!$B$26,-1)</f>
        <v>0</v>
      </c>
      <c r="AT21" s="7"/>
      <c r="AU21" s="1"/>
      <c r="AV21" s="8"/>
      <c r="AW21" s="8"/>
      <c r="AX21" s="8"/>
      <c r="AY21" s="8"/>
      <c r="AZ21" s="8"/>
      <c r="BA21" s="8"/>
      <c r="BB21" s="44"/>
      <c r="BC21" s="44"/>
      <c r="BD21" s="8"/>
      <c r="BE21" s="8"/>
      <c r="BF21" s="8"/>
      <c r="BG21" s="44"/>
      <c r="BI21">
        <f t="shared" si="11"/>
        <v>0</v>
      </c>
    </row>
    <row r="22" spans="1:61" x14ac:dyDescent="0.25">
      <c r="A22">
        <v>20</v>
      </c>
      <c r="F22" s="47"/>
      <c r="G22" s="53"/>
      <c r="H22" s="53"/>
      <c r="I22" s="53"/>
      <c r="J22" s="50">
        <f>F22*Paramètres!$B$3</f>
        <v>0</v>
      </c>
      <c r="K22" s="56">
        <f t="shared" si="0"/>
        <v>0</v>
      </c>
      <c r="L22" s="56">
        <f t="shared" si="1"/>
        <v>0</v>
      </c>
      <c r="M22" s="56">
        <f t="shared" si="2"/>
        <v>0</v>
      </c>
      <c r="N22" s="3">
        <f>ROUNDUP(J22*Paramètres!$B$19,-1)</f>
        <v>0</v>
      </c>
      <c r="O22" s="1">
        <f t="shared" si="3"/>
        <v>0</v>
      </c>
      <c r="P22" s="1">
        <f t="shared" si="4"/>
        <v>0</v>
      </c>
      <c r="Q22" s="3">
        <f t="shared" si="5"/>
        <v>0</v>
      </c>
      <c r="R22" s="47">
        <f>ROUNDUP(+K22/Paramètres!$B$4/Paramètres!$B$53,0)</f>
        <v>0</v>
      </c>
      <c r="S22" s="47">
        <f>ROUNDUP(+L22/Paramètres!$B$6/Paramètres!$B$53,0)</f>
        <v>0</v>
      </c>
      <c r="T22" s="47"/>
      <c r="U22" s="2">
        <f t="shared" si="6"/>
        <v>0</v>
      </c>
      <c r="V22" s="1">
        <f>R22*Paramètres!$B$7</f>
        <v>0</v>
      </c>
      <c r="W22" s="1">
        <f>S22*Paramètres!$B$9</f>
        <v>0</v>
      </c>
      <c r="X22" s="1"/>
      <c r="Y22" s="2">
        <f t="shared" si="7"/>
        <v>0</v>
      </c>
      <c r="Z22" s="7">
        <f>R22*Paramètres!$B$10</f>
        <v>0</v>
      </c>
      <c r="AA22" s="7">
        <f>S22*Paramètres!$B$10</f>
        <v>0</v>
      </c>
      <c r="AB22" s="7"/>
      <c r="AC22" s="2">
        <f t="shared" si="8"/>
        <v>0</v>
      </c>
      <c r="AD22" s="1">
        <f t="shared" si="12"/>
        <v>0</v>
      </c>
      <c r="AE22" s="1">
        <f t="shared" si="9"/>
        <v>0</v>
      </c>
      <c r="AF22" s="1">
        <f>IF(B22="",0,Paramètres!$B$53*1.5)</f>
        <v>0</v>
      </c>
      <c r="AG22" s="1">
        <f>IF(C22="",0,Paramètres!$B$53*1.5)</f>
        <v>0</v>
      </c>
      <c r="AH22" s="1"/>
      <c r="AI22" s="1"/>
      <c r="AJ22" s="1"/>
      <c r="AK22" s="1"/>
      <c r="AL22" s="1">
        <f>(U22*Paramètres!$B$53)*3</f>
        <v>0</v>
      </c>
      <c r="AM22" s="1">
        <f t="shared" si="10"/>
        <v>0</v>
      </c>
      <c r="AN22" s="1">
        <f>U22*Paramètres!$B$75</f>
        <v>0</v>
      </c>
      <c r="AO22" s="1">
        <f>U22*Paramètres!$B$72*Paramètres!$B$73</f>
        <v>0</v>
      </c>
      <c r="AP22" s="1"/>
      <c r="AQ22" s="1">
        <f>(Y22+AC22)*Paramètres!$B$42*Paramètres!$B$53</f>
        <v>0</v>
      </c>
      <c r="AR22" s="1"/>
      <c r="AS22" s="7">
        <f>ROUNDUP(D22*Paramètres!$B$23*Paramètres!$B$26,-1)</f>
        <v>0</v>
      </c>
      <c r="AT22" s="7"/>
      <c r="AU22" s="1"/>
      <c r="AV22" s="8"/>
      <c r="AW22" s="8"/>
      <c r="AX22" s="8"/>
      <c r="AY22" s="8"/>
      <c r="AZ22" s="8"/>
      <c r="BA22" s="8"/>
      <c r="BB22" s="44"/>
      <c r="BC22" s="44"/>
      <c r="BD22" s="8"/>
      <c r="BE22" s="8"/>
      <c r="BF22" s="8"/>
      <c r="BG22" s="44"/>
      <c r="BI22">
        <f t="shared" si="11"/>
        <v>0</v>
      </c>
    </row>
    <row r="23" spans="1:61" x14ac:dyDescent="0.25">
      <c r="A23">
        <v>21</v>
      </c>
      <c r="C23" s="1"/>
      <c r="D23" s="1"/>
      <c r="E23" s="1"/>
      <c r="F23" s="47"/>
      <c r="G23" s="53"/>
      <c r="H23" s="53"/>
      <c r="I23" s="53"/>
      <c r="J23" s="50">
        <f>F23*Paramètres!$B$3</f>
        <v>0</v>
      </c>
      <c r="K23" s="56">
        <f t="shared" si="0"/>
        <v>0</v>
      </c>
      <c r="L23" s="56">
        <f t="shared" si="1"/>
        <v>0</v>
      </c>
      <c r="M23" s="56">
        <f t="shared" si="2"/>
        <v>0</v>
      </c>
      <c r="N23" s="3">
        <f>ROUNDUP(J23*Paramètres!$B$19,-1)</f>
        <v>0</v>
      </c>
      <c r="O23" s="1">
        <f t="shared" si="3"/>
        <v>0</v>
      </c>
      <c r="P23" s="1">
        <f t="shared" si="4"/>
        <v>0</v>
      </c>
      <c r="Q23" s="3">
        <f t="shared" si="5"/>
        <v>0</v>
      </c>
      <c r="R23" s="47">
        <f>ROUNDUP(+K23/Paramètres!$B$4/Paramètres!$B$53,0)</f>
        <v>0</v>
      </c>
      <c r="S23" s="47">
        <f>ROUNDUP(+L23/Paramètres!$B$6/Paramètres!$B$53,0)</f>
        <v>0</v>
      </c>
      <c r="T23" s="47"/>
      <c r="U23" s="2">
        <f t="shared" si="6"/>
        <v>0</v>
      </c>
      <c r="V23" s="1">
        <f>R23*Paramètres!$B$7</f>
        <v>0</v>
      </c>
      <c r="W23" s="1">
        <f>S23*Paramètres!$B$9</f>
        <v>0</v>
      </c>
      <c r="X23" s="1"/>
      <c r="Y23" s="2">
        <f t="shared" si="7"/>
        <v>0</v>
      </c>
      <c r="Z23" s="7">
        <f>R23*Paramètres!$B$10</f>
        <v>0</v>
      </c>
      <c r="AA23" s="7">
        <f>S23*Paramètres!$B$10</f>
        <v>0</v>
      </c>
      <c r="AB23" s="7"/>
      <c r="AC23" s="2">
        <f t="shared" si="8"/>
        <v>0</v>
      </c>
      <c r="AD23" s="1">
        <f t="shared" si="12"/>
        <v>0</v>
      </c>
      <c r="AE23" s="1">
        <f t="shared" si="9"/>
        <v>0</v>
      </c>
      <c r="AF23" s="1">
        <f>IF(B23="",0,Paramètres!$B$53*1.5)</f>
        <v>0</v>
      </c>
      <c r="AG23" s="1">
        <f>IF(C23="",0,Paramètres!$B$53*1.5)</f>
        <v>0</v>
      </c>
      <c r="AH23" s="1"/>
      <c r="AI23" s="1"/>
      <c r="AJ23" s="1"/>
      <c r="AK23" s="1"/>
      <c r="AL23" s="1">
        <f>(U23*Paramètres!$B$53)*3</f>
        <v>0</v>
      </c>
      <c r="AM23" s="1">
        <f t="shared" si="10"/>
        <v>0</v>
      </c>
      <c r="AN23" s="1">
        <f>U23*Paramètres!$B$75</f>
        <v>0</v>
      </c>
      <c r="AO23" s="1">
        <f>U23*Paramètres!$B$72*Paramètres!$B$73</f>
        <v>0</v>
      </c>
      <c r="AP23" s="1"/>
      <c r="AQ23" s="1">
        <f>(Y23+AC23)*Paramètres!$B$42*Paramètres!$B$53</f>
        <v>0</v>
      </c>
      <c r="AR23" s="1"/>
      <c r="AS23" s="7">
        <f>ROUNDUP(D23*Paramètres!$B$23*Paramètres!$B$26,-1)</f>
        <v>0</v>
      </c>
      <c r="AT23" s="7"/>
      <c r="AU23" s="1"/>
      <c r="AV23" s="8"/>
      <c r="AW23" s="8"/>
      <c r="AX23" s="8"/>
      <c r="AY23" s="8"/>
      <c r="AZ23" s="8"/>
      <c r="BA23" s="8"/>
      <c r="BB23" s="44"/>
      <c r="BC23" s="44"/>
      <c r="BD23" s="8"/>
      <c r="BE23" s="8"/>
      <c r="BF23" s="8"/>
      <c r="BG23" s="44"/>
      <c r="BI23">
        <f t="shared" si="11"/>
        <v>0</v>
      </c>
    </row>
    <row r="24" spans="1:61" x14ac:dyDescent="0.25">
      <c r="A24">
        <v>22</v>
      </c>
      <c r="C24" s="1"/>
      <c r="D24" s="1"/>
      <c r="E24" s="1"/>
      <c r="F24" s="47"/>
      <c r="G24" s="53"/>
      <c r="H24" s="53"/>
      <c r="I24" s="53"/>
      <c r="J24" s="50">
        <f>F24*Paramètres!$B$3</f>
        <v>0</v>
      </c>
      <c r="K24" s="56">
        <f t="shared" si="0"/>
        <v>0</v>
      </c>
      <c r="L24" s="56">
        <f t="shared" si="1"/>
        <v>0</v>
      </c>
      <c r="M24" s="56">
        <f t="shared" si="2"/>
        <v>0</v>
      </c>
      <c r="N24" s="3">
        <f>ROUNDUP(J24*Paramètres!$B$19,-1)</f>
        <v>0</v>
      </c>
      <c r="O24" s="1">
        <f t="shared" si="3"/>
        <v>0</v>
      </c>
      <c r="P24" s="1">
        <f t="shared" si="4"/>
        <v>0</v>
      </c>
      <c r="Q24" s="3">
        <f t="shared" si="5"/>
        <v>0</v>
      </c>
      <c r="R24" s="47">
        <f>ROUNDUP(+K24/Paramètres!$B$4/Paramètres!$B$53,0)</f>
        <v>0</v>
      </c>
      <c r="S24" s="47">
        <f>ROUNDUP(+L24/Paramètres!$B$6/Paramètres!$B$53,0)</f>
        <v>0</v>
      </c>
      <c r="T24" s="47"/>
      <c r="U24" s="2">
        <f t="shared" si="6"/>
        <v>0</v>
      </c>
      <c r="V24" s="1">
        <f>R24*Paramètres!$B$7</f>
        <v>0</v>
      </c>
      <c r="W24" s="1">
        <f>S24*Paramètres!$B$9</f>
        <v>0</v>
      </c>
      <c r="X24" s="1"/>
      <c r="Y24" s="2">
        <f t="shared" si="7"/>
        <v>0</v>
      </c>
      <c r="Z24" s="7">
        <f>R24*Paramètres!$B$10</f>
        <v>0</v>
      </c>
      <c r="AA24" s="7">
        <f>S24*Paramètres!$B$10</f>
        <v>0</v>
      </c>
      <c r="AB24" s="7"/>
      <c r="AC24" s="2">
        <f t="shared" si="8"/>
        <v>0</v>
      </c>
      <c r="AD24" s="1">
        <f t="shared" si="12"/>
        <v>0</v>
      </c>
      <c r="AE24" s="1">
        <f t="shared" si="9"/>
        <v>0</v>
      </c>
      <c r="AF24" s="1">
        <f>IF(B24="",0,Paramètres!$B$53*1.5)</f>
        <v>0</v>
      </c>
      <c r="AG24" s="1">
        <f>IF(C24="",0,Paramètres!$B$53*1.5)</f>
        <v>0</v>
      </c>
      <c r="AH24" s="1"/>
      <c r="AI24" s="1"/>
      <c r="AJ24" s="1"/>
      <c r="AK24" s="1"/>
      <c r="AL24" s="1">
        <f>(U24*Paramètres!$B$53)*3</f>
        <v>0</v>
      </c>
      <c r="AM24" s="1">
        <f t="shared" si="10"/>
        <v>0</v>
      </c>
      <c r="AN24" s="1">
        <f>U24*Paramètres!$B$75</f>
        <v>0</v>
      </c>
      <c r="AO24" s="1">
        <f>U24*Paramètres!$B$72*Paramètres!$B$73</f>
        <v>0</v>
      </c>
      <c r="AP24" s="1"/>
      <c r="AQ24" s="1">
        <f>(Y24+AC24)*Paramètres!$B$42*Paramètres!$B$53</f>
        <v>0</v>
      </c>
      <c r="AR24" s="1"/>
      <c r="AS24" s="7">
        <f>ROUNDUP(D24*Paramètres!$B$23*Paramètres!$B$26,-1)</f>
        <v>0</v>
      </c>
      <c r="AT24" s="7"/>
      <c r="AU24" s="1"/>
      <c r="AV24" s="8"/>
      <c r="AW24" s="8"/>
      <c r="AX24" s="8"/>
      <c r="AY24" s="8"/>
      <c r="AZ24" s="8"/>
      <c r="BA24" s="8"/>
      <c r="BB24" s="44"/>
      <c r="BC24" s="44"/>
      <c r="BD24" s="8"/>
      <c r="BE24" s="8"/>
      <c r="BF24" s="8"/>
      <c r="BG24" s="44"/>
      <c r="BI24">
        <f t="shared" si="11"/>
        <v>0</v>
      </c>
    </row>
    <row r="25" spans="1:61" x14ac:dyDescent="0.25">
      <c r="A25">
        <v>23</v>
      </c>
      <c r="B25" s="1"/>
      <c r="C25" s="1"/>
      <c r="D25" s="1"/>
      <c r="E25" s="1"/>
      <c r="F25" s="47"/>
      <c r="G25" s="53"/>
      <c r="H25" s="53"/>
      <c r="I25" s="53"/>
      <c r="J25" s="50">
        <f>F25*Paramètres!$B$3</f>
        <v>0</v>
      </c>
      <c r="K25" s="56">
        <f t="shared" si="0"/>
        <v>0</v>
      </c>
      <c r="L25" s="56">
        <f t="shared" si="1"/>
        <v>0</v>
      </c>
      <c r="M25" s="56">
        <f t="shared" si="2"/>
        <v>0</v>
      </c>
      <c r="N25" s="3">
        <f>ROUNDUP(J25*Paramètres!$B$19,-1)</f>
        <v>0</v>
      </c>
      <c r="O25" s="1">
        <f t="shared" si="3"/>
        <v>0</v>
      </c>
      <c r="P25" s="1">
        <f t="shared" si="4"/>
        <v>0</v>
      </c>
      <c r="Q25" s="3">
        <f t="shared" si="5"/>
        <v>0</v>
      </c>
      <c r="R25" s="47">
        <f>ROUNDUP(+K25/Paramètres!$B$4/Paramètres!$B$53,0)</f>
        <v>0</v>
      </c>
      <c r="S25" s="47">
        <f>ROUNDUP(+L25/Paramètres!$B$6/Paramètres!$B$53,0)</f>
        <v>0</v>
      </c>
      <c r="T25" s="47"/>
      <c r="U25" s="2">
        <f t="shared" si="6"/>
        <v>0</v>
      </c>
      <c r="V25" s="1">
        <f>R25*Paramètres!$B$7</f>
        <v>0</v>
      </c>
      <c r="W25" s="1">
        <f>S25*Paramètres!$B$9</f>
        <v>0</v>
      </c>
      <c r="X25" s="1"/>
      <c r="Y25" s="2">
        <f t="shared" si="7"/>
        <v>0</v>
      </c>
      <c r="Z25" s="7">
        <f>R25*Paramètres!$B$10</f>
        <v>0</v>
      </c>
      <c r="AA25" s="7">
        <f>S25*Paramètres!$B$10</f>
        <v>0</v>
      </c>
      <c r="AB25" s="7"/>
      <c r="AC25" s="2">
        <f t="shared" si="8"/>
        <v>0</v>
      </c>
      <c r="AD25" s="1">
        <f t="shared" si="12"/>
        <v>0</v>
      </c>
      <c r="AE25" s="1">
        <f t="shared" si="9"/>
        <v>0</v>
      </c>
      <c r="AF25" s="1">
        <f>IF(B25="",0,Paramètres!$B$53*1.5)</f>
        <v>0</v>
      </c>
      <c r="AG25" s="1">
        <f>IF(C25="",0,Paramètres!$B$53*1.5)</f>
        <v>0</v>
      </c>
      <c r="AH25" s="1"/>
      <c r="AI25" s="1"/>
      <c r="AJ25" s="1"/>
      <c r="AK25" s="1"/>
      <c r="AL25" s="1">
        <f>(U25*Paramètres!$B$53)*3</f>
        <v>0</v>
      </c>
      <c r="AM25" s="1">
        <f t="shared" si="10"/>
        <v>0</v>
      </c>
      <c r="AN25" s="1">
        <f>U25*Paramètres!$B$75</f>
        <v>0</v>
      </c>
      <c r="AO25" s="1">
        <f>U25*Paramètres!$B$72*Paramètres!$B$73</f>
        <v>0</v>
      </c>
      <c r="AP25" s="1"/>
      <c r="AQ25" s="1">
        <f>(Y25+AC25)*Paramètres!$B$42*Paramètres!$B$53</f>
        <v>0</v>
      </c>
      <c r="AR25" s="1"/>
      <c r="AS25" s="7">
        <f>ROUNDUP(D25*Paramètres!$B$23*Paramètres!$B$26,-1)</f>
        <v>0</v>
      </c>
      <c r="AT25" s="7"/>
      <c r="AU25" s="1"/>
      <c r="AV25" s="8"/>
      <c r="AW25" s="8"/>
      <c r="AX25" s="8"/>
      <c r="AY25" s="8"/>
      <c r="AZ25" s="8"/>
      <c r="BA25" s="8"/>
      <c r="BB25" s="44"/>
      <c r="BC25" s="44"/>
      <c r="BD25" s="8"/>
      <c r="BE25" s="8"/>
      <c r="BF25" s="8"/>
      <c r="BG25" s="44"/>
      <c r="BI25">
        <f t="shared" si="11"/>
        <v>0</v>
      </c>
    </row>
    <row r="26" spans="1:61" x14ac:dyDescent="0.25">
      <c r="A26">
        <v>24</v>
      </c>
      <c r="B26" s="1"/>
      <c r="C26" s="1"/>
      <c r="D26" s="1"/>
      <c r="E26" s="1"/>
      <c r="F26" s="47"/>
      <c r="G26" s="53"/>
      <c r="H26" s="53"/>
      <c r="I26" s="53"/>
      <c r="J26" s="50">
        <f>F26*Paramètres!$B$3</f>
        <v>0</v>
      </c>
      <c r="K26" s="56">
        <f t="shared" si="0"/>
        <v>0</v>
      </c>
      <c r="L26" s="56">
        <f t="shared" si="1"/>
        <v>0</v>
      </c>
      <c r="M26" s="56">
        <f t="shared" si="2"/>
        <v>0</v>
      </c>
      <c r="N26" s="3">
        <f>ROUNDUP(J26*Paramètres!$B$19,-1)</f>
        <v>0</v>
      </c>
      <c r="O26" s="1">
        <f t="shared" si="3"/>
        <v>0</v>
      </c>
      <c r="P26" s="1">
        <f t="shared" si="4"/>
        <v>0</v>
      </c>
      <c r="Q26" s="3">
        <f t="shared" si="5"/>
        <v>0</v>
      </c>
      <c r="R26" s="47">
        <f>ROUNDUP(+K26/Paramètres!$B$4/Paramètres!$B$53,0)</f>
        <v>0</v>
      </c>
      <c r="S26" s="47">
        <f>ROUNDUP(+L26/Paramètres!$B$6/Paramètres!$B$53,0)</f>
        <v>0</v>
      </c>
      <c r="T26" s="47"/>
      <c r="U26" s="2">
        <f t="shared" si="6"/>
        <v>0</v>
      </c>
      <c r="V26" s="1">
        <f>R26*Paramètres!$B$7</f>
        <v>0</v>
      </c>
      <c r="W26" s="1">
        <f>S26*Paramètres!$B$9</f>
        <v>0</v>
      </c>
      <c r="X26" s="1"/>
      <c r="Y26" s="2">
        <f t="shared" si="7"/>
        <v>0</v>
      </c>
      <c r="Z26" s="7">
        <f>R26*Paramètres!$B$10</f>
        <v>0</v>
      </c>
      <c r="AA26" s="7">
        <f>S26*Paramètres!$B$10</f>
        <v>0</v>
      </c>
      <c r="AB26" s="7"/>
      <c r="AC26" s="2">
        <f t="shared" si="8"/>
        <v>0</v>
      </c>
      <c r="AD26" s="1">
        <f t="shared" si="12"/>
        <v>0</v>
      </c>
      <c r="AE26" s="1">
        <f t="shared" si="9"/>
        <v>0</v>
      </c>
      <c r="AF26" s="1">
        <f>IF(B26="",0,Paramètres!$B$53*1.5)</f>
        <v>0</v>
      </c>
      <c r="AG26" s="1">
        <f>IF(C26="",0,Paramètres!$B$53*1.5)</f>
        <v>0</v>
      </c>
      <c r="AH26" s="1"/>
      <c r="AI26" s="1"/>
      <c r="AJ26" s="1"/>
      <c r="AK26" s="1"/>
      <c r="AL26" s="1">
        <f>(U26*Paramètres!$B$53)*3</f>
        <v>0</v>
      </c>
      <c r="AM26" s="1">
        <f t="shared" si="10"/>
        <v>0</v>
      </c>
      <c r="AN26" s="1">
        <f>U26*Paramètres!$B$75</f>
        <v>0</v>
      </c>
      <c r="AO26" s="1">
        <f>U26*Paramètres!$B$72*Paramètres!$B$73</f>
        <v>0</v>
      </c>
      <c r="AP26" s="1"/>
      <c r="AQ26" s="1">
        <f>(Y26+AC26)*Paramètres!$B$42*Paramètres!$B$53</f>
        <v>0</v>
      </c>
      <c r="AR26" s="1"/>
      <c r="AS26" s="7">
        <f>ROUNDUP(D26*Paramètres!$B$23*Paramètres!$B$26,-1)</f>
        <v>0</v>
      </c>
      <c r="AT26" s="7"/>
      <c r="AU26" s="1"/>
      <c r="AV26" s="8"/>
      <c r="AW26" s="8"/>
      <c r="AX26" s="8"/>
      <c r="AY26" s="8"/>
      <c r="AZ26" s="8"/>
      <c r="BA26" s="8"/>
      <c r="BB26" s="44"/>
      <c r="BC26" s="44"/>
      <c r="BD26" s="8"/>
      <c r="BE26" s="8"/>
      <c r="BF26" s="8"/>
      <c r="BG26" s="44"/>
      <c r="BI26">
        <f t="shared" si="11"/>
        <v>0</v>
      </c>
    </row>
    <row r="27" spans="1:61" x14ac:dyDescent="0.25">
      <c r="A27">
        <v>25</v>
      </c>
      <c r="B27" s="1"/>
      <c r="C27" s="1"/>
      <c r="D27" s="1"/>
      <c r="E27" s="1"/>
      <c r="F27" s="47"/>
      <c r="G27" s="53"/>
      <c r="H27" s="53"/>
      <c r="I27" s="53"/>
      <c r="J27" s="50">
        <f>F27*Paramètres!$B$3</f>
        <v>0</v>
      </c>
      <c r="K27" s="56">
        <f t="shared" si="0"/>
        <v>0</v>
      </c>
      <c r="L27" s="56">
        <f t="shared" si="1"/>
        <v>0</v>
      </c>
      <c r="M27" s="56">
        <f t="shared" si="2"/>
        <v>0</v>
      </c>
      <c r="N27" s="3">
        <f>ROUNDUP(J27*Paramètres!$B$19,-1)</f>
        <v>0</v>
      </c>
      <c r="O27" s="1">
        <f t="shared" si="3"/>
        <v>0</v>
      </c>
      <c r="P27" s="1">
        <f t="shared" si="4"/>
        <v>0</v>
      </c>
      <c r="Q27" s="3">
        <f t="shared" si="5"/>
        <v>0</v>
      </c>
      <c r="R27" s="47">
        <f>ROUNDUP(+K27/Paramètres!$B$4/Paramètres!$B$53,0)</f>
        <v>0</v>
      </c>
      <c r="S27" s="47">
        <f>ROUNDUP(+L27/Paramètres!$B$6/Paramètres!$B$53,0)</f>
        <v>0</v>
      </c>
      <c r="T27" s="47"/>
      <c r="U27" s="2">
        <f t="shared" si="6"/>
        <v>0</v>
      </c>
      <c r="V27" s="1">
        <f>R27*Paramètres!$B$7</f>
        <v>0</v>
      </c>
      <c r="W27" s="1">
        <f>S27*Paramètres!$B$9</f>
        <v>0</v>
      </c>
      <c r="X27" s="1"/>
      <c r="Y27" s="2">
        <f t="shared" si="7"/>
        <v>0</v>
      </c>
      <c r="Z27" s="7">
        <f>R27*Paramètres!$B$10</f>
        <v>0</v>
      </c>
      <c r="AA27" s="7">
        <f>S27*Paramètres!$B$10</f>
        <v>0</v>
      </c>
      <c r="AB27" s="7"/>
      <c r="AC27" s="2">
        <f t="shared" si="8"/>
        <v>0</v>
      </c>
      <c r="AD27" s="1">
        <f t="shared" si="12"/>
        <v>0</v>
      </c>
      <c r="AE27" s="1">
        <f t="shared" si="9"/>
        <v>0</v>
      </c>
      <c r="AF27" s="1">
        <f>IF(B27="",0,Paramètres!$B$53*1.5)</f>
        <v>0</v>
      </c>
      <c r="AG27" s="1">
        <f>IF(C27="",0,Paramètres!$B$53*1.5)</f>
        <v>0</v>
      </c>
      <c r="AH27" s="1"/>
      <c r="AI27" s="1"/>
      <c r="AJ27" s="1"/>
      <c r="AK27" s="1"/>
      <c r="AL27" s="1">
        <f>(U27*Paramètres!$B$53)*3</f>
        <v>0</v>
      </c>
      <c r="AM27" s="1">
        <f t="shared" si="10"/>
        <v>0</v>
      </c>
      <c r="AN27" s="1">
        <f>U27*Paramètres!$B$75</f>
        <v>0</v>
      </c>
      <c r="AO27" s="1">
        <f>U27*Paramètres!$B$72*Paramètres!$B$73</f>
        <v>0</v>
      </c>
      <c r="AP27" s="1"/>
      <c r="AQ27" s="1">
        <f>(Y27+AC27)*Paramètres!$B$42*Paramètres!$B$53</f>
        <v>0</v>
      </c>
      <c r="AR27" s="1"/>
      <c r="AS27" s="7">
        <f>ROUNDUP(D27*Paramètres!$B$23*Paramètres!$B$26,-1)</f>
        <v>0</v>
      </c>
      <c r="AT27" s="7"/>
      <c r="AU27" s="1"/>
      <c r="AV27" s="8"/>
      <c r="AW27" s="8"/>
      <c r="AX27" s="8"/>
      <c r="AY27" s="8"/>
      <c r="AZ27" s="8"/>
      <c r="BA27" s="8"/>
      <c r="BB27" s="44"/>
      <c r="BC27" s="44"/>
      <c r="BD27" s="8"/>
      <c r="BE27" s="8"/>
      <c r="BF27" s="8"/>
      <c r="BG27" s="44"/>
      <c r="BI27">
        <f t="shared" si="11"/>
        <v>0</v>
      </c>
    </row>
    <row r="28" spans="1:61" x14ac:dyDescent="0.25">
      <c r="A28">
        <v>26</v>
      </c>
      <c r="B28" s="1"/>
      <c r="C28" s="1"/>
      <c r="D28" s="1"/>
      <c r="E28" s="1"/>
      <c r="F28" s="47"/>
      <c r="G28" s="53"/>
      <c r="H28" s="53"/>
      <c r="I28" s="53"/>
      <c r="J28" s="50">
        <f>F28*Paramètres!$B$3</f>
        <v>0</v>
      </c>
      <c r="K28" s="56">
        <f t="shared" si="0"/>
        <v>0</v>
      </c>
      <c r="L28" s="56">
        <f t="shared" si="1"/>
        <v>0</v>
      </c>
      <c r="M28" s="56">
        <f t="shared" si="2"/>
        <v>0</v>
      </c>
      <c r="N28" s="3">
        <f>ROUNDUP(J28*Paramètres!$B$19,-1)</f>
        <v>0</v>
      </c>
      <c r="O28" s="1">
        <f t="shared" si="3"/>
        <v>0</v>
      </c>
      <c r="P28" s="1">
        <f t="shared" si="4"/>
        <v>0</v>
      </c>
      <c r="Q28" s="3">
        <f t="shared" si="5"/>
        <v>0</v>
      </c>
      <c r="R28" s="47">
        <f>ROUNDUP(+K28/Paramètres!$B$4/Paramètres!$B$53,0)</f>
        <v>0</v>
      </c>
      <c r="S28" s="47">
        <f>ROUNDUP(+L28/Paramètres!$B$6/Paramètres!$B$53,0)</f>
        <v>0</v>
      </c>
      <c r="T28" s="47"/>
      <c r="U28" s="2">
        <f t="shared" si="6"/>
        <v>0</v>
      </c>
      <c r="V28" s="1">
        <f>R28*Paramètres!$B$7</f>
        <v>0</v>
      </c>
      <c r="W28" s="1">
        <f>S28*Paramètres!$B$9</f>
        <v>0</v>
      </c>
      <c r="X28" s="1"/>
      <c r="Y28" s="2">
        <f t="shared" si="7"/>
        <v>0</v>
      </c>
      <c r="Z28" s="7">
        <f>R28*Paramètres!$B$10</f>
        <v>0</v>
      </c>
      <c r="AA28" s="7">
        <f>S28*Paramètres!$B$10</f>
        <v>0</v>
      </c>
      <c r="AB28" s="7"/>
      <c r="AC28" s="2">
        <f t="shared" si="8"/>
        <v>0</v>
      </c>
      <c r="AD28" s="1">
        <f t="shared" si="12"/>
        <v>0</v>
      </c>
      <c r="AE28" s="1">
        <f t="shared" si="9"/>
        <v>0</v>
      </c>
      <c r="AF28" s="1">
        <f>IF(B28="",0,Paramètres!$B$53*1.5)</f>
        <v>0</v>
      </c>
      <c r="AG28" s="1">
        <f>IF(C28="",0,Paramètres!$B$53*1.5)</f>
        <v>0</v>
      </c>
      <c r="AH28" s="1"/>
      <c r="AI28" s="1"/>
      <c r="AJ28" s="1"/>
      <c r="AK28" s="1"/>
      <c r="AL28" s="1">
        <f>(U28*Paramètres!$B$53)*3</f>
        <v>0</v>
      </c>
      <c r="AM28" s="1">
        <f t="shared" si="10"/>
        <v>0</v>
      </c>
      <c r="AN28" s="1">
        <f>U28*Paramètres!$B$75</f>
        <v>0</v>
      </c>
      <c r="AO28" s="1">
        <f>U28*Paramètres!$B$72*Paramètres!$B$73</f>
        <v>0</v>
      </c>
      <c r="AP28" s="1"/>
      <c r="AQ28" s="1">
        <f>(Y28+AC28)*Paramètres!$B$42*Paramètres!$B$53</f>
        <v>0</v>
      </c>
      <c r="AR28" s="1"/>
      <c r="AS28" s="7">
        <f>ROUNDUP(D28*Paramètres!$B$23*Paramètres!$B$26,-1)</f>
        <v>0</v>
      </c>
      <c r="AT28" s="7"/>
      <c r="AU28" s="1"/>
      <c r="AV28" s="8"/>
      <c r="AW28" s="8"/>
      <c r="AX28" s="8"/>
      <c r="AY28" s="8"/>
      <c r="AZ28" s="8"/>
      <c r="BA28" s="8"/>
      <c r="BB28" s="44"/>
      <c r="BC28" s="44"/>
      <c r="BD28" s="8"/>
      <c r="BE28" s="8"/>
      <c r="BF28" s="8"/>
      <c r="BG28" s="44"/>
      <c r="BI28">
        <f t="shared" si="11"/>
        <v>0</v>
      </c>
    </row>
    <row r="29" spans="1:61" x14ac:dyDescent="0.25">
      <c r="A29">
        <v>27</v>
      </c>
      <c r="B29" s="1"/>
      <c r="C29" s="1"/>
      <c r="D29" s="1"/>
      <c r="E29" s="1"/>
      <c r="F29" s="1"/>
      <c r="G29" s="53"/>
      <c r="H29" s="53"/>
      <c r="I29" s="54"/>
      <c r="J29" s="50">
        <f>F29*Paramètres!$B$3</f>
        <v>0</v>
      </c>
      <c r="K29" s="56">
        <f t="shared" si="0"/>
        <v>0</v>
      </c>
      <c r="L29" s="56">
        <f t="shared" si="1"/>
        <v>0</v>
      </c>
      <c r="M29" s="56">
        <f t="shared" si="2"/>
        <v>0</v>
      </c>
      <c r="N29" s="3">
        <f>ROUNDUP(J29*Paramètres!$B$19,-1)</f>
        <v>0</v>
      </c>
      <c r="O29" s="1">
        <f t="shared" si="3"/>
        <v>0</v>
      </c>
      <c r="P29" s="1">
        <f t="shared" si="4"/>
        <v>0</v>
      </c>
      <c r="Q29" s="3">
        <f t="shared" si="5"/>
        <v>0</v>
      </c>
      <c r="R29" s="47">
        <f>ROUNDUP(+K29/Paramètres!$B$4/Paramètres!$B$53,0)</f>
        <v>0</v>
      </c>
      <c r="S29" s="47">
        <f>ROUNDUP(+L29/Paramètres!$B$6/Paramètres!$B$53,0)</f>
        <v>0</v>
      </c>
      <c r="T29" s="47"/>
      <c r="U29" s="2">
        <f t="shared" si="6"/>
        <v>0</v>
      </c>
      <c r="V29" s="1">
        <f>R29*Paramètres!$B$7</f>
        <v>0</v>
      </c>
      <c r="W29" s="1">
        <f>S29*Paramètres!$B$9</f>
        <v>0</v>
      </c>
      <c r="X29" s="1"/>
      <c r="Y29" s="2">
        <f t="shared" si="7"/>
        <v>0</v>
      </c>
      <c r="Z29" s="7">
        <f>R29*Paramètres!$B$10</f>
        <v>0</v>
      </c>
      <c r="AA29" s="7">
        <f>S29*Paramètres!$B$10</f>
        <v>0</v>
      </c>
      <c r="AB29" s="7"/>
      <c r="AC29" s="2">
        <f t="shared" si="8"/>
        <v>0</v>
      </c>
      <c r="AD29" s="1">
        <f t="shared" si="12"/>
        <v>0</v>
      </c>
      <c r="AE29" s="1">
        <f t="shared" si="9"/>
        <v>0</v>
      </c>
      <c r="AF29" s="1">
        <f>IF(B29="",0,Paramètres!$B$53*1.5)</f>
        <v>0</v>
      </c>
      <c r="AG29" s="1">
        <f>IF(C29="",0,Paramètres!$B$53*1.5)</f>
        <v>0</v>
      </c>
      <c r="AH29" s="1"/>
      <c r="AI29" s="1"/>
      <c r="AJ29" s="1"/>
      <c r="AK29" s="1"/>
      <c r="AL29" s="1">
        <f>(U29*Paramètres!$B$53)*3</f>
        <v>0</v>
      </c>
      <c r="AM29" s="1">
        <f t="shared" si="10"/>
        <v>0</v>
      </c>
      <c r="AN29" s="1">
        <f>U29*Paramètres!$B$75</f>
        <v>0</v>
      </c>
      <c r="AO29" s="1">
        <f>U29*Paramètres!$B$72*Paramètres!$B$73</f>
        <v>0</v>
      </c>
      <c r="AP29" s="1"/>
      <c r="AQ29" s="1">
        <f>(Y29+AC29)*Paramètres!$B$42*Paramètres!$B$53</f>
        <v>0</v>
      </c>
      <c r="AR29" s="1"/>
      <c r="AS29" s="7">
        <f>ROUNDUP(D29*Paramètres!$B$23*Paramètres!$B$26,-1)</f>
        <v>0</v>
      </c>
      <c r="AT29" s="7"/>
      <c r="AU29" s="1"/>
      <c r="AV29" s="8"/>
      <c r="AW29" s="8"/>
      <c r="AX29" s="8"/>
      <c r="AY29" s="8"/>
      <c r="AZ29" s="8"/>
      <c r="BA29" s="8"/>
      <c r="BB29" s="44"/>
      <c r="BC29" s="44"/>
      <c r="BD29" s="8"/>
      <c r="BE29" s="8"/>
      <c r="BF29" s="8"/>
      <c r="BG29" s="44"/>
      <c r="BI29">
        <f t="shared" si="11"/>
        <v>0</v>
      </c>
    </row>
    <row r="30" spans="1:61" x14ac:dyDescent="0.25">
      <c r="A30">
        <v>28</v>
      </c>
      <c r="B30" s="1"/>
      <c r="C30" s="1"/>
      <c r="D30" s="1"/>
      <c r="E30" s="1"/>
      <c r="F30" s="1"/>
      <c r="G30" s="53"/>
      <c r="H30" s="53"/>
      <c r="I30" s="54"/>
      <c r="J30" s="50">
        <f>F30*Paramètres!$B$3</f>
        <v>0</v>
      </c>
      <c r="K30" s="56">
        <f t="shared" si="0"/>
        <v>0</v>
      </c>
      <c r="L30" s="56">
        <f t="shared" si="1"/>
        <v>0</v>
      </c>
      <c r="M30" s="56">
        <f t="shared" si="2"/>
        <v>0</v>
      </c>
      <c r="N30" s="3">
        <f>ROUNDUP(J30*Paramètres!$B$19,-1)</f>
        <v>0</v>
      </c>
      <c r="O30" s="1">
        <f t="shared" si="3"/>
        <v>0</v>
      </c>
      <c r="P30" s="1">
        <f t="shared" si="4"/>
        <v>0</v>
      </c>
      <c r="Q30" s="3">
        <f t="shared" si="5"/>
        <v>0</v>
      </c>
      <c r="R30" s="47">
        <f>ROUNDUP(+K30/Paramètres!$B$4/Paramètres!$B$53,0)</f>
        <v>0</v>
      </c>
      <c r="S30" s="47">
        <f>ROUNDUP(+L30/Paramètres!$B$6/Paramètres!$B$53,0)</f>
        <v>0</v>
      </c>
      <c r="T30" s="47"/>
      <c r="U30" s="2">
        <f t="shared" si="6"/>
        <v>0</v>
      </c>
      <c r="V30" s="1">
        <f>R30*Paramètres!$B$7</f>
        <v>0</v>
      </c>
      <c r="W30" s="1">
        <f>S30*Paramètres!$B$9</f>
        <v>0</v>
      </c>
      <c r="X30" s="1"/>
      <c r="Y30" s="2">
        <f t="shared" si="7"/>
        <v>0</v>
      </c>
      <c r="Z30" s="7">
        <f>R30*Paramètres!$B$10</f>
        <v>0</v>
      </c>
      <c r="AA30" s="7">
        <f>S30*Paramètres!$B$10</f>
        <v>0</v>
      </c>
      <c r="AB30" s="7"/>
      <c r="AC30" s="2">
        <f t="shared" si="8"/>
        <v>0</v>
      </c>
      <c r="AD30" s="1">
        <f t="shared" si="12"/>
        <v>0</v>
      </c>
      <c r="AE30" s="1">
        <f t="shared" si="9"/>
        <v>0</v>
      </c>
      <c r="AF30" s="1">
        <f>IF(B30="",0,Paramètres!$B$53*1.5)</f>
        <v>0</v>
      </c>
      <c r="AG30" s="1">
        <f>IF(C30="",0,Paramètres!$B$53*1.5)</f>
        <v>0</v>
      </c>
      <c r="AH30" s="1"/>
      <c r="AI30" s="1"/>
      <c r="AJ30" s="1"/>
      <c r="AK30" s="1"/>
      <c r="AL30" s="1">
        <f>(U30*Paramètres!$B$53)*3</f>
        <v>0</v>
      </c>
      <c r="AM30" s="1">
        <f t="shared" si="10"/>
        <v>0</v>
      </c>
      <c r="AN30" s="1">
        <f>U30*Paramètres!$B$75</f>
        <v>0</v>
      </c>
      <c r="AO30" s="1">
        <f>U30*Paramètres!$B$72*Paramètres!$B$73</f>
        <v>0</v>
      </c>
      <c r="AP30" s="1"/>
      <c r="AQ30" s="1">
        <f>(Y30+AC30)*Paramètres!$B$42*Paramètres!$B$53</f>
        <v>0</v>
      </c>
      <c r="AR30" s="1"/>
      <c r="AS30" s="7">
        <f>ROUNDUP(D30*Paramètres!$B$23*Paramètres!$B$26,-1)</f>
        <v>0</v>
      </c>
      <c r="AT30" s="7"/>
      <c r="AU30" s="1"/>
      <c r="AV30" s="8"/>
      <c r="AW30" s="8"/>
      <c r="AX30" s="8"/>
      <c r="AY30" s="8"/>
      <c r="AZ30" s="8"/>
      <c r="BA30" s="8"/>
      <c r="BB30" s="44"/>
      <c r="BC30" s="44"/>
      <c r="BD30" s="8"/>
      <c r="BE30" s="8"/>
      <c r="BF30" s="8"/>
      <c r="BG30" s="44"/>
      <c r="BI30">
        <f t="shared" si="11"/>
        <v>0</v>
      </c>
    </row>
    <row r="31" spans="1:61" x14ac:dyDescent="0.25">
      <c r="A31">
        <v>29</v>
      </c>
      <c r="B31" s="1"/>
      <c r="C31" s="1"/>
      <c r="D31" s="1"/>
      <c r="E31" s="1"/>
      <c r="F31" s="1"/>
      <c r="G31" s="53"/>
      <c r="H31" s="53"/>
      <c r="I31" s="54"/>
      <c r="J31" s="50">
        <f>F31*Paramètres!$B$3</f>
        <v>0</v>
      </c>
      <c r="K31" s="56">
        <f t="shared" si="0"/>
        <v>0</v>
      </c>
      <c r="L31" s="56">
        <f t="shared" si="1"/>
        <v>0</v>
      </c>
      <c r="M31" s="56">
        <f t="shared" si="2"/>
        <v>0</v>
      </c>
      <c r="N31" s="3">
        <f>ROUNDUP(J31*Paramètres!$B$19,-1)</f>
        <v>0</v>
      </c>
      <c r="O31" s="1">
        <f t="shared" si="3"/>
        <v>0</v>
      </c>
      <c r="P31" s="1">
        <f t="shared" si="4"/>
        <v>0</v>
      </c>
      <c r="Q31" s="3">
        <f t="shared" si="5"/>
        <v>0</v>
      </c>
      <c r="R31" s="47">
        <f>ROUNDUP(+K31/Paramètres!$B$4/Paramètres!$B$53,0)</f>
        <v>0</v>
      </c>
      <c r="S31" s="47">
        <f>ROUNDUP(+L31/Paramètres!$B$6/Paramètres!$B$53,0)</f>
        <v>0</v>
      </c>
      <c r="T31" s="47"/>
      <c r="U31" s="2">
        <f t="shared" si="6"/>
        <v>0</v>
      </c>
      <c r="V31" s="1">
        <f>R31*Paramètres!$B$7</f>
        <v>0</v>
      </c>
      <c r="W31" s="1">
        <f>S31*Paramètres!$B$9</f>
        <v>0</v>
      </c>
      <c r="X31" s="1"/>
      <c r="Y31" s="2">
        <f t="shared" si="7"/>
        <v>0</v>
      </c>
      <c r="Z31" s="7">
        <f>R31*Paramètres!$B$10</f>
        <v>0</v>
      </c>
      <c r="AA31" s="7">
        <f>S31*Paramètres!$B$10</f>
        <v>0</v>
      </c>
      <c r="AB31" s="7"/>
      <c r="AC31" s="2">
        <f t="shared" si="8"/>
        <v>0</v>
      </c>
      <c r="AD31" s="1">
        <f t="shared" si="12"/>
        <v>0</v>
      </c>
      <c r="AE31" s="1">
        <f t="shared" si="9"/>
        <v>0</v>
      </c>
      <c r="AF31" s="1">
        <f>IF(B31="",0,Paramètres!$B$53*1.5)</f>
        <v>0</v>
      </c>
      <c r="AG31" s="1">
        <f>IF(C31="",0,Paramètres!$B$53*1.5)</f>
        <v>0</v>
      </c>
      <c r="AH31" s="1"/>
      <c r="AI31" s="1"/>
      <c r="AJ31" s="1"/>
      <c r="AK31" s="1"/>
      <c r="AL31" s="1">
        <f>(U31*Paramètres!$B$53)*3</f>
        <v>0</v>
      </c>
      <c r="AM31" s="1">
        <f t="shared" si="10"/>
        <v>0</v>
      </c>
      <c r="AN31" s="1">
        <f>U31*Paramètres!$B$75</f>
        <v>0</v>
      </c>
      <c r="AO31" s="1">
        <f>U31*Paramètres!$B$72*Paramètres!$B$73</f>
        <v>0</v>
      </c>
      <c r="AP31" s="1"/>
      <c r="AQ31" s="1">
        <f>(Y31+AC31)*Paramètres!$B$42*Paramètres!$B$53</f>
        <v>0</v>
      </c>
      <c r="AR31" s="1"/>
      <c r="AS31" s="7">
        <f>ROUNDUP(D31*Paramètres!$B$23*Paramètres!$B$26,-1)</f>
        <v>0</v>
      </c>
      <c r="AT31" s="7"/>
      <c r="AU31" s="1"/>
      <c r="AV31" s="8"/>
      <c r="AW31" s="8"/>
      <c r="AX31" s="8"/>
      <c r="AY31" s="8"/>
      <c r="AZ31" s="8"/>
      <c r="BA31" s="8"/>
      <c r="BB31" s="44"/>
      <c r="BC31" s="44"/>
      <c r="BD31" s="8"/>
      <c r="BE31" s="8"/>
      <c r="BF31" s="8"/>
      <c r="BG31" s="44"/>
      <c r="BI31">
        <f t="shared" si="11"/>
        <v>0</v>
      </c>
    </row>
    <row r="32" spans="1:61" x14ac:dyDescent="0.25">
      <c r="A32">
        <v>30</v>
      </c>
      <c r="B32" s="1"/>
      <c r="C32" s="1"/>
      <c r="F32" s="1"/>
      <c r="G32" s="53"/>
      <c r="H32" s="53"/>
      <c r="I32" s="54"/>
      <c r="J32" s="50">
        <f>F32*Paramètres!$B$3</f>
        <v>0</v>
      </c>
      <c r="K32" s="56">
        <f t="shared" si="0"/>
        <v>0</v>
      </c>
      <c r="L32" s="56">
        <f t="shared" si="1"/>
        <v>0</v>
      </c>
      <c r="M32" s="56">
        <f t="shared" si="2"/>
        <v>0</v>
      </c>
      <c r="N32" s="3">
        <f>ROUNDUP(J32*Paramètres!$B$19,-1)</f>
        <v>0</v>
      </c>
      <c r="O32" s="1">
        <f t="shared" si="3"/>
        <v>0</v>
      </c>
      <c r="P32" s="1">
        <f t="shared" si="4"/>
        <v>0</v>
      </c>
      <c r="Q32" s="3">
        <f t="shared" si="5"/>
        <v>0</v>
      </c>
      <c r="R32" s="47">
        <f>ROUNDUP(+K32/Paramètres!$B$4/Paramètres!$B$53,0)</f>
        <v>0</v>
      </c>
      <c r="S32" s="47">
        <f>ROUNDUP(+L32/Paramètres!$B$6/Paramètres!$B$53,0)</f>
        <v>0</v>
      </c>
      <c r="T32" s="47"/>
      <c r="U32" s="2">
        <f t="shared" si="6"/>
        <v>0</v>
      </c>
      <c r="V32" s="1">
        <f>R32*Paramètres!$B$7</f>
        <v>0</v>
      </c>
      <c r="W32" s="1">
        <f>S32*Paramètres!$B$9</f>
        <v>0</v>
      </c>
      <c r="X32" s="1"/>
      <c r="Y32" s="2">
        <f t="shared" si="7"/>
        <v>0</v>
      </c>
      <c r="Z32" s="7">
        <f>R32*Paramètres!$B$10</f>
        <v>0</v>
      </c>
      <c r="AA32" s="7">
        <f>S32*Paramètres!$B$10</f>
        <v>0</v>
      </c>
      <c r="AB32" s="7"/>
      <c r="AC32" s="2">
        <f t="shared" si="8"/>
        <v>0</v>
      </c>
      <c r="AD32" s="1">
        <f t="shared" si="12"/>
        <v>0</v>
      </c>
      <c r="AE32" s="1">
        <f t="shared" si="9"/>
        <v>0</v>
      </c>
      <c r="AF32" s="1">
        <f>IF(B32="",0,Paramètres!$B$53*1.5)</f>
        <v>0</v>
      </c>
      <c r="AG32" s="1">
        <f>IF(C32="",0,Paramètres!$B$53*1.5)</f>
        <v>0</v>
      </c>
      <c r="AH32" s="1"/>
      <c r="AI32" s="1"/>
      <c r="AJ32" s="1"/>
      <c r="AK32" s="1"/>
      <c r="AL32" s="1">
        <f>(U32*Paramètres!$B$53)*3</f>
        <v>0</v>
      </c>
      <c r="AM32" s="1">
        <f t="shared" si="10"/>
        <v>0</v>
      </c>
      <c r="AN32" s="1">
        <f>U32*Paramètres!$B$75</f>
        <v>0</v>
      </c>
      <c r="AO32" s="1">
        <f>U32*Paramètres!$B$72*Paramètres!$B$73</f>
        <v>0</v>
      </c>
      <c r="AP32" s="1"/>
      <c r="AQ32" s="1">
        <f>(Y32+AC32)*Paramètres!$B$42*Paramètres!$B$53</f>
        <v>0</v>
      </c>
      <c r="AR32" s="1"/>
      <c r="AS32" s="7">
        <f>ROUNDUP(D32*Paramètres!$B$23*Paramètres!$B$26,-1)</f>
        <v>0</v>
      </c>
      <c r="AT32" s="7"/>
      <c r="AU32" s="1"/>
      <c r="AV32" s="8"/>
      <c r="AW32" s="8"/>
      <c r="AX32" s="8"/>
      <c r="AY32" s="8"/>
      <c r="AZ32" s="8"/>
      <c r="BA32" s="8"/>
      <c r="BB32" s="44"/>
      <c r="BC32" s="44"/>
      <c r="BD32" s="8"/>
      <c r="BE32" s="8"/>
      <c r="BF32" s="8"/>
      <c r="BG32" s="44"/>
      <c r="BI32">
        <f t="shared" si="11"/>
        <v>0</v>
      </c>
    </row>
    <row r="33" spans="1:61" x14ac:dyDescent="0.25">
      <c r="A33">
        <v>31</v>
      </c>
      <c r="B33" s="1"/>
      <c r="C33" s="1"/>
      <c r="F33" s="1"/>
      <c r="G33" s="53"/>
      <c r="H33" s="53"/>
      <c r="I33" s="54"/>
      <c r="J33" s="50">
        <f>F33*Paramètres!$B$3</f>
        <v>0</v>
      </c>
      <c r="K33" s="56">
        <f t="shared" si="0"/>
        <v>0</v>
      </c>
      <c r="L33" s="56">
        <f t="shared" si="1"/>
        <v>0</v>
      </c>
      <c r="M33" s="56">
        <f t="shared" si="2"/>
        <v>0</v>
      </c>
      <c r="N33" s="3">
        <f>ROUNDUP(J33*Paramètres!$B$19,-1)</f>
        <v>0</v>
      </c>
      <c r="O33" s="1">
        <f t="shared" si="3"/>
        <v>0</v>
      </c>
      <c r="P33" s="1">
        <f t="shared" si="4"/>
        <v>0</v>
      </c>
      <c r="Q33" s="3">
        <f t="shared" si="5"/>
        <v>0</v>
      </c>
      <c r="R33" s="47">
        <f>ROUNDUP(+K33/Paramètres!$B$4/Paramètres!$B$53,0)</f>
        <v>0</v>
      </c>
      <c r="S33" s="47">
        <f>ROUNDUP(+L33/Paramètres!$B$6/Paramètres!$B$53,0)</f>
        <v>0</v>
      </c>
      <c r="T33" s="47"/>
      <c r="U33" s="2">
        <f t="shared" si="6"/>
        <v>0</v>
      </c>
      <c r="V33" s="1">
        <f>R33*Paramètres!$B$7</f>
        <v>0</v>
      </c>
      <c r="W33" s="1">
        <f>S33*Paramètres!$B$9</f>
        <v>0</v>
      </c>
      <c r="X33" s="1"/>
      <c r="Y33" s="2">
        <f t="shared" si="7"/>
        <v>0</v>
      </c>
      <c r="Z33" s="7">
        <f>R33*Paramètres!$B$10</f>
        <v>0</v>
      </c>
      <c r="AA33" s="7">
        <f>S33*Paramètres!$B$10</f>
        <v>0</v>
      </c>
      <c r="AB33" s="7"/>
      <c r="AC33" s="2">
        <f t="shared" si="8"/>
        <v>0</v>
      </c>
      <c r="AD33" s="1">
        <f t="shared" si="12"/>
        <v>0</v>
      </c>
      <c r="AE33" s="1">
        <f t="shared" si="9"/>
        <v>0</v>
      </c>
      <c r="AF33" s="1">
        <f>IF(B33="",0,Paramètres!$B$53*1.5)</f>
        <v>0</v>
      </c>
      <c r="AG33" s="1">
        <f>IF(C33="",0,Paramètres!$B$53*1.5)</f>
        <v>0</v>
      </c>
      <c r="AH33" s="1"/>
      <c r="AI33" s="1"/>
      <c r="AJ33" s="1"/>
      <c r="AK33" s="1"/>
      <c r="AL33" s="1">
        <f>(U33*Paramètres!$B$53)*3</f>
        <v>0</v>
      </c>
      <c r="AM33" s="1">
        <f t="shared" si="10"/>
        <v>0</v>
      </c>
      <c r="AN33" s="1">
        <f>U33*Paramètres!$B$75</f>
        <v>0</v>
      </c>
      <c r="AO33" s="1">
        <f>U33*Paramètres!$B$72*Paramètres!$B$73</f>
        <v>0</v>
      </c>
      <c r="AP33" s="1"/>
      <c r="AQ33" s="1">
        <f>(Y33+AC33)*Paramètres!$B$42*Paramètres!$B$53</f>
        <v>0</v>
      </c>
      <c r="AR33" s="1"/>
      <c r="AS33" s="7">
        <f>ROUNDUP(D33*Paramètres!$B$23*Paramètres!$B$26,-1)</f>
        <v>0</v>
      </c>
      <c r="AT33" s="7"/>
      <c r="AU33" s="1"/>
      <c r="AV33" s="8"/>
      <c r="AW33" s="8"/>
      <c r="AX33" s="8"/>
      <c r="AY33" s="8"/>
      <c r="AZ33" s="8"/>
      <c r="BA33" s="8"/>
      <c r="BB33" s="44"/>
      <c r="BC33" s="44"/>
      <c r="BD33" s="8"/>
      <c r="BE33" s="8"/>
      <c r="BF33" s="8"/>
      <c r="BG33" s="44"/>
      <c r="BI33">
        <f t="shared" si="11"/>
        <v>0</v>
      </c>
    </row>
    <row r="34" spans="1:61" x14ac:dyDescent="0.25">
      <c r="A34">
        <v>32</v>
      </c>
      <c r="B34" s="1"/>
      <c r="C34" s="1"/>
      <c r="F34" s="1"/>
      <c r="G34" s="53"/>
      <c r="H34" s="53"/>
      <c r="I34" s="54"/>
      <c r="J34" s="50">
        <f>F34*Paramètres!$B$3</f>
        <v>0</v>
      </c>
      <c r="K34" s="56">
        <f t="shared" si="0"/>
        <v>0</v>
      </c>
      <c r="L34" s="56">
        <f t="shared" si="1"/>
        <v>0</v>
      </c>
      <c r="M34" s="56">
        <f t="shared" si="2"/>
        <v>0</v>
      </c>
      <c r="N34" s="3">
        <f>ROUNDUP(J34*Paramètres!$B$19,-1)</f>
        <v>0</v>
      </c>
      <c r="O34" s="1">
        <f t="shared" si="3"/>
        <v>0</v>
      </c>
      <c r="P34" s="1">
        <f t="shared" si="4"/>
        <v>0</v>
      </c>
      <c r="Q34" s="3">
        <f t="shared" si="5"/>
        <v>0</v>
      </c>
      <c r="R34" s="47">
        <f>ROUNDUP(+K34/Paramètres!$B$4/Paramètres!$B$53,0)</f>
        <v>0</v>
      </c>
      <c r="S34" s="47">
        <f>ROUNDUP(+L34/Paramètres!$B$6/Paramètres!$B$53,0)</f>
        <v>0</v>
      </c>
      <c r="T34" s="47"/>
      <c r="U34" s="2">
        <f t="shared" si="6"/>
        <v>0</v>
      </c>
      <c r="V34" s="1">
        <f>R34*Paramètres!$B$7</f>
        <v>0</v>
      </c>
      <c r="W34" s="1">
        <f>S34*Paramètres!$B$9</f>
        <v>0</v>
      </c>
      <c r="X34" s="1"/>
      <c r="Y34" s="2">
        <f t="shared" si="7"/>
        <v>0</v>
      </c>
      <c r="Z34" s="7">
        <f>R34*Paramètres!$B$10</f>
        <v>0</v>
      </c>
      <c r="AA34" s="7">
        <f>S34*Paramètres!$B$10</f>
        <v>0</v>
      </c>
      <c r="AB34" s="7"/>
      <c r="AC34" s="2">
        <f t="shared" si="8"/>
        <v>0</v>
      </c>
      <c r="AD34" s="1">
        <f t="shared" si="12"/>
        <v>0</v>
      </c>
      <c r="AE34" s="1">
        <f t="shared" si="9"/>
        <v>0</v>
      </c>
      <c r="AF34" s="1">
        <f>IF(B34="",0,Paramètres!$B$53*1.5)</f>
        <v>0</v>
      </c>
      <c r="AG34" s="1">
        <f>IF(C34="",0,Paramètres!$B$53*1.5)</f>
        <v>0</v>
      </c>
      <c r="AH34" s="1"/>
      <c r="AI34" s="1"/>
      <c r="AJ34" s="1"/>
      <c r="AK34" s="1"/>
      <c r="AL34" s="1">
        <f>(U34*Paramètres!$B$53)*3</f>
        <v>0</v>
      </c>
      <c r="AM34" s="1">
        <f t="shared" si="10"/>
        <v>0</v>
      </c>
      <c r="AN34" s="1">
        <f>U34*Paramètres!$B$75</f>
        <v>0</v>
      </c>
      <c r="AO34" s="1">
        <f>U34*Paramètres!$B$72*Paramètres!$B$73</f>
        <v>0</v>
      </c>
      <c r="AP34" s="1"/>
      <c r="AQ34" s="1">
        <f>(Y34+AC34)*Paramètres!$B$42*Paramètres!$B$53</f>
        <v>0</v>
      </c>
      <c r="AR34" s="1"/>
      <c r="AS34" s="7">
        <f>ROUNDUP(D34*Paramètres!$B$23*Paramètres!$B$26,-1)</f>
        <v>0</v>
      </c>
      <c r="AT34" s="7"/>
      <c r="AU34" s="1"/>
      <c r="AV34" s="8"/>
      <c r="AW34" s="8"/>
      <c r="AX34" s="8"/>
      <c r="AY34" s="8"/>
      <c r="AZ34" s="8"/>
      <c r="BA34" s="8"/>
      <c r="BB34" s="44"/>
      <c r="BC34" s="44"/>
      <c r="BD34" s="8"/>
      <c r="BE34" s="8"/>
      <c r="BF34" s="8"/>
      <c r="BG34" s="44"/>
      <c r="BI34">
        <f t="shared" si="11"/>
        <v>0</v>
      </c>
    </row>
    <row r="35" spans="1:61" x14ac:dyDescent="0.25">
      <c r="A35">
        <v>33</v>
      </c>
      <c r="B35" s="1"/>
      <c r="C35" s="1"/>
      <c r="F35" s="1"/>
      <c r="G35" s="53"/>
      <c r="H35" s="53"/>
      <c r="I35" s="54"/>
      <c r="J35" s="50">
        <f>F35*Paramètres!$B$3</f>
        <v>0</v>
      </c>
      <c r="K35" s="56">
        <f t="shared" si="0"/>
        <v>0</v>
      </c>
      <c r="L35" s="56">
        <f t="shared" si="1"/>
        <v>0</v>
      </c>
      <c r="M35" s="56">
        <f t="shared" si="2"/>
        <v>0</v>
      </c>
      <c r="N35" s="3">
        <f>ROUNDUP(J35*Paramètres!$B$19,-1)</f>
        <v>0</v>
      </c>
      <c r="O35" s="1">
        <f t="shared" si="3"/>
        <v>0</v>
      </c>
      <c r="P35" s="1">
        <f t="shared" si="4"/>
        <v>0</v>
      </c>
      <c r="Q35" s="3">
        <f t="shared" si="5"/>
        <v>0</v>
      </c>
      <c r="R35" s="47">
        <f>ROUNDUP(+K35/Paramètres!$B$4/Paramètres!$B$53,0)</f>
        <v>0</v>
      </c>
      <c r="S35" s="47">
        <f>ROUNDUP(+L35/Paramètres!$B$6/Paramètres!$B$53,0)</f>
        <v>0</v>
      </c>
      <c r="T35" s="47"/>
      <c r="U35" s="2">
        <f t="shared" si="6"/>
        <v>0</v>
      </c>
      <c r="V35" s="1">
        <f>R35*Paramètres!$B$7</f>
        <v>0</v>
      </c>
      <c r="W35" s="1">
        <f>S35*Paramètres!$B$9</f>
        <v>0</v>
      </c>
      <c r="X35" s="1"/>
      <c r="Y35" s="2">
        <f t="shared" si="7"/>
        <v>0</v>
      </c>
      <c r="Z35" s="7">
        <f>R35*Paramètres!$B$10</f>
        <v>0</v>
      </c>
      <c r="AA35" s="7">
        <f>S35*Paramètres!$B$10</f>
        <v>0</v>
      </c>
      <c r="AB35" s="7"/>
      <c r="AC35" s="2">
        <f t="shared" si="8"/>
        <v>0</v>
      </c>
      <c r="AD35" s="1">
        <f t="shared" si="12"/>
        <v>0</v>
      </c>
      <c r="AE35" s="1">
        <f t="shared" si="9"/>
        <v>0</v>
      </c>
      <c r="AF35" s="1">
        <f>IF(B35="",0,Paramètres!$B$53*1.5)</f>
        <v>0</v>
      </c>
      <c r="AG35" s="1">
        <f>IF(C35="",0,Paramètres!$B$53*1.5)</f>
        <v>0</v>
      </c>
      <c r="AH35" s="1"/>
      <c r="AI35" s="1"/>
      <c r="AJ35" s="1"/>
      <c r="AK35" s="1"/>
      <c r="AL35" s="1">
        <f>(U35*Paramètres!$B$53)*3</f>
        <v>0</v>
      </c>
      <c r="AM35" s="1">
        <f t="shared" si="10"/>
        <v>0</v>
      </c>
      <c r="AN35" s="1">
        <f>U35*Paramètres!$B$75</f>
        <v>0</v>
      </c>
      <c r="AO35" s="1">
        <f>U35*Paramètres!$B$72*Paramètres!$B$73</f>
        <v>0</v>
      </c>
      <c r="AP35" s="1"/>
      <c r="AQ35" s="1">
        <f>(Y35+AC35)*Paramètres!$B$42*Paramètres!$B$53</f>
        <v>0</v>
      </c>
      <c r="AR35" s="1"/>
      <c r="AS35" s="7">
        <f>ROUNDUP(D35*Paramètres!$B$23*Paramètres!$B$26,-1)</f>
        <v>0</v>
      </c>
      <c r="AT35" s="7"/>
      <c r="AU35" s="1"/>
      <c r="AV35" s="8"/>
      <c r="AW35" s="8"/>
      <c r="AX35" s="8"/>
      <c r="AY35" s="8"/>
      <c r="AZ35" s="8"/>
      <c r="BA35" s="8"/>
      <c r="BB35" s="44"/>
      <c r="BC35" s="44"/>
      <c r="BD35" s="8"/>
      <c r="BE35" s="8"/>
      <c r="BF35" s="8"/>
      <c r="BG35" s="44"/>
      <c r="BI35">
        <f t="shared" si="11"/>
        <v>0</v>
      </c>
    </row>
    <row r="36" spans="1:61" x14ac:dyDescent="0.25">
      <c r="A36">
        <v>34</v>
      </c>
      <c r="B36" s="1"/>
      <c r="C36" s="1"/>
      <c r="F36" s="1"/>
      <c r="G36" s="53"/>
      <c r="H36" s="53"/>
      <c r="I36" s="54"/>
      <c r="J36" s="50">
        <f>F36*Paramètres!$B$3</f>
        <v>0</v>
      </c>
      <c r="K36" s="56">
        <f t="shared" si="0"/>
        <v>0</v>
      </c>
      <c r="L36" s="56">
        <f t="shared" si="1"/>
        <v>0</v>
      </c>
      <c r="M36" s="56">
        <f t="shared" si="2"/>
        <v>0</v>
      </c>
      <c r="N36" s="3">
        <f>ROUNDUP(J36*Paramètres!$B$19,-1)</f>
        <v>0</v>
      </c>
      <c r="O36" s="1">
        <f t="shared" si="3"/>
        <v>0</v>
      </c>
      <c r="P36" s="1">
        <f t="shared" si="4"/>
        <v>0</v>
      </c>
      <c r="Q36" s="3">
        <f t="shared" si="5"/>
        <v>0</v>
      </c>
      <c r="R36" s="47">
        <f>ROUNDUP(+K36/Paramètres!$B$4/Paramètres!$B$53,0)</f>
        <v>0</v>
      </c>
      <c r="S36" s="47">
        <f>ROUNDUP(+L36/Paramètres!$B$6/Paramètres!$B$53,0)</f>
        <v>0</v>
      </c>
      <c r="T36" s="47"/>
      <c r="U36" s="2">
        <f t="shared" si="6"/>
        <v>0</v>
      </c>
      <c r="V36" s="1">
        <f>R36*Paramètres!$B$7</f>
        <v>0</v>
      </c>
      <c r="W36" s="1">
        <f>S36*Paramètres!$B$9</f>
        <v>0</v>
      </c>
      <c r="X36" s="1"/>
      <c r="Y36" s="2">
        <f t="shared" si="7"/>
        <v>0</v>
      </c>
      <c r="Z36" s="7">
        <f>R36*Paramètres!$B$10</f>
        <v>0</v>
      </c>
      <c r="AA36" s="7">
        <f>S36*Paramètres!$B$10</f>
        <v>0</v>
      </c>
      <c r="AB36" s="7"/>
      <c r="AC36" s="2">
        <f t="shared" si="8"/>
        <v>0</v>
      </c>
      <c r="AD36" s="1">
        <f t="shared" si="12"/>
        <v>0</v>
      </c>
      <c r="AE36" s="1">
        <f t="shared" si="9"/>
        <v>0</v>
      </c>
      <c r="AF36" s="1">
        <f>IF(B36="",0,Paramètres!$B$53*1.5)</f>
        <v>0</v>
      </c>
      <c r="AG36" s="1">
        <f>IF(C36="",0,Paramètres!$B$53*1.5)</f>
        <v>0</v>
      </c>
      <c r="AH36" s="1"/>
      <c r="AI36" s="1"/>
      <c r="AJ36" s="1"/>
      <c r="AK36" s="1"/>
      <c r="AL36" s="1">
        <f>(U36*Paramètres!$B$53)*3</f>
        <v>0</v>
      </c>
      <c r="AM36" s="1">
        <f t="shared" si="10"/>
        <v>0</v>
      </c>
      <c r="AN36" s="1">
        <f>U36*Paramètres!$B$75</f>
        <v>0</v>
      </c>
      <c r="AO36" s="1">
        <f>U36*Paramètres!$B$72*Paramètres!$B$73</f>
        <v>0</v>
      </c>
      <c r="AP36" s="1"/>
      <c r="AQ36" s="1">
        <f>(Y36+AC36)*Paramètres!$B$42*Paramètres!$B$53</f>
        <v>0</v>
      </c>
      <c r="AR36" s="1"/>
      <c r="AS36" s="7">
        <f>ROUNDUP(D36*Paramètres!$B$23*Paramètres!$B$26,-1)</f>
        <v>0</v>
      </c>
      <c r="AT36" s="7"/>
      <c r="AU36" s="1"/>
      <c r="AV36" s="8"/>
      <c r="AW36" s="8"/>
      <c r="AX36" s="8"/>
      <c r="AY36" s="8"/>
      <c r="AZ36" s="8"/>
      <c r="BA36" s="8"/>
      <c r="BB36" s="44"/>
      <c r="BC36" s="44"/>
      <c r="BD36" s="8"/>
      <c r="BE36" s="8"/>
      <c r="BF36" s="8"/>
      <c r="BG36" s="44"/>
      <c r="BI36">
        <f t="shared" si="11"/>
        <v>0</v>
      </c>
    </row>
    <row r="37" spans="1:61" x14ac:dyDescent="0.25">
      <c r="A37">
        <v>35</v>
      </c>
      <c r="B37" s="1"/>
      <c r="C37" s="1"/>
      <c r="F37" s="1"/>
      <c r="G37" s="53"/>
      <c r="H37" s="53"/>
      <c r="I37" s="54"/>
      <c r="J37" s="50">
        <f>F37*Paramètres!$B$3</f>
        <v>0</v>
      </c>
      <c r="K37" s="56">
        <f t="shared" si="0"/>
        <v>0</v>
      </c>
      <c r="L37" s="56">
        <f t="shared" si="1"/>
        <v>0</v>
      </c>
      <c r="M37" s="56">
        <f t="shared" si="2"/>
        <v>0</v>
      </c>
      <c r="N37" s="3">
        <f>ROUNDUP(J37*Paramètres!$B$19,-1)</f>
        <v>0</v>
      </c>
      <c r="O37" s="1">
        <f t="shared" si="3"/>
        <v>0</v>
      </c>
      <c r="P37" s="1">
        <f t="shared" si="4"/>
        <v>0</v>
      </c>
      <c r="Q37" s="3">
        <f t="shared" si="5"/>
        <v>0</v>
      </c>
      <c r="R37" s="47">
        <f>ROUNDUP(+K37/Paramètres!$B$4/Paramètres!$B$53,0)</f>
        <v>0</v>
      </c>
      <c r="S37" s="47">
        <f>ROUNDUP(+L37/Paramètres!$B$6/Paramètres!$B$53,0)</f>
        <v>0</v>
      </c>
      <c r="T37" s="47"/>
      <c r="U37" s="2">
        <f t="shared" si="6"/>
        <v>0</v>
      </c>
      <c r="V37" s="1">
        <f>R37*Paramètres!$B$7</f>
        <v>0</v>
      </c>
      <c r="W37" s="1">
        <f>S37*Paramètres!$B$9</f>
        <v>0</v>
      </c>
      <c r="X37" s="1"/>
      <c r="Y37" s="2">
        <f t="shared" si="7"/>
        <v>0</v>
      </c>
      <c r="Z37" s="7">
        <f>R37*Paramètres!$B$10</f>
        <v>0</v>
      </c>
      <c r="AA37" s="7">
        <f>S37*Paramètres!$B$10</f>
        <v>0</v>
      </c>
      <c r="AB37" s="7"/>
      <c r="AC37" s="2">
        <f t="shared" si="8"/>
        <v>0</v>
      </c>
      <c r="AD37" s="1">
        <f t="shared" si="12"/>
        <v>0</v>
      </c>
      <c r="AE37" s="1">
        <f t="shared" si="9"/>
        <v>0</v>
      </c>
      <c r="AF37" s="1">
        <f>IF(B37="",0,Paramètres!$B$53*1.5)</f>
        <v>0</v>
      </c>
      <c r="AG37" s="1">
        <f>IF(C37="",0,Paramètres!$B$53*1.5)</f>
        <v>0</v>
      </c>
      <c r="AH37" s="1"/>
      <c r="AI37" s="1"/>
      <c r="AJ37" s="1"/>
      <c r="AK37" s="1"/>
      <c r="AL37" s="1">
        <f>(U37*Paramètres!$B$53)*3</f>
        <v>0</v>
      </c>
      <c r="AM37" s="1">
        <f t="shared" si="10"/>
        <v>0</v>
      </c>
      <c r="AN37" s="1">
        <f>U37*Paramètres!$B$75</f>
        <v>0</v>
      </c>
      <c r="AO37" s="1">
        <f>U37*Paramètres!$B$72*Paramètres!$B$73</f>
        <v>0</v>
      </c>
      <c r="AP37" s="1"/>
      <c r="AQ37" s="1">
        <f>(Y37+AC37)*Paramètres!$B$42*Paramètres!$B$53</f>
        <v>0</v>
      </c>
      <c r="AR37" s="1"/>
      <c r="AS37" s="7">
        <f>ROUNDUP(D37*Paramètres!$B$23*Paramètres!$B$26,-1)</f>
        <v>0</v>
      </c>
      <c r="AT37" s="7"/>
      <c r="AU37" s="1"/>
      <c r="AV37" s="8"/>
      <c r="AW37" s="8"/>
      <c r="AX37" s="8"/>
      <c r="AY37" s="8"/>
      <c r="AZ37" s="8"/>
      <c r="BA37" s="8"/>
      <c r="BB37" s="44"/>
      <c r="BC37" s="44"/>
      <c r="BD37" s="8"/>
      <c r="BE37" s="8"/>
      <c r="BF37" s="8"/>
      <c r="BG37" s="44"/>
      <c r="BI37">
        <f t="shared" si="11"/>
        <v>0</v>
      </c>
    </row>
    <row r="38" spans="1:61" x14ac:dyDescent="0.25">
      <c r="A38">
        <v>36</v>
      </c>
      <c r="B38" s="1"/>
      <c r="C38" s="1"/>
      <c r="D38" s="1"/>
      <c r="E38" s="1"/>
      <c r="F38" s="1"/>
      <c r="G38" s="53"/>
      <c r="H38" s="53"/>
      <c r="I38" s="54"/>
      <c r="J38" s="50">
        <f>F38*Paramètres!$B$3</f>
        <v>0</v>
      </c>
      <c r="K38" s="56">
        <f t="shared" si="0"/>
        <v>0</v>
      </c>
      <c r="L38" s="56">
        <f t="shared" si="1"/>
        <v>0</v>
      </c>
      <c r="M38" s="56">
        <f t="shared" si="2"/>
        <v>0</v>
      </c>
      <c r="N38" s="3">
        <f>ROUNDUP(J38*Paramètres!$B$19,-1)</f>
        <v>0</v>
      </c>
      <c r="O38" s="1">
        <f t="shared" si="3"/>
        <v>0</v>
      </c>
      <c r="P38" s="1">
        <f t="shared" si="4"/>
        <v>0</v>
      </c>
      <c r="Q38" s="3">
        <f t="shared" si="5"/>
        <v>0</v>
      </c>
      <c r="R38" s="47">
        <f>ROUNDUP(+K38/Paramètres!$B$4/Paramètres!$B$53,0)</f>
        <v>0</v>
      </c>
      <c r="S38" s="47">
        <f>ROUNDUP(+L38/Paramètres!$B$6/Paramètres!$B$53,0)</f>
        <v>0</v>
      </c>
      <c r="T38" s="47"/>
      <c r="U38" s="2">
        <f t="shared" si="6"/>
        <v>0</v>
      </c>
      <c r="V38" s="1">
        <f>R38*Paramètres!$B$7</f>
        <v>0</v>
      </c>
      <c r="W38" s="1">
        <f>S38*Paramètres!$B$9</f>
        <v>0</v>
      </c>
      <c r="X38" s="1"/>
      <c r="Y38" s="2">
        <f t="shared" si="7"/>
        <v>0</v>
      </c>
      <c r="Z38" s="7">
        <f>R38*Paramètres!$B$10</f>
        <v>0</v>
      </c>
      <c r="AA38" s="7">
        <f>S38*Paramètres!$B$10</f>
        <v>0</v>
      </c>
      <c r="AB38" s="7"/>
      <c r="AC38" s="2">
        <f t="shared" si="8"/>
        <v>0</v>
      </c>
      <c r="AD38" s="1">
        <f t="shared" si="12"/>
        <v>0</v>
      </c>
      <c r="AE38" s="1">
        <f t="shared" si="9"/>
        <v>0</v>
      </c>
      <c r="AF38" s="1">
        <f>IF(B38="",0,Paramètres!$B$53*1.5)</f>
        <v>0</v>
      </c>
      <c r="AG38" s="1">
        <f>IF(C38="",0,Paramètres!$B$53*1.5)</f>
        <v>0</v>
      </c>
      <c r="AH38" s="1"/>
      <c r="AI38" s="1"/>
      <c r="AJ38" s="1"/>
      <c r="AK38" s="1"/>
      <c r="AL38" s="1">
        <f>(U38*Paramètres!$B$53)*3</f>
        <v>0</v>
      </c>
      <c r="AM38" s="1">
        <f t="shared" si="10"/>
        <v>0</v>
      </c>
      <c r="AN38" s="1">
        <f>U38*Paramètres!$B$75</f>
        <v>0</v>
      </c>
      <c r="AO38" s="1">
        <f>U38*Paramètres!$B$72*Paramètres!$B$73</f>
        <v>0</v>
      </c>
      <c r="AP38" s="1"/>
      <c r="AQ38" s="1">
        <f>(Y38+AC38)*Paramètres!$B$42*Paramètres!$B$53</f>
        <v>0</v>
      </c>
      <c r="AR38" s="1"/>
      <c r="AS38" s="7">
        <f>ROUNDUP(D38*Paramètres!$B$23*Paramètres!$B$26,-1)</f>
        <v>0</v>
      </c>
      <c r="AT38" s="7"/>
      <c r="AU38" s="1"/>
      <c r="AV38" s="8"/>
      <c r="AW38" s="8"/>
      <c r="AX38" s="8"/>
      <c r="AY38" s="8"/>
      <c r="AZ38" s="8"/>
      <c r="BA38" s="8"/>
      <c r="BB38" s="44"/>
      <c r="BC38" s="44"/>
      <c r="BD38" s="8"/>
      <c r="BE38" s="8"/>
      <c r="BF38" s="8"/>
      <c r="BG38" s="44"/>
      <c r="BI38">
        <f t="shared" si="11"/>
        <v>0</v>
      </c>
    </row>
    <row r="39" spans="1:61" x14ac:dyDescent="0.25">
      <c r="A39">
        <v>37</v>
      </c>
      <c r="B39" s="1"/>
      <c r="C39" s="1"/>
      <c r="D39" s="1"/>
      <c r="E39" s="1"/>
      <c r="F39" s="1"/>
      <c r="G39" s="53"/>
      <c r="H39" s="53"/>
      <c r="I39" s="54"/>
      <c r="J39" s="50">
        <f>F39*Paramètres!$B$3</f>
        <v>0</v>
      </c>
      <c r="K39" s="56">
        <f t="shared" si="0"/>
        <v>0</v>
      </c>
      <c r="L39" s="56">
        <f t="shared" si="1"/>
        <v>0</v>
      </c>
      <c r="M39" s="56">
        <f t="shared" si="2"/>
        <v>0</v>
      </c>
      <c r="N39" s="3">
        <f>ROUNDUP(J39*Paramètres!$B$19,-1)</f>
        <v>0</v>
      </c>
      <c r="O39" s="1">
        <f t="shared" si="3"/>
        <v>0</v>
      </c>
      <c r="P39" s="1">
        <f t="shared" si="4"/>
        <v>0</v>
      </c>
      <c r="Q39" s="3">
        <f t="shared" si="5"/>
        <v>0</v>
      </c>
      <c r="R39" s="47">
        <f>ROUNDUP(+K39/Paramètres!$B$4/Paramètres!$B$53,0)</f>
        <v>0</v>
      </c>
      <c r="S39" s="47">
        <f>ROUNDUP(+L39/Paramètres!$B$6/Paramètres!$B$53,0)</f>
        <v>0</v>
      </c>
      <c r="T39" s="47"/>
      <c r="U39" s="2">
        <f t="shared" si="6"/>
        <v>0</v>
      </c>
      <c r="V39" s="1">
        <f>R39*Paramètres!$B$7</f>
        <v>0</v>
      </c>
      <c r="W39" s="1">
        <f>S39*Paramètres!$B$9</f>
        <v>0</v>
      </c>
      <c r="X39" s="1"/>
      <c r="Y39" s="2">
        <f t="shared" si="7"/>
        <v>0</v>
      </c>
      <c r="Z39" s="7">
        <f>R39*Paramètres!$B$10</f>
        <v>0</v>
      </c>
      <c r="AA39" s="7">
        <f>S39*Paramètres!$B$10</f>
        <v>0</v>
      </c>
      <c r="AB39" s="7"/>
      <c r="AC39" s="2">
        <f t="shared" si="8"/>
        <v>0</v>
      </c>
      <c r="AD39" s="1">
        <f t="shared" si="12"/>
        <v>0</v>
      </c>
      <c r="AE39" s="1">
        <f t="shared" si="9"/>
        <v>0</v>
      </c>
      <c r="AF39" s="1">
        <f>IF(B39="",0,Paramètres!$B$53*1.5)</f>
        <v>0</v>
      </c>
      <c r="AG39" s="1">
        <f>IF(C39="",0,Paramètres!$B$53*1.5)</f>
        <v>0</v>
      </c>
      <c r="AH39" s="1"/>
      <c r="AI39" s="1"/>
      <c r="AJ39" s="1"/>
      <c r="AK39" s="1"/>
      <c r="AL39" s="1">
        <f>(U39*Paramètres!$B$53)*3</f>
        <v>0</v>
      </c>
      <c r="AM39" s="1">
        <f t="shared" si="10"/>
        <v>0</v>
      </c>
      <c r="AN39" s="1">
        <f>U39*Paramètres!$B$75</f>
        <v>0</v>
      </c>
      <c r="AO39" s="1">
        <f>U39*Paramètres!$B$72*Paramètres!$B$73</f>
        <v>0</v>
      </c>
      <c r="AP39" s="1"/>
      <c r="AQ39" s="1">
        <f>(Y39+AC39)*Paramètres!$B$42*Paramètres!$B$53</f>
        <v>0</v>
      </c>
      <c r="AR39" s="1"/>
      <c r="AS39" s="7">
        <f>ROUNDUP(D39*Paramètres!$B$23*Paramètres!$B$26,-1)</f>
        <v>0</v>
      </c>
      <c r="AT39" s="7"/>
      <c r="AU39" s="1"/>
      <c r="AV39" s="8"/>
      <c r="AW39" s="8"/>
      <c r="AX39" s="8"/>
      <c r="AY39" s="8"/>
      <c r="AZ39" s="8"/>
      <c r="BA39" s="8"/>
      <c r="BB39" s="44"/>
      <c r="BC39" s="44"/>
      <c r="BD39" s="8"/>
      <c r="BE39" s="8"/>
      <c r="BF39" s="8"/>
      <c r="BG39" s="44"/>
      <c r="BI39">
        <f t="shared" si="11"/>
        <v>0</v>
      </c>
    </row>
    <row r="40" spans="1:61" x14ac:dyDescent="0.25">
      <c r="A40">
        <v>38</v>
      </c>
      <c r="B40" s="1"/>
      <c r="C40" s="1"/>
      <c r="D40" s="1"/>
      <c r="E40" s="1"/>
      <c r="F40" s="1"/>
      <c r="G40" s="53"/>
      <c r="H40" s="53"/>
      <c r="I40" s="54"/>
      <c r="J40" s="50">
        <f>F40*Paramètres!$B$3</f>
        <v>0</v>
      </c>
      <c r="K40" s="56">
        <f t="shared" si="0"/>
        <v>0</v>
      </c>
      <c r="L40" s="56">
        <f t="shared" si="1"/>
        <v>0</v>
      </c>
      <c r="M40" s="56">
        <f t="shared" si="2"/>
        <v>0</v>
      </c>
      <c r="N40" s="3">
        <f>ROUNDUP(J40*Paramètres!$B$19,-1)</f>
        <v>0</v>
      </c>
      <c r="O40" s="1">
        <f t="shared" si="3"/>
        <v>0</v>
      </c>
      <c r="P40" s="1">
        <f t="shared" si="4"/>
        <v>0</v>
      </c>
      <c r="Q40" s="3">
        <f t="shared" si="5"/>
        <v>0</v>
      </c>
      <c r="R40" s="47">
        <f>ROUNDUP(+K40/Paramètres!$B$4/Paramètres!$B$53,0)</f>
        <v>0</v>
      </c>
      <c r="S40" s="47">
        <f>ROUNDUP(+L40/Paramètres!$B$6/Paramètres!$B$53,0)</f>
        <v>0</v>
      </c>
      <c r="T40" s="47"/>
      <c r="U40" s="2">
        <f t="shared" si="6"/>
        <v>0</v>
      </c>
      <c r="V40" s="1">
        <f>R40*Paramètres!$B$7</f>
        <v>0</v>
      </c>
      <c r="W40" s="1">
        <f>S40*Paramètres!$B$9</f>
        <v>0</v>
      </c>
      <c r="X40" s="1"/>
      <c r="Y40" s="2">
        <f t="shared" si="7"/>
        <v>0</v>
      </c>
      <c r="Z40" s="7">
        <f>R40*Paramètres!$B$10</f>
        <v>0</v>
      </c>
      <c r="AA40" s="7">
        <f>S40*Paramètres!$B$10</f>
        <v>0</v>
      </c>
      <c r="AB40" s="7"/>
      <c r="AC40" s="2">
        <f t="shared" si="8"/>
        <v>0</v>
      </c>
      <c r="AD40" s="1">
        <f t="shared" si="12"/>
        <v>0</v>
      </c>
      <c r="AE40" s="1">
        <f t="shared" si="9"/>
        <v>0</v>
      </c>
      <c r="AF40" s="1">
        <f>IF(B40="",0,Paramètres!$B$53*1.5)</f>
        <v>0</v>
      </c>
      <c r="AG40" s="1">
        <f>IF(C40="",0,Paramètres!$B$53*1.5)</f>
        <v>0</v>
      </c>
      <c r="AH40" s="1"/>
      <c r="AI40" s="1"/>
      <c r="AJ40" s="1"/>
      <c r="AK40" s="1"/>
      <c r="AL40" s="1">
        <f>(U40*Paramètres!$B$53)*3</f>
        <v>0</v>
      </c>
      <c r="AM40" s="1">
        <f t="shared" si="10"/>
        <v>0</v>
      </c>
      <c r="AN40" s="1">
        <f>U40*Paramètres!$B$75</f>
        <v>0</v>
      </c>
      <c r="AO40" s="1">
        <f>U40*Paramètres!$B$72*Paramètres!$B$73</f>
        <v>0</v>
      </c>
      <c r="AP40" s="1"/>
      <c r="AQ40" s="1">
        <f>(Y40+AC40)*Paramètres!$B$42*Paramètres!$B$53</f>
        <v>0</v>
      </c>
      <c r="AR40" s="1"/>
      <c r="AS40" s="7">
        <f>ROUNDUP(D40*Paramètres!$B$23*Paramètres!$B$26,-1)</f>
        <v>0</v>
      </c>
      <c r="AT40" s="7"/>
      <c r="AU40" s="1"/>
      <c r="AV40" s="8"/>
      <c r="AW40" s="8"/>
      <c r="AX40" s="8"/>
      <c r="AY40" s="8"/>
      <c r="AZ40" s="8"/>
      <c r="BA40" s="8"/>
      <c r="BB40" s="44"/>
      <c r="BC40" s="44"/>
      <c r="BD40" s="8"/>
      <c r="BE40" s="8"/>
      <c r="BF40" s="8"/>
      <c r="BG40" s="44"/>
      <c r="BI40">
        <f t="shared" si="11"/>
        <v>0</v>
      </c>
    </row>
    <row r="41" spans="1:61" x14ac:dyDescent="0.25">
      <c r="A41">
        <v>39</v>
      </c>
      <c r="B41" s="1"/>
      <c r="C41" s="1"/>
      <c r="D41" s="1"/>
      <c r="E41" s="1"/>
      <c r="F41" s="1"/>
      <c r="G41" s="53"/>
      <c r="H41" s="53"/>
      <c r="I41" s="54"/>
      <c r="J41" s="50">
        <f>F41*Paramètres!$B$3</f>
        <v>0</v>
      </c>
      <c r="K41" s="56">
        <f t="shared" si="0"/>
        <v>0</v>
      </c>
      <c r="L41" s="56">
        <f t="shared" si="1"/>
        <v>0</v>
      </c>
      <c r="M41" s="56">
        <f t="shared" si="2"/>
        <v>0</v>
      </c>
      <c r="N41" s="3">
        <f>ROUNDUP(J41*Paramètres!$B$19,-1)</f>
        <v>0</v>
      </c>
      <c r="O41" s="1">
        <f t="shared" si="3"/>
        <v>0</v>
      </c>
      <c r="P41" s="1">
        <f t="shared" si="4"/>
        <v>0</v>
      </c>
      <c r="Q41" s="3">
        <f t="shared" si="5"/>
        <v>0</v>
      </c>
      <c r="R41" s="47">
        <f>ROUNDUP(+K41/Paramètres!$B$4/Paramètres!$B$53,0)</f>
        <v>0</v>
      </c>
      <c r="S41" s="47">
        <f>ROUNDUP(+L41/Paramètres!$B$6/Paramètres!$B$53,0)</f>
        <v>0</v>
      </c>
      <c r="T41" s="47"/>
      <c r="U41" s="2">
        <f t="shared" si="6"/>
        <v>0</v>
      </c>
      <c r="V41" s="1">
        <f>R41*Paramètres!$B$7</f>
        <v>0</v>
      </c>
      <c r="W41" s="1">
        <f>S41*Paramètres!$B$9</f>
        <v>0</v>
      </c>
      <c r="X41" s="1"/>
      <c r="Y41" s="2">
        <f t="shared" si="7"/>
        <v>0</v>
      </c>
      <c r="Z41" s="7">
        <f>R41*Paramètres!$B$10</f>
        <v>0</v>
      </c>
      <c r="AA41" s="7">
        <f>S41*Paramètres!$B$10</f>
        <v>0</v>
      </c>
      <c r="AB41" s="7"/>
      <c r="AC41" s="2">
        <f t="shared" si="8"/>
        <v>0</v>
      </c>
      <c r="AD41" s="1">
        <f t="shared" si="12"/>
        <v>0</v>
      </c>
      <c r="AE41" s="1">
        <f t="shared" si="9"/>
        <v>0</v>
      </c>
      <c r="AF41" s="1">
        <f>IF(B41="",0,Paramètres!$B$53*1.5)</f>
        <v>0</v>
      </c>
      <c r="AG41" s="1">
        <f>IF(C41="",0,Paramètres!$B$53*1.5)</f>
        <v>0</v>
      </c>
      <c r="AH41" s="1"/>
      <c r="AI41" s="1"/>
      <c r="AJ41" s="1"/>
      <c r="AK41" s="1"/>
      <c r="AL41" s="1">
        <f>(U41*Paramètres!$B$53)*3</f>
        <v>0</v>
      </c>
      <c r="AM41" s="1">
        <f t="shared" si="10"/>
        <v>0</v>
      </c>
      <c r="AN41" s="1">
        <f>U41*Paramètres!$B$75</f>
        <v>0</v>
      </c>
      <c r="AO41" s="1">
        <f>U41*Paramètres!$B$72*Paramètres!$B$73</f>
        <v>0</v>
      </c>
      <c r="AP41" s="1"/>
      <c r="AQ41" s="1">
        <f>(Y41+AC41)*Paramètres!$B$42*Paramètres!$B$53</f>
        <v>0</v>
      </c>
      <c r="AR41" s="1"/>
      <c r="AS41" s="7">
        <f>ROUNDUP(D41*Paramètres!$B$23*Paramètres!$B$26,-1)</f>
        <v>0</v>
      </c>
      <c r="AT41" s="7"/>
      <c r="AU41" s="1"/>
      <c r="AV41" s="8"/>
      <c r="AW41" s="8"/>
      <c r="AX41" s="8"/>
      <c r="AY41" s="8"/>
      <c r="AZ41" s="8"/>
      <c r="BA41" s="8"/>
      <c r="BB41" s="44"/>
      <c r="BC41" s="44"/>
      <c r="BD41" s="8"/>
      <c r="BE41" s="8"/>
      <c r="BF41" s="8"/>
      <c r="BG41" s="44"/>
      <c r="BI41">
        <f t="shared" si="11"/>
        <v>0</v>
      </c>
    </row>
    <row r="42" spans="1:61" x14ac:dyDescent="0.25">
      <c r="A42">
        <v>40</v>
      </c>
      <c r="B42" s="1"/>
      <c r="C42" s="1"/>
      <c r="D42" s="1"/>
      <c r="E42" s="1"/>
      <c r="F42" s="1"/>
      <c r="G42" s="53"/>
      <c r="H42" s="53"/>
      <c r="I42" s="54"/>
      <c r="J42" s="50">
        <f>F42*Paramètres!$B$3</f>
        <v>0</v>
      </c>
      <c r="K42" s="56">
        <f t="shared" si="0"/>
        <v>0</v>
      </c>
      <c r="L42" s="56">
        <f t="shared" si="1"/>
        <v>0</v>
      </c>
      <c r="M42" s="56">
        <f t="shared" si="2"/>
        <v>0</v>
      </c>
      <c r="N42" s="3">
        <f>ROUNDUP(J42*Paramètres!$B$19,-1)</f>
        <v>0</v>
      </c>
      <c r="O42" s="1">
        <f t="shared" si="3"/>
        <v>0</v>
      </c>
      <c r="P42" s="1">
        <f t="shared" si="4"/>
        <v>0</v>
      </c>
      <c r="Q42" s="3">
        <f t="shared" si="5"/>
        <v>0</v>
      </c>
      <c r="R42" s="47">
        <f>ROUNDUP(+K42/Paramètres!$B$4/Paramètres!$B$53,0)</f>
        <v>0</v>
      </c>
      <c r="S42" s="47">
        <f>ROUNDUP(+L42/Paramètres!$B$6/Paramètres!$B$53,0)</f>
        <v>0</v>
      </c>
      <c r="T42" s="47"/>
      <c r="U42" s="2">
        <f t="shared" si="6"/>
        <v>0</v>
      </c>
      <c r="V42" s="1">
        <f>R42*Paramètres!$B$7</f>
        <v>0</v>
      </c>
      <c r="W42" s="1">
        <f>S42*Paramètres!$B$9</f>
        <v>0</v>
      </c>
      <c r="X42" s="1"/>
      <c r="Y42" s="2">
        <f t="shared" si="7"/>
        <v>0</v>
      </c>
      <c r="Z42" s="7">
        <f>R42*Paramètres!$B$10</f>
        <v>0</v>
      </c>
      <c r="AA42" s="7">
        <f>S42*Paramètres!$B$10</f>
        <v>0</v>
      </c>
      <c r="AB42" s="7"/>
      <c r="AC42" s="2">
        <f t="shared" si="8"/>
        <v>0</v>
      </c>
      <c r="AD42" s="1">
        <f t="shared" si="12"/>
        <v>0</v>
      </c>
      <c r="AE42" s="1">
        <f t="shared" si="9"/>
        <v>0</v>
      </c>
      <c r="AF42" s="1">
        <f>IF(B42="",0,Paramètres!$B$53*1.5)</f>
        <v>0</v>
      </c>
      <c r="AG42" s="1">
        <f>IF(C42="",0,Paramètres!$B$53*1.5)</f>
        <v>0</v>
      </c>
      <c r="AH42" s="1"/>
      <c r="AI42" s="1"/>
      <c r="AJ42" s="1"/>
      <c r="AK42" s="1"/>
      <c r="AL42" s="1">
        <f>(U42*Paramètres!$B$53)*3</f>
        <v>0</v>
      </c>
      <c r="AM42" s="1">
        <f t="shared" si="10"/>
        <v>0</v>
      </c>
      <c r="AN42" s="1">
        <f>U42*Paramètres!$B$75</f>
        <v>0</v>
      </c>
      <c r="AO42" s="1">
        <f>U42*Paramètres!$B$72*Paramètres!$B$73</f>
        <v>0</v>
      </c>
      <c r="AP42" s="1"/>
      <c r="AQ42" s="1">
        <f>(Y42+AC42)*Paramètres!$B$42*Paramètres!$B$53</f>
        <v>0</v>
      </c>
      <c r="AR42" s="1"/>
      <c r="AS42" s="7">
        <f>ROUNDUP(D42*Paramètres!$B$23*Paramètres!$B$26,-1)</f>
        <v>0</v>
      </c>
      <c r="AT42" s="7"/>
      <c r="AU42" s="1"/>
      <c r="AV42" s="8"/>
      <c r="AW42" s="8"/>
      <c r="AX42" s="8"/>
      <c r="AY42" s="8"/>
      <c r="AZ42" s="8"/>
      <c r="BA42" s="8"/>
      <c r="BB42" s="44"/>
      <c r="BC42" s="44"/>
      <c r="BD42" s="8"/>
      <c r="BE42" s="8"/>
      <c r="BF42" s="8"/>
      <c r="BG42" s="44"/>
      <c r="BI42">
        <f t="shared" si="11"/>
        <v>0</v>
      </c>
    </row>
    <row r="43" spans="1:61" x14ac:dyDescent="0.25">
      <c r="A43">
        <v>41</v>
      </c>
      <c r="B43" s="1"/>
      <c r="C43" s="1"/>
      <c r="D43" s="1"/>
      <c r="E43" s="1"/>
      <c r="F43" s="1"/>
      <c r="G43" s="53"/>
      <c r="H43" s="53"/>
      <c r="I43" s="54"/>
      <c r="J43" s="50">
        <f>F43*Paramètres!$B$3</f>
        <v>0</v>
      </c>
      <c r="K43" s="56">
        <f t="shared" si="0"/>
        <v>0</v>
      </c>
      <c r="L43" s="56">
        <f t="shared" si="1"/>
        <v>0</v>
      </c>
      <c r="M43" s="56">
        <f t="shared" si="2"/>
        <v>0</v>
      </c>
      <c r="N43" s="3">
        <f>ROUNDUP(J43*Paramètres!$B$19,-1)</f>
        <v>0</v>
      </c>
      <c r="O43" s="1">
        <f t="shared" si="3"/>
        <v>0</v>
      </c>
      <c r="P43" s="1">
        <f t="shared" si="4"/>
        <v>0</v>
      </c>
      <c r="Q43" s="3">
        <f t="shared" si="5"/>
        <v>0</v>
      </c>
      <c r="R43" s="47">
        <f>ROUNDUP(+K43/Paramètres!$B$4/Paramètres!$B$53,0)</f>
        <v>0</v>
      </c>
      <c r="S43" s="47">
        <f>ROUNDUP(+L43/Paramètres!$B$6/Paramètres!$B$53,0)</f>
        <v>0</v>
      </c>
      <c r="T43" s="47"/>
      <c r="U43" s="2">
        <f t="shared" si="6"/>
        <v>0</v>
      </c>
      <c r="V43" s="1">
        <f>R43*Paramètres!$B$7</f>
        <v>0</v>
      </c>
      <c r="W43" s="1">
        <f>S43*Paramètres!$B$9</f>
        <v>0</v>
      </c>
      <c r="X43" s="1"/>
      <c r="Y43" s="2">
        <f t="shared" si="7"/>
        <v>0</v>
      </c>
      <c r="Z43" s="7">
        <f>R43*Paramètres!$B$10</f>
        <v>0</v>
      </c>
      <c r="AA43" s="7">
        <f>S43*Paramètres!$B$10</f>
        <v>0</v>
      </c>
      <c r="AB43" s="7"/>
      <c r="AC43" s="2">
        <f t="shared" si="8"/>
        <v>0</v>
      </c>
      <c r="AD43" s="1">
        <f t="shared" si="12"/>
        <v>0</v>
      </c>
      <c r="AE43" s="1">
        <f t="shared" si="9"/>
        <v>0</v>
      </c>
      <c r="AF43" s="1">
        <f>IF(B43="",0,Paramètres!$B$53*1.5)</f>
        <v>0</v>
      </c>
      <c r="AG43" s="1">
        <f>IF(C43="",0,Paramètres!$B$53*1.5)</f>
        <v>0</v>
      </c>
      <c r="AH43" s="1"/>
      <c r="AI43" s="1"/>
      <c r="AJ43" s="1"/>
      <c r="AK43" s="1"/>
      <c r="AL43" s="1">
        <f>(U43*Paramètres!$B$53)*3</f>
        <v>0</v>
      </c>
      <c r="AM43" s="1">
        <f t="shared" si="10"/>
        <v>0</v>
      </c>
      <c r="AN43" s="1">
        <f>U43*Paramètres!$B$75</f>
        <v>0</v>
      </c>
      <c r="AO43" s="1">
        <f>U43*Paramètres!$B$72*Paramètres!$B$73</f>
        <v>0</v>
      </c>
      <c r="AP43" s="1"/>
      <c r="AQ43" s="1">
        <f>(Y43+AC43)*Paramètres!$B$42*Paramètres!$B$53</f>
        <v>0</v>
      </c>
      <c r="AR43" s="1"/>
      <c r="AS43" s="7">
        <f>ROUNDUP(D43*Paramètres!$B$23*Paramètres!$B$26,-1)</f>
        <v>0</v>
      </c>
      <c r="AT43" s="7"/>
      <c r="AU43" s="1"/>
      <c r="AV43" s="8"/>
      <c r="AW43" s="8"/>
      <c r="AX43" s="8"/>
      <c r="AY43" s="8"/>
      <c r="AZ43" s="8"/>
      <c r="BA43" s="8"/>
      <c r="BB43" s="44"/>
      <c r="BC43" s="44"/>
      <c r="BD43" s="8"/>
      <c r="BE43" s="8"/>
      <c r="BF43" s="8"/>
      <c r="BG43" s="44"/>
      <c r="BI43">
        <f t="shared" si="11"/>
        <v>0</v>
      </c>
    </row>
    <row r="44" spans="1:61" x14ac:dyDescent="0.25">
      <c r="A44">
        <v>42</v>
      </c>
      <c r="B44" s="1"/>
      <c r="C44" s="1"/>
      <c r="D44" s="1"/>
      <c r="E44" s="1"/>
      <c r="F44" s="1"/>
      <c r="G44" s="53"/>
      <c r="H44" s="53"/>
      <c r="I44" s="54"/>
      <c r="J44" s="50">
        <f>F44*Paramètres!$B$3</f>
        <v>0</v>
      </c>
      <c r="K44" s="56">
        <f t="shared" si="0"/>
        <v>0</v>
      </c>
      <c r="L44" s="56">
        <f t="shared" si="1"/>
        <v>0</v>
      </c>
      <c r="M44" s="56">
        <f t="shared" si="2"/>
        <v>0</v>
      </c>
      <c r="N44" s="3">
        <f>ROUNDUP(J44*Paramètres!$B$19,-1)</f>
        <v>0</v>
      </c>
      <c r="O44" s="1">
        <f t="shared" si="3"/>
        <v>0</v>
      </c>
      <c r="P44" s="1">
        <f t="shared" si="4"/>
        <v>0</v>
      </c>
      <c r="Q44" s="3">
        <f t="shared" si="5"/>
        <v>0</v>
      </c>
      <c r="R44" s="47">
        <f>ROUNDUP(+K44/Paramètres!$B$4/Paramètres!$B$53,0)</f>
        <v>0</v>
      </c>
      <c r="S44" s="47">
        <f>ROUNDUP(+L44/Paramètres!$B$6/Paramètres!$B$53,0)</f>
        <v>0</v>
      </c>
      <c r="T44" s="47"/>
      <c r="U44" s="2">
        <f t="shared" si="6"/>
        <v>0</v>
      </c>
      <c r="V44" s="1">
        <f>R44*Paramètres!$B$7</f>
        <v>0</v>
      </c>
      <c r="W44" s="1">
        <f>S44*Paramètres!$B$9</f>
        <v>0</v>
      </c>
      <c r="X44" s="1"/>
      <c r="Y44" s="2">
        <f t="shared" si="7"/>
        <v>0</v>
      </c>
      <c r="Z44" s="7">
        <f>R44*Paramètres!$B$10</f>
        <v>0</v>
      </c>
      <c r="AA44" s="7">
        <f>S44*Paramètres!$B$10</f>
        <v>0</v>
      </c>
      <c r="AB44" s="7"/>
      <c r="AC44" s="2">
        <f t="shared" si="8"/>
        <v>0</v>
      </c>
      <c r="AD44" s="1">
        <f t="shared" si="12"/>
        <v>0</v>
      </c>
      <c r="AE44" s="1">
        <f t="shared" si="9"/>
        <v>0</v>
      </c>
      <c r="AF44" s="1">
        <f>IF(B44="",0,Paramètres!$B$53*1.5)</f>
        <v>0</v>
      </c>
      <c r="AG44" s="1">
        <f>IF(C44="",0,Paramètres!$B$53*1.5)</f>
        <v>0</v>
      </c>
      <c r="AH44" s="1"/>
      <c r="AI44" s="1"/>
      <c r="AJ44" s="1"/>
      <c r="AK44" s="1"/>
      <c r="AL44" s="1">
        <f>(U44*Paramètres!$B$53)*3</f>
        <v>0</v>
      </c>
      <c r="AM44" s="1">
        <f t="shared" si="10"/>
        <v>0</v>
      </c>
      <c r="AN44" s="1">
        <f>U44*Paramètres!$B$75</f>
        <v>0</v>
      </c>
      <c r="AO44" s="1">
        <f>U44*Paramètres!$B$72*Paramètres!$B$73</f>
        <v>0</v>
      </c>
      <c r="AP44" s="1"/>
      <c r="AQ44" s="1">
        <f>(Y44+AC44)*Paramètres!$B$42*Paramètres!$B$53</f>
        <v>0</v>
      </c>
      <c r="AR44" s="1"/>
      <c r="AS44" s="7">
        <f>ROUNDUP(D44*Paramètres!$B$23*Paramètres!$B$26,-1)</f>
        <v>0</v>
      </c>
      <c r="AT44" s="7"/>
      <c r="AU44" s="1"/>
      <c r="AV44" s="8"/>
      <c r="AW44" s="8"/>
      <c r="AX44" s="8"/>
      <c r="AY44" s="8"/>
      <c r="AZ44" s="8"/>
      <c r="BA44" s="8"/>
      <c r="BB44" s="44"/>
      <c r="BC44" s="44"/>
      <c r="BD44" s="8"/>
      <c r="BE44" s="8"/>
      <c r="BF44" s="8"/>
      <c r="BG44" s="44"/>
      <c r="BI44">
        <f t="shared" si="11"/>
        <v>0</v>
      </c>
    </row>
    <row r="45" spans="1:61" x14ac:dyDescent="0.25">
      <c r="A45">
        <v>43</v>
      </c>
      <c r="B45" s="1"/>
      <c r="C45" s="1"/>
      <c r="D45" s="1"/>
      <c r="E45" s="1"/>
      <c r="F45" s="1"/>
      <c r="G45" s="53"/>
      <c r="H45" s="53"/>
      <c r="I45" s="54"/>
      <c r="J45" s="50">
        <f>F45*Paramètres!$B$3</f>
        <v>0</v>
      </c>
      <c r="K45" s="56">
        <f t="shared" si="0"/>
        <v>0</v>
      </c>
      <c r="L45" s="56">
        <f t="shared" si="1"/>
        <v>0</v>
      </c>
      <c r="M45" s="56">
        <f t="shared" si="2"/>
        <v>0</v>
      </c>
      <c r="N45" s="3">
        <f>ROUNDUP(J45*Paramètres!$B$19,-1)</f>
        <v>0</v>
      </c>
      <c r="O45" s="1">
        <f t="shared" si="3"/>
        <v>0</v>
      </c>
      <c r="P45" s="1">
        <f t="shared" si="4"/>
        <v>0</v>
      </c>
      <c r="Q45" s="3">
        <f t="shared" si="5"/>
        <v>0</v>
      </c>
      <c r="R45" s="47">
        <f>ROUNDUP(+K45/Paramètres!$B$4/Paramètres!$B$53,0)</f>
        <v>0</v>
      </c>
      <c r="S45" s="47">
        <f>ROUNDUP(+L45/Paramètres!$B$6/Paramètres!$B$53,0)</f>
        <v>0</v>
      </c>
      <c r="T45" s="47"/>
      <c r="U45" s="2">
        <f t="shared" si="6"/>
        <v>0</v>
      </c>
      <c r="V45" s="1">
        <f>R45*Paramètres!$B$7</f>
        <v>0</v>
      </c>
      <c r="W45" s="1">
        <f>S45*Paramètres!$B$9</f>
        <v>0</v>
      </c>
      <c r="X45" s="1"/>
      <c r="Y45" s="2">
        <f t="shared" si="7"/>
        <v>0</v>
      </c>
      <c r="Z45" s="7">
        <f>R45*Paramètres!$B$10</f>
        <v>0</v>
      </c>
      <c r="AA45" s="7">
        <f>S45*Paramètres!$B$10</f>
        <v>0</v>
      </c>
      <c r="AB45" s="7"/>
      <c r="AC45" s="2">
        <f t="shared" si="8"/>
        <v>0</v>
      </c>
      <c r="AD45" s="1">
        <f t="shared" si="12"/>
        <v>0</v>
      </c>
      <c r="AE45" s="1">
        <f t="shared" si="9"/>
        <v>0</v>
      </c>
      <c r="AF45" s="1">
        <f>IF(B45="",0,Paramètres!$B$53*1.5)</f>
        <v>0</v>
      </c>
      <c r="AG45" s="1">
        <f>IF(C45="",0,Paramètres!$B$53*1.5)</f>
        <v>0</v>
      </c>
      <c r="AH45" s="1"/>
      <c r="AI45" s="1"/>
      <c r="AJ45" s="1"/>
      <c r="AK45" s="1"/>
      <c r="AL45" s="1">
        <f>(U45*Paramètres!$B$53)*3</f>
        <v>0</v>
      </c>
      <c r="AM45" s="1">
        <f t="shared" si="10"/>
        <v>0</v>
      </c>
      <c r="AN45" s="1">
        <f>U45*Paramètres!$B$75</f>
        <v>0</v>
      </c>
      <c r="AO45" s="1">
        <f>U45*Paramètres!$B$72*Paramètres!$B$73</f>
        <v>0</v>
      </c>
      <c r="AP45" s="1"/>
      <c r="AQ45" s="1">
        <f>(Y45+AC45)*Paramètres!$B$42*Paramètres!$B$53</f>
        <v>0</v>
      </c>
      <c r="AR45" s="1"/>
      <c r="AS45" s="7">
        <f>ROUNDUP(D45*Paramètres!$B$23*Paramètres!$B$26,-1)</f>
        <v>0</v>
      </c>
      <c r="AT45" s="7"/>
      <c r="AU45" s="1"/>
      <c r="AV45" s="8"/>
      <c r="AW45" s="8"/>
      <c r="AX45" s="8"/>
      <c r="AY45" s="8"/>
      <c r="AZ45" s="8"/>
      <c r="BA45" s="8"/>
      <c r="BB45" s="44"/>
      <c r="BC45" s="44"/>
      <c r="BD45" s="8"/>
      <c r="BE45" s="8"/>
      <c r="BF45" s="8"/>
      <c r="BG45" s="44"/>
      <c r="BI45">
        <f t="shared" si="11"/>
        <v>0</v>
      </c>
    </row>
    <row r="46" spans="1:61" x14ac:dyDescent="0.25">
      <c r="A46">
        <v>44</v>
      </c>
      <c r="B46" s="1"/>
      <c r="C46" s="1"/>
      <c r="D46" s="1"/>
      <c r="E46" s="1"/>
      <c r="F46" s="1"/>
      <c r="G46" s="53"/>
      <c r="H46" s="53"/>
      <c r="I46" s="54"/>
      <c r="J46" s="50">
        <f>F46*Paramètres!$B$3</f>
        <v>0</v>
      </c>
      <c r="K46" s="56">
        <f t="shared" si="0"/>
        <v>0</v>
      </c>
      <c r="L46" s="56">
        <f t="shared" si="1"/>
        <v>0</v>
      </c>
      <c r="M46" s="56">
        <f t="shared" si="2"/>
        <v>0</v>
      </c>
      <c r="N46" s="3">
        <f>ROUNDUP(J46*Paramètres!$B$19,-1)</f>
        <v>0</v>
      </c>
      <c r="O46" s="1">
        <f t="shared" si="3"/>
        <v>0</v>
      </c>
      <c r="P46" s="1">
        <f t="shared" si="4"/>
        <v>0</v>
      </c>
      <c r="Q46" s="3">
        <f t="shared" si="5"/>
        <v>0</v>
      </c>
      <c r="R46" s="47">
        <f>ROUNDUP(+K46/Paramètres!$B$4/Paramètres!$B$53,0)</f>
        <v>0</v>
      </c>
      <c r="S46" s="47">
        <f>ROUNDUP(+L46/Paramètres!$B$6/Paramètres!$B$53,0)</f>
        <v>0</v>
      </c>
      <c r="T46" s="47"/>
      <c r="U46" s="2">
        <f t="shared" si="6"/>
        <v>0</v>
      </c>
      <c r="V46" s="1">
        <f>R46*Paramètres!$B$7</f>
        <v>0</v>
      </c>
      <c r="W46" s="1">
        <f>S46*Paramètres!$B$9</f>
        <v>0</v>
      </c>
      <c r="X46" s="1"/>
      <c r="Y46" s="2">
        <f t="shared" si="7"/>
        <v>0</v>
      </c>
      <c r="Z46" s="7">
        <f>R46*Paramètres!$B$10</f>
        <v>0</v>
      </c>
      <c r="AA46" s="7">
        <f>S46*Paramètres!$B$10</f>
        <v>0</v>
      </c>
      <c r="AB46" s="7"/>
      <c r="AC46" s="2">
        <f t="shared" si="8"/>
        <v>0</v>
      </c>
      <c r="AD46" s="1">
        <f t="shared" si="12"/>
        <v>0</v>
      </c>
      <c r="AE46" s="1">
        <f t="shared" si="9"/>
        <v>0</v>
      </c>
      <c r="AF46" s="1">
        <f>IF(B46="",0,Paramètres!$B$53*1.5)</f>
        <v>0</v>
      </c>
      <c r="AG46" s="1">
        <f>IF(C46="",0,Paramètres!$B$53*1.5)</f>
        <v>0</v>
      </c>
      <c r="AH46" s="1"/>
      <c r="AI46" s="1"/>
      <c r="AJ46" s="1"/>
      <c r="AK46" s="1"/>
      <c r="AL46" s="1">
        <f>(U46*Paramètres!$B$53)*3</f>
        <v>0</v>
      </c>
      <c r="AM46" s="1">
        <f t="shared" si="10"/>
        <v>0</v>
      </c>
      <c r="AN46" s="1">
        <f>U46*Paramètres!$B$75</f>
        <v>0</v>
      </c>
      <c r="AO46" s="1">
        <f>U46*Paramètres!$B$72*Paramètres!$B$73</f>
        <v>0</v>
      </c>
      <c r="AP46" s="1"/>
      <c r="AQ46" s="1">
        <f>(Y46+AC46)*Paramètres!$B$42*Paramètres!$B$53</f>
        <v>0</v>
      </c>
      <c r="AR46" s="1"/>
      <c r="AS46" s="7">
        <f>ROUNDUP(D46*Paramètres!$B$23*Paramètres!$B$26,-1)</f>
        <v>0</v>
      </c>
      <c r="AT46" s="7"/>
      <c r="AU46" s="1"/>
      <c r="AV46" s="8"/>
      <c r="AW46" s="8"/>
      <c r="AX46" s="8"/>
      <c r="AY46" s="8"/>
      <c r="AZ46" s="8"/>
      <c r="BA46" s="8"/>
      <c r="BB46" s="44"/>
      <c r="BC46" s="44"/>
      <c r="BD46" s="8"/>
      <c r="BE46" s="8"/>
      <c r="BF46" s="8"/>
      <c r="BG46" s="44"/>
      <c r="BI46">
        <f t="shared" si="11"/>
        <v>0</v>
      </c>
    </row>
    <row r="47" spans="1:61" x14ac:dyDescent="0.25">
      <c r="A47">
        <v>45</v>
      </c>
      <c r="B47" s="1"/>
      <c r="C47" s="1"/>
      <c r="D47" s="1"/>
      <c r="E47" s="1"/>
      <c r="F47" s="1"/>
      <c r="G47" s="53"/>
      <c r="H47" s="53"/>
      <c r="I47" s="54"/>
      <c r="J47" s="50">
        <f>F47*Paramètres!$B$3</f>
        <v>0</v>
      </c>
      <c r="K47" s="56">
        <f t="shared" si="0"/>
        <v>0</v>
      </c>
      <c r="L47" s="56">
        <f t="shared" si="1"/>
        <v>0</v>
      </c>
      <c r="M47" s="56">
        <f t="shared" si="2"/>
        <v>0</v>
      </c>
      <c r="N47" s="3">
        <f>ROUNDUP(J47*Paramètres!$B$19,-1)</f>
        <v>0</v>
      </c>
      <c r="O47" s="1">
        <f t="shared" si="3"/>
        <v>0</v>
      </c>
      <c r="P47" s="1">
        <f t="shared" si="4"/>
        <v>0</v>
      </c>
      <c r="Q47" s="3">
        <f t="shared" si="5"/>
        <v>0</v>
      </c>
      <c r="R47" s="47">
        <f>ROUNDUP(+K47/Paramètres!$B$4/Paramètres!$B$53,0)</f>
        <v>0</v>
      </c>
      <c r="S47" s="47">
        <f>ROUNDUP(+L47/Paramètres!$B$6/Paramètres!$B$53,0)</f>
        <v>0</v>
      </c>
      <c r="T47" s="47"/>
      <c r="U47" s="2">
        <f t="shared" si="6"/>
        <v>0</v>
      </c>
      <c r="V47" s="1">
        <f>R47*Paramètres!$B$7</f>
        <v>0</v>
      </c>
      <c r="W47" s="1">
        <f>S47*Paramètres!$B$9</f>
        <v>0</v>
      </c>
      <c r="X47" s="1"/>
      <c r="Y47" s="2">
        <f t="shared" si="7"/>
        <v>0</v>
      </c>
      <c r="Z47" s="7">
        <f>R47*Paramètres!$B$10</f>
        <v>0</v>
      </c>
      <c r="AA47" s="7">
        <f>S47*Paramètres!$B$10</f>
        <v>0</v>
      </c>
      <c r="AB47" s="7"/>
      <c r="AC47" s="2">
        <f t="shared" si="8"/>
        <v>0</v>
      </c>
      <c r="AD47" s="1">
        <f t="shared" si="12"/>
        <v>0</v>
      </c>
      <c r="AE47" s="1">
        <f t="shared" si="9"/>
        <v>0</v>
      </c>
      <c r="AF47" s="1">
        <f>IF(B47="",0,Paramètres!$B$53*1.5)</f>
        <v>0</v>
      </c>
      <c r="AG47" s="1">
        <f>IF(C47="",0,Paramètres!$B$53*1.5)</f>
        <v>0</v>
      </c>
      <c r="AH47" s="1"/>
      <c r="AI47" s="1"/>
      <c r="AJ47" s="1"/>
      <c r="AK47" s="1"/>
      <c r="AL47" s="1">
        <f>(U47*Paramètres!$B$53)*3</f>
        <v>0</v>
      </c>
      <c r="AM47" s="1">
        <f t="shared" si="10"/>
        <v>0</v>
      </c>
      <c r="AN47" s="1">
        <f>U47*Paramètres!$B$75</f>
        <v>0</v>
      </c>
      <c r="AO47" s="1">
        <f>U47*Paramètres!$B$72*Paramètres!$B$73</f>
        <v>0</v>
      </c>
      <c r="AP47" s="1"/>
      <c r="AQ47" s="1">
        <f>(Y47+AC47)*Paramètres!$B$42*Paramètres!$B$53</f>
        <v>0</v>
      </c>
      <c r="AR47" s="1"/>
      <c r="AS47" s="7">
        <f>ROUNDUP(D47*Paramètres!$B$23*Paramètres!$B$26,-1)</f>
        <v>0</v>
      </c>
      <c r="AT47" s="7"/>
      <c r="AU47" s="1"/>
      <c r="AV47" s="8"/>
      <c r="AW47" s="8"/>
      <c r="AX47" s="8"/>
      <c r="AY47" s="8"/>
      <c r="AZ47" s="8"/>
      <c r="BA47" s="8"/>
      <c r="BB47" s="44"/>
      <c r="BC47" s="44"/>
      <c r="BD47" s="8"/>
      <c r="BE47" s="8"/>
      <c r="BF47" s="8"/>
      <c r="BG47" s="44"/>
      <c r="BI47">
        <f t="shared" si="11"/>
        <v>0</v>
      </c>
    </row>
    <row r="48" spans="1:61" x14ac:dyDescent="0.25">
      <c r="A48">
        <v>46</v>
      </c>
      <c r="B48" s="1"/>
      <c r="C48" s="1"/>
      <c r="D48" s="1"/>
      <c r="E48" s="1"/>
      <c r="F48" s="1"/>
      <c r="G48" s="53"/>
      <c r="H48" s="53"/>
      <c r="I48" s="54"/>
      <c r="J48" s="50">
        <f>F48*Paramètres!$B$3</f>
        <v>0</v>
      </c>
      <c r="K48" s="56">
        <f t="shared" si="0"/>
        <v>0</v>
      </c>
      <c r="L48" s="56">
        <f t="shared" si="1"/>
        <v>0</v>
      </c>
      <c r="M48" s="56">
        <f t="shared" si="2"/>
        <v>0</v>
      </c>
      <c r="N48" s="3">
        <f>ROUNDUP(J48*Paramètres!$B$19,-1)</f>
        <v>0</v>
      </c>
      <c r="O48" s="1">
        <f t="shared" si="3"/>
        <v>0</v>
      </c>
      <c r="P48" s="1">
        <f t="shared" si="4"/>
        <v>0</v>
      </c>
      <c r="Q48" s="3">
        <f t="shared" si="5"/>
        <v>0</v>
      </c>
      <c r="R48" s="47">
        <f>ROUNDUP(+K48/Paramètres!$B$4/Paramètres!$B$53,0)</f>
        <v>0</v>
      </c>
      <c r="S48" s="47">
        <f>ROUNDUP(+L48/Paramètres!$B$6/Paramètres!$B$53,0)</f>
        <v>0</v>
      </c>
      <c r="T48" s="47"/>
      <c r="U48" s="2">
        <f t="shared" si="6"/>
        <v>0</v>
      </c>
      <c r="V48" s="1">
        <f>R48*Paramètres!$B$7</f>
        <v>0</v>
      </c>
      <c r="W48" s="1">
        <f>S48*Paramètres!$B$9</f>
        <v>0</v>
      </c>
      <c r="X48" s="1"/>
      <c r="Y48" s="2">
        <f t="shared" si="7"/>
        <v>0</v>
      </c>
      <c r="Z48" s="7">
        <f>R48*Paramètres!$B$10</f>
        <v>0</v>
      </c>
      <c r="AA48" s="7">
        <f>S48*Paramètres!$B$10</f>
        <v>0</v>
      </c>
      <c r="AB48" s="7"/>
      <c r="AC48" s="2">
        <f t="shared" si="8"/>
        <v>0</v>
      </c>
      <c r="AD48" s="1">
        <f t="shared" si="12"/>
        <v>0</v>
      </c>
      <c r="AE48" s="1">
        <f t="shared" si="9"/>
        <v>0</v>
      </c>
      <c r="AF48" s="1">
        <f>IF(B48="",0,Paramètres!$B$53*1.5)</f>
        <v>0</v>
      </c>
      <c r="AG48" s="1">
        <f>IF(C48="",0,Paramètres!$B$53*1.5)</f>
        <v>0</v>
      </c>
      <c r="AH48" s="1"/>
      <c r="AI48" s="1"/>
      <c r="AJ48" s="1"/>
      <c r="AK48" s="1"/>
      <c r="AL48" s="1">
        <f>(U48*Paramètres!$B$53)*3</f>
        <v>0</v>
      </c>
      <c r="AM48" s="1">
        <f t="shared" si="10"/>
        <v>0</v>
      </c>
      <c r="AN48" s="1">
        <f>U48*Paramètres!$B$75</f>
        <v>0</v>
      </c>
      <c r="AO48" s="1">
        <f>U48*Paramètres!$B$72*Paramètres!$B$73</f>
        <v>0</v>
      </c>
      <c r="AP48" s="1"/>
      <c r="AQ48" s="1">
        <f>(Y48+AC48)*Paramètres!$B$42*Paramètres!$B$53</f>
        <v>0</v>
      </c>
      <c r="AR48" s="1"/>
      <c r="AS48" s="7">
        <f>ROUNDUP(D48*Paramètres!$B$23*Paramètres!$B$26,-1)</f>
        <v>0</v>
      </c>
      <c r="AT48" s="7"/>
      <c r="AU48" s="1"/>
      <c r="AV48" s="8"/>
      <c r="AW48" s="8"/>
      <c r="AX48" s="8"/>
      <c r="AY48" s="8"/>
      <c r="AZ48" s="8"/>
      <c r="BA48" s="8"/>
      <c r="BB48" s="44"/>
      <c r="BC48" s="44"/>
      <c r="BD48" s="8"/>
      <c r="BE48" s="8"/>
      <c r="BF48" s="8"/>
      <c r="BG48" s="44"/>
      <c r="BI48">
        <f t="shared" si="11"/>
        <v>0</v>
      </c>
    </row>
    <row r="49" spans="1:61" x14ac:dyDescent="0.25">
      <c r="A49">
        <v>47</v>
      </c>
      <c r="B49" s="1"/>
      <c r="C49" s="1"/>
      <c r="D49" s="1"/>
      <c r="E49" s="1"/>
      <c r="F49" s="1"/>
      <c r="G49" s="53"/>
      <c r="H49" s="53"/>
      <c r="I49" s="54"/>
      <c r="J49" s="50">
        <f>F49*Paramètres!$B$3</f>
        <v>0</v>
      </c>
      <c r="K49" s="56">
        <f t="shared" si="0"/>
        <v>0</v>
      </c>
      <c r="L49" s="56">
        <f t="shared" si="1"/>
        <v>0</v>
      </c>
      <c r="M49" s="56">
        <f t="shared" si="2"/>
        <v>0</v>
      </c>
      <c r="N49" s="3">
        <f>ROUNDUP(J49*Paramètres!$B$19,-1)</f>
        <v>0</v>
      </c>
      <c r="O49" s="1">
        <f t="shared" si="3"/>
        <v>0</v>
      </c>
      <c r="P49" s="1">
        <f t="shared" si="4"/>
        <v>0</v>
      </c>
      <c r="Q49" s="3">
        <f t="shared" si="5"/>
        <v>0</v>
      </c>
      <c r="R49" s="47">
        <f>ROUNDUP(+K49/Paramètres!$B$4/Paramètres!$B$53,0)</f>
        <v>0</v>
      </c>
      <c r="S49" s="47">
        <f>ROUNDUP(+L49/Paramètres!$B$6/Paramètres!$B$53,0)</f>
        <v>0</v>
      </c>
      <c r="T49" s="47"/>
      <c r="U49" s="2">
        <f t="shared" si="6"/>
        <v>0</v>
      </c>
      <c r="V49" s="1">
        <f>R49*Paramètres!$B$7</f>
        <v>0</v>
      </c>
      <c r="W49" s="1">
        <f>S49*Paramètres!$B$9</f>
        <v>0</v>
      </c>
      <c r="X49" s="1"/>
      <c r="Y49" s="2">
        <f t="shared" si="7"/>
        <v>0</v>
      </c>
      <c r="Z49" s="7">
        <f>R49*Paramètres!$B$10</f>
        <v>0</v>
      </c>
      <c r="AA49" s="7">
        <f>S49*Paramètres!$B$10</f>
        <v>0</v>
      </c>
      <c r="AB49" s="7"/>
      <c r="AC49" s="2">
        <f t="shared" si="8"/>
        <v>0</v>
      </c>
      <c r="AD49" s="1">
        <f t="shared" si="12"/>
        <v>0</v>
      </c>
      <c r="AE49" s="1">
        <f t="shared" si="9"/>
        <v>0</v>
      </c>
      <c r="AF49" s="1">
        <f>IF(B49="",0,Paramètres!$B$53*1.5)</f>
        <v>0</v>
      </c>
      <c r="AG49" s="1">
        <f>IF(C49="",0,Paramètres!$B$53*1.5)</f>
        <v>0</v>
      </c>
      <c r="AH49" s="1"/>
      <c r="AI49" s="1"/>
      <c r="AJ49" s="1"/>
      <c r="AK49" s="1"/>
      <c r="AL49" s="1">
        <f>(U49*Paramètres!$B$53)*3</f>
        <v>0</v>
      </c>
      <c r="AM49" s="1">
        <f t="shared" si="10"/>
        <v>0</v>
      </c>
      <c r="AN49" s="1">
        <f>U49*Paramètres!$B$75</f>
        <v>0</v>
      </c>
      <c r="AO49" s="1">
        <f>U49*Paramètres!$B$72*Paramètres!$B$73</f>
        <v>0</v>
      </c>
      <c r="AP49" s="1"/>
      <c r="AQ49" s="1">
        <f>(Y49+AC49)*Paramètres!$B$42*Paramètres!$B$53</f>
        <v>0</v>
      </c>
      <c r="AR49" s="1"/>
      <c r="AS49" s="7">
        <f>ROUNDUP(D49*Paramètres!$B$23*Paramètres!$B$26,-1)</f>
        <v>0</v>
      </c>
      <c r="AT49" s="7"/>
      <c r="AU49" s="1"/>
      <c r="AV49" s="8"/>
      <c r="AW49" s="8"/>
      <c r="AX49" s="8"/>
      <c r="AY49" s="8"/>
      <c r="AZ49" s="8"/>
      <c r="BA49" s="8"/>
      <c r="BB49" s="44"/>
      <c r="BC49" s="44"/>
      <c r="BD49" s="8"/>
      <c r="BE49" s="8"/>
      <c r="BF49" s="8"/>
      <c r="BG49" s="44"/>
      <c r="BI49">
        <f t="shared" si="11"/>
        <v>0</v>
      </c>
    </row>
    <row r="50" spans="1:61" x14ac:dyDescent="0.25">
      <c r="A50">
        <v>48</v>
      </c>
      <c r="B50" s="1"/>
      <c r="C50" s="1"/>
      <c r="D50" s="1"/>
      <c r="E50" s="1"/>
      <c r="F50" s="1"/>
      <c r="G50" s="53"/>
      <c r="H50" s="53"/>
      <c r="I50" s="54"/>
      <c r="J50" s="50">
        <f>F50*Paramètres!$B$3</f>
        <v>0</v>
      </c>
      <c r="K50" s="56">
        <f t="shared" si="0"/>
        <v>0</v>
      </c>
      <c r="L50" s="56">
        <f t="shared" si="1"/>
        <v>0</v>
      </c>
      <c r="M50" s="56">
        <f t="shared" si="2"/>
        <v>0</v>
      </c>
      <c r="N50" s="3">
        <f>ROUNDUP(J50*Paramètres!$B$19,-1)</f>
        <v>0</v>
      </c>
      <c r="O50" s="1">
        <f t="shared" si="3"/>
        <v>0</v>
      </c>
      <c r="P50" s="1">
        <f t="shared" si="4"/>
        <v>0</v>
      </c>
      <c r="Q50" s="3">
        <f t="shared" si="5"/>
        <v>0</v>
      </c>
      <c r="R50" s="47">
        <f>ROUNDUP(+K50/Paramètres!$B$4/Paramètres!$B$53,0)</f>
        <v>0</v>
      </c>
      <c r="S50" s="47">
        <f>ROUNDUP(+L50/Paramètres!$B$6/Paramètres!$B$53,0)</f>
        <v>0</v>
      </c>
      <c r="T50" s="47"/>
      <c r="U50" s="2">
        <f t="shared" si="6"/>
        <v>0</v>
      </c>
      <c r="V50" s="1">
        <f>R50*Paramètres!$B$7</f>
        <v>0</v>
      </c>
      <c r="W50" s="1">
        <f>S50*Paramètres!$B$9</f>
        <v>0</v>
      </c>
      <c r="X50" s="1"/>
      <c r="Y50" s="2">
        <f t="shared" si="7"/>
        <v>0</v>
      </c>
      <c r="Z50" s="7">
        <f>R50*Paramètres!$B$10</f>
        <v>0</v>
      </c>
      <c r="AA50" s="7">
        <f>S50*Paramètres!$B$10</f>
        <v>0</v>
      </c>
      <c r="AB50" s="7"/>
      <c r="AC50" s="2">
        <f t="shared" si="8"/>
        <v>0</v>
      </c>
      <c r="AD50" s="1">
        <f t="shared" si="12"/>
        <v>0</v>
      </c>
      <c r="AE50" s="1">
        <f t="shared" si="9"/>
        <v>0</v>
      </c>
      <c r="AF50" s="1">
        <f>IF(B50="",0,Paramètres!$B$53*1.5)</f>
        <v>0</v>
      </c>
      <c r="AG50" s="1">
        <f>IF(C50="",0,Paramètres!$B$53*1.5)</f>
        <v>0</v>
      </c>
      <c r="AH50" s="1"/>
      <c r="AI50" s="1"/>
      <c r="AJ50" s="1"/>
      <c r="AK50" s="1"/>
      <c r="AL50" s="1">
        <f>(U50*Paramètres!$B$53)*3</f>
        <v>0</v>
      </c>
      <c r="AM50" s="1">
        <f t="shared" si="10"/>
        <v>0</v>
      </c>
      <c r="AN50" s="1">
        <f>U50*Paramètres!$B$75</f>
        <v>0</v>
      </c>
      <c r="AO50" s="1">
        <f>U50*Paramètres!$B$72*Paramètres!$B$73</f>
        <v>0</v>
      </c>
      <c r="AP50" s="1"/>
      <c r="AQ50" s="1">
        <f>(Y50+AC50)*Paramètres!$B$42*Paramètres!$B$53</f>
        <v>0</v>
      </c>
      <c r="AR50" s="1"/>
      <c r="AS50" s="7">
        <f>ROUNDUP(D50*Paramètres!$B$23*Paramètres!$B$26,-1)</f>
        <v>0</v>
      </c>
      <c r="AT50" s="7"/>
      <c r="AU50" s="1"/>
      <c r="AV50" s="8"/>
      <c r="AW50" s="8"/>
      <c r="AX50" s="8"/>
      <c r="AY50" s="8"/>
      <c r="AZ50" s="8"/>
      <c r="BA50" s="8"/>
      <c r="BB50" s="44"/>
      <c r="BC50" s="44"/>
      <c r="BD50" s="8"/>
      <c r="BE50" s="8"/>
      <c r="BF50" s="8"/>
      <c r="BG50" s="44"/>
      <c r="BI50">
        <f t="shared" si="11"/>
        <v>0</v>
      </c>
    </row>
    <row r="51" spans="1:61" x14ac:dyDescent="0.25">
      <c r="A51">
        <v>49</v>
      </c>
      <c r="B51" s="1"/>
      <c r="C51" s="1"/>
      <c r="D51" s="1"/>
      <c r="E51" s="1"/>
      <c r="F51" s="1"/>
      <c r="G51" s="53"/>
      <c r="H51" s="53"/>
      <c r="I51" s="54"/>
      <c r="J51" s="50">
        <f>F51*Paramètres!$B$3</f>
        <v>0</v>
      </c>
      <c r="K51" s="56">
        <f t="shared" si="0"/>
        <v>0</v>
      </c>
      <c r="L51" s="56">
        <f t="shared" si="1"/>
        <v>0</v>
      </c>
      <c r="M51" s="56">
        <f t="shared" si="2"/>
        <v>0</v>
      </c>
      <c r="N51" s="3">
        <f>ROUNDUP(J51*Paramètres!$B$19,-1)</f>
        <v>0</v>
      </c>
      <c r="O51" s="1">
        <f t="shared" si="3"/>
        <v>0</v>
      </c>
      <c r="P51" s="1">
        <f t="shared" si="4"/>
        <v>0</v>
      </c>
      <c r="Q51" s="3">
        <f t="shared" si="5"/>
        <v>0</v>
      </c>
      <c r="R51" s="47">
        <f>ROUNDUP(+K51/Paramètres!$B$4/Paramètres!$B$53,0)</f>
        <v>0</v>
      </c>
      <c r="S51" s="47">
        <f>ROUNDUP(+L51/Paramètres!$B$6/Paramètres!$B$53,0)</f>
        <v>0</v>
      </c>
      <c r="T51" s="47"/>
      <c r="U51" s="2">
        <f t="shared" si="6"/>
        <v>0</v>
      </c>
      <c r="V51" s="1">
        <f>R51*Paramètres!$B$7</f>
        <v>0</v>
      </c>
      <c r="W51" s="1">
        <f>S51*Paramètres!$B$9</f>
        <v>0</v>
      </c>
      <c r="X51" s="1"/>
      <c r="Y51" s="2">
        <f t="shared" si="7"/>
        <v>0</v>
      </c>
      <c r="Z51" s="7">
        <f>R51*Paramètres!$B$10</f>
        <v>0</v>
      </c>
      <c r="AA51" s="7">
        <f>S51*Paramètres!$B$10</f>
        <v>0</v>
      </c>
      <c r="AB51" s="7"/>
      <c r="AC51" s="2">
        <f t="shared" si="8"/>
        <v>0</v>
      </c>
      <c r="AD51" s="1">
        <f t="shared" si="12"/>
        <v>0</v>
      </c>
      <c r="AE51" s="1">
        <f t="shared" si="9"/>
        <v>0</v>
      </c>
      <c r="AF51" s="1">
        <f>IF(B51="",0,Paramètres!$B$53*1.5)</f>
        <v>0</v>
      </c>
      <c r="AG51" s="1">
        <f>IF(C51="",0,Paramètres!$B$53*1.5)</f>
        <v>0</v>
      </c>
      <c r="AH51" s="1"/>
      <c r="AI51" s="1"/>
      <c r="AJ51" s="1"/>
      <c r="AK51" s="1"/>
      <c r="AL51" s="1">
        <f>(U51*Paramètres!$B$53)*3</f>
        <v>0</v>
      </c>
      <c r="AM51" s="1">
        <f t="shared" si="10"/>
        <v>0</v>
      </c>
      <c r="AN51" s="1">
        <f>U51*Paramètres!$B$75</f>
        <v>0</v>
      </c>
      <c r="AO51" s="1">
        <f>U51*Paramètres!$B$72*Paramètres!$B$73</f>
        <v>0</v>
      </c>
      <c r="AP51" s="1"/>
      <c r="AQ51" s="1">
        <f>(Y51+AC51)*Paramètres!$B$42*Paramètres!$B$53</f>
        <v>0</v>
      </c>
      <c r="AR51" s="1"/>
      <c r="AS51" s="7">
        <f>ROUNDUP(D51*Paramètres!$B$23*Paramètres!$B$26,-1)</f>
        <v>0</v>
      </c>
      <c r="AT51" s="7"/>
      <c r="AU51" s="1"/>
      <c r="AV51" s="8"/>
      <c r="AW51" s="8"/>
      <c r="AX51" s="8"/>
      <c r="AY51" s="8"/>
      <c r="AZ51" s="8"/>
      <c r="BA51" s="8"/>
      <c r="BB51" s="44"/>
      <c r="BC51" s="44"/>
      <c r="BD51" s="8"/>
      <c r="BE51" s="8"/>
      <c r="BF51" s="8"/>
      <c r="BG51" s="44"/>
      <c r="BI51">
        <f t="shared" si="11"/>
        <v>0</v>
      </c>
    </row>
    <row r="52" spans="1:61" x14ac:dyDescent="0.25">
      <c r="A52">
        <v>50</v>
      </c>
      <c r="B52" s="1"/>
      <c r="C52" s="1"/>
      <c r="D52" s="1"/>
      <c r="E52" s="1"/>
      <c r="F52" s="1"/>
      <c r="G52" s="53"/>
      <c r="H52" s="53"/>
      <c r="I52" s="54"/>
      <c r="J52" s="50">
        <f>F52*Paramètres!$B$3</f>
        <v>0</v>
      </c>
      <c r="K52" s="56">
        <f t="shared" si="0"/>
        <v>0</v>
      </c>
      <c r="L52" s="56">
        <f t="shared" si="1"/>
        <v>0</v>
      </c>
      <c r="M52" s="56">
        <f t="shared" si="2"/>
        <v>0</v>
      </c>
      <c r="N52" s="3">
        <f>ROUNDUP(J52*Paramètres!$B$19,-1)</f>
        <v>0</v>
      </c>
      <c r="O52" s="1">
        <f t="shared" si="3"/>
        <v>0</v>
      </c>
      <c r="P52" s="1">
        <f t="shared" si="4"/>
        <v>0</v>
      </c>
      <c r="Q52" s="3">
        <f t="shared" si="5"/>
        <v>0</v>
      </c>
      <c r="R52" s="47">
        <f>ROUNDUP(+K52/Paramètres!$B$4/Paramètres!$B$53,0)</f>
        <v>0</v>
      </c>
      <c r="S52" s="47">
        <f>ROUNDUP(+L52/Paramètres!$B$6/Paramètres!$B$53,0)</f>
        <v>0</v>
      </c>
      <c r="T52" s="47"/>
      <c r="U52" s="2">
        <f t="shared" si="6"/>
        <v>0</v>
      </c>
      <c r="V52" s="1">
        <f>R52*Paramètres!$B$7</f>
        <v>0</v>
      </c>
      <c r="W52" s="1">
        <f>S52*Paramètres!$B$9</f>
        <v>0</v>
      </c>
      <c r="X52" s="1"/>
      <c r="Y52" s="2">
        <f t="shared" si="7"/>
        <v>0</v>
      </c>
      <c r="Z52" s="7">
        <f>R52*Paramètres!$B$10</f>
        <v>0</v>
      </c>
      <c r="AA52" s="7">
        <f>S52*Paramètres!$B$10</f>
        <v>0</v>
      </c>
      <c r="AB52" s="7"/>
      <c r="AC52" s="2">
        <f t="shared" si="8"/>
        <v>0</v>
      </c>
      <c r="AD52" s="1">
        <f t="shared" si="12"/>
        <v>0</v>
      </c>
      <c r="AE52" s="1">
        <f t="shared" si="9"/>
        <v>0</v>
      </c>
      <c r="AF52" s="1">
        <f>IF(B52="",0,Paramètres!$B$53*1.5)</f>
        <v>0</v>
      </c>
      <c r="AG52" s="1">
        <f>IF(C52="",0,Paramètres!$B$53*1.5)</f>
        <v>0</v>
      </c>
      <c r="AH52" s="1"/>
      <c r="AI52" s="1"/>
      <c r="AJ52" s="1"/>
      <c r="AK52" s="1"/>
      <c r="AL52" s="1">
        <f>(U52*Paramètres!$B$53)*3</f>
        <v>0</v>
      </c>
      <c r="AM52" s="1">
        <f t="shared" si="10"/>
        <v>0</v>
      </c>
      <c r="AN52" s="1">
        <f>U52*Paramètres!$B$75</f>
        <v>0</v>
      </c>
      <c r="AO52" s="1">
        <f>U52*Paramètres!$B$72*Paramètres!$B$73</f>
        <v>0</v>
      </c>
      <c r="AP52" s="1"/>
      <c r="AQ52" s="1">
        <f>(Y52+AC52)*Paramètres!$B$42*Paramètres!$B$53</f>
        <v>0</v>
      </c>
      <c r="AR52" s="1"/>
      <c r="AS52" s="7">
        <f>ROUNDUP(D52*Paramètres!$B$23*Paramètres!$B$26,-1)</f>
        <v>0</v>
      </c>
      <c r="AT52" s="7"/>
      <c r="AU52" s="1"/>
      <c r="AV52" s="8"/>
      <c r="AW52" s="8"/>
      <c r="AX52" s="8"/>
      <c r="AY52" s="8"/>
      <c r="AZ52" s="8"/>
      <c r="BA52" s="8"/>
      <c r="BB52" s="44"/>
      <c r="BC52" s="44"/>
      <c r="BD52" s="8"/>
      <c r="BE52" s="8"/>
      <c r="BF52" s="8"/>
      <c r="BG52" s="44"/>
      <c r="BI52">
        <f t="shared" si="11"/>
        <v>0</v>
      </c>
    </row>
    <row r="53" spans="1:61" x14ac:dyDescent="0.25">
      <c r="A53">
        <v>51</v>
      </c>
      <c r="B53" s="1"/>
      <c r="C53" s="1"/>
      <c r="D53" s="1"/>
      <c r="E53" s="1"/>
      <c r="F53" s="1"/>
      <c r="G53" s="53"/>
      <c r="H53" s="53"/>
      <c r="I53" s="54"/>
      <c r="J53" s="50">
        <f>F53*Paramètres!$B$3</f>
        <v>0</v>
      </c>
      <c r="K53" s="56">
        <f t="shared" si="0"/>
        <v>0</v>
      </c>
      <c r="L53" s="56">
        <f t="shared" si="1"/>
        <v>0</v>
      </c>
      <c r="M53" s="56">
        <f t="shared" si="2"/>
        <v>0</v>
      </c>
      <c r="N53" s="3">
        <f>ROUNDUP(J53*Paramètres!$B$19,-1)</f>
        <v>0</v>
      </c>
      <c r="O53" s="1">
        <f t="shared" si="3"/>
        <v>0</v>
      </c>
      <c r="P53" s="1">
        <f t="shared" si="4"/>
        <v>0</v>
      </c>
      <c r="Q53" s="3">
        <f t="shared" si="5"/>
        <v>0</v>
      </c>
      <c r="R53" s="47">
        <f>ROUNDUP(+K53/Paramètres!$B$4/Paramètres!$B$53,0)</f>
        <v>0</v>
      </c>
      <c r="S53" s="47">
        <f>ROUNDUP(+L53/Paramètres!$B$6/Paramètres!$B$53,0)</f>
        <v>0</v>
      </c>
      <c r="T53" s="47"/>
      <c r="U53" s="2">
        <f t="shared" si="6"/>
        <v>0</v>
      </c>
      <c r="V53" s="1">
        <f>R53*Paramètres!$B$7</f>
        <v>0</v>
      </c>
      <c r="W53" s="1">
        <f>S53*Paramètres!$B$9</f>
        <v>0</v>
      </c>
      <c r="X53" s="1"/>
      <c r="Y53" s="2">
        <f t="shared" si="7"/>
        <v>0</v>
      </c>
      <c r="Z53" s="7">
        <f>R53*Paramètres!$B$10</f>
        <v>0</v>
      </c>
      <c r="AA53" s="7">
        <f>S53*Paramètres!$B$10</f>
        <v>0</v>
      </c>
      <c r="AB53" s="7"/>
      <c r="AC53" s="2">
        <f t="shared" si="8"/>
        <v>0</v>
      </c>
      <c r="AD53" s="1">
        <f t="shared" si="12"/>
        <v>0</v>
      </c>
      <c r="AE53" s="1">
        <f t="shared" si="9"/>
        <v>0</v>
      </c>
      <c r="AF53" s="1">
        <f>IF(B53="",0,Paramètres!$B$53*1.5)</f>
        <v>0</v>
      </c>
      <c r="AG53" s="1">
        <f>IF(C53="",0,Paramètres!$B$53*1.5)</f>
        <v>0</v>
      </c>
      <c r="AH53" s="1"/>
      <c r="AI53" s="1"/>
      <c r="AJ53" s="1"/>
      <c r="AK53" s="1"/>
      <c r="AL53" s="1">
        <f>(U53*Paramètres!$B$53)*3</f>
        <v>0</v>
      </c>
      <c r="AM53" s="1">
        <f t="shared" si="10"/>
        <v>0</v>
      </c>
      <c r="AN53" s="1">
        <f>U53*Paramètres!$B$75</f>
        <v>0</v>
      </c>
      <c r="AO53" s="1">
        <f>U53*Paramètres!$B$72*Paramètres!$B$73</f>
        <v>0</v>
      </c>
      <c r="AP53" s="1"/>
      <c r="AQ53" s="1">
        <f>(Y53+AC53)*Paramètres!$B$42*Paramètres!$B$53</f>
        <v>0</v>
      </c>
      <c r="AR53" s="1"/>
      <c r="AS53" s="7">
        <f>ROUNDUP(D53*Paramètres!$B$23*Paramètres!$B$26,-1)</f>
        <v>0</v>
      </c>
      <c r="AT53" s="7"/>
      <c r="AU53" s="1"/>
      <c r="AV53" s="8"/>
      <c r="AW53" s="8"/>
      <c r="AX53" s="8"/>
      <c r="AY53" s="8"/>
      <c r="AZ53" s="8"/>
      <c r="BA53" s="8"/>
      <c r="BB53" s="44"/>
      <c r="BC53" s="44"/>
      <c r="BD53" s="8"/>
      <c r="BE53" s="8"/>
      <c r="BF53" s="8"/>
      <c r="BG53" s="44"/>
      <c r="BI53">
        <f t="shared" si="11"/>
        <v>0</v>
      </c>
    </row>
    <row r="54" spans="1:61" x14ac:dyDescent="0.25">
      <c r="B54" s="1"/>
      <c r="C54" s="1"/>
      <c r="D54" s="1"/>
      <c r="E54" s="1"/>
      <c r="F54" s="1"/>
      <c r="G54" s="54"/>
      <c r="H54" s="54"/>
      <c r="I54" s="54"/>
      <c r="J54" s="50">
        <f>F54*Paramètres!$B$3</f>
        <v>0</v>
      </c>
      <c r="K54" s="56">
        <f t="shared" si="0"/>
        <v>0</v>
      </c>
      <c r="L54" s="56">
        <f t="shared" si="1"/>
        <v>0</v>
      </c>
      <c r="M54" s="56">
        <f t="shared" si="2"/>
        <v>0</v>
      </c>
      <c r="N54" s="3">
        <f>ROUNDUP(J54*Paramètres!$B$19,-1)</f>
        <v>0</v>
      </c>
      <c r="O54" s="1">
        <f t="shared" si="3"/>
        <v>0</v>
      </c>
      <c r="P54" s="1">
        <f t="shared" si="4"/>
        <v>0</v>
      </c>
      <c r="Q54" s="3">
        <f t="shared" si="5"/>
        <v>0</v>
      </c>
      <c r="R54" s="47">
        <f>ROUNDUP(+K54/Paramètres!$B$4/Paramètres!$B$53,0)</f>
        <v>0</v>
      </c>
      <c r="S54" s="47">
        <f>ROUNDUP(+L54/Paramètres!$B$6/Paramètres!$B$53,0)</f>
        <v>0</v>
      </c>
      <c r="T54" s="47"/>
      <c r="U54" s="2">
        <f t="shared" si="6"/>
        <v>0</v>
      </c>
      <c r="V54" s="1">
        <f>R54*Paramètres!$B$7</f>
        <v>0</v>
      </c>
      <c r="W54" s="1">
        <f>S54*Paramètres!$B$9</f>
        <v>0</v>
      </c>
      <c r="X54" s="1"/>
      <c r="Y54" s="2">
        <f t="shared" si="7"/>
        <v>0</v>
      </c>
      <c r="Z54" s="7">
        <f>R54*Paramètres!$B$10</f>
        <v>0</v>
      </c>
      <c r="AA54" s="7">
        <f>S54*Paramètres!$B$10</f>
        <v>0</v>
      </c>
      <c r="AB54" s="7"/>
      <c r="AC54" s="2">
        <f t="shared" si="8"/>
        <v>0</v>
      </c>
      <c r="AD54" s="1">
        <f t="shared" si="12"/>
        <v>0</v>
      </c>
      <c r="AE54" s="1">
        <f t="shared" si="9"/>
        <v>0</v>
      </c>
      <c r="AF54" s="1">
        <f>IF(B54="",0,Paramètres!$B$53*1.5)</f>
        <v>0</v>
      </c>
      <c r="AG54" s="1">
        <f>IF(C54="",0,Paramètres!$B$53*1.5)</f>
        <v>0</v>
      </c>
      <c r="AH54" s="1"/>
      <c r="AI54" s="1"/>
      <c r="AJ54" s="1"/>
      <c r="AK54" s="1"/>
      <c r="AL54" s="1">
        <f>(U54*Paramètres!$B$53)*3</f>
        <v>0</v>
      </c>
      <c r="AM54" s="1">
        <f t="shared" si="10"/>
        <v>0</v>
      </c>
      <c r="AN54" s="1">
        <f>U54*Paramètres!$B$75</f>
        <v>0</v>
      </c>
      <c r="AO54" s="1">
        <f>U54*Paramètres!$B$72*Paramètres!$B$73</f>
        <v>0</v>
      </c>
      <c r="AP54" s="1"/>
      <c r="AQ54" s="1">
        <f>(Y54+AC54)*Paramètres!$B$42*Paramètres!$B$53</f>
        <v>0</v>
      </c>
      <c r="AR54" s="1"/>
      <c r="AS54" s="7">
        <f>ROUNDUP(D54*Paramètres!$B$23*Paramètres!$B$26,-1)</f>
        <v>0</v>
      </c>
      <c r="AT54" s="7"/>
      <c r="AU54" s="1"/>
      <c r="AV54" s="8"/>
      <c r="AW54" s="8"/>
      <c r="AX54" s="8"/>
      <c r="AY54" s="8"/>
      <c r="AZ54" s="8"/>
      <c r="BA54" s="8"/>
      <c r="BB54" s="44"/>
      <c r="BC54" s="44"/>
      <c r="BD54" s="8"/>
      <c r="BE54" s="8"/>
      <c r="BF54" s="8"/>
      <c r="BG54" s="44"/>
      <c r="BI54">
        <f t="shared" si="11"/>
        <v>0</v>
      </c>
    </row>
    <row r="55" spans="1:61" x14ac:dyDescent="0.25">
      <c r="B55" s="1"/>
      <c r="C55" s="1"/>
      <c r="D55" s="1"/>
      <c r="E55" s="1"/>
      <c r="F55" s="1"/>
      <c r="G55" s="54"/>
      <c r="H55" s="54"/>
      <c r="I55" s="54"/>
      <c r="J55" s="50">
        <f>F55*Paramètres!$B$3</f>
        <v>0</v>
      </c>
      <c r="K55" s="56">
        <f t="shared" si="0"/>
        <v>0</v>
      </c>
      <c r="L55" s="56">
        <f t="shared" si="1"/>
        <v>0</v>
      </c>
      <c r="M55" s="56">
        <f t="shared" si="2"/>
        <v>0</v>
      </c>
      <c r="N55" s="3">
        <f>ROUNDUP(J55*Paramètres!$B$19,-1)</f>
        <v>0</v>
      </c>
      <c r="O55" s="1">
        <f t="shared" si="3"/>
        <v>0</v>
      </c>
      <c r="P55" s="1">
        <f t="shared" si="4"/>
        <v>0</v>
      </c>
      <c r="Q55" s="3">
        <f t="shared" si="5"/>
        <v>0</v>
      </c>
      <c r="R55" s="47">
        <f>ROUNDUP(+K55/Paramètres!$B$4/Paramètres!$B$53,0)</f>
        <v>0</v>
      </c>
      <c r="S55" s="47">
        <f>ROUNDUP(+L55/Paramètres!$B$6/Paramètres!$B$53,0)</f>
        <v>0</v>
      </c>
      <c r="T55" s="47"/>
      <c r="U55" s="2">
        <f t="shared" si="6"/>
        <v>0</v>
      </c>
      <c r="V55" s="1">
        <f>R55*Paramètres!$B$7</f>
        <v>0</v>
      </c>
      <c r="W55" s="1">
        <f>S55*Paramètres!$B$9</f>
        <v>0</v>
      </c>
      <c r="X55" s="1"/>
      <c r="Y55" s="2">
        <f t="shared" si="7"/>
        <v>0</v>
      </c>
      <c r="Z55" s="7">
        <f>R55*Paramètres!$B$10</f>
        <v>0</v>
      </c>
      <c r="AA55" s="7">
        <f>S55*Paramètres!$B$10</f>
        <v>0</v>
      </c>
      <c r="AB55" s="7"/>
      <c r="AC55" s="2">
        <f t="shared" si="8"/>
        <v>0</v>
      </c>
      <c r="AD55" s="1">
        <f t="shared" si="12"/>
        <v>0</v>
      </c>
      <c r="AE55" s="1">
        <f t="shared" si="9"/>
        <v>0</v>
      </c>
      <c r="AF55" s="1">
        <f>IF(B55="",0,Paramètres!$B$53*1.5)</f>
        <v>0</v>
      </c>
      <c r="AG55" s="1">
        <f>IF(C55="",0,Paramètres!$B$53*1.5)</f>
        <v>0</v>
      </c>
      <c r="AH55" s="1"/>
      <c r="AI55" s="1"/>
      <c r="AJ55" s="1"/>
      <c r="AK55" s="1"/>
      <c r="AL55" s="1">
        <f>(U55*Paramètres!$B$53)*3</f>
        <v>0</v>
      </c>
      <c r="AM55" s="1">
        <f t="shared" si="10"/>
        <v>0</v>
      </c>
      <c r="AN55" s="1">
        <f>U55*Paramètres!$B$75</f>
        <v>0</v>
      </c>
      <c r="AO55" s="1">
        <f>U55*Paramètres!$B$72*Paramètres!$B$73</f>
        <v>0</v>
      </c>
      <c r="AP55" s="1"/>
      <c r="AQ55" s="1">
        <f>(Y55+AC55)*Paramètres!$B$42*Paramètres!$B$53</f>
        <v>0</v>
      </c>
      <c r="AR55" s="1"/>
      <c r="AS55" s="7">
        <f>ROUNDUP(D55*Paramètres!$B$23*Paramètres!$B$26,-1)</f>
        <v>0</v>
      </c>
      <c r="AT55" s="7"/>
      <c r="AU55" s="1"/>
      <c r="AV55" s="8"/>
      <c r="AW55" s="8"/>
      <c r="AX55" s="8"/>
      <c r="AY55" s="8"/>
      <c r="AZ55" s="8"/>
      <c r="BA55" s="8"/>
      <c r="BB55" s="44"/>
      <c r="BC55" s="44"/>
      <c r="BD55" s="8"/>
      <c r="BE55" s="8"/>
      <c r="BF55" s="8"/>
      <c r="BG55" s="44"/>
      <c r="BI55">
        <f t="shared" si="11"/>
        <v>0</v>
      </c>
    </row>
    <row r="56" spans="1:61" x14ac:dyDescent="0.25">
      <c r="B56" s="1"/>
      <c r="C56" s="1"/>
      <c r="D56" s="1"/>
      <c r="E56" s="1"/>
      <c r="F56" s="1"/>
      <c r="G56" s="54"/>
      <c r="H56" s="54"/>
      <c r="I56" s="54"/>
      <c r="J56" s="50">
        <f>F56*Paramètres!$B$3</f>
        <v>0</v>
      </c>
      <c r="K56" s="56">
        <f t="shared" si="0"/>
        <v>0</v>
      </c>
      <c r="L56" s="56">
        <f t="shared" si="1"/>
        <v>0</v>
      </c>
      <c r="M56" s="56">
        <f t="shared" si="2"/>
        <v>0</v>
      </c>
      <c r="N56" s="3">
        <f>ROUNDUP(J56*Paramètres!$B$19,-1)</f>
        <v>0</v>
      </c>
      <c r="O56" s="1">
        <f t="shared" si="3"/>
        <v>0</v>
      </c>
      <c r="P56" s="1">
        <f t="shared" si="4"/>
        <v>0</v>
      </c>
      <c r="Q56" s="3">
        <f t="shared" si="5"/>
        <v>0</v>
      </c>
      <c r="R56" s="47">
        <f>ROUNDUP(+K56/Paramètres!$B$4/Paramètres!$B$53,0)</f>
        <v>0</v>
      </c>
      <c r="S56" s="47">
        <f>ROUNDUP(+L56/Paramètres!$B$6/Paramètres!$B$53,0)</f>
        <v>0</v>
      </c>
      <c r="T56" s="47"/>
      <c r="U56" s="2">
        <f t="shared" si="6"/>
        <v>0</v>
      </c>
      <c r="V56" s="1">
        <f>R56*Paramètres!$B$7</f>
        <v>0</v>
      </c>
      <c r="W56" s="1">
        <f>S56*Paramètres!$B$9</f>
        <v>0</v>
      </c>
      <c r="X56" s="1"/>
      <c r="Y56" s="2">
        <f t="shared" si="7"/>
        <v>0</v>
      </c>
      <c r="Z56" s="7">
        <f>R56*Paramètres!$B$10</f>
        <v>0</v>
      </c>
      <c r="AA56" s="7">
        <f>S56*Paramètres!$B$10</f>
        <v>0</v>
      </c>
      <c r="AB56" s="7"/>
      <c r="AC56" s="2">
        <f t="shared" si="8"/>
        <v>0</v>
      </c>
      <c r="AD56" s="1">
        <f t="shared" si="12"/>
        <v>0</v>
      </c>
      <c r="AE56" s="1">
        <f t="shared" si="9"/>
        <v>0</v>
      </c>
      <c r="AF56" s="1">
        <f>IF(B56="",0,Paramètres!$B$53*1.5)</f>
        <v>0</v>
      </c>
      <c r="AG56" s="1">
        <f>IF(C56="",0,Paramètres!$B$53*1.5)</f>
        <v>0</v>
      </c>
      <c r="AH56" s="1"/>
      <c r="AI56" s="1"/>
      <c r="AJ56" s="1"/>
      <c r="AK56" s="1"/>
      <c r="AL56" s="1">
        <f>(U56*Paramètres!$B$53)*3</f>
        <v>0</v>
      </c>
      <c r="AM56" s="1">
        <f t="shared" si="10"/>
        <v>0</v>
      </c>
      <c r="AN56" s="1">
        <f>U56*Paramètres!$B$75</f>
        <v>0</v>
      </c>
      <c r="AO56" s="1">
        <f>U56*Paramètres!$B$72*Paramètres!$B$73</f>
        <v>0</v>
      </c>
      <c r="AP56" s="1"/>
      <c r="AQ56" s="1">
        <f>(Y56+AC56)*Paramètres!$B$42*Paramètres!$B$53</f>
        <v>0</v>
      </c>
      <c r="AR56" s="1"/>
      <c r="AS56" s="7">
        <f>ROUNDUP(D56*Paramètres!$B$23*Paramètres!$B$26,-1)</f>
        <v>0</v>
      </c>
      <c r="AT56" s="7"/>
      <c r="AU56" s="1"/>
      <c r="AV56" s="8"/>
      <c r="AW56" s="8"/>
      <c r="AX56" s="8"/>
      <c r="AY56" s="8"/>
      <c r="AZ56" s="8"/>
      <c r="BA56" s="8"/>
      <c r="BB56" s="44"/>
      <c r="BC56" s="44"/>
      <c r="BD56" s="8"/>
      <c r="BE56" s="8"/>
      <c r="BF56" s="8"/>
      <c r="BG56" s="44"/>
      <c r="BI56">
        <f t="shared" si="11"/>
        <v>0</v>
      </c>
    </row>
    <row r="57" spans="1:61" x14ac:dyDescent="0.25">
      <c r="B57" s="1"/>
      <c r="C57" s="1"/>
      <c r="D57" s="1"/>
      <c r="E57" s="1"/>
      <c r="F57" s="1"/>
      <c r="G57" s="54"/>
      <c r="H57" s="54"/>
      <c r="I57" s="54"/>
      <c r="J57" s="50">
        <f>F57*Paramètres!$B$3</f>
        <v>0</v>
      </c>
      <c r="K57" s="56">
        <f t="shared" si="0"/>
        <v>0</v>
      </c>
      <c r="L57" s="56">
        <f t="shared" si="1"/>
        <v>0</v>
      </c>
      <c r="M57" s="56">
        <f t="shared" si="2"/>
        <v>0</v>
      </c>
      <c r="N57" s="3">
        <f>ROUNDUP(J57*Paramètres!$B$19,-1)</f>
        <v>0</v>
      </c>
      <c r="O57" s="1">
        <f t="shared" si="3"/>
        <v>0</v>
      </c>
      <c r="P57" s="1">
        <f t="shared" si="4"/>
        <v>0</v>
      </c>
      <c r="Q57" s="3">
        <f t="shared" si="5"/>
        <v>0</v>
      </c>
      <c r="R57" s="47">
        <f>ROUNDUP(+K57/Paramètres!$B$4/Paramètres!$B$53,0)</f>
        <v>0</v>
      </c>
      <c r="S57" s="47">
        <f>ROUNDUP(+L57/Paramètres!$B$6/Paramètres!$B$53,0)</f>
        <v>0</v>
      </c>
      <c r="T57" s="47"/>
      <c r="U57" s="2">
        <f t="shared" si="6"/>
        <v>0</v>
      </c>
      <c r="V57" s="1">
        <f>R57*Paramètres!$B$7</f>
        <v>0</v>
      </c>
      <c r="W57" s="1">
        <f>S57*Paramètres!$B$9</f>
        <v>0</v>
      </c>
      <c r="X57" s="1"/>
      <c r="Y57" s="2">
        <f t="shared" si="7"/>
        <v>0</v>
      </c>
      <c r="Z57" s="7">
        <f>R57*Paramètres!$B$10</f>
        <v>0</v>
      </c>
      <c r="AA57" s="7">
        <f>S57*Paramètres!$B$10</f>
        <v>0</v>
      </c>
      <c r="AB57" s="7"/>
      <c r="AC57" s="2">
        <f t="shared" si="8"/>
        <v>0</v>
      </c>
      <c r="AD57" s="1">
        <f t="shared" si="12"/>
        <v>0</v>
      </c>
      <c r="AE57" s="1">
        <f t="shared" si="9"/>
        <v>0</v>
      </c>
      <c r="AF57" s="1">
        <f>IF(B57="",0,Paramètres!$B$53*1.5)</f>
        <v>0</v>
      </c>
      <c r="AG57" s="1">
        <f>IF(C57="",0,Paramètres!$B$53*1.5)</f>
        <v>0</v>
      </c>
      <c r="AH57" s="1"/>
      <c r="AI57" s="1"/>
      <c r="AJ57" s="1"/>
      <c r="AK57" s="1"/>
      <c r="AL57" s="1">
        <f>(U57*Paramètres!$B$53)*3</f>
        <v>0</v>
      </c>
      <c r="AM57" s="1">
        <f t="shared" si="10"/>
        <v>0</v>
      </c>
      <c r="AN57" s="1">
        <f>U57*Paramètres!$B$75</f>
        <v>0</v>
      </c>
      <c r="AO57" s="1">
        <f>U57*Paramètres!$B$72*Paramètres!$B$73</f>
        <v>0</v>
      </c>
      <c r="AP57" s="1"/>
      <c r="AQ57" s="1">
        <f>(Y57+AC57)*Paramètres!$B$42*Paramètres!$B$53</f>
        <v>0</v>
      </c>
      <c r="AR57" s="1"/>
      <c r="AS57" s="7">
        <f>ROUNDUP(D57*Paramètres!$B$23*Paramètres!$B$26,-1)</f>
        <v>0</v>
      </c>
      <c r="AT57" s="7"/>
      <c r="AU57" s="1"/>
      <c r="AV57" s="8"/>
      <c r="AW57" s="8"/>
      <c r="AX57" s="8"/>
      <c r="AY57" s="8"/>
      <c r="AZ57" s="8"/>
      <c r="BA57" s="8"/>
      <c r="BB57" s="44"/>
      <c r="BC57" s="44"/>
      <c r="BD57" s="8"/>
      <c r="BE57" s="8"/>
      <c r="BF57" s="8"/>
      <c r="BG57" s="44"/>
      <c r="BI57">
        <f t="shared" si="11"/>
        <v>0</v>
      </c>
    </row>
    <row r="58" spans="1:61" x14ac:dyDescent="0.25">
      <c r="B58" s="1"/>
      <c r="C58" s="1"/>
      <c r="D58" s="1"/>
      <c r="E58" s="1"/>
      <c r="F58" s="1"/>
      <c r="G58" s="54"/>
      <c r="H58" s="54"/>
      <c r="I58" s="54"/>
      <c r="J58" s="50">
        <f>F58*Paramètres!$B$3</f>
        <v>0</v>
      </c>
      <c r="K58" s="56">
        <f t="shared" si="0"/>
        <v>0</v>
      </c>
      <c r="L58" s="56">
        <f t="shared" si="1"/>
        <v>0</v>
      </c>
      <c r="M58" s="56">
        <f t="shared" si="2"/>
        <v>0</v>
      </c>
      <c r="N58" s="3">
        <f>ROUNDUP(J58*Paramètres!$B$19,-1)</f>
        <v>0</v>
      </c>
      <c r="O58" s="1">
        <f t="shared" si="3"/>
        <v>0</v>
      </c>
      <c r="P58" s="1">
        <f t="shared" si="4"/>
        <v>0</v>
      </c>
      <c r="Q58" s="3">
        <f t="shared" si="5"/>
        <v>0</v>
      </c>
      <c r="R58" s="47">
        <f>ROUNDUP(+K58/Paramètres!$B$4/Paramètres!$B$53,0)</f>
        <v>0</v>
      </c>
      <c r="S58" s="47">
        <f>ROUNDUP(+L58/Paramètres!$B$6/Paramètres!$B$53,0)</f>
        <v>0</v>
      </c>
      <c r="T58" s="47"/>
      <c r="U58" s="2">
        <f t="shared" si="6"/>
        <v>0</v>
      </c>
      <c r="V58" s="1">
        <f>R58*Paramètres!$B$7</f>
        <v>0</v>
      </c>
      <c r="W58" s="1">
        <f>S58*Paramètres!$B$9</f>
        <v>0</v>
      </c>
      <c r="X58" s="1"/>
      <c r="Y58" s="2">
        <f t="shared" si="7"/>
        <v>0</v>
      </c>
      <c r="Z58" s="7">
        <f>R58*Paramètres!$B$10</f>
        <v>0</v>
      </c>
      <c r="AA58" s="7">
        <f>S58*Paramètres!$B$10</f>
        <v>0</v>
      </c>
      <c r="AB58" s="7"/>
      <c r="AC58" s="2">
        <f t="shared" si="8"/>
        <v>0</v>
      </c>
      <c r="AD58" s="1">
        <f t="shared" si="12"/>
        <v>0</v>
      </c>
      <c r="AE58" s="1">
        <f t="shared" si="9"/>
        <v>0</v>
      </c>
      <c r="AF58" s="1">
        <f>IF(B58="",0,Paramètres!$B$53*1.5)</f>
        <v>0</v>
      </c>
      <c r="AG58" s="1">
        <f>IF(C58="",0,Paramètres!$B$53*1.5)</f>
        <v>0</v>
      </c>
      <c r="AH58" s="1"/>
      <c r="AI58" s="1"/>
      <c r="AJ58" s="1"/>
      <c r="AK58" s="1"/>
      <c r="AL58" s="1">
        <f>(U58*Paramètres!$B$53)*3</f>
        <v>0</v>
      </c>
      <c r="AM58" s="1">
        <f t="shared" si="10"/>
        <v>0</v>
      </c>
      <c r="AN58" s="1">
        <f>U58*Paramètres!$B$75</f>
        <v>0</v>
      </c>
      <c r="AO58" s="1">
        <f>U58*Paramètres!$B$72*Paramètres!$B$73</f>
        <v>0</v>
      </c>
      <c r="AP58" s="1"/>
      <c r="AQ58" s="1">
        <f>(Y58+AC58)*Paramètres!$B$42*Paramètres!$B$53</f>
        <v>0</v>
      </c>
      <c r="AR58" s="1"/>
      <c r="AS58" s="7">
        <f>ROUNDUP(D58*Paramètres!$B$23*Paramètres!$B$26,-1)</f>
        <v>0</v>
      </c>
      <c r="AT58" s="7"/>
      <c r="AU58" s="1"/>
      <c r="AV58" s="8"/>
      <c r="AW58" s="8"/>
      <c r="AX58" s="8"/>
      <c r="AY58" s="8"/>
      <c r="AZ58" s="8"/>
      <c r="BA58" s="8"/>
      <c r="BB58" s="44"/>
      <c r="BC58" s="44"/>
      <c r="BD58" s="8"/>
      <c r="BE58" s="8"/>
      <c r="BF58" s="8"/>
      <c r="BG58" s="44"/>
      <c r="BI58">
        <f t="shared" si="11"/>
        <v>0</v>
      </c>
    </row>
    <row r="59" spans="1:61" x14ac:dyDescent="0.25">
      <c r="B59" s="1"/>
      <c r="C59" s="1"/>
      <c r="D59" s="1"/>
      <c r="E59" s="1"/>
      <c r="F59" s="1"/>
      <c r="G59" s="54"/>
      <c r="H59" s="54"/>
      <c r="I59" s="54"/>
      <c r="J59" s="50">
        <f>F59*Paramètres!$B$3</f>
        <v>0</v>
      </c>
      <c r="K59" s="56">
        <f t="shared" si="0"/>
        <v>0</v>
      </c>
      <c r="L59" s="56">
        <f t="shared" si="1"/>
        <v>0</v>
      </c>
      <c r="M59" s="56">
        <f t="shared" si="2"/>
        <v>0</v>
      </c>
      <c r="N59" s="3">
        <f>ROUNDUP(J59*Paramètres!$B$19,-1)</f>
        <v>0</v>
      </c>
      <c r="O59" s="1">
        <f t="shared" si="3"/>
        <v>0</v>
      </c>
      <c r="P59" s="1">
        <f t="shared" si="4"/>
        <v>0</v>
      </c>
      <c r="Q59" s="3">
        <f t="shared" si="5"/>
        <v>0</v>
      </c>
      <c r="R59" s="47">
        <f>ROUNDUP(+K59/Paramètres!$B$4/Paramètres!$B$53,0)</f>
        <v>0</v>
      </c>
      <c r="S59" s="47">
        <f>ROUNDUP(+L59/Paramètres!$B$6/Paramètres!$B$53,0)</f>
        <v>0</v>
      </c>
      <c r="T59" s="47"/>
      <c r="U59" s="2">
        <f t="shared" si="6"/>
        <v>0</v>
      </c>
      <c r="V59" s="1">
        <f>R59*Paramètres!$B$7</f>
        <v>0</v>
      </c>
      <c r="W59" s="1">
        <f>S59*Paramètres!$B$9</f>
        <v>0</v>
      </c>
      <c r="X59" s="1"/>
      <c r="Y59" s="2">
        <f t="shared" si="7"/>
        <v>0</v>
      </c>
      <c r="Z59" s="7">
        <f>R59*Paramètres!$B$10</f>
        <v>0</v>
      </c>
      <c r="AA59" s="7">
        <f>S59*Paramètres!$B$10</f>
        <v>0</v>
      </c>
      <c r="AB59" s="7"/>
      <c r="AC59" s="2">
        <f t="shared" si="8"/>
        <v>0</v>
      </c>
      <c r="AD59" s="1">
        <f t="shared" si="12"/>
        <v>0</v>
      </c>
      <c r="AE59" s="1">
        <f t="shared" si="9"/>
        <v>0</v>
      </c>
      <c r="AF59" s="1">
        <f>IF(B59="",0,Paramètres!$B$53*1.5)</f>
        <v>0</v>
      </c>
      <c r="AG59" s="1">
        <f>IF(C59="",0,Paramètres!$B$53*1.5)</f>
        <v>0</v>
      </c>
      <c r="AH59" s="1"/>
      <c r="AI59" s="1"/>
      <c r="AJ59" s="1"/>
      <c r="AK59" s="1"/>
      <c r="AL59" s="1">
        <f>(U59*Paramètres!$B$53)*3</f>
        <v>0</v>
      </c>
      <c r="AM59" s="1">
        <f t="shared" si="10"/>
        <v>0</v>
      </c>
      <c r="AN59" s="1">
        <f>U59*Paramètres!$B$75</f>
        <v>0</v>
      </c>
      <c r="AO59" s="1">
        <f>U59*Paramètres!$B$72*Paramètres!$B$73</f>
        <v>0</v>
      </c>
      <c r="AP59" s="1"/>
      <c r="AQ59" s="1">
        <f>(Y59+AC59)*Paramètres!$B$42*Paramètres!$B$53</f>
        <v>0</v>
      </c>
      <c r="AR59" s="1"/>
      <c r="AS59" s="7">
        <f>ROUNDUP(D59*Paramètres!$B$23*Paramètres!$B$26,-1)</f>
        <v>0</v>
      </c>
      <c r="AT59" s="7"/>
      <c r="AU59" s="1"/>
      <c r="AV59" s="8"/>
      <c r="AW59" s="8"/>
      <c r="AX59" s="8"/>
      <c r="AY59" s="8"/>
      <c r="AZ59" s="8"/>
      <c r="BA59" s="8"/>
      <c r="BB59" s="44"/>
      <c r="BC59" s="44"/>
      <c r="BD59" s="8"/>
      <c r="BE59" s="8"/>
      <c r="BF59" s="8"/>
      <c r="BG59" s="44"/>
      <c r="BI59">
        <f t="shared" si="11"/>
        <v>0</v>
      </c>
    </row>
    <row r="60" spans="1:61" x14ac:dyDescent="0.25">
      <c r="B60" s="1"/>
      <c r="C60" s="1"/>
      <c r="D60" s="1"/>
      <c r="E60" s="1"/>
      <c r="F60" s="1"/>
      <c r="G60" s="54"/>
      <c r="H60" s="54"/>
      <c r="I60" s="54"/>
      <c r="J60" s="50">
        <f>F60*Paramètres!$B$3</f>
        <v>0</v>
      </c>
      <c r="K60" s="56">
        <f t="shared" si="0"/>
        <v>0</v>
      </c>
      <c r="L60" s="56">
        <f t="shared" si="1"/>
        <v>0</v>
      </c>
      <c r="M60" s="56">
        <f t="shared" si="2"/>
        <v>0</v>
      </c>
      <c r="N60" s="3">
        <f>ROUNDUP(J60*Paramètres!$B$19,-1)</f>
        <v>0</v>
      </c>
      <c r="O60" s="1">
        <f t="shared" si="3"/>
        <v>0</v>
      </c>
      <c r="P60" s="1">
        <f t="shared" si="4"/>
        <v>0</v>
      </c>
      <c r="Q60" s="3">
        <f t="shared" si="5"/>
        <v>0</v>
      </c>
      <c r="R60" s="47">
        <f>ROUNDUP(+K60/Paramètres!$B$4/Paramètres!$B$53,0)</f>
        <v>0</v>
      </c>
      <c r="S60" s="47">
        <f>ROUNDUP(+L60/Paramètres!$B$6/Paramètres!$B$53,0)</f>
        <v>0</v>
      </c>
      <c r="T60" s="47"/>
      <c r="U60" s="2">
        <f t="shared" si="6"/>
        <v>0</v>
      </c>
      <c r="V60" s="1">
        <f>R60*Paramètres!$B$7</f>
        <v>0</v>
      </c>
      <c r="W60" s="1">
        <f>S60*Paramètres!$B$9</f>
        <v>0</v>
      </c>
      <c r="X60" s="1"/>
      <c r="Y60" s="2">
        <f t="shared" si="7"/>
        <v>0</v>
      </c>
      <c r="Z60" s="7">
        <f>R60*Paramètres!$B$10</f>
        <v>0</v>
      </c>
      <c r="AA60" s="7">
        <f>S60*Paramètres!$B$10</f>
        <v>0</v>
      </c>
      <c r="AB60" s="7"/>
      <c r="AC60" s="2">
        <f t="shared" si="8"/>
        <v>0</v>
      </c>
      <c r="AD60" s="1">
        <f t="shared" si="12"/>
        <v>0</v>
      </c>
      <c r="AE60" s="1">
        <f t="shared" si="9"/>
        <v>0</v>
      </c>
      <c r="AF60" s="1">
        <f>IF(B60="",0,Paramètres!$B$53*1.5)</f>
        <v>0</v>
      </c>
      <c r="AG60" s="1">
        <f>IF(C60="",0,Paramètres!$B$53*1.5)</f>
        <v>0</v>
      </c>
      <c r="AH60" s="1"/>
      <c r="AI60" s="1"/>
      <c r="AJ60" s="1"/>
      <c r="AK60" s="1"/>
      <c r="AL60" s="1">
        <f>(U60*Paramètres!$B$53)*3</f>
        <v>0</v>
      </c>
      <c r="AM60" s="1">
        <f t="shared" si="10"/>
        <v>0</v>
      </c>
      <c r="AN60" s="1">
        <f>U60*Paramètres!$B$75</f>
        <v>0</v>
      </c>
      <c r="AO60" s="1">
        <f>U60*Paramètres!$B$72*Paramètres!$B$73</f>
        <v>0</v>
      </c>
      <c r="AP60" s="1"/>
      <c r="AQ60" s="1">
        <f>(Y60+AC60)*Paramètres!$B$42*Paramètres!$B$53</f>
        <v>0</v>
      </c>
      <c r="AR60" s="1"/>
      <c r="AS60" s="7">
        <f>ROUNDUP(D60*Paramètres!$B$23*Paramètres!$B$26,-1)</f>
        <v>0</v>
      </c>
      <c r="AT60" s="7"/>
      <c r="AU60" s="1"/>
      <c r="AV60" s="8"/>
      <c r="AW60" s="8"/>
      <c r="AX60" s="8"/>
      <c r="AY60" s="8"/>
      <c r="AZ60" s="8"/>
      <c r="BA60" s="8"/>
      <c r="BB60" s="44"/>
      <c r="BC60" s="44"/>
      <c r="BD60" s="8"/>
      <c r="BE60" s="8"/>
      <c r="BF60" s="8"/>
      <c r="BG60" s="44"/>
      <c r="BI60">
        <f t="shared" si="11"/>
        <v>0</v>
      </c>
    </row>
    <row r="61" spans="1:61" x14ac:dyDescent="0.25">
      <c r="B61" s="1"/>
      <c r="C61" s="1"/>
      <c r="D61" s="1"/>
      <c r="E61" s="1"/>
      <c r="F61" s="1"/>
      <c r="G61" s="54"/>
      <c r="H61" s="54"/>
      <c r="I61" s="54"/>
      <c r="J61" s="50">
        <f>F61*Paramètres!$B$3</f>
        <v>0</v>
      </c>
      <c r="K61" s="56">
        <f t="shared" si="0"/>
        <v>0</v>
      </c>
      <c r="L61" s="56">
        <f t="shared" si="1"/>
        <v>0</v>
      </c>
      <c r="M61" s="56">
        <f t="shared" si="2"/>
        <v>0</v>
      </c>
      <c r="N61" s="3">
        <f>ROUNDUP(J61*Paramètres!$B$19,-1)</f>
        <v>0</v>
      </c>
      <c r="O61" s="1">
        <f t="shared" si="3"/>
        <v>0</v>
      </c>
      <c r="P61" s="1">
        <f t="shared" si="4"/>
        <v>0</v>
      </c>
      <c r="Q61" s="3">
        <f t="shared" si="5"/>
        <v>0</v>
      </c>
      <c r="R61" s="47">
        <f>ROUNDUP(+K61/Paramètres!$B$4/Paramètres!$B$53,0)</f>
        <v>0</v>
      </c>
      <c r="S61" s="47">
        <f>ROUNDUP(+L61/Paramètres!$B$6/Paramètres!$B$53,0)</f>
        <v>0</v>
      </c>
      <c r="T61" s="47"/>
      <c r="U61" s="2">
        <f t="shared" si="6"/>
        <v>0</v>
      </c>
      <c r="V61" s="1">
        <f>R61*Paramètres!$B$7</f>
        <v>0</v>
      </c>
      <c r="W61" s="1">
        <f>S61*Paramètres!$B$9</f>
        <v>0</v>
      </c>
      <c r="X61" s="1"/>
      <c r="Y61" s="2">
        <f t="shared" si="7"/>
        <v>0</v>
      </c>
      <c r="Z61" s="7">
        <f>R61*Paramètres!$B$10</f>
        <v>0</v>
      </c>
      <c r="AA61" s="7">
        <f>S61*Paramètres!$B$10</f>
        <v>0</v>
      </c>
      <c r="AB61" s="7"/>
      <c r="AC61" s="2">
        <f t="shared" si="8"/>
        <v>0</v>
      </c>
      <c r="AD61" s="1">
        <f t="shared" si="12"/>
        <v>0</v>
      </c>
      <c r="AE61" s="1">
        <f t="shared" si="9"/>
        <v>0</v>
      </c>
      <c r="AF61" s="1">
        <f>IF(B61="",0,Paramètres!$B$53*1.5)</f>
        <v>0</v>
      </c>
      <c r="AG61" s="1">
        <f>IF(C61="",0,Paramètres!$B$53*1.5)</f>
        <v>0</v>
      </c>
      <c r="AH61" s="1"/>
      <c r="AI61" s="1"/>
      <c r="AJ61" s="1"/>
      <c r="AK61" s="1"/>
      <c r="AL61" s="1">
        <f>(U61*Paramètres!$B$53)*3</f>
        <v>0</v>
      </c>
      <c r="AM61" s="1">
        <f t="shared" si="10"/>
        <v>0</v>
      </c>
      <c r="AN61" s="1">
        <f>U61*Paramètres!$B$75</f>
        <v>0</v>
      </c>
      <c r="AO61" s="1">
        <f>U61*Paramètres!$B$72*Paramètres!$B$73</f>
        <v>0</v>
      </c>
      <c r="AP61" s="1"/>
      <c r="AQ61" s="1">
        <f>(Y61+AC61)*Paramètres!$B$42*Paramètres!$B$53</f>
        <v>0</v>
      </c>
      <c r="AR61" s="1"/>
      <c r="AS61" s="7">
        <f>ROUNDUP(D61*Paramètres!$B$23*Paramètres!$B$26,-1)</f>
        <v>0</v>
      </c>
      <c r="AT61" s="7"/>
      <c r="AU61" s="1"/>
      <c r="AV61" s="8"/>
      <c r="AW61" s="8"/>
      <c r="AX61" s="8"/>
      <c r="AY61" s="8"/>
      <c r="AZ61" s="8"/>
      <c r="BA61" s="8"/>
      <c r="BB61" s="44"/>
      <c r="BC61" s="44"/>
      <c r="BD61" s="8"/>
      <c r="BE61" s="8"/>
      <c r="BF61" s="8"/>
      <c r="BG61" s="44"/>
      <c r="BI61">
        <f t="shared" si="11"/>
        <v>0</v>
      </c>
    </row>
    <row r="62" spans="1:61" x14ac:dyDescent="0.25">
      <c r="B62" s="1"/>
      <c r="C62" s="1"/>
      <c r="D62" s="1"/>
      <c r="E62" s="1"/>
      <c r="F62" s="1"/>
      <c r="G62" s="54"/>
      <c r="H62" s="54"/>
      <c r="I62" s="54"/>
      <c r="J62" s="50">
        <f>F62*Paramètres!$B$3</f>
        <v>0</v>
      </c>
      <c r="K62" s="56">
        <f t="shared" si="0"/>
        <v>0</v>
      </c>
      <c r="L62" s="56">
        <f t="shared" si="1"/>
        <v>0</v>
      </c>
      <c r="M62" s="56">
        <f t="shared" si="2"/>
        <v>0</v>
      </c>
      <c r="N62" s="3">
        <f>ROUNDUP(J62*Paramètres!$B$19,-1)</f>
        <v>0</v>
      </c>
      <c r="O62" s="1">
        <f t="shared" si="3"/>
        <v>0</v>
      </c>
      <c r="P62" s="1">
        <f t="shared" si="4"/>
        <v>0</v>
      </c>
      <c r="Q62" s="3">
        <f t="shared" si="5"/>
        <v>0</v>
      </c>
      <c r="R62" s="47">
        <f>ROUNDUP(+K62/Paramètres!$B$4/Paramètres!$B$53,0)</f>
        <v>0</v>
      </c>
      <c r="S62" s="47">
        <f>ROUNDUP(+L62/Paramètres!$B$6/Paramètres!$B$53,0)</f>
        <v>0</v>
      </c>
      <c r="T62" s="47"/>
      <c r="U62" s="2">
        <f t="shared" si="6"/>
        <v>0</v>
      </c>
      <c r="V62" s="1">
        <f>R62*Paramètres!$B$7</f>
        <v>0</v>
      </c>
      <c r="W62" s="1">
        <f>S62*Paramètres!$B$9</f>
        <v>0</v>
      </c>
      <c r="X62" s="1"/>
      <c r="Y62" s="2">
        <f t="shared" si="7"/>
        <v>0</v>
      </c>
      <c r="Z62" s="7">
        <f>R62*Paramètres!$B$10</f>
        <v>0</v>
      </c>
      <c r="AA62" s="7">
        <f>S62*Paramètres!$B$10</f>
        <v>0</v>
      </c>
      <c r="AB62" s="7"/>
      <c r="AC62" s="2">
        <f t="shared" si="8"/>
        <v>0</v>
      </c>
      <c r="AD62" s="1">
        <f t="shared" si="12"/>
        <v>0</v>
      </c>
      <c r="AE62" s="1">
        <f t="shared" si="9"/>
        <v>0</v>
      </c>
      <c r="AF62" s="1">
        <f>IF(B62="",0,Paramètres!$B$53*1.5)</f>
        <v>0</v>
      </c>
      <c r="AG62" s="1">
        <f>IF(C62="",0,Paramètres!$B$53*1.5)</f>
        <v>0</v>
      </c>
      <c r="AH62" s="1"/>
      <c r="AI62" s="1"/>
      <c r="AJ62" s="1"/>
      <c r="AK62" s="1"/>
      <c r="AL62" s="1">
        <f>(U62*Paramètres!$B$53)*3</f>
        <v>0</v>
      </c>
      <c r="AM62" s="1">
        <f t="shared" si="10"/>
        <v>0</v>
      </c>
      <c r="AN62" s="1">
        <f>U62*Paramètres!$B$75</f>
        <v>0</v>
      </c>
      <c r="AO62" s="1">
        <f>U62*Paramètres!$B$72*Paramètres!$B$73</f>
        <v>0</v>
      </c>
      <c r="AP62" s="1"/>
      <c r="AQ62" s="1">
        <f>(Y62+AC62)*Paramètres!$B$42*Paramètres!$B$53</f>
        <v>0</v>
      </c>
      <c r="AR62" s="1"/>
      <c r="AS62" s="7">
        <f>ROUNDUP(D62*Paramètres!$B$23*Paramètres!$B$26,-1)</f>
        <v>0</v>
      </c>
      <c r="AT62" s="7"/>
      <c r="AU62" s="1"/>
      <c r="AV62" s="8"/>
      <c r="AW62" s="8"/>
      <c r="AX62" s="8"/>
      <c r="AY62" s="8"/>
      <c r="AZ62" s="8"/>
      <c r="BA62" s="8"/>
      <c r="BB62" s="44"/>
      <c r="BC62" s="44"/>
      <c r="BD62" s="8"/>
      <c r="BE62" s="8"/>
      <c r="BF62" s="8"/>
      <c r="BG62" s="44"/>
      <c r="BI62">
        <f t="shared" si="11"/>
        <v>0</v>
      </c>
    </row>
    <row r="63" spans="1:61" x14ac:dyDescent="0.25">
      <c r="B63" s="1"/>
      <c r="C63" s="1"/>
      <c r="D63" s="1"/>
      <c r="E63" s="1"/>
      <c r="F63" s="1"/>
      <c r="G63" s="54"/>
      <c r="H63" s="54"/>
      <c r="I63" s="54"/>
      <c r="J63" s="50">
        <f>F63*Paramètres!$B$3</f>
        <v>0</v>
      </c>
      <c r="K63" s="56">
        <f t="shared" si="0"/>
        <v>0</v>
      </c>
      <c r="L63" s="56">
        <f t="shared" si="1"/>
        <v>0</v>
      </c>
      <c r="M63" s="56">
        <f t="shared" si="2"/>
        <v>0</v>
      </c>
      <c r="N63" s="3">
        <f>ROUNDUP(J63*Paramètres!$B$19,-1)</f>
        <v>0</v>
      </c>
      <c r="O63" s="1">
        <f t="shared" si="3"/>
        <v>0</v>
      </c>
      <c r="P63" s="1">
        <f t="shared" si="4"/>
        <v>0</v>
      </c>
      <c r="Q63" s="3">
        <f t="shared" si="5"/>
        <v>0</v>
      </c>
      <c r="R63" s="47">
        <f>ROUNDUP(+K63/Paramètres!$B$4/Paramètres!$B$53,0)</f>
        <v>0</v>
      </c>
      <c r="S63" s="47">
        <f>ROUNDUP(+L63/Paramètres!$B$6/Paramètres!$B$53,0)</f>
        <v>0</v>
      </c>
      <c r="T63" s="47"/>
      <c r="U63" s="2">
        <f t="shared" si="6"/>
        <v>0</v>
      </c>
      <c r="V63" s="1">
        <f>R63*Paramètres!$B$7</f>
        <v>0</v>
      </c>
      <c r="W63" s="1">
        <f>S63*Paramètres!$B$9</f>
        <v>0</v>
      </c>
      <c r="X63" s="1"/>
      <c r="Y63" s="2">
        <f t="shared" si="7"/>
        <v>0</v>
      </c>
      <c r="Z63" s="7">
        <f>R63*Paramètres!$B$10</f>
        <v>0</v>
      </c>
      <c r="AA63" s="7">
        <f>S63*Paramètres!$B$10</f>
        <v>0</v>
      </c>
      <c r="AB63" s="7"/>
      <c r="AC63" s="2">
        <f t="shared" si="8"/>
        <v>0</v>
      </c>
      <c r="AD63" s="1">
        <f t="shared" si="12"/>
        <v>0</v>
      </c>
      <c r="AE63" s="1">
        <f t="shared" si="9"/>
        <v>0</v>
      </c>
      <c r="AF63" s="1">
        <f>IF(B63="",0,Paramètres!$B$53*1.5)</f>
        <v>0</v>
      </c>
      <c r="AG63" s="1">
        <f>IF(C63="",0,Paramètres!$B$53*1.5)</f>
        <v>0</v>
      </c>
      <c r="AH63" s="1"/>
      <c r="AI63" s="1"/>
      <c r="AJ63" s="1"/>
      <c r="AK63" s="1"/>
      <c r="AL63" s="1">
        <f>(U63*Paramètres!$B$53)*3</f>
        <v>0</v>
      </c>
      <c r="AM63" s="1">
        <f t="shared" si="10"/>
        <v>0</v>
      </c>
      <c r="AN63" s="1">
        <f>U63*Paramètres!$B$75</f>
        <v>0</v>
      </c>
      <c r="AO63" s="1">
        <f>U63*Paramètres!$B$72*Paramètres!$B$73</f>
        <v>0</v>
      </c>
      <c r="AP63" s="1"/>
      <c r="AQ63" s="1">
        <f>(Y63+AC63)*Paramètres!$B$42*Paramètres!$B$53</f>
        <v>0</v>
      </c>
      <c r="AR63" s="1"/>
      <c r="AS63" s="7">
        <f>ROUNDUP(D63*Paramètres!$B$23*Paramètres!$B$26,-1)</f>
        <v>0</v>
      </c>
      <c r="AT63" s="7"/>
      <c r="AU63" s="1"/>
      <c r="AV63" s="8"/>
      <c r="AW63" s="8"/>
      <c r="AX63" s="8"/>
      <c r="AY63" s="8"/>
      <c r="AZ63" s="8"/>
      <c r="BA63" s="8"/>
      <c r="BB63" s="44"/>
      <c r="BC63" s="44"/>
      <c r="BD63" s="8"/>
      <c r="BE63" s="8"/>
      <c r="BF63" s="8"/>
      <c r="BG63" s="44"/>
      <c r="BI63">
        <f t="shared" si="11"/>
        <v>0</v>
      </c>
    </row>
    <row r="64" spans="1:61" x14ac:dyDescent="0.25">
      <c r="B64" s="1"/>
      <c r="C64" s="1"/>
      <c r="D64" s="1"/>
      <c r="E64" s="1"/>
      <c r="F64" s="1"/>
      <c r="G64" s="54"/>
      <c r="H64" s="54"/>
      <c r="I64" s="54"/>
      <c r="J64" s="50">
        <f>F64*Paramètres!$B$3</f>
        <v>0</v>
      </c>
      <c r="K64" s="56">
        <f t="shared" si="0"/>
        <v>0</v>
      </c>
      <c r="L64" s="56">
        <f t="shared" si="1"/>
        <v>0</v>
      </c>
      <c r="M64" s="56">
        <f t="shared" si="2"/>
        <v>0</v>
      </c>
      <c r="N64" s="3">
        <f>ROUNDUP(J64*Paramètres!$B$19,-1)</f>
        <v>0</v>
      </c>
      <c r="O64" s="1">
        <f t="shared" si="3"/>
        <v>0</v>
      </c>
      <c r="P64" s="1">
        <f t="shared" si="4"/>
        <v>0</v>
      </c>
      <c r="Q64" s="3">
        <f t="shared" si="5"/>
        <v>0</v>
      </c>
      <c r="R64" s="47">
        <f>ROUNDUP(+K64/Paramètres!$B$4/Paramètres!$B$53,0)</f>
        <v>0</v>
      </c>
      <c r="S64" s="47">
        <f>ROUNDUP(+L64/Paramètres!$B$6/Paramètres!$B$53,0)</f>
        <v>0</v>
      </c>
      <c r="T64" s="47"/>
      <c r="U64" s="2">
        <f t="shared" si="6"/>
        <v>0</v>
      </c>
      <c r="V64" s="1">
        <f>R64*Paramètres!$B$7</f>
        <v>0</v>
      </c>
      <c r="W64" s="1">
        <f>S64*Paramètres!$B$9</f>
        <v>0</v>
      </c>
      <c r="X64" s="1"/>
      <c r="Y64" s="2">
        <f t="shared" si="7"/>
        <v>0</v>
      </c>
      <c r="Z64" s="7">
        <f>R64*Paramètres!$B$10</f>
        <v>0</v>
      </c>
      <c r="AA64" s="7">
        <f>S64*Paramètres!$B$10</f>
        <v>0</v>
      </c>
      <c r="AB64" s="7"/>
      <c r="AC64" s="2">
        <f t="shared" si="8"/>
        <v>0</v>
      </c>
      <c r="AD64" s="1">
        <f t="shared" si="12"/>
        <v>0</v>
      </c>
      <c r="AE64" s="1">
        <f t="shared" si="9"/>
        <v>0</v>
      </c>
      <c r="AF64" s="1">
        <f>IF(B64="",0,Paramètres!$B$53*1.5)</f>
        <v>0</v>
      </c>
      <c r="AG64" s="1">
        <f>IF(C64="",0,Paramètres!$B$53*1.5)</f>
        <v>0</v>
      </c>
      <c r="AH64" s="1"/>
      <c r="AI64" s="1"/>
      <c r="AJ64" s="1"/>
      <c r="AK64" s="1"/>
      <c r="AL64" s="1">
        <f>(U64*Paramètres!$B$53)*3</f>
        <v>0</v>
      </c>
      <c r="AM64" s="1">
        <f t="shared" si="10"/>
        <v>0</v>
      </c>
      <c r="AN64" s="1">
        <f>U64*Paramètres!$B$75</f>
        <v>0</v>
      </c>
      <c r="AO64" s="1">
        <f>U64*Paramètres!$B$72*Paramètres!$B$73</f>
        <v>0</v>
      </c>
      <c r="AP64" s="1"/>
      <c r="AQ64" s="1">
        <f>(Y64+AC64)*Paramètres!$B$42*Paramètres!$B$53</f>
        <v>0</v>
      </c>
      <c r="AR64" s="1"/>
      <c r="AS64" s="7">
        <f>ROUNDUP(D64*Paramètres!$B$23*Paramètres!$B$26,-1)</f>
        <v>0</v>
      </c>
      <c r="AT64" s="7"/>
      <c r="AU64" s="1"/>
      <c r="AV64" s="8"/>
      <c r="AW64" s="8"/>
      <c r="AX64" s="8"/>
      <c r="AY64" s="8"/>
      <c r="AZ64" s="8"/>
      <c r="BA64" s="8"/>
      <c r="BB64" s="44"/>
      <c r="BC64" s="44"/>
      <c r="BD64" s="8"/>
      <c r="BE64" s="8"/>
      <c r="BF64" s="8"/>
      <c r="BG64" s="44"/>
      <c r="BI64">
        <f t="shared" si="11"/>
        <v>0</v>
      </c>
    </row>
    <row r="65" spans="1:61" x14ac:dyDescent="0.25">
      <c r="B65" s="1"/>
      <c r="C65" s="1"/>
      <c r="D65" s="1"/>
      <c r="E65" s="1"/>
      <c r="F65" s="1"/>
      <c r="G65" s="54"/>
      <c r="H65" s="54"/>
      <c r="I65" s="54"/>
      <c r="J65" s="50">
        <f>F65*Paramètres!$B$3</f>
        <v>0</v>
      </c>
      <c r="K65" s="56">
        <f t="shared" si="0"/>
        <v>0</v>
      </c>
      <c r="L65" s="56">
        <f t="shared" si="1"/>
        <v>0</v>
      </c>
      <c r="M65" s="56">
        <f t="shared" si="2"/>
        <v>0</v>
      </c>
      <c r="N65" s="3">
        <f>ROUNDUP(J65*Paramètres!$B$19,-1)</f>
        <v>0</v>
      </c>
      <c r="O65" s="1">
        <f t="shared" si="3"/>
        <v>0</v>
      </c>
      <c r="P65" s="1">
        <f t="shared" si="4"/>
        <v>0</v>
      </c>
      <c r="Q65" s="3">
        <f t="shared" si="5"/>
        <v>0</v>
      </c>
      <c r="R65" s="47">
        <f>ROUNDUP(+K65/Paramètres!$B$4/Paramètres!$B$53,0)</f>
        <v>0</v>
      </c>
      <c r="S65" s="47">
        <f>ROUNDUP(+L65/Paramètres!$B$6/Paramètres!$B$53,0)</f>
        <v>0</v>
      </c>
      <c r="T65" s="47"/>
      <c r="U65" s="2">
        <f t="shared" si="6"/>
        <v>0</v>
      </c>
      <c r="V65" s="1">
        <f>R65*Paramètres!$B$7</f>
        <v>0</v>
      </c>
      <c r="W65" s="1">
        <f>S65*Paramètres!$B$9</f>
        <v>0</v>
      </c>
      <c r="X65" s="1"/>
      <c r="Y65" s="2">
        <f t="shared" si="7"/>
        <v>0</v>
      </c>
      <c r="Z65" s="7">
        <f>R65*Paramètres!$B$10</f>
        <v>0</v>
      </c>
      <c r="AA65" s="7">
        <f>S65*Paramètres!$B$10</f>
        <v>0</v>
      </c>
      <c r="AB65" s="7"/>
      <c r="AC65" s="2">
        <f t="shared" si="8"/>
        <v>0</v>
      </c>
      <c r="AD65" s="1">
        <f t="shared" si="12"/>
        <v>0</v>
      </c>
      <c r="AE65" s="1">
        <f t="shared" si="9"/>
        <v>0</v>
      </c>
      <c r="AF65" s="1">
        <f>IF(B65="",0,Paramètres!$B$53*1.5)</f>
        <v>0</v>
      </c>
      <c r="AG65" s="1">
        <f>IF(C65="",0,Paramètres!$B$53*1.5)</f>
        <v>0</v>
      </c>
      <c r="AH65" s="1"/>
      <c r="AI65" s="1"/>
      <c r="AJ65" s="1"/>
      <c r="AK65" s="1"/>
      <c r="AL65" s="1">
        <f>(U65*Paramètres!$B$53)*3</f>
        <v>0</v>
      </c>
      <c r="AM65" s="1">
        <f t="shared" si="10"/>
        <v>0</v>
      </c>
      <c r="AN65" s="1">
        <f>U65*Paramètres!$B$75</f>
        <v>0</v>
      </c>
      <c r="AO65" s="1">
        <f>U65*Paramètres!$B$72*Paramètres!$B$73</f>
        <v>0</v>
      </c>
      <c r="AP65" s="1"/>
      <c r="AQ65" s="1">
        <f>(Y65+AC65)*Paramètres!$B$42*Paramètres!$B$53</f>
        <v>0</v>
      </c>
      <c r="AR65" s="1"/>
      <c r="AS65" s="7">
        <f>ROUNDUP(D65*Paramètres!$B$23*Paramètres!$B$26,-1)</f>
        <v>0</v>
      </c>
      <c r="AT65" s="7"/>
      <c r="AU65" s="1"/>
      <c r="AV65" s="8"/>
      <c r="AW65" s="8"/>
      <c r="AX65" s="8"/>
      <c r="AY65" s="8"/>
      <c r="AZ65" s="8"/>
      <c r="BA65" s="8"/>
      <c r="BB65" s="44"/>
      <c r="BC65" s="44"/>
      <c r="BD65" s="8"/>
      <c r="BE65" s="8"/>
      <c r="BF65" s="8"/>
      <c r="BG65" s="44"/>
      <c r="BI65">
        <f t="shared" si="11"/>
        <v>0</v>
      </c>
    </row>
    <row r="66" spans="1:61" x14ac:dyDescent="0.25">
      <c r="B66" s="1"/>
      <c r="C66" s="1"/>
      <c r="D66" s="1"/>
      <c r="E66" s="1"/>
      <c r="F66" s="1"/>
      <c r="G66" s="54"/>
      <c r="H66" s="54"/>
      <c r="I66" s="54"/>
      <c r="J66" s="50">
        <f>F66*Paramètres!$B$3</f>
        <v>0</v>
      </c>
      <c r="K66" s="56">
        <f t="shared" si="0"/>
        <v>0</v>
      </c>
      <c r="L66" s="56">
        <f t="shared" si="1"/>
        <v>0</v>
      </c>
      <c r="M66" s="56">
        <f t="shared" si="2"/>
        <v>0</v>
      </c>
      <c r="N66" s="3">
        <f>ROUNDUP(J66*Paramètres!$B$19,-1)</f>
        <v>0</v>
      </c>
      <c r="O66" s="1">
        <f t="shared" si="3"/>
        <v>0</v>
      </c>
      <c r="P66" s="1">
        <f t="shared" si="4"/>
        <v>0</v>
      </c>
      <c r="Q66" s="3">
        <f t="shared" si="5"/>
        <v>0</v>
      </c>
      <c r="R66" s="47">
        <f>ROUNDUP(+K66/Paramètres!$B$4/Paramètres!$B$53,0)</f>
        <v>0</v>
      </c>
      <c r="S66" s="47">
        <f>ROUNDUP(+L66/Paramètres!$B$6/Paramètres!$B$53,0)</f>
        <v>0</v>
      </c>
      <c r="T66" s="47"/>
      <c r="U66" s="2">
        <f t="shared" si="6"/>
        <v>0</v>
      </c>
      <c r="V66" s="1">
        <f>R66*Paramètres!$B$7</f>
        <v>0</v>
      </c>
      <c r="W66" s="1">
        <f>S66*Paramètres!$B$9</f>
        <v>0</v>
      </c>
      <c r="X66" s="1"/>
      <c r="Y66" s="2">
        <f t="shared" si="7"/>
        <v>0</v>
      </c>
      <c r="Z66" s="7">
        <f>R66*Paramètres!$B$10</f>
        <v>0</v>
      </c>
      <c r="AA66" s="7">
        <f>S66*Paramètres!$B$10</f>
        <v>0</v>
      </c>
      <c r="AB66" s="7"/>
      <c r="AC66" s="2">
        <f t="shared" si="8"/>
        <v>0</v>
      </c>
      <c r="AD66" s="1">
        <f t="shared" si="12"/>
        <v>0</v>
      </c>
      <c r="AE66" s="1">
        <f t="shared" si="9"/>
        <v>0</v>
      </c>
      <c r="AF66" s="1">
        <f>IF(B66="",0,Paramètres!$B$53*1.5)</f>
        <v>0</v>
      </c>
      <c r="AG66" s="1">
        <f>IF(C66="",0,Paramètres!$B$53*1.5)</f>
        <v>0</v>
      </c>
      <c r="AH66" s="1"/>
      <c r="AI66" s="1"/>
      <c r="AJ66" s="1"/>
      <c r="AK66" s="1"/>
      <c r="AL66" s="1">
        <f>(U66*Paramètres!$B$53)*3</f>
        <v>0</v>
      </c>
      <c r="AM66" s="1">
        <f t="shared" si="10"/>
        <v>0</v>
      </c>
      <c r="AN66" s="1">
        <f>U66*Paramètres!$B$75</f>
        <v>0</v>
      </c>
      <c r="AO66" s="1">
        <f>U66*Paramètres!$B$72*Paramètres!$B$73</f>
        <v>0</v>
      </c>
      <c r="AP66" s="1"/>
      <c r="AQ66" s="1">
        <f>(Y66+AC66)*Paramètres!$B$42*Paramètres!$B$53</f>
        <v>0</v>
      </c>
      <c r="AR66" s="1"/>
      <c r="AS66" s="7">
        <f>ROUNDUP(D66*Paramètres!$B$23*Paramètres!$B$26,-1)</f>
        <v>0</v>
      </c>
      <c r="AT66" s="7"/>
      <c r="AU66" s="1"/>
      <c r="AV66" s="8"/>
      <c r="AW66" s="8"/>
      <c r="AX66" s="8"/>
      <c r="AY66" s="8"/>
      <c r="AZ66" s="8"/>
      <c r="BA66" s="8"/>
      <c r="BB66" s="44"/>
      <c r="BC66" s="44"/>
      <c r="BD66" s="8"/>
      <c r="BE66" s="8"/>
      <c r="BF66" s="8"/>
      <c r="BG66" s="44"/>
      <c r="BI66">
        <f t="shared" si="11"/>
        <v>0</v>
      </c>
    </row>
    <row r="67" spans="1:61" x14ac:dyDescent="0.25">
      <c r="B67" s="1"/>
      <c r="C67" s="1"/>
      <c r="D67" s="1"/>
      <c r="E67" s="1"/>
      <c r="F67" s="1"/>
      <c r="G67" s="54"/>
      <c r="H67" s="54"/>
      <c r="I67" s="54"/>
      <c r="J67" s="50">
        <f>F67*Paramètres!$B$3</f>
        <v>0</v>
      </c>
      <c r="K67" s="56">
        <f t="shared" si="0"/>
        <v>0</v>
      </c>
      <c r="L67" s="56">
        <f t="shared" si="1"/>
        <v>0</v>
      </c>
      <c r="M67" s="56">
        <f t="shared" si="2"/>
        <v>0</v>
      </c>
      <c r="N67" s="3">
        <f>ROUNDUP(J67*Paramètres!$B$19,-1)</f>
        <v>0</v>
      </c>
      <c r="O67" s="1">
        <f t="shared" si="3"/>
        <v>0</v>
      </c>
      <c r="P67" s="1">
        <f t="shared" si="4"/>
        <v>0</v>
      </c>
      <c r="Q67" s="3">
        <f t="shared" si="5"/>
        <v>0</v>
      </c>
      <c r="R67" s="47">
        <f>ROUNDUP(+K67/Paramètres!$B$4/Paramètres!$B$53,0)</f>
        <v>0</v>
      </c>
      <c r="S67" s="47">
        <f>ROUNDUP(+L67/Paramètres!$B$6/Paramètres!$B$53,0)</f>
        <v>0</v>
      </c>
      <c r="T67" s="47"/>
      <c r="U67" s="2">
        <f t="shared" si="6"/>
        <v>0</v>
      </c>
      <c r="V67" s="1">
        <f>R67*Paramètres!$B$7</f>
        <v>0</v>
      </c>
      <c r="W67" s="1">
        <f>S67*Paramètres!$B$9</f>
        <v>0</v>
      </c>
      <c r="X67" s="1"/>
      <c r="Y67" s="2">
        <f t="shared" si="7"/>
        <v>0</v>
      </c>
      <c r="Z67" s="7">
        <f>R67*Paramètres!$B$10</f>
        <v>0</v>
      </c>
      <c r="AA67" s="7">
        <f>S67*Paramètres!$B$10</f>
        <v>0</v>
      </c>
      <c r="AB67" s="7"/>
      <c r="AC67" s="2">
        <f t="shared" si="8"/>
        <v>0</v>
      </c>
      <c r="AD67" s="1">
        <f t="shared" si="12"/>
        <v>0</v>
      </c>
      <c r="AE67" s="1">
        <f t="shared" si="9"/>
        <v>0</v>
      </c>
      <c r="AF67" s="1">
        <f>IF(B67="",0,Paramètres!$B$53*1.5)</f>
        <v>0</v>
      </c>
      <c r="AG67" s="1">
        <f>IF(C67="",0,Paramètres!$B$53*1.5)</f>
        <v>0</v>
      </c>
      <c r="AH67" s="1"/>
      <c r="AI67" s="1"/>
      <c r="AJ67" s="1"/>
      <c r="AK67" s="1"/>
      <c r="AL67" s="1">
        <f>(U67*Paramètres!$B$53)*3</f>
        <v>0</v>
      </c>
      <c r="AM67" s="1">
        <f t="shared" si="10"/>
        <v>0</v>
      </c>
      <c r="AN67" s="1">
        <f>U67*Paramètres!$B$75</f>
        <v>0</v>
      </c>
      <c r="AO67" s="1">
        <f>U67*Paramètres!$B$72*Paramètres!$B$73</f>
        <v>0</v>
      </c>
      <c r="AP67" s="1"/>
      <c r="AQ67" s="1">
        <f>(Y67+AC67)*Paramètres!$B$42*Paramètres!$B$53</f>
        <v>0</v>
      </c>
      <c r="AR67" s="1"/>
      <c r="AS67" s="7">
        <f>ROUNDUP(D67*Paramètres!$B$23*Paramètres!$B$26,-1)</f>
        <v>0</v>
      </c>
      <c r="AT67" s="7"/>
      <c r="AU67" s="1"/>
      <c r="AV67" s="8"/>
      <c r="AW67" s="8"/>
      <c r="AX67" s="8"/>
      <c r="AY67" s="8"/>
      <c r="AZ67" s="8"/>
      <c r="BA67" s="8"/>
      <c r="BB67" s="44"/>
      <c r="BC67" s="44"/>
      <c r="BD67" s="8"/>
      <c r="BE67" s="8"/>
      <c r="BF67" s="8"/>
      <c r="BG67" s="44"/>
      <c r="BI67">
        <f t="shared" si="11"/>
        <v>0</v>
      </c>
    </row>
    <row r="68" spans="1:61" x14ac:dyDescent="0.25">
      <c r="B68" s="1"/>
      <c r="C68" s="1"/>
      <c r="D68" s="1"/>
      <c r="E68" s="1"/>
      <c r="F68" s="1"/>
      <c r="G68" s="54"/>
      <c r="H68" s="54"/>
      <c r="I68" s="54"/>
      <c r="J68" s="50">
        <f>F68*Paramètres!$B$3</f>
        <v>0</v>
      </c>
      <c r="K68" s="56">
        <f>J68*G68</f>
        <v>0</v>
      </c>
      <c r="L68" s="56">
        <f>J68*H68</f>
        <v>0</v>
      </c>
      <c r="M68" s="56">
        <f>J68*I68</f>
        <v>0</v>
      </c>
      <c r="N68" s="3">
        <f>ROUNDUP(J68*Paramètres!$B$19,-1)</f>
        <v>0</v>
      </c>
      <c r="O68" s="1">
        <f>N68</f>
        <v>0</v>
      </c>
      <c r="P68" s="1">
        <f>O68/10</f>
        <v>0</v>
      </c>
      <c r="Q68" s="3">
        <f>ROUNDUP((O68+P68)/100,-1)</f>
        <v>0</v>
      </c>
      <c r="R68" s="47">
        <f>ROUNDUP(+K68/Paramètres!$B$4/Paramètres!$B$53,0)</f>
        <v>0</v>
      </c>
      <c r="S68" s="47">
        <f>ROUNDUP(+L68/Paramètres!$B$6/Paramètres!$B$53,0)</f>
        <v>0</v>
      </c>
      <c r="T68" s="47"/>
      <c r="U68" s="2">
        <f>R68+S68+T68</f>
        <v>0</v>
      </c>
      <c r="V68" s="1">
        <f>R68*Paramètres!$B$7</f>
        <v>0</v>
      </c>
      <c r="W68" s="1">
        <f>S68*Paramètres!$B$9</f>
        <v>0</v>
      </c>
      <c r="X68" s="1"/>
      <c r="Y68" s="2">
        <f>V68+W68+X68</f>
        <v>0</v>
      </c>
      <c r="Z68" s="7">
        <f>R68*Paramètres!$B$10</f>
        <v>0</v>
      </c>
      <c r="AA68" s="7">
        <f>S68*Paramètres!$B$10</f>
        <v>0</v>
      </c>
      <c r="AB68" s="7"/>
      <c r="AC68" s="2">
        <f>Z68+AA68+AB68</f>
        <v>0</v>
      </c>
      <c r="AD68" s="1">
        <f t="shared" si="12"/>
        <v>0</v>
      </c>
      <c r="AE68" s="1">
        <f>ROUNDUP((U68/200)*2,0)*10</f>
        <v>0</v>
      </c>
      <c r="AF68" s="1">
        <f>IF(B68="",0,Paramètres!$B$53*1.5)</f>
        <v>0</v>
      </c>
      <c r="AG68" s="1">
        <f>IF(C68="",0,Paramètres!$B$53*1.5)</f>
        <v>0</v>
      </c>
      <c r="AH68" s="1"/>
      <c r="AI68" s="1"/>
      <c r="AJ68" s="1"/>
      <c r="AK68" s="1"/>
      <c r="AL68" s="1">
        <f>(U68*Paramètres!$B$53)*3</f>
        <v>0</v>
      </c>
      <c r="AM68" s="1">
        <f>N68</f>
        <v>0</v>
      </c>
      <c r="AN68" s="1">
        <f>U68*Paramètres!$B$75</f>
        <v>0</v>
      </c>
      <c r="AO68" s="1">
        <f>U68*Paramètres!$B$72*Paramètres!$B$73</f>
        <v>0</v>
      </c>
      <c r="AP68" s="1"/>
      <c r="AQ68" s="1">
        <f>(Y68+AC68)*Paramètres!$B$42*Paramètres!$B$53</f>
        <v>0</v>
      </c>
      <c r="AR68" s="1"/>
      <c r="AS68" s="7">
        <f>ROUNDUP(D68*Paramètres!$B$23*Paramètres!$B$26,-1)</f>
        <v>0</v>
      </c>
      <c r="AT68" s="7"/>
      <c r="AU68" s="1"/>
      <c r="AV68" s="8"/>
      <c r="AW68" s="8"/>
      <c r="AX68" s="8"/>
      <c r="AY68" s="8"/>
      <c r="AZ68" s="8"/>
      <c r="BA68" s="8"/>
      <c r="BB68" s="44"/>
      <c r="BC68" s="44"/>
      <c r="BD68" s="8"/>
      <c r="BE68" s="8"/>
      <c r="BF68" s="8"/>
      <c r="BG68" s="44"/>
      <c r="BI68">
        <f>AQ68+AS68</f>
        <v>0</v>
      </c>
    </row>
    <row r="69" spans="1:61" x14ac:dyDescent="0.25">
      <c r="B69" s="1"/>
      <c r="C69" s="1"/>
      <c r="D69" s="1"/>
      <c r="E69" s="1"/>
      <c r="F69" s="1"/>
      <c r="G69" s="54"/>
      <c r="H69" s="54"/>
      <c r="I69" s="54"/>
      <c r="J69" s="50">
        <f>F69*Paramètres!$B$3</f>
        <v>0</v>
      </c>
      <c r="K69" s="56">
        <f>J69*G69</f>
        <v>0</v>
      </c>
      <c r="L69" s="56">
        <f>J69*H69</f>
        <v>0</v>
      </c>
      <c r="M69" s="56">
        <f>J69*I69</f>
        <v>0</v>
      </c>
      <c r="N69" s="3">
        <f>ROUNDUP(J69*Paramètres!$B$19,-1)</f>
        <v>0</v>
      </c>
      <c r="O69" s="1">
        <f>N69</f>
        <v>0</v>
      </c>
      <c r="P69" s="1">
        <f>O69/10</f>
        <v>0</v>
      </c>
      <c r="Q69" s="3">
        <f>ROUNDUP((O69+P69)/100,-1)</f>
        <v>0</v>
      </c>
      <c r="R69" s="47">
        <f>ROUNDUP(+K69/Paramètres!$B$4/Paramètres!$B$53,0)</f>
        <v>0</v>
      </c>
      <c r="S69" s="47">
        <f>ROUNDUP(+L69/Paramètres!$B$6/Paramètres!$B$53,0)</f>
        <v>0</v>
      </c>
      <c r="T69" s="47"/>
      <c r="U69" s="2">
        <f>R69+S69+T69</f>
        <v>0</v>
      </c>
      <c r="V69" s="1">
        <f>R69*Paramètres!$B$7</f>
        <v>0</v>
      </c>
      <c r="W69" s="1">
        <f>S69*Paramètres!$B$9</f>
        <v>0</v>
      </c>
      <c r="X69" s="1"/>
      <c r="Y69" s="2">
        <f>V69+W69+X69</f>
        <v>0</v>
      </c>
      <c r="Z69" s="7">
        <f>R69*Paramètres!$B$10</f>
        <v>0</v>
      </c>
      <c r="AA69" s="7">
        <f>S69*Paramètres!$B$10</f>
        <v>0</v>
      </c>
      <c r="AB69" s="7"/>
      <c r="AC69" s="2">
        <f>Z69+AA69+AB69</f>
        <v>0</v>
      </c>
      <c r="AD69" s="1">
        <f>U69</f>
        <v>0</v>
      </c>
      <c r="AE69" s="1">
        <f>ROUNDUP((U69/200)*2,0)*10</f>
        <v>0</v>
      </c>
      <c r="AF69" s="1">
        <f>IF(B69="",0,Paramètres!$B$53*1.5)</f>
        <v>0</v>
      </c>
      <c r="AG69" s="1">
        <f>IF(C69="",0,Paramètres!$B$53*1.5)</f>
        <v>0</v>
      </c>
      <c r="AH69" s="1"/>
      <c r="AI69" s="1"/>
      <c r="AJ69" s="1"/>
      <c r="AK69" s="1"/>
      <c r="AL69" s="1">
        <f>(U69*Paramètres!$B$53)*3</f>
        <v>0</v>
      </c>
      <c r="AM69" s="1">
        <f>N69</f>
        <v>0</v>
      </c>
      <c r="AN69" s="1">
        <f>U69*Paramètres!$B$75</f>
        <v>0</v>
      </c>
      <c r="AO69" s="1">
        <f>U69*Paramètres!$B$72*Paramètres!$B$73</f>
        <v>0</v>
      </c>
      <c r="AP69" s="1"/>
      <c r="AQ69" s="1">
        <f>(Y69+AC69)*Paramètres!$B$42*Paramètres!$B$53</f>
        <v>0</v>
      </c>
      <c r="AR69" s="1"/>
      <c r="AS69" s="7">
        <f>ROUNDUP(D69*Paramètres!$B$23*Paramètres!$B$26,-1)</f>
        <v>0</v>
      </c>
      <c r="AT69" s="7"/>
      <c r="AU69" s="1"/>
      <c r="AV69" s="8"/>
      <c r="AW69" s="8"/>
      <c r="AX69" s="8"/>
      <c r="AY69" s="8"/>
      <c r="AZ69" s="8"/>
      <c r="BA69" s="8"/>
      <c r="BB69" s="44"/>
      <c r="BC69" s="44"/>
      <c r="BD69" s="8"/>
      <c r="BE69" s="8"/>
      <c r="BF69" s="8"/>
      <c r="BG69" s="44"/>
      <c r="BI69">
        <f>AQ69+AS69</f>
        <v>0</v>
      </c>
    </row>
    <row r="70" spans="1:61" x14ac:dyDescent="0.25">
      <c r="B70" s="1"/>
      <c r="C70" s="1"/>
      <c r="D70" s="1"/>
      <c r="E70" s="1"/>
      <c r="F70" s="1"/>
      <c r="G70" s="54"/>
      <c r="H70" s="54"/>
      <c r="I70" s="54"/>
      <c r="J70" s="50">
        <f>F70*Paramètres!$B$3</f>
        <v>0</v>
      </c>
      <c r="K70" s="56">
        <f>J70*G70</f>
        <v>0</v>
      </c>
      <c r="L70" s="56">
        <f>J70*H70</f>
        <v>0</v>
      </c>
      <c r="M70" s="56">
        <f>J70*I70</f>
        <v>0</v>
      </c>
      <c r="N70" s="3">
        <f>ROUNDUP(J70*Paramètres!$B$19,-1)</f>
        <v>0</v>
      </c>
      <c r="O70" s="1">
        <f>N70</f>
        <v>0</v>
      </c>
      <c r="P70" s="1">
        <f>O70/10</f>
        <v>0</v>
      </c>
      <c r="Q70" s="3">
        <f>ROUNDUP((O70+P70)/100,-1)</f>
        <v>0</v>
      </c>
      <c r="R70" s="47">
        <f>ROUNDUP(+K70/Paramètres!$B$4/Paramètres!$B$53,0)</f>
        <v>0</v>
      </c>
      <c r="S70" s="47">
        <f>ROUNDUP(+L70/Paramètres!$B$6/Paramètres!$B$53,0)</f>
        <v>0</v>
      </c>
      <c r="T70" s="47"/>
      <c r="U70" s="2">
        <f>R70+S70+T70</f>
        <v>0</v>
      </c>
      <c r="V70" s="1">
        <f>R70*Paramètres!$B$7</f>
        <v>0</v>
      </c>
      <c r="W70" s="1">
        <f>S70*Paramètres!$B$9</f>
        <v>0</v>
      </c>
      <c r="X70" s="1"/>
      <c r="Y70" s="2">
        <f>V70+W70+X70</f>
        <v>0</v>
      </c>
      <c r="Z70" s="7">
        <f>R70*Paramètres!$B$10</f>
        <v>0</v>
      </c>
      <c r="AA70" s="7">
        <f>S70*Paramètres!$B$10</f>
        <v>0</v>
      </c>
      <c r="AB70" s="7"/>
      <c r="AC70" s="2">
        <f>Z70+AA70+AB70</f>
        <v>0</v>
      </c>
      <c r="AD70" s="1">
        <f>U70</f>
        <v>0</v>
      </c>
      <c r="AE70" s="1">
        <f>ROUNDUP((U70/200)*2,0)*10</f>
        <v>0</v>
      </c>
      <c r="AF70" s="1">
        <f>IF(B70="",0,Paramètres!$B$53*1.5)</f>
        <v>0</v>
      </c>
      <c r="AG70" s="1">
        <f>IF(C70="",0,Paramètres!$B$53*1.5)</f>
        <v>0</v>
      </c>
      <c r="AH70" s="1"/>
      <c r="AI70" s="1"/>
      <c r="AJ70" s="1"/>
      <c r="AK70" s="1"/>
      <c r="AL70" s="1">
        <f>(U70*Paramètres!$B$53)*3</f>
        <v>0</v>
      </c>
      <c r="AM70" s="1">
        <f>N70</f>
        <v>0</v>
      </c>
      <c r="AN70" s="1">
        <f>U70*Paramètres!$B$75</f>
        <v>0</v>
      </c>
      <c r="AO70" s="1">
        <f>U70*Paramètres!$B$72*Paramètres!$B$73</f>
        <v>0</v>
      </c>
      <c r="AP70" s="1"/>
      <c r="AQ70" s="1">
        <f>(Y70+AC70)*Paramètres!$B$42*Paramètres!$B$53</f>
        <v>0</v>
      </c>
      <c r="AR70" s="1"/>
      <c r="AS70" s="7">
        <f>ROUNDUP(D70*Paramètres!$B$23*Paramètres!$B$26,-1)</f>
        <v>0</v>
      </c>
      <c r="AT70" s="7"/>
      <c r="AU70" s="1"/>
      <c r="AV70" s="8"/>
      <c r="AW70" s="8"/>
      <c r="AX70" s="8"/>
      <c r="AY70" s="8"/>
      <c r="AZ70" s="8"/>
      <c r="BA70" s="8"/>
      <c r="BB70" s="44"/>
      <c r="BC70" s="44"/>
      <c r="BD70" s="8"/>
      <c r="BE70" s="8"/>
      <c r="BF70" s="8"/>
      <c r="BG70" s="44"/>
      <c r="BI70">
        <f>AQ70+AS70</f>
        <v>0</v>
      </c>
    </row>
    <row r="71" spans="1:61" x14ac:dyDescent="0.25">
      <c r="B71" s="1"/>
      <c r="C71" s="1"/>
      <c r="D71" s="1"/>
      <c r="E71" s="1"/>
      <c r="F71" s="1"/>
      <c r="G71" s="54"/>
      <c r="H71" s="54"/>
      <c r="I71" s="54"/>
      <c r="J71" s="50">
        <f>F71*Paramètres!$B$3</f>
        <v>0</v>
      </c>
      <c r="K71" s="56">
        <f>J71*G71</f>
        <v>0</v>
      </c>
      <c r="L71" s="56">
        <f>J71*H71</f>
        <v>0</v>
      </c>
      <c r="M71" s="56">
        <f>J71*I71</f>
        <v>0</v>
      </c>
      <c r="N71" s="3">
        <f>ROUNDUP(J71*Paramètres!$B$19,-1)</f>
        <v>0</v>
      </c>
      <c r="O71" s="1">
        <f>N71</f>
        <v>0</v>
      </c>
      <c r="P71" s="1">
        <f>O71/10</f>
        <v>0</v>
      </c>
      <c r="Q71" s="3">
        <f>ROUNDUP((O71+P71)/100,-1)</f>
        <v>0</v>
      </c>
      <c r="R71" s="47">
        <f>ROUNDUP(+K71/Paramètres!$B$4/Paramètres!$B$53,0)</f>
        <v>0</v>
      </c>
      <c r="S71" s="47">
        <f>ROUNDUP(+L71/Paramètres!$B$6/Paramètres!$B$53,0)</f>
        <v>0</v>
      </c>
      <c r="T71" s="47"/>
      <c r="U71" s="2">
        <f>R71+S71+T71</f>
        <v>0</v>
      </c>
      <c r="V71" s="1">
        <f>R71*Paramètres!$B$7</f>
        <v>0</v>
      </c>
      <c r="W71" s="1">
        <f>S71*Paramètres!$B$9</f>
        <v>0</v>
      </c>
      <c r="X71" s="1"/>
      <c r="Y71" s="2">
        <f>V71+W71+X71</f>
        <v>0</v>
      </c>
      <c r="Z71" s="7">
        <f>R71*Paramètres!$B$10</f>
        <v>0</v>
      </c>
      <c r="AA71" s="7">
        <f>S71*Paramètres!$B$10</f>
        <v>0</v>
      </c>
      <c r="AB71" s="7"/>
      <c r="AC71" s="2">
        <f>Z71+AA71+AB71</f>
        <v>0</v>
      </c>
      <c r="AD71" s="1">
        <f>U71</f>
        <v>0</v>
      </c>
      <c r="AE71" s="1">
        <f>ROUNDUP((U71/200)*2,0)*10</f>
        <v>0</v>
      </c>
      <c r="AF71" s="1">
        <f>IF(B71="",0,Paramètres!$B$53*1.5)</f>
        <v>0</v>
      </c>
      <c r="AG71" s="1">
        <f>IF(C71="",0,Paramètres!$B$53*1.5)</f>
        <v>0</v>
      </c>
      <c r="AH71" s="1"/>
      <c r="AI71" s="1"/>
      <c r="AJ71" s="1"/>
      <c r="AK71" s="1"/>
      <c r="AL71" s="1">
        <f>(U71*Paramètres!$B$53)*3</f>
        <v>0</v>
      </c>
      <c r="AM71" s="1">
        <f>N71</f>
        <v>0</v>
      </c>
      <c r="AN71" s="1">
        <f>U71*Paramètres!$B$75</f>
        <v>0</v>
      </c>
      <c r="AO71" s="1">
        <f>U71*Paramètres!$B$72*Paramètres!$B$73</f>
        <v>0</v>
      </c>
      <c r="AP71" s="1"/>
      <c r="AQ71" s="1">
        <f>(Y71+AC71)*Paramètres!$B$42*Paramètres!$B$53</f>
        <v>0</v>
      </c>
      <c r="AR71" s="1"/>
      <c r="AS71" s="7">
        <f>ROUNDUP(D71*Paramètres!$B$23*Paramètres!$B$26,-1)</f>
        <v>0</v>
      </c>
      <c r="AT71" s="7"/>
      <c r="AU71" s="1"/>
      <c r="AV71" s="8"/>
      <c r="AW71" s="8"/>
      <c r="AX71" s="8"/>
      <c r="AY71" s="8"/>
      <c r="AZ71" s="8"/>
      <c r="BA71" s="8"/>
      <c r="BB71" s="44"/>
      <c r="BC71" s="44"/>
      <c r="BD71" s="8"/>
      <c r="BE71" s="8"/>
      <c r="BF71" s="8"/>
      <c r="BG71" s="44"/>
      <c r="BI71">
        <f>AQ71+AS71</f>
        <v>0</v>
      </c>
    </row>
    <row r="72" spans="1:61" x14ac:dyDescent="0.25">
      <c r="A72" s="5">
        <v>0</v>
      </c>
      <c r="B72" s="5" t="s">
        <v>5</v>
      </c>
      <c r="C72" s="5">
        <f>SUM(C3:C71)</f>
        <v>0</v>
      </c>
      <c r="D72" s="5">
        <f t="shared" ref="D72:S72" si="13">SUM(D3:D71)</f>
        <v>0</v>
      </c>
      <c r="E72" s="5">
        <f t="shared" si="13"/>
        <v>0</v>
      </c>
      <c r="F72" s="5"/>
      <c r="G72" s="55"/>
      <c r="H72" s="55"/>
      <c r="I72" s="55"/>
      <c r="J72" s="51">
        <f>SUM(J3:J71)</f>
        <v>0</v>
      </c>
      <c r="K72" s="57">
        <f t="shared" si="13"/>
        <v>0</v>
      </c>
      <c r="L72" s="57">
        <f t="shared" si="13"/>
        <v>0</v>
      </c>
      <c r="M72" s="57">
        <f t="shared" si="13"/>
        <v>0</v>
      </c>
      <c r="N72" s="5">
        <f t="shared" si="13"/>
        <v>0</v>
      </c>
      <c r="O72" s="5">
        <f t="shared" si="13"/>
        <v>0</v>
      </c>
      <c r="P72" s="5">
        <f t="shared" si="13"/>
        <v>0</v>
      </c>
      <c r="Q72" s="5">
        <f t="shared" si="13"/>
        <v>0</v>
      </c>
      <c r="R72" s="5">
        <f t="shared" si="13"/>
        <v>0</v>
      </c>
      <c r="S72" s="5">
        <f t="shared" si="13"/>
        <v>0</v>
      </c>
      <c r="T72" s="5">
        <f>ROUNDUP(+M72/Paramètres!$B$5/Paramètres!$B$53,0)</f>
        <v>0</v>
      </c>
      <c r="U72" s="6">
        <f>R72+S72+T72</f>
        <v>0</v>
      </c>
      <c r="V72" s="6">
        <f>SUM(V3:V71)</f>
        <v>0</v>
      </c>
      <c r="W72" s="6">
        <f>SUM(W3:W71)</f>
        <v>0</v>
      </c>
      <c r="X72" s="6">
        <f>(T72*Paramètres!B8+T72)</f>
        <v>0</v>
      </c>
      <c r="Y72" s="6">
        <f>SUM(Y3:Y71)</f>
        <v>0</v>
      </c>
      <c r="Z72" s="6">
        <f>SUM(Z3:Z71)</f>
        <v>0</v>
      </c>
      <c r="AA72" s="6">
        <f>SUM(AA3:AA71)</f>
        <v>0</v>
      </c>
      <c r="AB72" s="6">
        <f>T72*Paramètres!B10</f>
        <v>0</v>
      </c>
      <c r="AC72" s="6">
        <f>SUM(AC3:AC71)</f>
        <v>0</v>
      </c>
      <c r="AD72" s="6">
        <f>SUM(AD3:AD71)</f>
        <v>0</v>
      </c>
      <c r="AE72" s="6">
        <f>SUM(AE3:AE71)</f>
        <v>0</v>
      </c>
      <c r="AF72" s="6">
        <f>SUM(AF3:AF71)</f>
        <v>0</v>
      </c>
      <c r="AG72" s="6">
        <f>SUM(AG3:AG71)</f>
        <v>0</v>
      </c>
      <c r="AH72" s="6">
        <f>IF(Q72=0,0,Paramètres!$B$53*2)</f>
        <v>0</v>
      </c>
      <c r="AI72" s="5">
        <f>IF(N72=0,0,Paramètres!$B$53*3)</f>
        <v>0</v>
      </c>
      <c r="AJ72" s="6"/>
      <c r="AK72" s="6"/>
      <c r="AL72" s="6">
        <f>SUM(AL3:AL71)</f>
        <v>0</v>
      </c>
      <c r="AM72" s="6">
        <f>SUM(AM3:AM71)</f>
        <v>0</v>
      </c>
      <c r="AN72" s="6">
        <f>SUM(AN3:AN71)</f>
        <v>0</v>
      </c>
      <c r="AO72" s="6">
        <f>SUM(AO3:AO71)</f>
        <v>0</v>
      </c>
      <c r="AP72" s="6">
        <f>ROUNDUP(AO72/Paramètres!B74,-1)</f>
        <v>0</v>
      </c>
      <c r="AQ72" s="6">
        <f>SUM(AQ3:AQ71)</f>
        <v>0</v>
      </c>
      <c r="AR72" s="6">
        <f>(X72+AB72)*Paramètres!B42*Paramètres!$B$53</f>
        <v>0</v>
      </c>
      <c r="AS72" s="45">
        <f>SUM(AS3:AS71)</f>
        <v>0</v>
      </c>
      <c r="AT72" s="45">
        <f>ROUNDUP(E72*Paramètres!$B$22*Paramètres!$B$25,-1)</f>
        <v>0</v>
      </c>
      <c r="AU72" s="45">
        <f>Paramètres!B51*0</f>
        <v>0</v>
      </c>
      <c r="AV72" s="45">
        <f>ROUNDUP(Q72*Paramètres!$B$52+Paramètres!$B$27*30,-3)*0</f>
        <v>0</v>
      </c>
      <c r="AW72" s="6">
        <f>(A72+Y72+AB72+AC72)*Paramètres!$B$60</f>
        <v>0</v>
      </c>
      <c r="AX72" s="6">
        <f>(A72+X72+Y72+AB72+AC72)*Paramètres!$B$63*Paramètres!$B$66</f>
        <v>0</v>
      </c>
      <c r="AY72" s="6">
        <f>Paramètres!$B$64*Paramètres!$B$66*Paramètres!$B$63*0</f>
        <v>0</v>
      </c>
      <c r="AZ72" s="6">
        <f>Paramètres!$B$64*Paramètres!$B$66*Paramètres!$B$79*0</f>
        <v>0</v>
      </c>
      <c r="BA72" s="6">
        <f>(X72+Y72+AB72+AC72+Paramètres!$B$64)*Paramètres!$B$61*Paramètres!$B$66*0</f>
        <v>0</v>
      </c>
      <c r="BB72" s="45">
        <f>AW72+AX72+AY72+BA72+AZ72</f>
        <v>0</v>
      </c>
      <c r="BC72" s="45">
        <f>A72*Paramètres!$B$69*Paramètres!$B$53</f>
        <v>0</v>
      </c>
      <c r="BD72" s="6">
        <f>AP72*Paramètres!$B$70</f>
        <v>0</v>
      </c>
      <c r="BE72" s="6">
        <f>Paramètres!B76*Paramètres!$B$66*Paramètres!$B$62*0</f>
        <v>0</v>
      </c>
      <c r="BF72" s="6">
        <f>Paramètres!B76*Paramètres!$B$61*0</f>
        <v>0</v>
      </c>
      <c r="BG72" s="45">
        <f>BE72+BF72</f>
        <v>0</v>
      </c>
      <c r="BH72" s="45">
        <f>Paramètres!B77*0</f>
        <v>0</v>
      </c>
      <c r="BI72" s="6">
        <f>AQ72+AS72+AU72+AV72</f>
        <v>0</v>
      </c>
    </row>
    <row r="73" spans="1:6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61" x14ac:dyDescent="0.25">
      <c r="U74" s="41"/>
    </row>
    <row r="79" spans="1:61" x14ac:dyDescent="0.25">
      <c r="V79" s="41"/>
    </row>
  </sheetData>
  <mergeCells count="1">
    <mergeCell ref="G1:I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37"/>
  </sheetPr>
  <dimension ref="A1:H22"/>
  <sheetViews>
    <sheetView topLeftCell="A7" zoomScale="120" zoomScaleNormal="120" workbookViewId="0">
      <selection activeCell="D13" sqref="D13"/>
    </sheetView>
  </sheetViews>
  <sheetFormatPr defaultColWidth="11.42578125" defaultRowHeight="12.75" x14ac:dyDescent="0.2"/>
  <cols>
    <col min="1" max="1" width="13.140625" style="13" customWidth="1"/>
    <col min="2" max="2" width="16.7109375" style="13" customWidth="1"/>
    <col min="3" max="3" width="18.28515625" style="13" customWidth="1"/>
    <col min="4" max="4" width="11.42578125" style="13"/>
    <col min="5" max="5" width="16.140625" style="13" customWidth="1"/>
    <col min="6" max="7" width="11.42578125" style="13"/>
    <col min="8" max="8" width="14.7109375" style="13" customWidth="1"/>
    <col min="9" max="257" width="11.42578125" style="13"/>
    <col min="258" max="258" width="16.7109375" style="13" customWidth="1"/>
    <col min="259" max="259" width="18.28515625" style="13" customWidth="1"/>
    <col min="260" max="260" width="11.42578125" style="13"/>
    <col min="261" max="261" width="16.140625" style="13" customWidth="1"/>
    <col min="262" max="263" width="11.42578125" style="13"/>
    <col min="264" max="264" width="14.7109375" style="13" customWidth="1"/>
    <col min="265" max="513" width="11.42578125" style="13"/>
    <col min="514" max="514" width="16.7109375" style="13" customWidth="1"/>
    <col min="515" max="515" width="18.28515625" style="13" customWidth="1"/>
    <col min="516" max="516" width="11.42578125" style="13"/>
    <col min="517" max="517" width="16.140625" style="13" customWidth="1"/>
    <col min="518" max="519" width="11.42578125" style="13"/>
    <col min="520" max="520" width="14.7109375" style="13" customWidth="1"/>
    <col min="521" max="769" width="11.42578125" style="13"/>
    <col min="770" max="770" width="16.7109375" style="13" customWidth="1"/>
    <col min="771" max="771" width="18.28515625" style="13" customWidth="1"/>
    <col min="772" max="772" width="11.42578125" style="13"/>
    <col min="773" max="773" width="16.140625" style="13" customWidth="1"/>
    <col min="774" max="775" width="11.42578125" style="13"/>
    <col min="776" max="776" width="14.7109375" style="13" customWidth="1"/>
    <col min="777" max="1025" width="11.42578125" style="13"/>
    <col min="1026" max="1026" width="16.7109375" style="13" customWidth="1"/>
    <col min="1027" max="1027" width="18.28515625" style="13" customWidth="1"/>
    <col min="1028" max="1028" width="11.42578125" style="13"/>
    <col min="1029" max="1029" width="16.140625" style="13" customWidth="1"/>
    <col min="1030" max="1031" width="11.42578125" style="13"/>
    <col min="1032" max="1032" width="14.7109375" style="13" customWidth="1"/>
    <col min="1033" max="1281" width="11.42578125" style="13"/>
    <col min="1282" max="1282" width="16.7109375" style="13" customWidth="1"/>
    <col min="1283" max="1283" width="18.28515625" style="13" customWidth="1"/>
    <col min="1284" max="1284" width="11.42578125" style="13"/>
    <col min="1285" max="1285" width="16.140625" style="13" customWidth="1"/>
    <col min="1286" max="1287" width="11.42578125" style="13"/>
    <col min="1288" max="1288" width="14.7109375" style="13" customWidth="1"/>
    <col min="1289" max="1537" width="11.42578125" style="13"/>
    <col min="1538" max="1538" width="16.7109375" style="13" customWidth="1"/>
    <col min="1539" max="1539" width="18.28515625" style="13" customWidth="1"/>
    <col min="1540" max="1540" width="11.42578125" style="13"/>
    <col min="1541" max="1541" width="16.140625" style="13" customWidth="1"/>
    <col min="1542" max="1543" width="11.42578125" style="13"/>
    <col min="1544" max="1544" width="14.7109375" style="13" customWidth="1"/>
    <col min="1545" max="1793" width="11.42578125" style="13"/>
    <col min="1794" max="1794" width="16.7109375" style="13" customWidth="1"/>
    <col min="1795" max="1795" width="18.28515625" style="13" customWidth="1"/>
    <col min="1796" max="1796" width="11.42578125" style="13"/>
    <col min="1797" max="1797" width="16.140625" style="13" customWidth="1"/>
    <col min="1798" max="1799" width="11.42578125" style="13"/>
    <col min="1800" max="1800" width="14.7109375" style="13" customWidth="1"/>
    <col min="1801" max="2049" width="11.42578125" style="13"/>
    <col min="2050" max="2050" width="16.7109375" style="13" customWidth="1"/>
    <col min="2051" max="2051" width="18.28515625" style="13" customWidth="1"/>
    <col min="2052" max="2052" width="11.42578125" style="13"/>
    <col min="2053" max="2053" width="16.140625" style="13" customWidth="1"/>
    <col min="2054" max="2055" width="11.42578125" style="13"/>
    <col min="2056" max="2056" width="14.7109375" style="13" customWidth="1"/>
    <col min="2057" max="2305" width="11.42578125" style="13"/>
    <col min="2306" max="2306" width="16.7109375" style="13" customWidth="1"/>
    <col min="2307" max="2307" width="18.28515625" style="13" customWidth="1"/>
    <col min="2308" max="2308" width="11.42578125" style="13"/>
    <col min="2309" max="2309" width="16.140625" style="13" customWidth="1"/>
    <col min="2310" max="2311" width="11.42578125" style="13"/>
    <col min="2312" max="2312" width="14.7109375" style="13" customWidth="1"/>
    <col min="2313" max="2561" width="11.42578125" style="13"/>
    <col min="2562" max="2562" width="16.7109375" style="13" customWidth="1"/>
    <col min="2563" max="2563" width="18.28515625" style="13" customWidth="1"/>
    <col min="2564" max="2564" width="11.42578125" style="13"/>
    <col min="2565" max="2565" width="16.140625" style="13" customWidth="1"/>
    <col min="2566" max="2567" width="11.42578125" style="13"/>
    <col min="2568" max="2568" width="14.7109375" style="13" customWidth="1"/>
    <col min="2569" max="2817" width="11.42578125" style="13"/>
    <col min="2818" max="2818" width="16.7109375" style="13" customWidth="1"/>
    <col min="2819" max="2819" width="18.28515625" style="13" customWidth="1"/>
    <col min="2820" max="2820" width="11.42578125" style="13"/>
    <col min="2821" max="2821" width="16.140625" style="13" customWidth="1"/>
    <col min="2822" max="2823" width="11.42578125" style="13"/>
    <col min="2824" max="2824" width="14.7109375" style="13" customWidth="1"/>
    <col min="2825" max="3073" width="11.42578125" style="13"/>
    <col min="3074" max="3074" width="16.7109375" style="13" customWidth="1"/>
    <col min="3075" max="3075" width="18.28515625" style="13" customWidth="1"/>
    <col min="3076" max="3076" width="11.42578125" style="13"/>
    <col min="3077" max="3077" width="16.140625" style="13" customWidth="1"/>
    <col min="3078" max="3079" width="11.42578125" style="13"/>
    <col min="3080" max="3080" width="14.7109375" style="13" customWidth="1"/>
    <col min="3081" max="3329" width="11.42578125" style="13"/>
    <col min="3330" max="3330" width="16.7109375" style="13" customWidth="1"/>
    <col min="3331" max="3331" width="18.28515625" style="13" customWidth="1"/>
    <col min="3332" max="3332" width="11.42578125" style="13"/>
    <col min="3333" max="3333" width="16.140625" style="13" customWidth="1"/>
    <col min="3334" max="3335" width="11.42578125" style="13"/>
    <col min="3336" max="3336" width="14.7109375" style="13" customWidth="1"/>
    <col min="3337" max="3585" width="11.42578125" style="13"/>
    <col min="3586" max="3586" width="16.7109375" style="13" customWidth="1"/>
    <col min="3587" max="3587" width="18.28515625" style="13" customWidth="1"/>
    <col min="3588" max="3588" width="11.42578125" style="13"/>
    <col min="3589" max="3589" width="16.140625" style="13" customWidth="1"/>
    <col min="3590" max="3591" width="11.42578125" style="13"/>
    <col min="3592" max="3592" width="14.7109375" style="13" customWidth="1"/>
    <col min="3593" max="3841" width="11.42578125" style="13"/>
    <col min="3842" max="3842" width="16.7109375" style="13" customWidth="1"/>
    <col min="3843" max="3843" width="18.28515625" style="13" customWidth="1"/>
    <col min="3844" max="3844" width="11.42578125" style="13"/>
    <col min="3845" max="3845" width="16.140625" style="13" customWidth="1"/>
    <col min="3846" max="3847" width="11.42578125" style="13"/>
    <col min="3848" max="3848" width="14.7109375" style="13" customWidth="1"/>
    <col min="3849" max="4097" width="11.42578125" style="13"/>
    <col min="4098" max="4098" width="16.7109375" style="13" customWidth="1"/>
    <col min="4099" max="4099" width="18.28515625" style="13" customWidth="1"/>
    <col min="4100" max="4100" width="11.42578125" style="13"/>
    <col min="4101" max="4101" width="16.140625" style="13" customWidth="1"/>
    <col min="4102" max="4103" width="11.42578125" style="13"/>
    <col min="4104" max="4104" width="14.7109375" style="13" customWidth="1"/>
    <col min="4105" max="4353" width="11.42578125" style="13"/>
    <col min="4354" max="4354" width="16.7109375" style="13" customWidth="1"/>
    <col min="4355" max="4355" width="18.28515625" style="13" customWidth="1"/>
    <col min="4356" max="4356" width="11.42578125" style="13"/>
    <col min="4357" max="4357" width="16.140625" style="13" customWidth="1"/>
    <col min="4358" max="4359" width="11.42578125" style="13"/>
    <col min="4360" max="4360" width="14.7109375" style="13" customWidth="1"/>
    <col min="4361" max="4609" width="11.42578125" style="13"/>
    <col min="4610" max="4610" width="16.7109375" style="13" customWidth="1"/>
    <col min="4611" max="4611" width="18.28515625" style="13" customWidth="1"/>
    <col min="4612" max="4612" width="11.42578125" style="13"/>
    <col min="4613" max="4613" width="16.140625" style="13" customWidth="1"/>
    <col min="4614" max="4615" width="11.42578125" style="13"/>
    <col min="4616" max="4616" width="14.7109375" style="13" customWidth="1"/>
    <col min="4617" max="4865" width="11.42578125" style="13"/>
    <col min="4866" max="4866" width="16.7109375" style="13" customWidth="1"/>
    <col min="4867" max="4867" width="18.28515625" style="13" customWidth="1"/>
    <col min="4868" max="4868" width="11.42578125" style="13"/>
    <col min="4869" max="4869" width="16.140625" style="13" customWidth="1"/>
    <col min="4870" max="4871" width="11.42578125" style="13"/>
    <col min="4872" max="4872" width="14.7109375" style="13" customWidth="1"/>
    <col min="4873" max="5121" width="11.42578125" style="13"/>
    <col min="5122" max="5122" width="16.7109375" style="13" customWidth="1"/>
    <col min="5123" max="5123" width="18.28515625" style="13" customWidth="1"/>
    <col min="5124" max="5124" width="11.42578125" style="13"/>
    <col min="5125" max="5125" width="16.140625" style="13" customWidth="1"/>
    <col min="5126" max="5127" width="11.42578125" style="13"/>
    <col min="5128" max="5128" width="14.7109375" style="13" customWidth="1"/>
    <col min="5129" max="5377" width="11.42578125" style="13"/>
    <col min="5378" max="5378" width="16.7109375" style="13" customWidth="1"/>
    <col min="5379" max="5379" width="18.28515625" style="13" customWidth="1"/>
    <col min="5380" max="5380" width="11.42578125" style="13"/>
    <col min="5381" max="5381" width="16.140625" style="13" customWidth="1"/>
    <col min="5382" max="5383" width="11.42578125" style="13"/>
    <col min="5384" max="5384" width="14.7109375" style="13" customWidth="1"/>
    <col min="5385" max="5633" width="11.42578125" style="13"/>
    <col min="5634" max="5634" width="16.7109375" style="13" customWidth="1"/>
    <col min="5635" max="5635" width="18.28515625" style="13" customWidth="1"/>
    <col min="5636" max="5636" width="11.42578125" style="13"/>
    <col min="5637" max="5637" width="16.140625" style="13" customWidth="1"/>
    <col min="5638" max="5639" width="11.42578125" style="13"/>
    <col min="5640" max="5640" width="14.7109375" style="13" customWidth="1"/>
    <col min="5641" max="5889" width="11.42578125" style="13"/>
    <col min="5890" max="5890" width="16.7109375" style="13" customWidth="1"/>
    <col min="5891" max="5891" width="18.28515625" style="13" customWidth="1"/>
    <col min="5892" max="5892" width="11.42578125" style="13"/>
    <col min="5893" max="5893" width="16.140625" style="13" customWidth="1"/>
    <col min="5894" max="5895" width="11.42578125" style="13"/>
    <col min="5896" max="5896" width="14.7109375" style="13" customWidth="1"/>
    <col min="5897" max="6145" width="11.42578125" style="13"/>
    <col min="6146" max="6146" width="16.7109375" style="13" customWidth="1"/>
    <col min="6147" max="6147" width="18.28515625" style="13" customWidth="1"/>
    <col min="6148" max="6148" width="11.42578125" style="13"/>
    <col min="6149" max="6149" width="16.140625" style="13" customWidth="1"/>
    <col min="6150" max="6151" width="11.42578125" style="13"/>
    <col min="6152" max="6152" width="14.7109375" style="13" customWidth="1"/>
    <col min="6153" max="6401" width="11.42578125" style="13"/>
    <col min="6402" max="6402" width="16.7109375" style="13" customWidth="1"/>
    <col min="6403" max="6403" width="18.28515625" style="13" customWidth="1"/>
    <col min="6404" max="6404" width="11.42578125" style="13"/>
    <col min="6405" max="6405" width="16.140625" style="13" customWidth="1"/>
    <col min="6406" max="6407" width="11.42578125" style="13"/>
    <col min="6408" max="6408" width="14.7109375" style="13" customWidth="1"/>
    <col min="6409" max="6657" width="11.42578125" style="13"/>
    <col min="6658" max="6658" width="16.7109375" style="13" customWidth="1"/>
    <col min="6659" max="6659" width="18.28515625" style="13" customWidth="1"/>
    <col min="6660" max="6660" width="11.42578125" style="13"/>
    <col min="6661" max="6661" width="16.140625" style="13" customWidth="1"/>
    <col min="6662" max="6663" width="11.42578125" style="13"/>
    <col min="6664" max="6664" width="14.7109375" style="13" customWidth="1"/>
    <col min="6665" max="6913" width="11.42578125" style="13"/>
    <col min="6914" max="6914" width="16.7109375" style="13" customWidth="1"/>
    <col min="6915" max="6915" width="18.28515625" style="13" customWidth="1"/>
    <col min="6916" max="6916" width="11.42578125" style="13"/>
    <col min="6917" max="6917" width="16.140625" style="13" customWidth="1"/>
    <col min="6918" max="6919" width="11.42578125" style="13"/>
    <col min="6920" max="6920" width="14.7109375" style="13" customWidth="1"/>
    <col min="6921" max="7169" width="11.42578125" style="13"/>
    <col min="7170" max="7170" width="16.7109375" style="13" customWidth="1"/>
    <col min="7171" max="7171" width="18.28515625" style="13" customWidth="1"/>
    <col min="7172" max="7172" width="11.42578125" style="13"/>
    <col min="7173" max="7173" width="16.140625" style="13" customWidth="1"/>
    <col min="7174" max="7175" width="11.42578125" style="13"/>
    <col min="7176" max="7176" width="14.7109375" style="13" customWidth="1"/>
    <col min="7177" max="7425" width="11.42578125" style="13"/>
    <col min="7426" max="7426" width="16.7109375" style="13" customWidth="1"/>
    <col min="7427" max="7427" width="18.28515625" style="13" customWidth="1"/>
    <col min="7428" max="7428" width="11.42578125" style="13"/>
    <col min="7429" max="7429" width="16.140625" style="13" customWidth="1"/>
    <col min="7430" max="7431" width="11.42578125" style="13"/>
    <col min="7432" max="7432" width="14.7109375" style="13" customWidth="1"/>
    <col min="7433" max="7681" width="11.42578125" style="13"/>
    <col min="7682" max="7682" width="16.7109375" style="13" customWidth="1"/>
    <col min="7683" max="7683" width="18.28515625" style="13" customWidth="1"/>
    <col min="7684" max="7684" width="11.42578125" style="13"/>
    <col min="7685" max="7685" width="16.140625" style="13" customWidth="1"/>
    <col min="7686" max="7687" width="11.42578125" style="13"/>
    <col min="7688" max="7688" width="14.7109375" style="13" customWidth="1"/>
    <col min="7689" max="7937" width="11.42578125" style="13"/>
    <col min="7938" max="7938" width="16.7109375" style="13" customWidth="1"/>
    <col min="7939" max="7939" width="18.28515625" style="13" customWidth="1"/>
    <col min="7940" max="7940" width="11.42578125" style="13"/>
    <col min="7941" max="7941" width="16.140625" style="13" customWidth="1"/>
    <col min="7942" max="7943" width="11.42578125" style="13"/>
    <col min="7944" max="7944" width="14.7109375" style="13" customWidth="1"/>
    <col min="7945" max="8193" width="11.42578125" style="13"/>
    <col min="8194" max="8194" width="16.7109375" style="13" customWidth="1"/>
    <col min="8195" max="8195" width="18.28515625" style="13" customWidth="1"/>
    <col min="8196" max="8196" width="11.42578125" style="13"/>
    <col min="8197" max="8197" width="16.140625" style="13" customWidth="1"/>
    <col min="8198" max="8199" width="11.42578125" style="13"/>
    <col min="8200" max="8200" width="14.7109375" style="13" customWidth="1"/>
    <col min="8201" max="8449" width="11.42578125" style="13"/>
    <col min="8450" max="8450" width="16.7109375" style="13" customWidth="1"/>
    <col min="8451" max="8451" width="18.28515625" style="13" customWidth="1"/>
    <col min="8452" max="8452" width="11.42578125" style="13"/>
    <col min="8453" max="8453" width="16.140625" style="13" customWidth="1"/>
    <col min="8454" max="8455" width="11.42578125" style="13"/>
    <col min="8456" max="8456" width="14.7109375" style="13" customWidth="1"/>
    <col min="8457" max="8705" width="11.42578125" style="13"/>
    <col min="8706" max="8706" width="16.7109375" style="13" customWidth="1"/>
    <col min="8707" max="8707" width="18.28515625" style="13" customWidth="1"/>
    <col min="8708" max="8708" width="11.42578125" style="13"/>
    <col min="8709" max="8709" width="16.140625" style="13" customWidth="1"/>
    <col min="8710" max="8711" width="11.42578125" style="13"/>
    <col min="8712" max="8712" width="14.7109375" style="13" customWidth="1"/>
    <col min="8713" max="8961" width="11.42578125" style="13"/>
    <col min="8962" max="8962" width="16.7109375" style="13" customWidth="1"/>
    <col min="8963" max="8963" width="18.28515625" style="13" customWidth="1"/>
    <col min="8964" max="8964" width="11.42578125" style="13"/>
    <col min="8965" max="8965" width="16.140625" style="13" customWidth="1"/>
    <col min="8966" max="8967" width="11.42578125" style="13"/>
    <col min="8968" max="8968" width="14.7109375" style="13" customWidth="1"/>
    <col min="8969" max="9217" width="11.42578125" style="13"/>
    <col min="9218" max="9218" width="16.7109375" style="13" customWidth="1"/>
    <col min="9219" max="9219" width="18.28515625" style="13" customWidth="1"/>
    <col min="9220" max="9220" width="11.42578125" style="13"/>
    <col min="9221" max="9221" width="16.140625" style="13" customWidth="1"/>
    <col min="9222" max="9223" width="11.42578125" style="13"/>
    <col min="9224" max="9224" width="14.7109375" style="13" customWidth="1"/>
    <col min="9225" max="9473" width="11.42578125" style="13"/>
    <col min="9474" max="9474" width="16.7109375" style="13" customWidth="1"/>
    <col min="9475" max="9475" width="18.28515625" style="13" customWidth="1"/>
    <col min="9476" max="9476" width="11.42578125" style="13"/>
    <col min="9477" max="9477" width="16.140625" style="13" customWidth="1"/>
    <col min="9478" max="9479" width="11.42578125" style="13"/>
    <col min="9480" max="9480" width="14.7109375" style="13" customWidth="1"/>
    <col min="9481" max="9729" width="11.42578125" style="13"/>
    <col min="9730" max="9730" width="16.7109375" style="13" customWidth="1"/>
    <col min="9731" max="9731" width="18.28515625" style="13" customWidth="1"/>
    <col min="9732" max="9732" width="11.42578125" style="13"/>
    <col min="9733" max="9733" width="16.140625" style="13" customWidth="1"/>
    <col min="9734" max="9735" width="11.42578125" style="13"/>
    <col min="9736" max="9736" width="14.7109375" style="13" customWidth="1"/>
    <col min="9737" max="9985" width="11.42578125" style="13"/>
    <col min="9986" max="9986" width="16.7109375" style="13" customWidth="1"/>
    <col min="9987" max="9987" width="18.28515625" style="13" customWidth="1"/>
    <col min="9988" max="9988" width="11.42578125" style="13"/>
    <col min="9989" max="9989" width="16.140625" style="13" customWidth="1"/>
    <col min="9990" max="9991" width="11.42578125" style="13"/>
    <col min="9992" max="9992" width="14.7109375" style="13" customWidth="1"/>
    <col min="9993" max="10241" width="11.42578125" style="13"/>
    <col min="10242" max="10242" width="16.7109375" style="13" customWidth="1"/>
    <col min="10243" max="10243" width="18.28515625" style="13" customWidth="1"/>
    <col min="10244" max="10244" width="11.42578125" style="13"/>
    <col min="10245" max="10245" width="16.140625" style="13" customWidth="1"/>
    <col min="10246" max="10247" width="11.42578125" style="13"/>
    <col min="10248" max="10248" width="14.7109375" style="13" customWidth="1"/>
    <col min="10249" max="10497" width="11.42578125" style="13"/>
    <col min="10498" max="10498" width="16.7109375" style="13" customWidth="1"/>
    <col min="10499" max="10499" width="18.28515625" style="13" customWidth="1"/>
    <col min="10500" max="10500" width="11.42578125" style="13"/>
    <col min="10501" max="10501" width="16.140625" style="13" customWidth="1"/>
    <col min="10502" max="10503" width="11.42578125" style="13"/>
    <col min="10504" max="10504" width="14.7109375" style="13" customWidth="1"/>
    <col min="10505" max="10753" width="11.42578125" style="13"/>
    <col min="10754" max="10754" width="16.7109375" style="13" customWidth="1"/>
    <col min="10755" max="10755" width="18.28515625" style="13" customWidth="1"/>
    <col min="10756" max="10756" width="11.42578125" style="13"/>
    <col min="10757" max="10757" width="16.140625" style="13" customWidth="1"/>
    <col min="10758" max="10759" width="11.42578125" style="13"/>
    <col min="10760" max="10760" width="14.7109375" style="13" customWidth="1"/>
    <col min="10761" max="11009" width="11.42578125" style="13"/>
    <col min="11010" max="11010" width="16.7109375" style="13" customWidth="1"/>
    <col min="11011" max="11011" width="18.28515625" style="13" customWidth="1"/>
    <col min="11012" max="11012" width="11.42578125" style="13"/>
    <col min="11013" max="11013" width="16.140625" style="13" customWidth="1"/>
    <col min="11014" max="11015" width="11.42578125" style="13"/>
    <col min="11016" max="11016" width="14.7109375" style="13" customWidth="1"/>
    <col min="11017" max="11265" width="11.42578125" style="13"/>
    <col min="11266" max="11266" width="16.7109375" style="13" customWidth="1"/>
    <col min="11267" max="11267" width="18.28515625" style="13" customWidth="1"/>
    <col min="11268" max="11268" width="11.42578125" style="13"/>
    <col min="11269" max="11269" width="16.140625" style="13" customWidth="1"/>
    <col min="11270" max="11271" width="11.42578125" style="13"/>
    <col min="11272" max="11272" width="14.7109375" style="13" customWidth="1"/>
    <col min="11273" max="11521" width="11.42578125" style="13"/>
    <col min="11522" max="11522" width="16.7109375" style="13" customWidth="1"/>
    <col min="11523" max="11523" width="18.28515625" style="13" customWidth="1"/>
    <col min="11524" max="11524" width="11.42578125" style="13"/>
    <col min="11525" max="11525" width="16.140625" style="13" customWidth="1"/>
    <col min="11526" max="11527" width="11.42578125" style="13"/>
    <col min="11528" max="11528" width="14.7109375" style="13" customWidth="1"/>
    <col min="11529" max="11777" width="11.42578125" style="13"/>
    <col min="11778" max="11778" width="16.7109375" style="13" customWidth="1"/>
    <col min="11779" max="11779" width="18.28515625" style="13" customWidth="1"/>
    <col min="11780" max="11780" width="11.42578125" style="13"/>
    <col min="11781" max="11781" width="16.140625" style="13" customWidth="1"/>
    <col min="11782" max="11783" width="11.42578125" style="13"/>
    <col min="11784" max="11784" width="14.7109375" style="13" customWidth="1"/>
    <col min="11785" max="12033" width="11.42578125" style="13"/>
    <col min="12034" max="12034" width="16.7109375" style="13" customWidth="1"/>
    <col min="12035" max="12035" width="18.28515625" style="13" customWidth="1"/>
    <col min="12036" max="12036" width="11.42578125" style="13"/>
    <col min="12037" max="12037" width="16.140625" style="13" customWidth="1"/>
    <col min="12038" max="12039" width="11.42578125" style="13"/>
    <col min="12040" max="12040" width="14.7109375" style="13" customWidth="1"/>
    <col min="12041" max="12289" width="11.42578125" style="13"/>
    <col min="12290" max="12290" width="16.7109375" style="13" customWidth="1"/>
    <col min="12291" max="12291" width="18.28515625" style="13" customWidth="1"/>
    <col min="12292" max="12292" width="11.42578125" style="13"/>
    <col min="12293" max="12293" width="16.140625" style="13" customWidth="1"/>
    <col min="12294" max="12295" width="11.42578125" style="13"/>
    <col min="12296" max="12296" width="14.7109375" style="13" customWidth="1"/>
    <col min="12297" max="12545" width="11.42578125" style="13"/>
    <col min="12546" max="12546" width="16.7109375" style="13" customWidth="1"/>
    <col min="12547" max="12547" width="18.28515625" style="13" customWidth="1"/>
    <col min="12548" max="12548" width="11.42578125" style="13"/>
    <col min="12549" max="12549" width="16.140625" style="13" customWidth="1"/>
    <col min="12550" max="12551" width="11.42578125" style="13"/>
    <col min="12552" max="12552" width="14.7109375" style="13" customWidth="1"/>
    <col min="12553" max="12801" width="11.42578125" style="13"/>
    <col min="12802" max="12802" width="16.7109375" style="13" customWidth="1"/>
    <col min="12803" max="12803" width="18.28515625" style="13" customWidth="1"/>
    <col min="12804" max="12804" width="11.42578125" style="13"/>
    <col min="12805" max="12805" width="16.140625" style="13" customWidth="1"/>
    <col min="12806" max="12807" width="11.42578125" style="13"/>
    <col min="12808" max="12808" width="14.7109375" style="13" customWidth="1"/>
    <col min="12809" max="13057" width="11.42578125" style="13"/>
    <col min="13058" max="13058" width="16.7109375" style="13" customWidth="1"/>
    <col min="13059" max="13059" width="18.28515625" style="13" customWidth="1"/>
    <col min="13060" max="13060" width="11.42578125" style="13"/>
    <col min="13061" max="13061" width="16.140625" style="13" customWidth="1"/>
    <col min="13062" max="13063" width="11.42578125" style="13"/>
    <col min="13064" max="13064" width="14.7109375" style="13" customWidth="1"/>
    <col min="13065" max="13313" width="11.42578125" style="13"/>
    <col min="13314" max="13314" width="16.7109375" style="13" customWidth="1"/>
    <col min="13315" max="13315" width="18.28515625" style="13" customWidth="1"/>
    <col min="13316" max="13316" width="11.42578125" style="13"/>
    <col min="13317" max="13317" width="16.140625" style="13" customWidth="1"/>
    <col min="13318" max="13319" width="11.42578125" style="13"/>
    <col min="13320" max="13320" width="14.7109375" style="13" customWidth="1"/>
    <col min="13321" max="13569" width="11.42578125" style="13"/>
    <col min="13570" max="13570" width="16.7109375" style="13" customWidth="1"/>
    <col min="13571" max="13571" width="18.28515625" style="13" customWidth="1"/>
    <col min="13572" max="13572" width="11.42578125" style="13"/>
    <col min="13573" max="13573" width="16.140625" style="13" customWidth="1"/>
    <col min="13574" max="13575" width="11.42578125" style="13"/>
    <col min="13576" max="13576" width="14.7109375" style="13" customWidth="1"/>
    <col min="13577" max="13825" width="11.42578125" style="13"/>
    <col min="13826" max="13826" width="16.7109375" style="13" customWidth="1"/>
    <col min="13827" max="13827" width="18.28515625" style="13" customWidth="1"/>
    <col min="13828" max="13828" width="11.42578125" style="13"/>
    <col min="13829" max="13829" width="16.140625" style="13" customWidth="1"/>
    <col min="13830" max="13831" width="11.42578125" style="13"/>
    <col min="13832" max="13832" width="14.7109375" style="13" customWidth="1"/>
    <col min="13833" max="14081" width="11.42578125" style="13"/>
    <col min="14082" max="14082" width="16.7109375" style="13" customWidth="1"/>
    <col min="14083" max="14083" width="18.28515625" style="13" customWidth="1"/>
    <col min="14084" max="14084" width="11.42578125" style="13"/>
    <col min="14085" max="14085" width="16.140625" style="13" customWidth="1"/>
    <col min="14086" max="14087" width="11.42578125" style="13"/>
    <col min="14088" max="14088" width="14.7109375" style="13" customWidth="1"/>
    <col min="14089" max="14337" width="11.42578125" style="13"/>
    <col min="14338" max="14338" width="16.7109375" style="13" customWidth="1"/>
    <col min="14339" max="14339" width="18.28515625" style="13" customWidth="1"/>
    <col min="14340" max="14340" width="11.42578125" style="13"/>
    <col min="14341" max="14341" width="16.140625" style="13" customWidth="1"/>
    <col min="14342" max="14343" width="11.42578125" style="13"/>
    <col min="14344" max="14344" width="14.7109375" style="13" customWidth="1"/>
    <col min="14345" max="14593" width="11.42578125" style="13"/>
    <col min="14594" max="14594" width="16.7109375" style="13" customWidth="1"/>
    <col min="14595" max="14595" width="18.28515625" style="13" customWidth="1"/>
    <col min="14596" max="14596" width="11.42578125" style="13"/>
    <col min="14597" max="14597" width="16.140625" style="13" customWidth="1"/>
    <col min="14598" max="14599" width="11.42578125" style="13"/>
    <col min="14600" max="14600" width="14.7109375" style="13" customWidth="1"/>
    <col min="14601" max="14849" width="11.42578125" style="13"/>
    <col min="14850" max="14850" width="16.7109375" style="13" customWidth="1"/>
    <col min="14851" max="14851" width="18.28515625" style="13" customWidth="1"/>
    <col min="14852" max="14852" width="11.42578125" style="13"/>
    <col min="14853" max="14853" width="16.140625" style="13" customWidth="1"/>
    <col min="14854" max="14855" width="11.42578125" style="13"/>
    <col min="14856" max="14856" width="14.7109375" style="13" customWidth="1"/>
    <col min="14857" max="15105" width="11.42578125" style="13"/>
    <col min="15106" max="15106" width="16.7109375" style="13" customWidth="1"/>
    <col min="15107" max="15107" width="18.28515625" style="13" customWidth="1"/>
    <col min="15108" max="15108" width="11.42578125" style="13"/>
    <col min="15109" max="15109" width="16.140625" style="13" customWidth="1"/>
    <col min="15110" max="15111" width="11.42578125" style="13"/>
    <col min="15112" max="15112" width="14.7109375" style="13" customWidth="1"/>
    <col min="15113" max="15361" width="11.42578125" style="13"/>
    <col min="15362" max="15362" width="16.7109375" style="13" customWidth="1"/>
    <col min="15363" max="15363" width="18.28515625" style="13" customWidth="1"/>
    <col min="15364" max="15364" width="11.42578125" style="13"/>
    <col min="15365" max="15365" width="16.140625" style="13" customWidth="1"/>
    <col min="15366" max="15367" width="11.42578125" style="13"/>
    <col min="15368" max="15368" width="14.7109375" style="13" customWidth="1"/>
    <col min="15369" max="15617" width="11.42578125" style="13"/>
    <col min="15618" max="15618" width="16.7109375" style="13" customWidth="1"/>
    <col min="15619" max="15619" width="18.28515625" style="13" customWidth="1"/>
    <col min="15620" max="15620" width="11.42578125" style="13"/>
    <col min="15621" max="15621" width="16.140625" style="13" customWidth="1"/>
    <col min="15622" max="15623" width="11.42578125" style="13"/>
    <col min="15624" max="15624" width="14.7109375" style="13" customWidth="1"/>
    <col min="15625" max="15873" width="11.42578125" style="13"/>
    <col min="15874" max="15874" width="16.7109375" style="13" customWidth="1"/>
    <col min="15875" max="15875" width="18.28515625" style="13" customWidth="1"/>
    <col min="15876" max="15876" width="11.42578125" style="13"/>
    <col min="15877" max="15877" width="16.140625" style="13" customWidth="1"/>
    <col min="15878" max="15879" width="11.42578125" style="13"/>
    <col min="15880" max="15880" width="14.7109375" style="13" customWidth="1"/>
    <col min="15881" max="16129" width="11.42578125" style="13"/>
    <col min="16130" max="16130" width="16.7109375" style="13" customWidth="1"/>
    <col min="16131" max="16131" width="18.28515625" style="13" customWidth="1"/>
    <col min="16132" max="16132" width="11.42578125" style="13"/>
    <col min="16133" max="16133" width="16.140625" style="13" customWidth="1"/>
    <col min="16134" max="16135" width="11.42578125" style="13"/>
    <col min="16136" max="16136" width="14.7109375" style="13" customWidth="1"/>
    <col min="16137" max="16384" width="11.42578125" style="13"/>
  </cols>
  <sheetData>
    <row r="1" spans="1:8" ht="18" x14ac:dyDescent="0.25">
      <c r="A1" s="11" t="s">
        <v>154</v>
      </c>
      <c r="B1" s="11"/>
      <c r="C1" s="11"/>
      <c r="D1" s="12"/>
      <c r="E1" s="12"/>
      <c r="F1" s="12"/>
      <c r="G1" s="12"/>
      <c r="H1" s="12"/>
    </row>
    <row r="2" spans="1:8" ht="18" x14ac:dyDescent="0.25">
      <c r="A2" s="11" t="s">
        <v>70</v>
      </c>
      <c r="B2" s="11"/>
      <c r="C2" s="11"/>
      <c r="D2" s="12"/>
      <c r="E2" s="12"/>
      <c r="F2" s="12"/>
      <c r="G2" s="12"/>
      <c r="H2" s="12"/>
    </row>
    <row r="3" spans="1:8" ht="15.75" x14ac:dyDescent="0.25">
      <c r="A3" s="14" t="s">
        <v>71</v>
      </c>
      <c r="B3" s="14"/>
      <c r="C3" s="14"/>
      <c r="D3" s="12"/>
      <c r="E3" s="12"/>
      <c r="F3" s="12"/>
      <c r="G3" s="12"/>
      <c r="H3" s="12"/>
    </row>
    <row r="4" spans="1:8" ht="18" x14ac:dyDescent="0.25">
      <c r="A4" s="15" t="s">
        <v>173</v>
      </c>
      <c r="B4" s="11"/>
      <c r="C4" s="11"/>
      <c r="D4" s="12"/>
      <c r="E4" s="12"/>
      <c r="F4" s="12"/>
      <c r="G4" s="12"/>
      <c r="H4" s="12"/>
    </row>
    <row r="5" spans="1:8" ht="18" x14ac:dyDescent="0.25">
      <c r="A5" s="11"/>
      <c r="B5" s="11"/>
      <c r="C5" s="11"/>
      <c r="D5" s="12"/>
      <c r="E5" s="12"/>
      <c r="F5" s="12"/>
      <c r="G5" s="12"/>
      <c r="H5" s="12"/>
    </row>
    <row r="7" spans="1:8" ht="63" x14ac:dyDescent="0.25">
      <c r="A7" s="16" t="s">
        <v>72</v>
      </c>
      <c r="B7" s="137" t="s">
        <v>73</v>
      </c>
      <c r="C7" s="137"/>
      <c r="D7" s="138" t="s">
        <v>74</v>
      </c>
      <c r="E7" s="138"/>
      <c r="F7" s="17" t="s">
        <v>75</v>
      </c>
      <c r="G7" s="17" t="s">
        <v>76</v>
      </c>
      <c r="H7" s="139" t="s">
        <v>77</v>
      </c>
    </row>
    <row r="8" spans="1:8" ht="60" x14ac:dyDescent="0.2">
      <c r="A8" s="18"/>
      <c r="B8" s="19" t="s">
        <v>78</v>
      </c>
      <c r="C8" s="19" t="s">
        <v>79</v>
      </c>
      <c r="D8" s="20" t="s">
        <v>80</v>
      </c>
      <c r="E8" s="20" t="s">
        <v>81</v>
      </c>
      <c r="F8" s="20"/>
      <c r="G8" s="20"/>
      <c r="H8" s="140"/>
    </row>
    <row r="9" spans="1:8" ht="15" x14ac:dyDescent="0.2">
      <c r="A9" s="21" t="e">
        <f>#REF!</f>
        <v>#REF!</v>
      </c>
      <c r="B9" s="58"/>
      <c r="C9" s="22">
        <f>B9*Paramètres!$B$46</f>
        <v>0</v>
      </c>
      <c r="D9" s="22" t="e">
        <f>+#REF!</f>
        <v>#REF!</v>
      </c>
      <c r="E9" s="22" t="e">
        <f>D9*Paramètres!$B$48*Paramètres!$B$54</f>
        <v>#REF!</v>
      </c>
      <c r="F9" s="22">
        <f>Paramètres!$B$49</f>
        <v>0</v>
      </c>
      <c r="G9" s="22"/>
      <c r="H9" s="23" t="e">
        <f>C9+E9+F9+G9</f>
        <v>#REF!</v>
      </c>
    </row>
    <row r="10" spans="1:8" ht="15" x14ac:dyDescent="0.2">
      <c r="A10" s="21" t="e">
        <f>#REF!</f>
        <v>#REF!</v>
      </c>
      <c r="B10" s="58"/>
      <c r="C10" s="22">
        <f>B10*Paramètres!$B$46</f>
        <v>0</v>
      </c>
      <c r="D10" s="22" t="e">
        <f>#REF!</f>
        <v>#REF!</v>
      </c>
      <c r="E10" s="22" t="e">
        <f>D10*Paramètres!$B$48*Paramètres!$B$54</f>
        <v>#REF!</v>
      </c>
      <c r="F10" s="22">
        <f>Paramètres!$B$49</f>
        <v>0</v>
      </c>
      <c r="G10" s="22"/>
      <c r="H10" s="23" t="e">
        <f t="shared" ref="H10:H21" si="0">C10+E10+F10+G10</f>
        <v>#REF!</v>
      </c>
    </row>
    <row r="11" spans="1:8" ht="15" x14ac:dyDescent="0.2">
      <c r="A11" s="21" t="e">
        <f>#REF!</f>
        <v>#REF!</v>
      </c>
      <c r="B11" s="58"/>
      <c r="C11" s="22">
        <f>B11*Paramètres!$B$46</f>
        <v>0</v>
      </c>
      <c r="D11" s="22">
        <f>Canevas!C72</f>
        <v>0</v>
      </c>
      <c r="E11" s="22">
        <f>D11*Paramètres!$B$48*Paramètres!$B$54</f>
        <v>0</v>
      </c>
      <c r="F11" s="22">
        <f>Paramètres!$B$49</f>
        <v>0</v>
      </c>
      <c r="G11" s="22"/>
      <c r="H11" s="23">
        <f t="shared" si="0"/>
        <v>0</v>
      </c>
    </row>
    <row r="12" spans="1:8" ht="15" x14ac:dyDescent="0.2">
      <c r="A12" s="21" t="e">
        <f>#REF!</f>
        <v>#REF!</v>
      </c>
      <c r="B12" s="58"/>
      <c r="C12" s="22">
        <f>B12*Paramètres!$B$46</f>
        <v>0</v>
      </c>
      <c r="D12" s="22" t="e">
        <f>#REF!</f>
        <v>#REF!</v>
      </c>
      <c r="E12" s="22" t="e">
        <f>D12*Paramètres!$B$48*Paramètres!$B$54</f>
        <v>#REF!</v>
      </c>
      <c r="F12" s="22"/>
      <c r="G12" s="22"/>
      <c r="H12" s="23" t="e">
        <f t="shared" si="0"/>
        <v>#REF!</v>
      </c>
    </row>
    <row r="13" spans="1:8" ht="15" x14ac:dyDescent="0.2">
      <c r="A13" s="21" t="e">
        <f>#REF!</f>
        <v>#REF!</v>
      </c>
      <c r="B13" s="58"/>
      <c r="C13" s="22">
        <f>B13*Paramètres!$B$46</f>
        <v>0</v>
      </c>
      <c r="D13" s="22" t="e">
        <f>#REF!</f>
        <v>#REF!</v>
      </c>
      <c r="E13" s="22" t="e">
        <f>D13*Paramètres!$B$48*Paramètres!$B$54</f>
        <v>#REF!</v>
      </c>
      <c r="F13" s="22"/>
      <c r="G13" s="22"/>
      <c r="H13" s="23" t="e">
        <f>C13+E13+F13+G13</f>
        <v>#REF!</v>
      </c>
    </row>
    <row r="14" spans="1:8" ht="15" x14ac:dyDescent="0.2">
      <c r="A14" s="21" t="e">
        <f>#REF!</f>
        <v>#REF!</v>
      </c>
      <c r="B14" s="58"/>
      <c r="C14" s="22">
        <f>B14*Paramètres!$B$46</f>
        <v>0</v>
      </c>
      <c r="D14" s="22">
        <f>DISTRICT6!C72</f>
        <v>0</v>
      </c>
      <c r="E14" s="22">
        <f>D14*Paramètres!$B$48*Paramètres!$B$54</f>
        <v>0</v>
      </c>
      <c r="F14" s="22"/>
      <c r="G14" s="22"/>
      <c r="H14" s="23">
        <f t="shared" si="0"/>
        <v>0</v>
      </c>
    </row>
    <row r="15" spans="1:8" ht="15" x14ac:dyDescent="0.2">
      <c r="A15" s="21" t="e">
        <f>#REF!</f>
        <v>#REF!</v>
      </c>
      <c r="B15" s="58"/>
      <c r="C15" s="22">
        <f>B15*Paramètres!$B$46</f>
        <v>0</v>
      </c>
      <c r="D15" s="22">
        <f>DISTRICT7!C72</f>
        <v>0</v>
      </c>
      <c r="E15" s="22">
        <f>D15*Paramètres!$B$48*Paramètres!$B$54</f>
        <v>0</v>
      </c>
      <c r="F15" s="22"/>
      <c r="G15" s="22"/>
      <c r="H15" s="23">
        <f t="shared" si="0"/>
        <v>0</v>
      </c>
    </row>
    <row r="16" spans="1:8" ht="15" x14ac:dyDescent="0.2">
      <c r="A16" s="21" t="e">
        <f>#REF!</f>
        <v>#REF!</v>
      </c>
      <c r="B16" s="24"/>
      <c r="C16" s="22">
        <f>B16*Paramètres!$B$46</f>
        <v>0</v>
      </c>
      <c r="D16" s="22">
        <f>DISTRICT8!C72</f>
        <v>0</v>
      </c>
      <c r="E16" s="22">
        <f>D16*Paramètres!$B$48*Paramètres!$B$54</f>
        <v>0</v>
      </c>
      <c r="F16" s="22"/>
      <c r="G16" s="22"/>
      <c r="H16" s="23">
        <f t="shared" si="0"/>
        <v>0</v>
      </c>
    </row>
    <row r="17" spans="1:8" ht="15" x14ac:dyDescent="0.2">
      <c r="A17" s="21" t="e">
        <f>#REF!</f>
        <v>#REF!</v>
      </c>
      <c r="B17" s="24"/>
      <c r="C17" s="22">
        <f>B17*Paramètres!$B$46</f>
        <v>0</v>
      </c>
      <c r="D17" s="22">
        <f>DISTRICT9!C72</f>
        <v>0</v>
      </c>
      <c r="E17" s="22">
        <f>D17*Paramètres!$B$48*Paramètres!$B$54</f>
        <v>0</v>
      </c>
      <c r="F17" s="22"/>
      <c r="G17" s="22"/>
      <c r="H17" s="23">
        <f>C17+E17+F17+G17</f>
        <v>0</v>
      </c>
    </row>
    <row r="18" spans="1:8" ht="15" x14ac:dyDescent="0.2">
      <c r="A18" s="21" t="e">
        <f>#REF!</f>
        <v>#REF!</v>
      </c>
      <c r="B18" s="24"/>
      <c r="C18" s="22">
        <f>B18*Paramètres!$B$46</f>
        <v>0</v>
      </c>
      <c r="D18" s="22">
        <f>DISTRICT10!C72</f>
        <v>0</v>
      </c>
      <c r="E18" s="22">
        <f>D18*Paramètres!$B$48*Paramètres!$B$54</f>
        <v>0</v>
      </c>
      <c r="F18" s="22"/>
      <c r="G18" s="22"/>
      <c r="H18" s="23">
        <f>C18+E18+F18+G18</f>
        <v>0</v>
      </c>
    </row>
    <row r="19" spans="1:8" ht="15" x14ac:dyDescent="0.2">
      <c r="A19" s="21" t="s">
        <v>151</v>
      </c>
      <c r="B19" s="24"/>
      <c r="C19" s="22"/>
      <c r="D19" s="22"/>
      <c r="E19" s="22"/>
      <c r="F19" s="22"/>
      <c r="G19" s="22">
        <f>Paramètres!B50</f>
        <v>0</v>
      </c>
      <c r="H19" s="23">
        <f t="shared" si="0"/>
        <v>0</v>
      </c>
    </row>
    <row r="20" spans="1:8" ht="15" x14ac:dyDescent="0.2">
      <c r="A20" s="18"/>
      <c r="B20" s="24"/>
      <c r="C20" s="22"/>
      <c r="D20" s="22"/>
      <c r="E20" s="22"/>
      <c r="F20" s="22"/>
      <c r="G20" s="22"/>
      <c r="H20" s="23">
        <f t="shared" si="0"/>
        <v>0</v>
      </c>
    </row>
    <row r="21" spans="1:8" ht="15.75" thickBot="1" x14ac:dyDescent="0.25">
      <c r="A21" s="25"/>
      <c r="B21" s="26"/>
      <c r="C21" s="27"/>
      <c r="D21" s="27"/>
      <c r="E21" s="22"/>
      <c r="F21" s="22"/>
      <c r="G21" s="22"/>
      <c r="H21" s="23">
        <f t="shared" si="0"/>
        <v>0</v>
      </c>
    </row>
    <row r="22" spans="1:8" ht="16.5" thickBot="1" x14ac:dyDescent="0.3">
      <c r="A22" s="28" t="s">
        <v>82</v>
      </c>
      <c r="B22" s="29">
        <f t="shared" ref="B22:H22" si="1">SUM(B9:B21)</f>
        <v>0</v>
      </c>
      <c r="C22" s="29">
        <f t="shared" si="1"/>
        <v>0</v>
      </c>
      <c r="D22" s="29" t="e">
        <f t="shared" si="1"/>
        <v>#REF!</v>
      </c>
      <c r="E22" s="29" t="e">
        <f t="shared" si="1"/>
        <v>#REF!</v>
      </c>
      <c r="F22" s="29">
        <f t="shared" si="1"/>
        <v>0</v>
      </c>
      <c r="G22" s="29">
        <f t="shared" si="1"/>
        <v>0</v>
      </c>
      <c r="H22" s="29" t="e">
        <f t="shared" si="1"/>
        <v>#REF!</v>
      </c>
    </row>
  </sheetData>
  <mergeCells count="3">
    <mergeCell ref="B7:C7"/>
    <mergeCell ref="D7:E7"/>
    <mergeCell ref="H7:H8"/>
  </mergeCells>
  <pageMargins left="0.7" right="0.7" top="0.75" bottom="0.75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37"/>
  </sheetPr>
  <dimension ref="A1:J19"/>
  <sheetViews>
    <sheetView zoomScale="120" zoomScaleNormal="120" workbookViewId="0">
      <pane xSplit="2" ySplit="6" topLeftCell="C17" activePane="bottomRight" state="frozen"/>
      <selection activeCell="AV73" sqref="AV73"/>
      <selection pane="topRight" activeCell="AV73" sqref="AV73"/>
      <selection pane="bottomLeft" activeCell="AV73" sqref="AV73"/>
      <selection pane="bottomRight" activeCell="AV73" sqref="AV73"/>
    </sheetView>
  </sheetViews>
  <sheetFormatPr defaultColWidth="11.42578125" defaultRowHeight="12.75" x14ac:dyDescent="0.2"/>
  <cols>
    <col min="1" max="1" width="2.140625" style="13" customWidth="1"/>
    <col min="2" max="256" width="11.42578125" style="13"/>
    <col min="257" max="257" width="2.140625" style="13" customWidth="1"/>
    <col min="258" max="512" width="11.42578125" style="13"/>
    <col min="513" max="513" width="2.140625" style="13" customWidth="1"/>
    <col min="514" max="768" width="11.42578125" style="13"/>
    <col min="769" max="769" width="2.140625" style="13" customWidth="1"/>
    <col min="770" max="1024" width="11.42578125" style="13"/>
    <col min="1025" max="1025" width="2.140625" style="13" customWidth="1"/>
    <col min="1026" max="1280" width="11.42578125" style="13"/>
    <col min="1281" max="1281" width="2.140625" style="13" customWidth="1"/>
    <col min="1282" max="1536" width="11.42578125" style="13"/>
    <col min="1537" max="1537" width="2.140625" style="13" customWidth="1"/>
    <col min="1538" max="1792" width="11.42578125" style="13"/>
    <col min="1793" max="1793" width="2.140625" style="13" customWidth="1"/>
    <col min="1794" max="2048" width="11.42578125" style="13"/>
    <col min="2049" max="2049" width="2.140625" style="13" customWidth="1"/>
    <col min="2050" max="2304" width="11.42578125" style="13"/>
    <col min="2305" max="2305" width="2.140625" style="13" customWidth="1"/>
    <col min="2306" max="2560" width="11.42578125" style="13"/>
    <col min="2561" max="2561" width="2.140625" style="13" customWidth="1"/>
    <col min="2562" max="2816" width="11.42578125" style="13"/>
    <col min="2817" max="2817" width="2.140625" style="13" customWidth="1"/>
    <col min="2818" max="3072" width="11.42578125" style="13"/>
    <col min="3073" max="3073" width="2.140625" style="13" customWidth="1"/>
    <col min="3074" max="3328" width="11.42578125" style="13"/>
    <col min="3329" max="3329" width="2.140625" style="13" customWidth="1"/>
    <col min="3330" max="3584" width="11.42578125" style="13"/>
    <col min="3585" max="3585" width="2.140625" style="13" customWidth="1"/>
    <col min="3586" max="3840" width="11.42578125" style="13"/>
    <col min="3841" max="3841" width="2.140625" style="13" customWidth="1"/>
    <col min="3842" max="4096" width="11.42578125" style="13"/>
    <col min="4097" max="4097" width="2.140625" style="13" customWidth="1"/>
    <col min="4098" max="4352" width="11.42578125" style="13"/>
    <col min="4353" max="4353" width="2.140625" style="13" customWidth="1"/>
    <col min="4354" max="4608" width="11.42578125" style="13"/>
    <col min="4609" max="4609" width="2.140625" style="13" customWidth="1"/>
    <col min="4610" max="4864" width="11.42578125" style="13"/>
    <col min="4865" max="4865" width="2.140625" style="13" customWidth="1"/>
    <col min="4866" max="5120" width="11.42578125" style="13"/>
    <col min="5121" max="5121" width="2.140625" style="13" customWidth="1"/>
    <col min="5122" max="5376" width="11.42578125" style="13"/>
    <col min="5377" max="5377" width="2.140625" style="13" customWidth="1"/>
    <col min="5378" max="5632" width="11.42578125" style="13"/>
    <col min="5633" max="5633" width="2.140625" style="13" customWidth="1"/>
    <col min="5634" max="5888" width="11.42578125" style="13"/>
    <col min="5889" max="5889" width="2.140625" style="13" customWidth="1"/>
    <col min="5890" max="6144" width="11.42578125" style="13"/>
    <col min="6145" max="6145" width="2.140625" style="13" customWidth="1"/>
    <col min="6146" max="6400" width="11.42578125" style="13"/>
    <col min="6401" max="6401" width="2.140625" style="13" customWidth="1"/>
    <col min="6402" max="6656" width="11.42578125" style="13"/>
    <col min="6657" max="6657" width="2.140625" style="13" customWidth="1"/>
    <col min="6658" max="6912" width="11.42578125" style="13"/>
    <col min="6913" max="6913" width="2.140625" style="13" customWidth="1"/>
    <col min="6914" max="7168" width="11.42578125" style="13"/>
    <col min="7169" max="7169" width="2.140625" style="13" customWidth="1"/>
    <col min="7170" max="7424" width="11.42578125" style="13"/>
    <col min="7425" max="7425" width="2.140625" style="13" customWidth="1"/>
    <col min="7426" max="7680" width="11.42578125" style="13"/>
    <col min="7681" max="7681" width="2.140625" style="13" customWidth="1"/>
    <col min="7682" max="7936" width="11.42578125" style="13"/>
    <col min="7937" max="7937" width="2.140625" style="13" customWidth="1"/>
    <col min="7938" max="8192" width="11.42578125" style="13"/>
    <col min="8193" max="8193" width="2.140625" style="13" customWidth="1"/>
    <col min="8194" max="8448" width="11.42578125" style="13"/>
    <col min="8449" max="8449" width="2.140625" style="13" customWidth="1"/>
    <col min="8450" max="8704" width="11.42578125" style="13"/>
    <col min="8705" max="8705" width="2.140625" style="13" customWidth="1"/>
    <col min="8706" max="8960" width="11.42578125" style="13"/>
    <col min="8961" max="8961" width="2.140625" style="13" customWidth="1"/>
    <col min="8962" max="9216" width="11.42578125" style="13"/>
    <col min="9217" max="9217" width="2.140625" style="13" customWidth="1"/>
    <col min="9218" max="9472" width="11.42578125" style="13"/>
    <col min="9473" max="9473" width="2.140625" style="13" customWidth="1"/>
    <col min="9474" max="9728" width="11.42578125" style="13"/>
    <col min="9729" max="9729" width="2.140625" style="13" customWidth="1"/>
    <col min="9730" max="9984" width="11.42578125" style="13"/>
    <col min="9985" max="9985" width="2.140625" style="13" customWidth="1"/>
    <col min="9986" max="10240" width="11.42578125" style="13"/>
    <col min="10241" max="10241" width="2.140625" style="13" customWidth="1"/>
    <col min="10242" max="10496" width="11.42578125" style="13"/>
    <col min="10497" max="10497" width="2.140625" style="13" customWidth="1"/>
    <col min="10498" max="10752" width="11.42578125" style="13"/>
    <col min="10753" max="10753" width="2.140625" style="13" customWidth="1"/>
    <col min="10754" max="11008" width="11.42578125" style="13"/>
    <col min="11009" max="11009" width="2.140625" style="13" customWidth="1"/>
    <col min="11010" max="11264" width="11.42578125" style="13"/>
    <col min="11265" max="11265" width="2.140625" style="13" customWidth="1"/>
    <col min="11266" max="11520" width="11.42578125" style="13"/>
    <col min="11521" max="11521" width="2.140625" style="13" customWidth="1"/>
    <col min="11522" max="11776" width="11.42578125" style="13"/>
    <col min="11777" max="11777" width="2.140625" style="13" customWidth="1"/>
    <col min="11778" max="12032" width="11.42578125" style="13"/>
    <col min="12033" max="12033" width="2.140625" style="13" customWidth="1"/>
    <col min="12034" max="12288" width="11.42578125" style="13"/>
    <col min="12289" max="12289" width="2.140625" style="13" customWidth="1"/>
    <col min="12290" max="12544" width="11.42578125" style="13"/>
    <col min="12545" max="12545" width="2.140625" style="13" customWidth="1"/>
    <col min="12546" max="12800" width="11.42578125" style="13"/>
    <col min="12801" max="12801" width="2.140625" style="13" customWidth="1"/>
    <col min="12802" max="13056" width="11.42578125" style="13"/>
    <col min="13057" max="13057" width="2.140625" style="13" customWidth="1"/>
    <col min="13058" max="13312" width="11.42578125" style="13"/>
    <col min="13313" max="13313" width="2.140625" style="13" customWidth="1"/>
    <col min="13314" max="13568" width="11.42578125" style="13"/>
    <col min="13569" max="13569" width="2.140625" style="13" customWidth="1"/>
    <col min="13570" max="13824" width="11.42578125" style="13"/>
    <col min="13825" max="13825" width="2.140625" style="13" customWidth="1"/>
    <col min="13826" max="14080" width="11.42578125" style="13"/>
    <col min="14081" max="14081" width="2.140625" style="13" customWidth="1"/>
    <col min="14082" max="14336" width="11.42578125" style="13"/>
    <col min="14337" max="14337" width="2.140625" style="13" customWidth="1"/>
    <col min="14338" max="14592" width="11.42578125" style="13"/>
    <col min="14593" max="14593" width="2.140625" style="13" customWidth="1"/>
    <col min="14594" max="14848" width="11.42578125" style="13"/>
    <col min="14849" max="14849" width="2.140625" style="13" customWidth="1"/>
    <col min="14850" max="15104" width="11.42578125" style="13"/>
    <col min="15105" max="15105" width="2.140625" style="13" customWidth="1"/>
    <col min="15106" max="15360" width="11.42578125" style="13"/>
    <col min="15361" max="15361" width="2.140625" style="13" customWidth="1"/>
    <col min="15362" max="15616" width="11.42578125" style="13"/>
    <col min="15617" max="15617" width="2.140625" style="13" customWidth="1"/>
    <col min="15618" max="15872" width="11.42578125" style="13"/>
    <col min="15873" max="15873" width="2.140625" style="13" customWidth="1"/>
    <col min="15874" max="16128" width="11.42578125" style="13"/>
    <col min="16129" max="16129" width="2.140625" style="13" customWidth="1"/>
    <col min="16130" max="16384" width="11.42578125" style="13"/>
  </cols>
  <sheetData>
    <row r="1" spans="1:10" ht="20.25" x14ac:dyDescent="0.3">
      <c r="A1" s="34"/>
      <c r="B1" s="35" t="s">
        <v>87</v>
      </c>
    </row>
    <row r="2" spans="1:10" x14ac:dyDescent="0.2">
      <c r="A2" s="34"/>
    </row>
    <row r="3" spans="1:10" ht="25.5" x14ac:dyDescent="0.2">
      <c r="A3" s="34"/>
      <c r="B3" s="36" t="s">
        <v>83</v>
      </c>
      <c r="C3" s="141" t="s">
        <v>88</v>
      </c>
      <c r="D3" s="142"/>
      <c r="E3" s="142"/>
      <c r="F3" s="143"/>
      <c r="G3" s="141" t="s">
        <v>89</v>
      </c>
      <c r="H3" s="142"/>
      <c r="I3" s="143"/>
      <c r="J3" s="144" t="s">
        <v>90</v>
      </c>
    </row>
    <row r="4" spans="1:10" ht="51" x14ac:dyDescent="0.2">
      <c r="A4" s="34"/>
      <c r="B4" s="36"/>
      <c r="C4" s="141" t="s">
        <v>91</v>
      </c>
      <c r="D4" s="142"/>
      <c r="E4" s="143"/>
      <c r="F4" s="30"/>
      <c r="G4" s="30" t="s">
        <v>92</v>
      </c>
      <c r="H4" s="30" t="s">
        <v>93</v>
      </c>
      <c r="I4" s="30" t="s">
        <v>84</v>
      </c>
      <c r="J4" s="145"/>
    </row>
    <row r="5" spans="1:10" ht="38.25" x14ac:dyDescent="0.2">
      <c r="A5" s="34"/>
      <c r="B5" s="36"/>
      <c r="C5" s="30" t="s">
        <v>94</v>
      </c>
      <c r="D5" s="30" t="s">
        <v>95</v>
      </c>
      <c r="E5" s="30" t="s">
        <v>96</v>
      </c>
      <c r="F5" s="30" t="s">
        <v>86</v>
      </c>
      <c r="G5" s="30"/>
      <c r="H5" s="30"/>
      <c r="I5" s="30"/>
      <c r="J5" s="30"/>
    </row>
    <row r="6" spans="1:10" x14ac:dyDescent="0.2">
      <c r="A6" s="34"/>
      <c r="B6" s="36"/>
      <c r="C6" s="30"/>
      <c r="D6" s="30"/>
      <c r="E6" s="30"/>
      <c r="F6" s="30"/>
      <c r="G6" s="30"/>
      <c r="H6" s="30"/>
      <c r="I6" s="30"/>
      <c r="J6" s="30"/>
    </row>
    <row r="7" spans="1:10" x14ac:dyDescent="0.2">
      <c r="A7" s="37"/>
      <c r="B7" s="38" t="e">
        <f>#REF!</f>
        <v>#REF!</v>
      </c>
      <c r="C7" s="31"/>
      <c r="D7" s="31"/>
      <c r="E7" s="31"/>
      <c r="F7" s="33">
        <f>C7*E7*D7</f>
        <v>0</v>
      </c>
      <c r="G7" s="31"/>
      <c r="H7" s="31"/>
      <c r="I7" s="33">
        <f>G7*H7*Paramètres!$B$25</f>
        <v>0</v>
      </c>
      <c r="J7" s="32">
        <f>F7+I7</f>
        <v>0</v>
      </c>
    </row>
    <row r="8" spans="1:10" x14ac:dyDescent="0.2">
      <c r="A8" s="37"/>
      <c r="B8" s="38" t="e">
        <f>#REF!</f>
        <v>#REF!</v>
      </c>
      <c r="C8" s="31"/>
      <c r="D8" s="31"/>
      <c r="E8" s="31"/>
      <c r="F8" s="33">
        <f t="shared" ref="F8:F16" si="0">C8*E8*D8</f>
        <v>0</v>
      </c>
      <c r="G8" s="31"/>
      <c r="H8" s="31"/>
      <c r="I8" s="33">
        <f>G8*H8*Paramètres!$B$25</f>
        <v>0</v>
      </c>
      <c r="J8" s="32">
        <f t="shared" ref="J8:J16" si="1">F8+I8</f>
        <v>0</v>
      </c>
    </row>
    <row r="9" spans="1:10" x14ac:dyDescent="0.2">
      <c r="A9" s="37"/>
      <c r="B9" s="38" t="e">
        <f>#REF!</f>
        <v>#REF!</v>
      </c>
      <c r="C9" s="31"/>
      <c r="D9" s="31"/>
      <c r="E9" s="31"/>
      <c r="F9" s="33">
        <f t="shared" si="0"/>
        <v>0</v>
      </c>
      <c r="G9" s="31"/>
      <c r="H9" s="31"/>
      <c r="I9" s="33">
        <f>G9*H9*Paramètres!$B$25</f>
        <v>0</v>
      </c>
      <c r="J9" s="32">
        <f t="shared" si="1"/>
        <v>0</v>
      </c>
    </row>
    <row r="10" spans="1:10" x14ac:dyDescent="0.2">
      <c r="A10" s="37"/>
      <c r="B10" s="38" t="e">
        <f>#REF!</f>
        <v>#REF!</v>
      </c>
      <c r="C10" s="31"/>
      <c r="D10" s="31"/>
      <c r="E10" s="31"/>
      <c r="F10" s="33">
        <f t="shared" si="0"/>
        <v>0</v>
      </c>
      <c r="G10" s="31"/>
      <c r="H10" s="31"/>
      <c r="I10" s="33">
        <f>G10*H10*Paramètres!$B$25</f>
        <v>0</v>
      </c>
      <c r="J10" s="32">
        <f t="shared" si="1"/>
        <v>0</v>
      </c>
    </row>
    <row r="11" spans="1:10" x14ac:dyDescent="0.2">
      <c r="A11" s="37"/>
      <c r="B11" s="38" t="e">
        <f>#REF!</f>
        <v>#REF!</v>
      </c>
      <c r="C11" s="31"/>
      <c r="D11" s="31"/>
      <c r="E11" s="31"/>
      <c r="F11" s="33">
        <f t="shared" si="0"/>
        <v>0</v>
      </c>
      <c r="G11" s="31"/>
      <c r="H11" s="31"/>
      <c r="I11" s="33">
        <f>G11*H11*Paramètres!$B$25</f>
        <v>0</v>
      </c>
      <c r="J11" s="32">
        <f t="shared" si="1"/>
        <v>0</v>
      </c>
    </row>
    <row r="12" spans="1:10" x14ac:dyDescent="0.2">
      <c r="A12" s="37"/>
      <c r="B12" s="38" t="e">
        <f>#REF!</f>
        <v>#REF!</v>
      </c>
      <c r="C12" s="31"/>
      <c r="D12" s="31"/>
      <c r="E12" s="31"/>
      <c r="F12" s="33">
        <f t="shared" si="0"/>
        <v>0</v>
      </c>
      <c r="G12" s="31"/>
      <c r="H12" s="31"/>
      <c r="I12" s="33">
        <f>G12*H12*Paramètres!$B$25</f>
        <v>0</v>
      </c>
      <c r="J12" s="32">
        <f t="shared" si="1"/>
        <v>0</v>
      </c>
    </row>
    <row r="13" spans="1:10" x14ac:dyDescent="0.2">
      <c r="A13" s="37"/>
      <c r="B13" s="38" t="e">
        <f>#REF!</f>
        <v>#REF!</v>
      </c>
      <c r="C13" s="31"/>
      <c r="D13" s="31"/>
      <c r="E13" s="31"/>
      <c r="F13" s="33">
        <f t="shared" si="0"/>
        <v>0</v>
      </c>
      <c r="G13" s="31"/>
      <c r="H13" s="31"/>
      <c r="I13" s="33">
        <f>G13*H13*Paramètres!$B$25</f>
        <v>0</v>
      </c>
      <c r="J13" s="32">
        <f t="shared" si="1"/>
        <v>0</v>
      </c>
    </row>
    <row r="14" spans="1:10" x14ac:dyDescent="0.2">
      <c r="A14" s="37"/>
      <c r="B14" s="38" t="e">
        <f>#REF!</f>
        <v>#REF!</v>
      </c>
      <c r="C14" s="31"/>
      <c r="D14" s="31"/>
      <c r="E14" s="31"/>
      <c r="F14" s="33">
        <f t="shared" si="0"/>
        <v>0</v>
      </c>
      <c r="G14" s="31"/>
      <c r="H14" s="31"/>
      <c r="I14" s="33">
        <f>G14*H14*Paramètres!$B$25</f>
        <v>0</v>
      </c>
      <c r="J14" s="32">
        <f t="shared" si="1"/>
        <v>0</v>
      </c>
    </row>
    <row r="15" spans="1:10" x14ac:dyDescent="0.2">
      <c r="A15" s="37"/>
      <c r="B15" s="38" t="e">
        <f>#REF!</f>
        <v>#REF!</v>
      </c>
      <c r="C15" s="31"/>
      <c r="D15" s="31"/>
      <c r="E15" s="31"/>
      <c r="F15" s="33">
        <f t="shared" si="0"/>
        <v>0</v>
      </c>
      <c r="G15" s="31"/>
      <c r="H15" s="31"/>
      <c r="I15" s="33">
        <f>G15*H15*Paramètres!$B$25</f>
        <v>0</v>
      </c>
      <c r="J15" s="32">
        <f t="shared" si="1"/>
        <v>0</v>
      </c>
    </row>
    <row r="16" spans="1:10" x14ac:dyDescent="0.2">
      <c r="A16" s="37"/>
      <c r="B16" s="38" t="e">
        <f>#REF!</f>
        <v>#REF!</v>
      </c>
      <c r="C16" s="31"/>
      <c r="D16" s="31"/>
      <c r="E16" s="31"/>
      <c r="F16" s="33">
        <f t="shared" si="0"/>
        <v>0</v>
      </c>
      <c r="G16" s="31"/>
      <c r="H16" s="31"/>
      <c r="I16" s="33">
        <f>G16*H16*Paramètres!$B$25</f>
        <v>0</v>
      </c>
      <c r="J16" s="32">
        <f t="shared" si="1"/>
        <v>0</v>
      </c>
    </row>
    <row r="17" spans="1:10" x14ac:dyDescent="0.2">
      <c r="A17" s="37"/>
      <c r="B17" s="38" t="e">
        <f>+#REF!</f>
        <v>#REF!</v>
      </c>
      <c r="C17" s="31"/>
      <c r="D17" s="31"/>
      <c r="E17" s="31"/>
      <c r="F17" s="33">
        <f>C17*E17*D17</f>
        <v>0</v>
      </c>
      <c r="G17" s="31"/>
      <c r="H17" s="31"/>
      <c r="I17" s="33">
        <f>G17*H17*Paramètres!$B$25</f>
        <v>0</v>
      </c>
      <c r="J17" s="32">
        <f>F17+I17</f>
        <v>0</v>
      </c>
    </row>
    <row r="18" spans="1:10" x14ac:dyDescent="0.2">
      <c r="A18" s="37"/>
      <c r="B18" s="38"/>
      <c r="C18" s="31"/>
      <c r="D18" s="31"/>
      <c r="E18" s="31"/>
      <c r="F18" s="33">
        <f>C18*E18*D18</f>
        <v>0</v>
      </c>
      <c r="G18" s="31"/>
      <c r="H18" s="31"/>
      <c r="I18" s="33">
        <f>G18*H18*Paramètres!$B$25</f>
        <v>0</v>
      </c>
      <c r="J18" s="32">
        <f>F18+I18</f>
        <v>0</v>
      </c>
    </row>
    <row r="19" spans="1:10" x14ac:dyDescent="0.2">
      <c r="A19" s="37"/>
      <c r="B19" s="39"/>
      <c r="C19" s="40">
        <f t="shared" ref="C19:J19" si="2">SUM(C7:C18)</f>
        <v>0</v>
      </c>
      <c r="D19" s="40">
        <f t="shared" si="2"/>
        <v>0</v>
      </c>
      <c r="E19" s="40">
        <f t="shared" si="2"/>
        <v>0</v>
      </c>
      <c r="F19" s="40">
        <f t="shared" si="2"/>
        <v>0</v>
      </c>
      <c r="G19" s="40">
        <f t="shared" si="2"/>
        <v>0</v>
      </c>
      <c r="H19" s="40">
        <f t="shared" si="2"/>
        <v>0</v>
      </c>
      <c r="I19" s="40">
        <f t="shared" si="2"/>
        <v>0</v>
      </c>
      <c r="J19" s="40">
        <f t="shared" si="2"/>
        <v>0</v>
      </c>
    </row>
  </sheetData>
  <mergeCells count="4">
    <mergeCell ref="C3:F3"/>
    <mergeCell ref="G3:I3"/>
    <mergeCell ref="J3:J4"/>
    <mergeCell ref="C4:E4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Paramètres</vt:lpstr>
      <vt:lpstr>Canevas</vt:lpstr>
      <vt:lpstr>DISTRICT6</vt:lpstr>
      <vt:lpstr>DISTRICT7</vt:lpstr>
      <vt:lpstr>DISTRICT8</vt:lpstr>
      <vt:lpstr>DISTRICT9</vt:lpstr>
      <vt:lpstr>DISTRICT10</vt:lpstr>
      <vt:lpstr>Mob soc</vt:lpstr>
      <vt:lpstr>Chaine du froid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2022-05-06T08:40:13Z</cp:lastPrinted>
  <dcterms:created xsi:type="dcterms:W3CDTF">2015-01-23T15:29:47Z</dcterms:created>
  <dcterms:modified xsi:type="dcterms:W3CDTF">2026-07-10T11:43:38Z</dcterms:modified>
</cp:coreProperties>
</file>